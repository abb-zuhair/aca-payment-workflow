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caedu-my.sharepoint.com/personal/tanveer_khot_sama_com_kw/Documents/SAMA Finance/Budget/2026-27 - TRACKING/Budget Proposals 2026-27 Tracking/ACA Budget Proposal 2026-27/Excellent Budget 2026-27/"/>
    </mc:Choice>
  </mc:AlternateContent>
  <xr:revisionPtr revIDLastSave="0" documentId="8_{52A51B7D-7C30-4CD6-89BB-2C25713728CB}" xr6:coauthVersionLast="47" xr6:coauthVersionMax="47" xr10:uidLastSave="{00000000-0000-0000-0000-000000000000}"/>
  <bookViews>
    <workbookView xWindow="-120" yWindow="-120" windowWidth="29040" windowHeight="15720" tabRatio="926" firstSheet="12" activeTab="12" xr2:uid="{00000000-000D-0000-FFFF-FFFF00000000}"/>
  </bookViews>
  <sheets>
    <sheet name="IT Budget Summary" sheetId="1" r:id="rId1"/>
    <sheet name="ACAH Capital Tracker" sheetId="2" r:id="rId2"/>
    <sheet name="ACAH Capital Log" sheetId="3" r:id="rId3"/>
    <sheet name="ACAH Consumables Tracker" sheetId="4" r:id="rId4"/>
    <sheet name="ACAH Consumables Log" sheetId="5" r:id="rId5"/>
    <sheet name="ACAS Capital Tracker" sheetId="6" r:id="rId6"/>
    <sheet name="ACAS Capital Log" sheetId="7" r:id="rId7"/>
    <sheet name="ACAS Consumables Tracker" sheetId="8" r:id="rId8"/>
    <sheet name="ACAS Consumables Log" sheetId="9" r:id="rId9"/>
    <sheet name="SAMA Capital Tracker" sheetId="10" r:id="rId10"/>
    <sheet name="SAMA Capital Log" sheetId="11" r:id="rId11"/>
    <sheet name="SAMA Consumables Tracker" sheetId="12" r:id="rId12"/>
    <sheet name="SAMA Consumables Log" sheetId="13" r:id="rId13"/>
  </sheets>
  <definedNames>
    <definedName name="_xlnm._FilterDatabase" localSheetId="2" hidden="1">'ACAH Capital Log'!$A$3:$H$2000</definedName>
    <definedName name="_xlnm._FilterDatabase" localSheetId="4" hidden="1">'ACAH Consumables Log'!$A$3:$H$2000</definedName>
    <definedName name="_xlnm._FilterDatabase" localSheetId="6" hidden="1">'ACAS Capital Log'!$A$3:$H$2000</definedName>
    <definedName name="_xlnm._FilterDatabase" localSheetId="8" hidden="1">'ACAS Consumables Log'!$A$3:$H$2000</definedName>
    <definedName name="_xlnm._FilterDatabase" localSheetId="10" hidden="1">'SAMA Capital Log'!$A$3:$H$2000</definedName>
    <definedName name="_xlnm._FilterDatabase" localSheetId="12" hidden="1">'SAMA Consumables Log'!$A$3:$H$2000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13" l="1"/>
  <c r="F5" i="9"/>
  <c r="F5" i="5"/>
  <c r="F2002" i="13"/>
  <c r="G2000" i="13"/>
  <c r="E2000" i="13"/>
  <c r="G1999" i="13"/>
  <c r="E1999" i="13"/>
  <c r="G1998" i="13"/>
  <c r="E1998" i="13"/>
  <c r="G1997" i="13"/>
  <c r="E1997" i="13"/>
  <c r="G1996" i="13"/>
  <c r="E1996" i="13"/>
  <c r="G1995" i="13"/>
  <c r="E1995" i="13"/>
  <c r="G1994" i="13"/>
  <c r="E1994" i="13"/>
  <c r="G1993" i="13"/>
  <c r="E1993" i="13"/>
  <c r="G1992" i="13"/>
  <c r="E1992" i="13"/>
  <c r="G1991" i="13"/>
  <c r="E1991" i="13"/>
  <c r="G1990" i="13"/>
  <c r="E1990" i="13"/>
  <c r="G1989" i="13"/>
  <c r="E1989" i="13"/>
  <c r="G1988" i="13"/>
  <c r="E1988" i="13"/>
  <c r="G1987" i="13"/>
  <c r="E1987" i="13"/>
  <c r="G1986" i="13"/>
  <c r="E1986" i="13"/>
  <c r="G1985" i="13"/>
  <c r="E1985" i="13"/>
  <c r="G1984" i="13"/>
  <c r="E1984" i="13"/>
  <c r="G1983" i="13"/>
  <c r="E1983" i="13"/>
  <c r="G1982" i="13"/>
  <c r="E1982" i="13"/>
  <c r="G1981" i="13"/>
  <c r="E1981" i="13"/>
  <c r="G1980" i="13"/>
  <c r="E1980" i="13"/>
  <c r="G1979" i="13"/>
  <c r="E1979" i="13"/>
  <c r="G1978" i="13"/>
  <c r="E1978" i="13"/>
  <c r="G1977" i="13"/>
  <c r="E1977" i="13"/>
  <c r="G1976" i="13"/>
  <c r="E1976" i="13"/>
  <c r="G1975" i="13"/>
  <c r="E1975" i="13"/>
  <c r="G1974" i="13"/>
  <c r="E1974" i="13"/>
  <c r="G1973" i="13"/>
  <c r="E1973" i="13"/>
  <c r="G1972" i="13"/>
  <c r="E1972" i="13"/>
  <c r="G1971" i="13"/>
  <c r="E1971" i="13"/>
  <c r="G1970" i="13"/>
  <c r="E1970" i="13"/>
  <c r="G1969" i="13"/>
  <c r="E1969" i="13"/>
  <c r="G1968" i="13"/>
  <c r="E1968" i="13"/>
  <c r="G1967" i="13"/>
  <c r="E1967" i="13"/>
  <c r="G1966" i="13"/>
  <c r="E1966" i="13"/>
  <c r="G1965" i="13"/>
  <c r="E1965" i="13"/>
  <c r="G1964" i="13"/>
  <c r="E1964" i="13"/>
  <c r="G1963" i="13"/>
  <c r="E1963" i="13"/>
  <c r="G1962" i="13"/>
  <c r="E1962" i="13"/>
  <c r="G1961" i="13"/>
  <c r="E1961" i="13"/>
  <c r="G1960" i="13"/>
  <c r="E1960" i="13"/>
  <c r="G1959" i="13"/>
  <c r="E1959" i="13"/>
  <c r="G1958" i="13"/>
  <c r="E1958" i="13"/>
  <c r="G1957" i="13"/>
  <c r="E1957" i="13"/>
  <c r="G1956" i="13"/>
  <c r="E1956" i="13"/>
  <c r="G1955" i="13"/>
  <c r="E1955" i="13"/>
  <c r="G1954" i="13"/>
  <c r="E1954" i="13"/>
  <c r="G1953" i="13"/>
  <c r="E1953" i="13"/>
  <c r="G1952" i="13"/>
  <c r="E1952" i="13"/>
  <c r="G1951" i="13"/>
  <c r="E1951" i="13"/>
  <c r="G1950" i="13"/>
  <c r="E1950" i="13"/>
  <c r="G1949" i="13"/>
  <c r="E1949" i="13"/>
  <c r="G1948" i="13"/>
  <c r="E1948" i="13"/>
  <c r="G1947" i="13"/>
  <c r="E1947" i="13"/>
  <c r="G1946" i="13"/>
  <c r="E1946" i="13"/>
  <c r="G1945" i="13"/>
  <c r="E1945" i="13"/>
  <c r="G1944" i="13"/>
  <c r="E1944" i="13"/>
  <c r="G1943" i="13"/>
  <c r="E1943" i="13"/>
  <c r="G1942" i="13"/>
  <c r="E1942" i="13"/>
  <c r="G1941" i="13"/>
  <c r="E1941" i="13"/>
  <c r="G1940" i="13"/>
  <c r="E1940" i="13"/>
  <c r="G1939" i="13"/>
  <c r="E1939" i="13"/>
  <c r="G1938" i="13"/>
  <c r="E1938" i="13"/>
  <c r="G1937" i="13"/>
  <c r="E1937" i="13"/>
  <c r="G1936" i="13"/>
  <c r="E1936" i="13"/>
  <c r="G1935" i="13"/>
  <c r="E1935" i="13"/>
  <c r="G1934" i="13"/>
  <c r="E1934" i="13"/>
  <c r="G1933" i="13"/>
  <c r="E1933" i="13"/>
  <c r="G1932" i="13"/>
  <c r="E1932" i="13"/>
  <c r="G1931" i="13"/>
  <c r="E1931" i="13"/>
  <c r="G1930" i="13"/>
  <c r="E1930" i="13"/>
  <c r="G1929" i="13"/>
  <c r="E1929" i="13"/>
  <c r="G1928" i="13"/>
  <c r="E1928" i="13"/>
  <c r="G1927" i="13"/>
  <c r="E1927" i="13"/>
  <c r="G1926" i="13"/>
  <c r="E1926" i="13"/>
  <c r="G1925" i="13"/>
  <c r="E1925" i="13"/>
  <c r="G1924" i="13"/>
  <c r="E1924" i="13"/>
  <c r="G1923" i="13"/>
  <c r="E1923" i="13"/>
  <c r="G1922" i="13"/>
  <c r="E1922" i="13"/>
  <c r="G1921" i="13"/>
  <c r="E1921" i="13"/>
  <c r="G1920" i="13"/>
  <c r="E1920" i="13"/>
  <c r="G1919" i="13"/>
  <c r="E1919" i="13"/>
  <c r="G1918" i="13"/>
  <c r="E1918" i="13"/>
  <c r="G1917" i="13"/>
  <c r="E1917" i="13"/>
  <c r="G1916" i="13"/>
  <c r="E1916" i="13"/>
  <c r="G1915" i="13"/>
  <c r="E1915" i="13"/>
  <c r="G1914" i="13"/>
  <c r="E1914" i="13"/>
  <c r="G1913" i="13"/>
  <c r="E1913" i="13"/>
  <c r="G1912" i="13"/>
  <c r="E1912" i="13"/>
  <c r="G1911" i="13"/>
  <c r="E1911" i="13"/>
  <c r="G1910" i="13"/>
  <c r="E1910" i="13"/>
  <c r="G1909" i="13"/>
  <c r="E1909" i="13"/>
  <c r="G1908" i="13"/>
  <c r="E1908" i="13"/>
  <c r="G1907" i="13"/>
  <c r="E1907" i="13"/>
  <c r="G1906" i="13"/>
  <c r="E1906" i="13"/>
  <c r="G1905" i="13"/>
  <c r="E1905" i="13"/>
  <c r="G1904" i="13"/>
  <c r="E1904" i="13"/>
  <c r="G1903" i="13"/>
  <c r="E1903" i="13"/>
  <c r="G1902" i="13"/>
  <c r="E1902" i="13"/>
  <c r="G1901" i="13"/>
  <c r="E1901" i="13"/>
  <c r="G1900" i="13"/>
  <c r="E1900" i="13"/>
  <c r="G1899" i="13"/>
  <c r="E1899" i="13"/>
  <c r="G1898" i="13"/>
  <c r="E1898" i="13"/>
  <c r="G1897" i="13"/>
  <c r="E1897" i="13"/>
  <c r="G1896" i="13"/>
  <c r="E1896" i="13"/>
  <c r="G1895" i="13"/>
  <c r="E1895" i="13"/>
  <c r="G1894" i="13"/>
  <c r="E1894" i="13"/>
  <c r="G1893" i="13"/>
  <c r="E1893" i="13"/>
  <c r="G1892" i="13"/>
  <c r="E1892" i="13"/>
  <c r="G1891" i="13"/>
  <c r="E1891" i="13"/>
  <c r="G1890" i="13"/>
  <c r="E1890" i="13"/>
  <c r="G1889" i="13"/>
  <c r="E1889" i="13"/>
  <c r="G1888" i="13"/>
  <c r="E1888" i="13"/>
  <c r="G1887" i="13"/>
  <c r="E1887" i="13"/>
  <c r="G1886" i="13"/>
  <c r="E1886" i="13"/>
  <c r="G1885" i="13"/>
  <c r="E1885" i="13"/>
  <c r="G1884" i="13"/>
  <c r="E1884" i="13"/>
  <c r="G1883" i="13"/>
  <c r="E1883" i="13"/>
  <c r="G1882" i="13"/>
  <c r="E1882" i="13"/>
  <c r="G1881" i="13"/>
  <c r="E1881" i="13"/>
  <c r="G1880" i="13"/>
  <c r="E1880" i="13"/>
  <c r="G1879" i="13"/>
  <c r="E1879" i="13"/>
  <c r="G1878" i="13"/>
  <c r="E1878" i="13"/>
  <c r="G1877" i="13"/>
  <c r="E1877" i="13"/>
  <c r="G1876" i="13"/>
  <c r="E1876" i="13"/>
  <c r="G1875" i="13"/>
  <c r="E1875" i="13"/>
  <c r="G1874" i="13"/>
  <c r="E1874" i="13"/>
  <c r="G1873" i="13"/>
  <c r="E1873" i="13"/>
  <c r="G1872" i="13"/>
  <c r="E1872" i="13"/>
  <c r="G1871" i="13"/>
  <c r="E1871" i="13"/>
  <c r="G1870" i="13"/>
  <c r="E1870" i="13"/>
  <c r="G1869" i="13"/>
  <c r="E1869" i="13"/>
  <c r="G1868" i="13"/>
  <c r="E1868" i="13"/>
  <c r="G1867" i="13"/>
  <c r="E1867" i="13"/>
  <c r="G1866" i="13"/>
  <c r="E1866" i="13"/>
  <c r="G1865" i="13"/>
  <c r="E1865" i="13"/>
  <c r="G1864" i="13"/>
  <c r="E1864" i="13"/>
  <c r="G1863" i="13"/>
  <c r="E1863" i="13"/>
  <c r="G1862" i="13"/>
  <c r="E1862" i="13"/>
  <c r="G1861" i="13"/>
  <c r="E1861" i="13"/>
  <c r="G1860" i="13"/>
  <c r="E1860" i="13"/>
  <c r="G1859" i="13"/>
  <c r="E1859" i="13"/>
  <c r="G1858" i="13"/>
  <c r="E1858" i="13"/>
  <c r="G1857" i="13"/>
  <c r="E1857" i="13"/>
  <c r="G1856" i="13"/>
  <c r="E1856" i="13"/>
  <c r="G1855" i="13"/>
  <c r="E1855" i="13"/>
  <c r="G1854" i="13"/>
  <c r="E1854" i="13"/>
  <c r="G1853" i="13"/>
  <c r="E1853" i="13"/>
  <c r="G1852" i="13"/>
  <c r="E1852" i="13"/>
  <c r="G1851" i="13"/>
  <c r="E1851" i="13"/>
  <c r="G1850" i="13"/>
  <c r="E1850" i="13"/>
  <c r="G1849" i="13"/>
  <c r="E1849" i="13"/>
  <c r="G1848" i="13"/>
  <c r="E1848" i="13"/>
  <c r="G1847" i="13"/>
  <c r="E1847" i="13"/>
  <c r="G1846" i="13"/>
  <c r="E1846" i="13"/>
  <c r="G1845" i="13"/>
  <c r="E1845" i="13"/>
  <c r="G1844" i="13"/>
  <c r="E1844" i="13"/>
  <c r="G1843" i="13"/>
  <c r="E1843" i="13"/>
  <c r="G1842" i="13"/>
  <c r="E1842" i="13"/>
  <c r="G1841" i="13"/>
  <c r="E1841" i="13"/>
  <c r="G1840" i="13"/>
  <c r="E1840" i="13"/>
  <c r="G1839" i="13"/>
  <c r="E1839" i="13"/>
  <c r="G1838" i="13"/>
  <c r="E1838" i="13"/>
  <c r="G1837" i="13"/>
  <c r="E1837" i="13"/>
  <c r="G1836" i="13"/>
  <c r="E1836" i="13"/>
  <c r="G1835" i="13"/>
  <c r="E1835" i="13"/>
  <c r="G1834" i="13"/>
  <c r="E1834" i="13"/>
  <c r="G1833" i="13"/>
  <c r="E1833" i="13"/>
  <c r="G1832" i="13"/>
  <c r="E1832" i="13"/>
  <c r="G1831" i="13"/>
  <c r="E1831" i="13"/>
  <c r="G1830" i="13"/>
  <c r="E1830" i="13"/>
  <c r="G1829" i="13"/>
  <c r="E1829" i="13"/>
  <c r="G1828" i="13"/>
  <c r="E1828" i="13"/>
  <c r="G1827" i="13"/>
  <c r="E1827" i="13"/>
  <c r="G1826" i="13"/>
  <c r="E1826" i="13"/>
  <c r="G1825" i="13"/>
  <c r="E1825" i="13"/>
  <c r="G1824" i="13"/>
  <c r="E1824" i="13"/>
  <c r="G1823" i="13"/>
  <c r="E1823" i="13"/>
  <c r="G1822" i="13"/>
  <c r="E1822" i="13"/>
  <c r="G1821" i="13"/>
  <c r="E1821" i="13"/>
  <c r="G1820" i="13"/>
  <c r="E1820" i="13"/>
  <c r="G1819" i="13"/>
  <c r="E1819" i="13"/>
  <c r="G1818" i="13"/>
  <c r="E1818" i="13"/>
  <c r="G1817" i="13"/>
  <c r="E1817" i="13"/>
  <c r="G1816" i="13"/>
  <c r="E1816" i="13"/>
  <c r="G1815" i="13"/>
  <c r="E1815" i="13"/>
  <c r="G1814" i="13"/>
  <c r="E1814" i="13"/>
  <c r="G1813" i="13"/>
  <c r="E1813" i="13"/>
  <c r="G1812" i="13"/>
  <c r="E1812" i="13"/>
  <c r="G1811" i="13"/>
  <c r="E1811" i="13"/>
  <c r="G1810" i="13"/>
  <c r="E1810" i="13"/>
  <c r="G1809" i="13"/>
  <c r="E1809" i="13"/>
  <c r="G1808" i="13"/>
  <c r="E1808" i="13"/>
  <c r="G1807" i="13"/>
  <c r="E1807" i="13"/>
  <c r="G1806" i="13"/>
  <c r="E1806" i="13"/>
  <c r="G1805" i="13"/>
  <c r="E1805" i="13"/>
  <c r="G1804" i="13"/>
  <c r="E1804" i="13"/>
  <c r="G1803" i="13"/>
  <c r="E1803" i="13"/>
  <c r="G1802" i="13"/>
  <c r="E1802" i="13"/>
  <c r="G1801" i="13"/>
  <c r="E1801" i="13"/>
  <c r="G1800" i="13"/>
  <c r="E1800" i="13"/>
  <c r="G1799" i="13"/>
  <c r="E1799" i="13"/>
  <c r="G1798" i="13"/>
  <c r="E1798" i="13"/>
  <c r="G1797" i="13"/>
  <c r="E1797" i="13"/>
  <c r="G1796" i="13"/>
  <c r="E1796" i="13"/>
  <c r="G1795" i="13"/>
  <c r="E1795" i="13"/>
  <c r="G1794" i="13"/>
  <c r="E1794" i="13"/>
  <c r="G1793" i="13"/>
  <c r="E1793" i="13"/>
  <c r="G1792" i="13"/>
  <c r="E1792" i="13"/>
  <c r="G1791" i="13"/>
  <c r="E1791" i="13"/>
  <c r="G1790" i="13"/>
  <c r="E1790" i="13"/>
  <c r="G1789" i="13"/>
  <c r="E1789" i="13"/>
  <c r="G1788" i="13"/>
  <c r="E1788" i="13"/>
  <c r="G1787" i="13"/>
  <c r="E1787" i="13"/>
  <c r="G1786" i="13"/>
  <c r="E1786" i="13"/>
  <c r="G1785" i="13"/>
  <c r="E1785" i="13"/>
  <c r="G1784" i="13"/>
  <c r="E1784" i="13"/>
  <c r="G1783" i="13"/>
  <c r="E1783" i="13"/>
  <c r="G1782" i="13"/>
  <c r="E1782" i="13"/>
  <c r="G1781" i="13"/>
  <c r="E1781" i="13"/>
  <c r="G1780" i="13"/>
  <c r="E1780" i="13"/>
  <c r="G1779" i="13"/>
  <c r="E1779" i="13"/>
  <c r="G1778" i="13"/>
  <c r="E1778" i="13"/>
  <c r="G1777" i="13"/>
  <c r="E1777" i="13"/>
  <c r="G1776" i="13"/>
  <c r="E1776" i="13"/>
  <c r="G1775" i="13"/>
  <c r="E1775" i="13"/>
  <c r="G1774" i="13"/>
  <c r="E1774" i="13"/>
  <c r="G1773" i="13"/>
  <c r="E1773" i="13"/>
  <c r="G1772" i="13"/>
  <c r="E1772" i="13"/>
  <c r="G1771" i="13"/>
  <c r="E1771" i="13"/>
  <c r="G1770" i="13"/>
  <c r="E1770" i="13"/>
  <c r="G1769" i="13"/>
  <c r="E1769" i="13"/>
  <c r="G1768" i="13"/>
  <c r="E1768" i="13"/>
  <c r="G1767" i="13"/>
  <c r="E1767" i="13"/>
  <c r="G1766" i="13"/>
  <c r="E1766" i="13"/>
  <c r="G1765" i="13"/>
  <c r="E1765" i="13"/>
  <c r="G1764" i="13"/>
  <c r="E1764" i="13"/>
  <c r="G1763" i="13"/>
  <c r="E1763" i="13"/>
  <c r="G1762" i="13"/>
  <c r="E1762" i="13"/>
  <c r="G1761" i="13"/>
  <c r="E1761" i="13"/>
  <c r="G1760" i="13"/>
  <c r="E1760" i="13"/>
  <c r="G1759" i="13"/>
  <c r="E1759" i="13"/>
  <c r="G1758" i="13"/>
  <c r="E1758" i="13"/>
  <c r="G1757" i="13"/>
  <c r="E1757" i="13"/>
  <c r="G1756" i="13"/>
  <c r="E1756" i="13"/>
  <c r="G1755" i="13"/>
  <c r="E1755" i="13"/>
  <c r="G1754" i="13"/>
  <c r="E1754" i="13"/>
  <c r="G1753" i="13"/>
  <c r="E1753" i="13"/>
  <c r="G1752" i="13"/>
  <c r="E1752" i="13"/>
  <c r="G1751" i="13"/>
  <c r="E1751" i="13"/>
  <c r="G1750" i="13"/>
  <c r="E1750" i="13"/>
  <c r="G1749" i="13"/>
  <c r="E1749" i="13"/>
  <c r="G1748" i="13"/>
  <c r="E1748" i="13"/>
  <c r="G1747" i="13"/>
  <c r="E1747" i="13"/>
  <c r="G1746" i="13"/>
  <c r="E1746" i="13"/>
  <c r="G1745" i="13"/>
  <c r="E1745" i="13"/>
  <c r="G1744" i="13"/>
  <c r="E1744" i="13"/>
  <c r="G1743" i="13"/>
  <c r="E1743" i="13"/>
  <c r="G1742" i="13"/>
  <c r="E1742" i="13"/>
  <c r="G1741" i="13"/>
  <c r="E1741" i="13"/>
  <c r="G1740" i="13"/>
  <c r="E1740" i="13"/>
  <c r="G1739" i="13"/>
  <c r="E1739" i="13"/>
  <c r="G1738" i="13"/>
  <c r="E1738" i="13"/>
  <c r="G1737" i="13"/>
  <c r="E1737" i="13"/>
  <c r="G1736" i="13"/>
  <c r="E1736" i="13"/>
  <c r="G1735" i="13"/>
  <c r="E1735" i="13"/>
  <c r="G1734" i="13"/>
  <c r="E1734" i="13"/>
  <c r="G1733" i="13"/>
  <c r="E1733" i="13"/>
  <c r="G1732" i="13"/>
  <c r="E1732" i="13"/>
  <c r="G1731" i="13"/>
  <c r="E1731" i="13"/>
  <c r="G1730" i="13"/>
  <c r="E1730" i="13"/>
  <c r="G1729" i="13"/>
  <c r="E1729" i="13"/>
  <c r="G1728" i="13"/>
  <c r="E1728" i="13"/>
  <c r="G1727" i="13"/>
  <c r="E1727" i="13"/>
  <c r="G1726" i="13"/>
  <c r="E1726" i="13"/>
  <c r="G1725" i="13"/>
  <c r="E1725" i="13"/>
  <c r="G1724" i="13"/>
  <c r="E1724" i="13"/>
  <c r="G1723" i="13"/>
  <c r="E1723" i="13"/>
  <c r="G1722" i="13"/>
  <c r="E1722" i="13"/>
  <c r="G1721" i="13"/>
  <c r="E1721" i="13"/>
  <c r="G1720" i="13"/>
  <c r="E1720" i="13"/>
  <c r="G1719" i="13"/>
  <c r="E1719" i="13"/>
  <c r="G1718" i="13"/>
  <c r="E1718" i="13"/>
  <c r="G1717" i="13"/>
  <c r="E1717" i="13"/>
  <c r="G1716" i="13"/>
  <c r="E1716" i="13"/>
  <c r="G1715" i="13"/>
  <c r="E1715" i="13"/>
  <c r="G1714" i="13"/>
  <c r="E1714" i="13"/>
  <c r="G1713" i="13"/>
  <c r="E1713" i="13"/>
  <c r="G1712" i="13"/>
  <c r="E1712" i="13"/>
  <c r="G1711" i="13"/>
  <c r="E1711" i="13"/>
  <c r="G1710" i="13"/>
  <c r="E1710" i="13"/>
  <c r="G1709" i="13"/>
  <c r="E1709" i="13"/>
  <c r="G1708" i="13"/>
  <c r="E1708" i="13"/>
  <c r="G1707" i="13"/>
  <c r="E1707" i="13"/>
  <c r="G1706" i="13"/>
  <c r="E1706" i="13"/>
  <c r="G1705" i="13"/>
  <c r="E1705" i="13"/>
  <c r="G1704" i="13"/>
  <c r="E1704" i="13"/>
  <c r="G1703" i="13"/>
  <c r="E1703" i="13"/>
  <c r="G1702" i="13"/>
  <c r="E1702" i="13"/>
  <c r="G1701" i="13"/>
  <c r="E1701" i="13"/>
  <c r="G1700" i="13"/>
  <c r="E1700" i="13"/>
  <c r="G1699" i="13"/>
  <c r="E1699" i="13"/>
  <c r="G1698" i="13"/>
  <c r="E1698" i="13"/>
  <c r="G1697" i="13"/>
  <c r="E1697" i="13"/>
  <c r="G1696" i="13"/>
  <c r="E1696" i="13"/>
  <c r="G1695" i="13"/>
  <c r="E1695" i="13"/>
  <c r="G1694" i="13"/>
  <c r="E1694" i="13"/>
  <c r="G1693" i="13"/>
  <c r="E1693" i="13"/>
  <c r="G1692" i="13"/>
  <c r="E1692" i="13"/>
  <c r="G1691" i="13"/>
  <c r="E1691" i="13"/>
  <c r="G1690" i="13"/>
  <c r="E1690" i="13"/>
  <c r="G1689" i="13"/>
  <c r="E1689" i="13"/>
  <c r="G1688" i="13"/>
  <c r="E1688" i="13"/>
  <c r="G1687" i="13"/>
  <c r="E1687" i="13"/>
  <c r="G1686" i="13"/>
  <c r="E1686" i="13"/>
  <c r="G1685" i="13"/>
  <c r="E1685" i="13"/>
  <c r="G1684" i="13"/>
  <c r="E1684" i="13"/>
  <c r="G1683" i="13"/>
  <c r="E1683" i="13"/>
  <c r="G1682" i="13"/>
  <c r="E1682" i="13"/>
  <c r="G1681" i="13"/>
  <c r="E1681" i="13"/>
  <c r="G1680" i="13"/>
  <c r="E1680" i="13"/>
  <c r="G1679" i="13"/>
  <c r="E1679" i="13"/>
  <c r="G1678" i="13"/>
  <c r="E1678" i="13"/>
  <c r="G1677" i="13"/>
  <c r="E1677" i="13"/>
  <c r="G1676" i="13"/>
  <c r="E1676" i="13"/>
  <c r="G1675" i="13"/>
  <c r="E1675" i="13"/>
  <c r="G1674" i="13"/>
  <c r="E1674" i="13"/>
  <c r="G1673" i="13"/>
  <c r="E1673" i="13"/>
  <c r="G1672" i="13"/>
  <c r="E1672" i="13"/>
  <c r="G1671" i="13"/>
  <c r="E1671" i="13"/>
  <c r="G1670" i="13"/>
  <c r="E1670" i="13"/>
  <c r="G1669" i="13"/>
  <c r="E1669" i="13"/>
  <c r="G1668" i="13"/>
  <c r="E1668" i="13"/>
  <c r="G1667" i="13"/>
  <c r="E1667" i="13"/>
  <c r="G1666" i="13"/>
  <c r="E1666" i="13"/>
  <c r="G1665" i="13"/>
  <c r="E1665" i="13"/>
  <c r="G1664" i="13"/>
  <c r="E1664" i="13"/>
  <c r="G1663" i="13"/>
  <c r="E1663" i="13"/>
  <c r="G1662" i="13"/>
  <c r="E1662" i="13"/>
  <c r="G1661" i="13"/>
  <c r="E1661" i="13"/>
  <c r="G1660" i="13"/>
  <c r="E1660" i="13"/>
  <c r="G1659" i="13"/>
  <c r="E1659" i="13"/>
  <c r="G1658" i="13"/>
  <c r="E1658" i="13"/>
  <c r="G1657" i="13"/>
  <c r="E1657" i="13"/>
  <c r="G1656" i="13"/>
  <c r="E1656" i="13"/>
  <c r="G1655" i="13"/>
  <c r="E1655" i="13"/>
  <c r="G1654" i="13"/>
  <c r="E1654" i="13"/>
  <c r="G1653" i="13"/>
  <c r="E1653" i="13"/>
  <c r="G1652" i="13"/>
  <c r="E1652" i="13"/>
  <c r="G1651" i="13"/>
  <c r="E1651" i="13"/>
  <c r="G1650" i="13"/>
  <c r="E1650" i="13"/>
  <c r="G1649" i="13"/>
  <c r="E1649" i="13"/>
  <c r="G1648" i="13"/>
  <c r="E1648" i="13"/>
  <c r="G1647" i="13"/>
  <c r="E1647" i="13"/>
  <c r="G1646" i="13"/>
  <c r="E1646" i="13"/>
  <c r="G1645" i="13"/>
  <c r="E1645" i="13"/>
  <c r="G1644" i="13"/>
  <c r="E1644" i="13"/>
  <c r="G1643" i="13"/>
  <c r="E1643" i="13"/>
  <c r="G1642" i="13"/>
  <c r="E1642" i="13"/>
  <c r="G1641" i="13"/>
  <c r="E1641" i="13"/>
  <c r="G1640" i="13"/>
  <c r="E1640" i="13"/>
  <c r="G1639" i="13"/>
  <c r="E1639" i="13"/>
  <c r="G1638" i="13"/>
  <c r="E1638" i="13"/>
  <c r="G1637" i="13"/>
  <c r="E1637" i="13"/>
  <c r="G1636" i="13"/>
  <c r="E1636" i="13"/>
  <c r="G1635" i="13"/>
  <c r="E1635" i="13"/>
  <c r="G1634" i="13"/>
  <c r="E1634" i="13"/>
  <c r="G1633" i="13"/>
  <c r="E1633" i="13"/>
  <c r="G1632" i="13"/>
  <c r="E1632" i="13"/>
  <c r="G1631" i="13"/>
  <c r="E1631" i="13"/>
  <c r="G1630" i="13"/>
  <c r="E1630" i="13"/>
  <c r="G1629" i="13"/>
  <c r="E1629" i="13"/>
  <c r="G1628" i="13"/>
  <c r="E1628" i="13"/>
  <c r="G1627" i="13"/>
  <c r="E1627" i="13"/>
  <c r="G1626" i="13"/>
  <c r="E1626" i="13"/>
  <c r="G1625" i="13"/>
  <c r="E1625" i="13"/>
  <c r="G1624" i="13"/>
  <c r="E1624" i="13"/>
  <c r="G1623" i="13"/>
  <c r="E1623" i="13"/>
  <c r="G1622" i="13"/>
  <c r="E1622" i="13"/>
  <c r="G1621" i="13"/>
  <c r="E1621" i="13"/>
  <c r="G1620" i="13"/>
  <c r="E1620" i="13"/>
  <c r="G1619" i="13"/>
  <c r="E1619" i="13"/>
  <c r="G1618" i="13"/>
  <c r="E1618" i="13"/>
  <c r="G1617" i="13"/>
  <c r="E1617" i="13"/>
  <c r="G1616" i="13"/>
  <c r="E1616" i="13"/>
  <c r="G1615" i="13"/>
  <c r="E1615" i="13"/>
  <c r="G1614" i="13"/>
  <c r="E1614" i="13"/>
  <c r="G1613" i="13"/>
  <c r="E1613" i="13"/>
  <c r="G1612" i="13"/>
  <c r="E1612" i="13"/>
  <c r="G1611" i="13"/>
  <c r="E1611" i="13"/>
  <c r="G1610" i="13"/>
  <c r="E1610" i="13"/>
  <c r="G1609" i="13"/>
  <c r="E1609" i="13"/>
  <c r="G1608" i="13"/>
  <c r="E1608" i="13"/>
  <c r="G1607" i="13"/>
  <c r="E1607" i="13"/>
  <c r="G1606" i="13"/>
  <c r="E1606" i="13"/>
  <c r="G1605" i="13"/>
  <c r="E1605" i="13"/>
  <c r="G1604" i="13"/>
  <c r="E1604" i="13"/>
  <c r="G1603" i="13"/>
  <c r="E1603" i="13"/>
  <c r="G1602" i="13"/>
  <c r="E1602" i="13"/>
  <c r="G1601" i="13"/>
  <c r="E1601" i="13"/>
  <c r="G1600" i="13"/>
  <c r="E1600" i="13"/>
  <c r="G1599" i="13"/>
  <c r="E1599" i="13"/>
  <c r="G1598" i="13"/>
  <c r="E1598" i="13"/>
  <c r="G1597" i="13"/>
  <c r="E1597" i="13"/>
  <c r="G1596" i="13"/>
  <c r="E1596" i="13"/>
  <c r="G1595" i="13"/>
  <c r="E1595" i="13"/>
  <c r="G1594" i="13"/>
  <c r="E1594" i="13"/>
  <c r="G1593" i="13"/>
  <c r="E1593" i="13"/>
  <c r="G1592" i="13"/>
  <c r="E1592" i="13"/>
  <c r="G1591" i="13"/>
  <c r="E1591" i="13"/>
  <c r="G1590" i="13"/>
  <c r="E1590" i="13"/>
  <c r="G1589" i="13"/>
  <c r="E1589" i="13"/>
  <c r="G1588" i="13"/>
  <c r="E1588" i="13"/>
  <c r="G1587" i="13"/>
  <c r="E1587" i="13"/>
  <c r="G1586" i="13"/>
  <c r="E1586" i="13"/>
  <c r="G1585" i="13"/>
  <c r="E1585" i="13"/>
  <c r="G1584" i="13"/>
  <c r="E1584" i="13"/>
  <c r="G1583" i="13"/>
  <c r="E1583" i="13"/>
  <c r="G1582" i="13"/>
  <c r="E1582" i="13"/>
  <c r="G1581" i="13"/>
  <c r="E1581" i="13"/>
  <c r="G1580" i="13"/>
  <c r="E1580" i="13"/>
  <c r="G1579" i="13"/>
  <c r="E1579" i="13"/>
  <c r="G1578" i="13"/>
  <c r="E1578" i="13"/>
  <c r="G1577" i="13"/>
  <c r="E1577" i="13"/>
  <c r="G1576" i="13"/>
  <c r="E1576" i="13"/>
  <c r="G1575" i="13"/>
  <c r="E1575" i="13"/>
  <c r="G1574" i="13"/>
  <c r="E1574" i="13"/>
  <c r="G1573" i="13"/>
  <c r="E1573" i="13"/>
  <c r="G1572" i="13"/>
  <c r="E1572" i="13"/>
  <c r="G1571" i="13"/>
  <c r="E1571" i="13"/>
  <c r="G1570" i="13"/>
  <c r="E1570" i="13"/>
  <c r="G1569" i="13"/>
  <c r="E1569" i="13"/>
  <c r="G1568" i="13"/>
  <c r="E1568" i="13"/>
  <c r="G1567" i="13"/>
  <c r="E1567" i="13"/>
  <c r="G1566" i="13"/>
  <c r="E1566" i="13"/>
  <c r="G1565" i="13"/>
  <c r="E1565" i="13"/>
  <c r="G1564" i="13"/>
  <c r="E1564" i="13"/>
  <c r="G1563" i="13"/>
  <c r="E1563" i="13"/>
  <c r="G1562" i="13"/>
  <c r="E1562" i="13"/>
  <c r="G1561" i="13"/>
  <c r="E1561" i="13"/>
  <c r="G1560" i="13"/>
  <c r="E1560" i="13"/>
  <c r="G1559" i="13"/>
  <c r="E1559" i="13"/>
  <c r="G1558" i="13"/>
  <c r="E1558" i="13"/>
  <c r="G1557" i="13"/>
  <c r="E1557" i="13"/>
  <c r="G1556" i="13"/>
  <c r="E1556" i="13"/>
  <c r="G1555" i="13"/>
  <c r="E1555" i="13"/>
  <c r="G1554" i="13"/>
  <c r="E1554" i="13"/>
  <c r="G1553" i="13"/>
  <c r="E1553" i="13"/>
  <c r="G1552" i="13"/>
  <c r="E1552" i="13"/>
  <c r="G1551" i="13"/>
  <c r="E1551" i="13"/>
  <c r="G1550" i="13"/>
  <c r="E1550" i="13"/>
  <c r="G1549" i="13"/>
  <c r="E1549" i="13"/>
  <c r="G1548" i="13"/>
  <c r="E1548" i="13"/>
  <c r="G1547" i="13"/>
  <c r="E1547" i="13"/>
  <c r="G1546" i="13"/>
  <c r="E1546" i="13"/>
  <c r="G1545" i="13"/>
  <c r="E1545" i="13"/>
  <c r="G1544" i="13"/>
  <c r="E1544" i="13"/>
  <c r="G1543" i="13"/>
  <c r="E1543" i="13"/>
  <c r="G1542" i="13"/>
  <c r="E1542" i="13"/>
  <c r="G1541" i="13"/>
  <c r="E1541" i="13"/>
  <c r="G1540" i="13"/>
  <c r="E1540" i="13"/>
  <c r="G1539" i="13"/>
  <c r="E1539" i="13"/>
  <c r="G1538" i="13"/>
  <c r="E1538" i="13"/>
  <c r="G1537" i="13"/>
  <c r="E1537" i="13"/>
  <c r="G1536" i="13"/>
  <c r="E1536" i="13"/>
  <c r="G1535" i="13"/>
  <c r="E1535" i="13"/>
  <c r="G1534" i="13"/>
  <c r="E1534" i="13"/>
  <c r="G1533" i="13"/>
  <c r="E1533" i="13"/>
  <c r="G1532" i="13"/>
  <c r="E1532" i="13"/>
  <c r="G1531" i="13"/>
  <c r="E1531" i="13"/>
  <c r="G1530" i="13"/>
  <c r="E1530" i="13"/>
  <c r="G1529" i="13"/>
  <c r="E1529" i="13"/>
  <c r="G1528" i="13"/>
  <c r="E1528" i="13"/>
  <c r="G1527" i="13"/>
  <c r="E1527" i="13"/>
  <c r="G1526" i="13"/>
  <c r="E1526" i="13"/>
  <c r="G1525" i="13"/>
  <c r="E1525" i="13"/>
  <c r="G1524" i="13"/>
  <c r="E1524" i="13"/>
  <c r="G1523" i="13"/>
  <c r="E1523" i="13"/>
  <c r="G1522" i="13"/>
  <c r="E1522" i="13"/>
  <c r="G1521" i="13"/>
  <c r="E1521" i="13"/>
  <c r="G1520" i="13"/>
  <c r="E1520" i="13"/>
  <c r="G1519" i="13"/>
  <c r="E1519" i="13"/>
  <c r="G1518" i="13"/>
  <c r="E1518" i="13"/>
  <c r="G1517" i="13"/>
  <c r="E1517" i="13"/>
  <c r="G1516" i="13"/>
  <c r="E1516" i="13"/>
  <c r="G1515" i="13"/>
  <c r="E1515" i="13"/>
  <c r="G1514" i="13"/>
  <c r="E1514" i="13"/>
  <c r="G1513" i="13"/>
  <c r="E1513" i="13"/>
  <c r="G1512" i="13"/>
  <c r="E1512" i="13"/>
  <c r="G1511" i="13"/>
  <c r="E1511" i="13"/>
  <c r="G1510" i="13"/>
  <c r="E1510" i="13"/>
  <c r="G1509" i="13"/>
  <c r="E1509" i="13"/>
  <c r="G1508" i="13"/>
  <c r="E1508" i="13"/>
  <c r="G1507" i="13"/>
  <c r="E1507" i="13"/>
  <c r="G1506" i="13"/>
  <c r="E1506" i="13"/>
  <c r="G1505" i="13"/>
  <c r="E1505" i="13"/>
  <c r="G1504" i="13"/>
  <c r="E1504" i="13"/>
  <c r="G1503" i="13"/>
  <c r="E1503" i="13"/>
  <c r="G1502" i="13"/>
  <c r="E1502" i="13"/>
  <c r="G1501" i="13"/>
  <c r="E1501" i="13"/>
  <c r="G1500" i="13"/>
  <c r="E1500" i="13"/>
  <c r="G1499" i="13"/>
  <c r="E1499" i="13"/>
  <c r="G1498" i="13"/>
  <c r="E1498" i="13"/>
  <c r="G1497" i="13"/>
  <c r="E1497" i="13"/>
  <c r="G1496" i="13"/>
  <c r="E1496" i="13"/>
  <c r="G1495" i="13"/>
  <c r="E1495" i="13"/>
  <c r="G1494" i="13"/>
  <c r="E1494" i="13"/>
  <c r="G1493" i="13"/>
  <c r="E1493" i="13"/>
  <c r="G1492" i="13"/>
  <c r="E1492" i="13"/>
  <c r="G1491" i="13"/>
  <c r="E1491" i="13"/>
  <c r="G1490" i="13"/>
  <c r="E1490" i="13"/>
  <c r="G1489" i="13"/>
  <c r="E1489" i="13"/>
  <c r="G1488" i="13"/>
  <c r="E1488" i="13"/>
  <c r="G1487" i="13"/>
  <c r="E1487" i="13"/>
  <c r="G1486" i="13"/>
  <c r="E1486" i="13"/>
  <c r="G1485" i="13"/>
  <c r="E1485" i="13"/>
  <c r="G1484" i="13"/>
  <c r="E1484" i="13"/>
  <c r="G1483" i="13"/>
  <c r="E1483" i="13"/>
  <c r="G1482" i="13"/>
  <c r="E1482" i="13"/>
  <c r="G1481" i="13"/>
  <c r="E1481" i="13"/>
  <c r="G1480" i="13"/>
  <c r="E1480" i="13"/>
  <c r="G1479" i="13"/>
  <c r="E1479" i="13"/>
  <c r="G1478" i="13"/>
  <c r="E1478" i="13"/>
  <c r="G1477" i="13"/>
  <c r="E1477" i="13"/>
  <c r="G1476" i="13"/>
  <c r="E1476" i="13"/>
  <c r="G1475" i="13"/>
  <c r="E1475" i="13"/>
  <c r="G1474" i="13"/>
  <c r="E1474" i="13"/>
  <c r="G1473" i="13"/>
  <c r="E1473" i="13"/>
  <c r="G1472" i="13"/>
  <c r="E1472" i="13"/>
  <c r="G1471" i="13"/>
  <c r="E1471" i="13"/>
  <c r="G1470" i="13"/>
  <c r="E1470" i="13"/>
  <c r="G1469" i="13"/>
  <c r="E1469" i="13"/>
  <c r="G1468" i="13"/>
  <c r="E1468" i="13"/>
  <c r="G1467" i="13"/>
  <c r="E1467" i="13"/>
  <c r="G1466" i="13"/>
  <c r="E1466" i="13"/>
  <c r="G1465" i="13"/>
  <c r="E1465" i="13"/>
  <c r="G1464" i="13"/>
  <c r="E1464" i="13"/>
  <c r="G1463" i="13"/>
  <c r="E1463" i="13"/>
  <c r="G1462" i="13"/>
  <c r="E1462" i="13"/>
  <c r="G1461" i="13"/>
  <c r="E1461" i="13"/>
  <c r="G1460" i="13"/>
  <c r="E1460" i="13"/>
  <c r="G1459" i="13"/>
  <c r="E1459" i="13"/>
  <c r="G1458" i="13"/>
  <c r="E1458" i="13"/>
  <c r="G1457" i="13"/>
  <c r="E1457" i="13"/>
  <c r="G1456" i="13"/>
  <c r="E1456" i="13"/>
  <c r="G1455" i="13"/>
  <c r="E1455" i="13"/>
  <c r="G1454" i="13"/>
  <c r="E1454" i="13"/>
  <c r="G1453" i="13"/>
  <c r="E1453" i="13"/>
  <c r="G1452" i="13"/>
  <c r="E1452" i="13"/>
  <c r="G1451" i="13"/>
  <c r="E1451" i="13"/>
  <c r="G1450" i="13"/>
  <c r="E1450" i="13"/>
  <c r="G1449" i="13"/>
  <c r="E1449" i="13"/>
  <c r="G1448" i="13"/>
  <c r="E1448" i="13"/>
  <c r="G1447" i="13"/>
  <c r="E1447" i="13"/>
  <c r="G1446" i="13"/>
  <c r="E1446" i="13"/>
  <c r="G1445" i="13"/>
  <c r="E1445" i="13"/>
  <c r="G1444" i="13"/>
  <c r="E1444" i="13"/>
  <c r="G1443" i="13"/>
  <c r="E1443" i="13"/>
  <c r="G1442" i="13"/>
  <c r="E1442" i="13"/>
  <c r="G1441" i="13"/>
  <c r="E1441" i="13"/>
  <c r="G1440" i="13"/>
  <c r="E1440" i="13"/>
  <c r="G1439" i="13"/>
  <c r="E1439" i="13"/>
  <c r="G1438" i="13"/>
  <c r="E1438" i="13"/>
  <c r="G1437" i="13"/>
  <c r="E1437" i="13"/>
  <c r="G1436" i="13"/>
  <c r="E1436" i="13"/>
  <c r="G1435" i="13"/>
  <c r="E1435" i="13"/>
  <c r="G1434" i="13"/>
  <c r="E1434" i="13"/>
  <c r="G1433" i="13"/>
  <c r="E1433" i="13"/>
  <c r="G1432" i="13"/>
  <c r="E1432" i="13"/>
  <c r="G1431" i="13"/>
  <c r="E1431" i="13"/>
  <c r="G1430" i="13"/>
  <c r="E1430" i="13"/>
  <c r="G1429" i="13"/>
  <c r="E1429" i="13"/>
  <c r="G1428" i="13"/>
  <c r="E1428" i="13"/>
  <c r="G1427" i="13"/>
  <c r="E1427" i="13"/>
  <c r="G1426" i="13"/>
  <c r="E1426" i="13"/>
  <c r="G1425" i="13"/>
  <c r="E1425" i="13"/>
  <c r="G1424" i="13"/>
  <c r="E1424" i="13"/>
  <c r="G1423" i="13"/>
  <c r="E1423" i="13"/>
  <c r="G1422" i="13"/>
  <c r="E1422" i="13"/>
  <c r="G1421" i="13"/>
  <c r="E1421" i="13"/>
  <c r="G1420" i="13"/>
  <c r="E1420" i="13"/>
  <c r="G1419" i="13"/>
  <c r="E1419" i="13"/>
  <c r="G1418" i="13"/>
  <c r="E1418" i="13"/>
  <c r="G1417" i="13"/>
  <c r="E1417" i="13"/>
  <c r="G1416" i="13"/>
  <c r="E1416" i="13"/>
  <c r="G1415" i="13"/>
  <c r="E1415" i="13"/>
  <c r="G1414" i="13"/>
  <c r="E1414" i="13"/>
  <c r="G1413" i="13"/>
  <c r="E1413" i="13"/>
  <c r="G1412" i="13"/>
  <c r="E1412" i="13"/>
  <c r="G1411" i="13"/>
  <c r="E1411" i="13"/>
  <c r="G1410" i="13"/>
  <c r="E1410" i="13"/>
  <c r="G1409" i="13"/>
  <c r="E1409" i="13"/>
  <c r="G1408" i="13"/>
  <c r="E1408" i="13"/>
  <c r="G1407" i="13"/>
  <c r="E1407" i="13"/>
  <c r="G1406" i="13"/>
  <c r="E1406" i="13"/>
  <c r="G1405" i="13"/>
  <c r="E1405" i="13"/>
  <c r="G1404" i="13"/>
  <c r="E1404" i="13"/>
  <c r="G1403" i="13"/>
  <c r="E1403" i="13"/>
  <c r="G1402" i="13"/>
  <c r="E1402" i="13"/>
  <c r="G1401" i="13"/>
  <c r="E1401" i="13"/>
  <c r="G1400" i="13"/>
  <c r="E1400" i="13"/>
  <c r="G1399" i="13"/>
  <c r="E1399" i="13"/>
  <c r="G1398" i="13"/>
  <c r="E1398" i="13"/>
  <c r="G1397" i="13"/>
  <c r="E1397" i="13"/>
  <c r="G1396" i="13"/>
  <c r="E1396" i="13"/>
  <c r="G1395" i="13"/>
  <c r="E1395" i="13"/>
  <c r="G1394" i="13"/>
  <c r="E1394" i="13"/>
  <c r="G1393" i="13"/>
  <c r="E1393" i="13"/>
  <c r="G1392" i="13"/>
  <c r="E1392" i="13"/>
  <c r="G1391" i="13"/>
  <c r="E1391" i="13"/>
  <c r="G1390" i="13"/>
  <c r="E1390" i="13"/>
  <c r="G1389" i="13"/>
  <c r="E1389" i="13"/>
  <c r="G1388" i="13"/>
  <c r="E1388" i="13"/>
  <c r="G1387" i="13"/>
  <c r="E1387" i="13"/>
  <c r="G1386" i="13"/>
  <c r="E1386" i="13"/>
  <c r="G1385" i="13"/>
  <c r="E1385" i="13"/>
  <c r="G1384" i="13"/>
  <c r="E1384" i="13"/>
  <c r="G1383" i="13"/>
  <c r="E1383" i="13"/>
  <c r="G1382" i="13"/>
  <c r="E1382" i="13"/>
  <c r="G1381" i="13"/>
  <c r="E1381" i="13"/>
  <c r="G1380" i="13"/>
  <c r="E1380" i="13"/>
  <c r="G1379" i="13"/>
  <c r="E1379" i="13"/>
  <c r="G1378" i="13"/>
  <c r="E1378" i="13"/>
  <c r="G1377" i="13"/>
  <c r="E1377" i="13"/>
  <c r="G1376" i="13"/>
  <c r="E1376" i="13"/>
  <c r="G1375" i="13"/>
  <c r="E1375" i="13"/>
  <c r="G1374" i="13"/>
  <c r="E1374" i="13"/>
  <c r="G1373" i="13"/>
  <c r="E1373" i="13"/>
  <c r="G1372" i="13"/>
  <c r="E1372" i="13"/>
  <c r="G1371" i="13"/>
  <c r="E1371" i="13"/>
  <c r="G1370" i="13"/>
  <c r="E1370" i="13"/>
  <c r="G1369" i="13"/>
  <c r="E1369" i="13"/>
  <c r="G1368" i="13"/>
  <c r="E1368" i="13"/>
  <c r="G1367" i="13"/>
  <c r="E1367" i="13"/>
  <c r="G1366" i="13"/>
  <c r="E1366" i="13"/>
  <c r="G1365" i="13"/>
  <c r="E1365" i="13"/>
  <c r="G1364" i="13"/>
  <c r="E1364" i="13"/>
  <c r="G1363" i="13"/>
  <c r="E1363" i="13"/>
  <c r="G1362" i="13"/>
  <c r="E1362" i="13"/>
  <c r="G1361" i="13"/>
  <c r="E1361" i="13"/>
  <c r="G1360" i="13"/>
  <c r="E1360" i="13"/>
  <c r="G1359" i="13"/>
  <c r="E1359" i="13"/>
  <c r="G1358" i="13"/>
  <c r="E1358" i="13"/>
  <c r="G1357" i="13"/>
  <c r="E1357" i="13"/>
  <c r="G1356" i="13"/>
  <c r="E1356" i="13"/>
  <c r="G1355" i="13"/>
  <c r="E1355" i="13"/>
  <c r="G1354" i="13"/>
  <c r="E1354" i="13"/>
  <c r="G1353" i="13"/>
  <c r="E1353" i="13"/>
  <c r="G1352" i="13"/>
  <c r="E1352" i="13"/>
  <c r="G1351" i="13"/>
  <c r="E1351" i="13"/>
  <c r="G1350" i="13"/>
  <c r="E1350" i="13"/>
  <c r="G1349" i="13"/>
  <c r="E1349" i="13"/>
  <c r="G1348" i="13"/>
  <c r="E1348" i="13"/>
  <c r="G1347" i="13"/>
  <c r="E1347" i="13"/>
  <c r="G1346" i="13"/>
  <c r="E1346" i="13"/>
  <c r="G1345" i="13"/>
  <c r="E1345" i="13"/>
  <c r="G1344" i="13"/>
  <c r="E1344" i="13"/>
  <c r="G1343" i="13"/>
  <c r="E1343" i="13"/>
  <c r="G1342" i="13"/>
  <c r="E1342" i="13"/>
  <c r="G1341" i="13"/>
  <c r="E1341" i="13"/>
  <c r="G1340" i="13"/>
  <c r="E1340" i="13"/>
  <c r="G1339" i="13"/>
  <c r="E1339" i="13"/>
  <c r="G1338" i="13"/>
  <c r="E1338" i="13"/>
  <c r="G1337" i="13"/>
  <c r="E1337" i="13"/>
  <c r="G1336" i="13"/>
  <c r="E1336" i="13"/>
  <c r="G1335" i="13"/>
  <c r="E1335" i="13"/>
  <c r="G1334" i="13"/>
  <c r="E1334" i="13"/>
  <c r="G1333" i="13"/>
  <c r="E1333" i="13"/>
  <c r="G1332" i="13"/>
  <c r="E1332" i="13"/>
  <c r="G1331" i="13"/>
  <c r="E1331" i="13"/>
  <c r="G1330" i="13"/>
  <c r="E1330" i="13"/>
  <c r="G1329" i="13"/>
  <c r="E1329" i="13"/>
  <c r="G1328" i="13"/>
  <c r="E1328" i="13"/>
  <c r="G1327" i="13"/>
  <c r="E1327" i="13"/>
  <c r="G1326" i="13"/>
  <c r="E1326" i="13"/>
  <c r="G1325" i="13"/>
  <c r="E1325" i="13"/>
  <c r="G1324" i="13"/>
  <c r="E1324" i="13"/>
  <c r="G1323" i="13"/>
  <c r="E1323" i="13"/>
  <c r="G1322" i="13"/>
  <c r="E1322" i="13"/>
  <c r="G1321" i="13"/>
  <c r="E1321" i="13"/>
  <c r="G1320" i="13"/>
  <c r="E1320" i="13"/>
  <c r="G1319" i="13"/>
  <c r="E1319" i="13"/>
  <c r="G1318" i="13"/>
  <c r="E1318" i="13"/>
  <c r="G1317" i="13"/>
  <c r="E1317" i="13"/>
  <c r="G1316" i="13"/>
  <c r="E1316" i="13"/>
  <c r="G1315" i="13"/>
  <c r="E1315" i="13"/>
  <c r="G1314" i="13"/>
  <c r="E1314" i="13"/>
  <c r="G1313" i="13"/>
  <c r="E1313" i="13"/>
  <c r="G1312" i="13"/>
  <c r="E1312" i="13"/>
  <c r="G1311" i="13"/>
  <c r="E1311" i="13"/>
  <c r="G1310" i="13"/>
  <c r="E1310" i="13"/>
  <c r="G1309" i="13"/>
  <c r="E1309" i="13"/>
  <c r="G1308" i="13"/>
  <c r="E1308" i="13"/>
  <c r="G1307" i="13"/>
  <c r="E1307" i="13"/>
  <c r="G1306" i="13"/>
  <c r="E1306" i="13"/>
  <c r="G1305" i="13"/>
  <c r="E1305" i="13"/>
  <c r="G1304" i="13"/>
  <c r="E1304" i="13"/>
  <c r="G1303" i="13"/>
  <c r="E1303" i="13"/>
  <c r="G1302" i="13"/>
  <c r="E1302" i="13"/>
  <c r="G1301" i="13"/>
  <c r="E1301" i="13"/>
  <c r="G1300" i="13"/>
  <c r="E1300" i="13"/>
  <c r="G1299" i="13"/>
  <c r="E1299" i="13"/>
  <c r="G1298" i="13"/>
  <c r="E1298" i="13"/>
  <c r="G1297" i="13"/>
  <c r="E1297" i="13"/>
  <c r="G1296" i="13"/>
  <c r="E1296" i="13"/>
  <c r="G1295" i="13"/>
  <c r="E1295" i="13"/>
  <c r="G1294" i="13"/>
  <c r="E1294" i="13"/>
  <c r="G1293" i="13"/>
  <c r="E1293" i="13"/>
  <c r="G1292" i="13"/>
  <c r="E1292" i="13"/>
  <c r="G1291" i="13"/>
  <c r="E1291" i="13"/>
  <c r="G1290" i="13"/>
  <c r="E1290" i="13"/>
  <c r="G1289" i="13"/>
  <c r="E1289" i="13"/>
  <c r="G1288" i="13"/>
  <c r="E1288" i="13"/>
  <c r="G1287" i="13"/>
  <c r="E1287" i="13"/>
  <c r="G1286" i="13"/>
  <c r="E1286" i="13"/>
  <c r="G1285" i="13"/>
  <c r="E1285" i="13"/>
  <c r="G1284" i="13"/>
  <c r="E1284" i="13"/>
  <c r="G1283" i="13"/>
  <c r="E1283" i="13"/>
  <c r="G1282" i="13"/>
  <c r="E1282" i="13"/>
  <c r="G1281" i="13"/>
  <c r="E1281" i="13"/>
  <c r="G1280" i="13"/>
  <c r="E1280" i="13"/>
  <c r="G1279" i="13"/>
  <c r="E1279" i="13"/>
  <c r="G1278" i="13"/>
  <c r="E1278" i="13"/>
  <c r="G1277" i="13"/>
  <c r="E1277" i="13"/>
  <c r="G1276" i="13"/>
  <c r="E1276" i="13"/>
  <c r="G1275" i="13"/>
  <c r="E1275" i="13"/>
  <c r="G1274" i="13"/>
  <c r="E1274" i="13"/>
  <c r="G1273" i="13"/>
  <c r="E1273" i="13"/>
  <c r="G1272" i="13"/>
  <c r="E1272" i="13"/>
  <c r="G1271" i="13"/>
  <c r="E1271" i="13"/>
  <c r="G1270" i="13"/>
  <c r="E1270" i="13"/>
  <c r="G1269" i="13"/>
  <c r="E1269" i="13"/>
  <c r="G1268" i="13"/>
  <c r="E1268" i="13"/>
  <c r="G1267" i="13"/>
  <c r="E1267" i="13"/>
  <c r="G1266" i="13"/>
  <c r="E1266" i="13"/>
  <c r="G1265" i="13"/>
  <c r="E1265" i="13"/>
  <c r="G1264" i="13"/>
  <c r="E1264" i="13"/>
  <c r="G1263" i="13"/>
  <c r="E1263" i="13"/>
  <c r="G1262" i="13"/>
  <c r="E1262" i="13"/>
  <c r="G1261" i="13"/>
  <c r="E1261" i="13"/>
  <c r="G1260" i="13"/>
  <c r="E1260" i="13"/>
  <c r="G1259" i="13"/>
  <c r="E1259" i="13"/>
  <c r="G1258" i="13"/>
  <c r="E1258" i="13"/>
  <c r="G1257" i="13"/>
  <c r="E1257" i="13"/>
  <c r="G1256" i="13"/>
  <c r="E1256" i="13"/>
  <c r="G1255" i="13"/>
  <c r="E1255" i="13"/>
  <c r="G1254" i="13"/>
  <c r="E1254" i="13"/>
  <c r="G1253" i="13"/>
  <c r="E1253" i="13"/>
  <c r="G1252" i="13"/>
  <c r="E1252" i="13"/>
  <c r="G1251" i="13"/>
  <c r="E1251" i="13"/>
  <c r="G1250" i="13"/>
  <c r="E1250" i="13"/>
  <c r="G1249" i="13"/>
  <c r="E1249" i="13"/>
  <c r="G1248" i="13"/>
  <c r="E1248" i="13"/>
  <c r="G1247" i="13"/>
  <c r="E1247" i="13"/>
  <c r="G1246" i="13"/>
  <c r="E1246" i="13"/>
  <c r="G1245" i="13"/>
  <c r="E1245" i="13"/>
  <c r="G1244" i="13"/>
  <c r="E1244" i="13"/>
  <c r="G1243" i="13"/>
  <c r="E1243" i="13"/>
  <c r="G1242" i="13"/>
  <c r="E1242" i="13"/>
  <c r="G1241" i="13"/>
  <c r="E1241" i="13"/>
  <c r="G1240" i="13"/>
  <c r="E1240" i="13"/>
  <c r="G1239" i="13"/>
  <c r="E1239" i="13"/>
  <c r="G1238" i="13"/>
  <c r="E1238" i="13"/>
  <c r="G1237" i="13"/>
  <c r="E1237" i="13"/>
  <c r="G1236" i="13"/>
  <c r="E1236" i="13"/>
  <c r="G1235" i="13"/>
  <c r="E1235" i="13"/>
  <c r="G1234" i="13"/>
  <c r="E1234" i="13"/>
  <c r="G1233" i="13"/>
  <c r="E1233" i="13"/>
  <c r="G1232" i="13"/>
  <c r="E1232" i="13"/>
  <c r="G1231" i="13"/>
  <c r="E1231" i="13"/>
  <c r="G1230" i="13"/>
  <c r="E1230" i="13"/>
  <c r="G1229" i="13"/>
  <c r="E1229" i="13"/>
  <c r="G1228" i="13"/>
  <c r="E1228" i="13"/>
  <c r="G1227" i="13"/>
  <c r="E1227" i="13"/>
  <c r="G1226" i="13"/>
  <c r="E1226" i="13"/>
  <c r="G1225" i="13"/>
  <c r="E1225" i="13"/>
  <c r="G1224" i="13"/>
  <c r="E1224" i="13"/>
  <c r="G1223" i="13"/>
  <c r="E1223" i="13"/>
  <c r="G1222" i="13"/>
  <c r="E1222" i="13"/>
  <c r="G1221" i="13"/>
  <c r="E1221" i="13"/>
  <c r="G1220" i="13"/>
  <c r="E1220" i="13"/>
  <c r="G1219" i="13"/>
  <c r="E1219" i="13"/>
  <c r="G1218" i="13"/>
  <c r="E1218" i="13"/>
  <c r="G1217" i="13"/>
  <c r="E1217" i="13"/>
  <c r="G1216" i="13"/>
  <c r="E1216" i="13"/>
  <c r="G1215" i="13"/>
  <c r="E1215" i="13"/>
  <c r="G1214" i="13"/>
  <c r="E1214" i="13"/>
  <c r="G1213" i="13"/>
  <c r="E1213" i="13"/>
  <c r="G1212" i="13"/>
  <c r="E1212" i="13"/>
  <c r="G1211" i="13"/>
  <c r="E1211" i="13"/>
  <c r="G1210" i="13"/>
  <c r="E1210" i="13"/>
  <c r="G1209" i="13"/>
  <c r="E1209" i="13"/>
  <c r="G1208" i="13"/>
  <c r="E1208" i="13"/>
  <c r="G1207" i="13"/>
  <c r="E1207" i="13"/>
  <c r="G1206" i="13"/>
  <c r="E1206" i="13"/>
  <c r="G1205" i="13"/>
  <c r="E1205" i="13"/>
  <c r="G1204" i="13"/>
  <c r="E1204" i="13"/>
  <c r="G1203" i="13"/>
  <c r="E1203" i="13"/>
  <c r="G1202" i="13"/>
  <c r="E1202" i="13"/>
  <c r="G1201" i="13"/>
  <c r="E1201" i="13"/>
  <c r="G1200" i="13"/>
  <c r="E1200" i="13"/>
  <c r="G1199" i="13"/>
  <c r="E1199" i="13"/>
  <c r="G1198" i="13"/>
  <c r="E1198" i="13"/>
  <c r="G1197" i="13"/>
  <c r="E1197" i="13"/>
  <c r="G1196" i="13"/>
  <c r="E1196" i="13"/>
  <c r="G1195" i="13"/>
  <c r="E1195" i="13"/>
  <c r="G1194" i="13"/>
  <c r="E1194" i="13"/>
  <c r="G1193" i="13"/>
  <c r="E1193" i="13"/>
  <c r="G1192" i="13"/>
  <c r="E1192" i="13"/>
  <c r="G1191" i="13"/>
  <c r="E1191" i="13"/>
  <c r="G1190" i="13"/>
  <c r="E1190" i="13"/>
  <c r="G1189" i="13"/>
  <c r="E1189" i="13"/>
  <c r="G1188" i="13"/>
  <c r="E1188" i="13"/>
  <c r="G1187" i="13"/>
  <c r="E1187" i="13"/>
  <c r="G1186" i="13"/>
  <c r="E1186" i="13"/>
  <c r="G1185" i="13"/>
  <c r="E1185" i="13"/>
  <c r="G1184" i="13"/>
  <c r="E1184" i="13"/>
  <c r="G1183" i="13"/>
  <c r="E1183" i="13"/>
  <c r="G1182" i="13"/>
  <c r="E1182" i="13"/>
  <c r="G1181" i="13"/>
  <c r="E1181" i="13"/>
  <c r="G1180" i="13"/>
  <c r="E1180" i="13"/>
  <c r="G1179" i="13"/>
  <c r="E1179" i="13"/>
  <c r="G1178" i="13"/>
  <c r="E1178" i="13"/>
  <c r="G1177" i="13"/>
  <c r="E1177" i="13"/>
  <c r="G1176" i="13"/>
  <c r="E1176" i="13"/>
  <c r="G1175" i="13"/>
  <c r="E1175" i="13"/>
  <c r="G1174" i="13"/>
  <c r="E1174" i="13"/>
  <c r="G1173" i="13"/>
  <c r="E1173" i="13"/>
  <c r="G1172" i="13"/>
  <c r="E1172" i="13"/>
  <c r="G1171" i="13"/>
  <c r="E1171" i="13"/>
  <c r="G1170" i="13"/>
  <c r="E1170" i="13"/>
  <c r="G1169" i="13"/>
  <c r="E1169" i="13"/>
  <c r="G1168" i="13"/>
  <c r="E1168" i="13"/>
  <c r="G1167" i="13"/>
  <c r="E1167" i="13"/>
  <c r="G1166" i="13"/>
  <c r="E1166" i="13"/>
  <c r="G1165" i="13"/>
  <c r="E1165" i="13"/>
  <c r="G1164" i="13"/>
  <c r="E1164" i="13"/>
  <c r="G1163" i="13"/>
  <c r="E1163" i="13"/>
  <c r="G1162" i="13"/>
  <c r="E1162" i="13"/>
  <c r="G1161" i="13"/>
  <c r="E1161" i="13"/>
  <c r="G1160" i="13"/>
  <c r="E1160" i="13"/>
  <c r="G1159" i="13"/>
  <c r="E1159" i="13"/>
  <c r="G1158" i="13"/>
  <c r="E1158" i="13"/>
  <c r="G1157" i="13"/>
  <c r="E1157" i="13"/>
  <c r="G1156" i="13"/>
  <c r="E1156" i="13"/>
  <c r="G1155" i="13"/>
  <c r="E1155" i="13"/>
  <c r="G1154" i="13"/>
  <c r="E1154" i="13"/>
  <c r="G1153" i="13"/>
  <c r="E1153" i="13"/>
  <c r="G1152" i="13"/>
  <c r="E1152" i="13"/>
  <c r="G1151" i="13"/>
  <c r="E1151" i="13"/>
  <c r="G1150" i="13"/>
  <c r="E1150" i="13"/>
  <c r="G1149" i="13"/>
  <c r="E1149" i="13"/>
  <c r="G1148" i="13"/>
  <c r="E1148" i="13"/>
  <c r="G1147" i="13"/>
  <c r="E1147" i="13"/>
  <c r="G1146" i="13"/>
  <c r="E1146" i="13"/>
  <c r="G1145" i="13"/>
  <c r="E1145" i="13"/>
  <c r="G1144" i="13"/>
  <c r="E1144" i="13"/>
  <c r="G1143" i="13"/>
  <c r="E1143" i="13"/>
  <c r="G1142" i="13"/>
  <c r="E1142" i="13"/>
  <c r="G1141" i="13"/>
  <c r="E1141" i="13"/>
  <c r="G1140" i="13"/>
  <c r="E1140" i="13"/>
  <c r="G1139" i="13"/>
  <c r="E1139" i="13"/>
  <c r="G1138" i="13"/>
  <c r="E1138" i="13"/>
  <c r="G1137" i="13"/>
  <c r="E1137" i="13"/>
  <c r="G1136" i="13"/>
  <c r="E1136" i="13"/>
  <c r="G1135" i="13"/>
  <c r="E1135" i="13"/>
  <c r="G1134" i="13"/>
  <c r="E1134" i="13"/>
  <c r="G1133" i="13"/>
  <c r="E1133" i="13"/>
  <c r="G1132" i="13"/>
  <c r="E1132" i="13"/>
  <c r="G1131" i="13"/>
  <c r="E1131" i="13"/>
  <c r="G1130" i="13"/>
  <c r="E1130" i="13"/>
  <c r="G1129" i="13"/>
  <c r="E1129" i="13"/>
  <c r="G1128" i="13"/>
  <c r="E1128" i="13"/>
  <c r="G1127" i="13"/>
  <c r="E1127" i="13"/>
  <c r="G1126" i="13"/>
  <c r="E1126" i="13"/>
  <c r="G1125" i="13"/>
  <c r="E1125" i="13"/>
  <c r="G1124" i="13"/>
  <c r="E1124" i="13"/>
  <c r="G1123" i="13"/>
  <c r="E1123" i="13"/>
  <c r="G1122" i="13"/>
  <c r="E1122" i="13"/>
  <c r="G1121" i="13"/>
  <c r="E1121" i="13"/>
  <c r="G1120" i="13"/>
  <c r="E1120" i="13"/>
  <c r="G1119" i="13"/>
  <c r="E1119" i="13"/>
  <c r="G1118" i="13"/>
  <c r="E1118" i="13"/>
  <c r="G1117" i="13"/>
  <c r="E1117" i="13"/>
  <c r="G1116" i="13"/>
  <c r="E1116" i="13"/>
  <c r="G1115" i="13"/>
  <c r="E1115" i="13"/>
  <c r="G1114" i="13"/>
  <c r="E1114" i="13"/>
  <c r="G1113" i="13"/>
  <c r="E1113" i="13"/>
  <c r="G1112" i="13"/>
  <c r="E1112" i="13"/>
  <c r="G1111" i="13"/>
  <c r="E1111" i="13"/>
  <c r="G1110" i="13"/>
  <c r="E1110" i="13"/>
  <c r="G1109" i="13"/>
  <c r="E1109" i="13"/>
  <c r="G1108" i="13"/>
  <c r="E1108" i="13"/>
  <c r="G1107" i="13"/>
  <c r="E1107" i="13"/>
  <c r="G1106" i="13"/>
  <c r="E1106" i="13"/>
  <c r="G1105" i="13"/>
  <c r="E1105" i="13"/>
  <c r="G1104" i="13"/>
  <c r="E1104" i="13"/>
  <c r="G1103" i="13"/>
  <c r="E1103" i="13"/>
  <c r="G1102" i="13"/>
  <c r="E1102" i="13"/>
  <c r="G1101" i="13"/>
  <c r="E1101" i="13"/>
  <c r="G1100" i="13"/>
  <c r="E1100" i="13"/>
  <c r="G1099" i="13"/>
  <c r="E1099" i="13"/>
  <c r="G1098" i="13"/>
  <c r="E1098" i="13"/>
  <c r="G1097" i="13"/>
  <c r="E1097" i="13"/>
  <c r="G1096" i="13"/>
  <c r="E1096" i="13"/>
  <c r="G1095" i="13"/>
  <c r="E1095" i="13"/>
  <c r="G1094" i="13"/>
  <c r="E1094" i="13"/>
  <c r="G1093" i="13"/>
  <c r="E1093" i="13"/>
  <c r="G1092" i="13"/>
  <c r="E1092" i="13"/>
  <c r="G1091" i="13"/>
  <c r="E1091" i="13"/>
  <c r="G1090" i="13"/>
  <c r="E1090" i="13"/>
  <c r="G1089" i="13"/>
  <c r="E1089" i="13"/>
  <c r="G1088" i="13"/>
  <c r="E1088" i="13"/>
  <c r="G1087" i="13"/>
  <c r="E1087" i="13"/>
  <c r="G1086" i="13"/>
  <c r="E1086" i="13"/>
  <c r="G1085" i="13"/>
  <c r="E1085" i="13"/>
  <c r="G1084" i="13"/>
  <c r="E1084" i="13"/>
  <c r="G1083" i="13"/>
  <c r="E1083" i="13"/>
  <c r="G1082" i="13"/>
  <c r="E1082" i="13"/>
  <c r="G1081" i="13"/>
  <c r="E1081" i="13"/>
  <c r="G1080" i="13"/>
  <c r="E1080" i="13"/>
  <c r="G1079" i="13"/>
  <c r="E1079" i="13"/>
  <c r="G1078" i="13"/>
  <c r="E1078" i="13"/>
  <c r="G1077" i="13"/>
  <c r="E1077" i="13"/>
  <c r="G1076" i="13"/>
  <c r="E1076" i="13"/>
  <c r="G1075" i="13"/>
  <c r="E1075" i="13"/>
  <c r="G1074" i="13"/>
  <c r="E1074" i="13"/>
  <c r="G1073" i="13"/>
  <c r="E1073" i="13"/>
  <c r="G1072" i="13"/>
  <c r="E1072" i="13"/>
  <c r="G1071" i="13"/>
  <c r="E1071" i="13"/>
  <c r="G1070" i="13"/>
  <c r="E1070" i="13"/>
  <c r="G1069" i="13"/>
  <c r="E1069" i="13"/>
  <c r="G1068" i="13"/>
  <c r="E1068" i="13"/>
  <c r="G1067" i="13"/>
  <c r="E1067" i="13"/>
  <c r="G1066" i="13"/>
  <c r="E1066" i="13"/>
  <c r="G1065" i="13"/>
  <c r="E1065" i="13"/>
  <c r="G1064" i="13"/>
  <c r="E1064" i="13"/>
  <c r="G1063" i="13"/>
  <c r="E1063" i="13"/>
  <c r="G1062" i="13"/>
  <c r="E1062" i="13"/>
  <c r="G1061" i="13"/>
  <c r="E1061" i="13"/>
  <c r="G1060" i="13"/>
  <c r="E1060" i="13"/>
  <c r="G1059" i="13"/>
  <c r="E1059" i="13"/>
  <c r="G1058" i="13"/>
  <c r="E1058" i="13"/>
  <c r="G1057" i="13"/>
  <c r="E1057" i="13"/>
  <c r="G1056" i="13"/>
  <c r="E1056" i="13"/>
  <c r="G1055" i="13"/>
  <c r="E1055" i="13"/>
  <c r="G1054" i="13"/>
  <c r="E1054" i="13"/>
  <c r="G1053" i="13"/>
  <c r="E1053" i="13"/>
  <c r="G1052" i="13"/>
  <c r="E1052" i="13"/>
  <c r="G1051" i="13"/>
  <c r="E1051" i="13"/>
  <c r="G1050" i="13"/>
  <c r="E1050" i="13"/>
  <c r="G1049" i="13"/>
  <c r="E1049" i="13"/>
  <c r="G1048" i="13"/>
  <c r="E1048" i="13"/>
  <c r="G1047" i="13"/>
  <c r="E1047" i="13"/>
  <c r="G1046" i="13"/>
  <c r="E1046" i="13"/>
  <c r="G1045" i="13"/>
  <c r="E1045" i="13"/>
  <c r="G1044" i="13"/>
  <c r="E1044" i="13"/>
  <c r="G1043" i="13"/>
  <c r="E1043" i="13"/>
  <c r="G1042" i="13"/>
  <c r="E1042" i="13"/>
  <c r="G1041" i="13"/>
  <c r="E1041" i="13"/>
  <c r="G1040" i="13"/>
  <c r="E1040" i="13"/>
  <c r="G1039" i="13"/>
  <c r="E1039" i="13"/>
  <c r="G1038" i="13"/>
  <c r="E1038" i="13"/>
  <c r="G1037" i="13"/>
  <c r="E1037" i="13"/>
  <c r="G1036" i="13"/>
  <c r="E1036" i="13"/>
  <c r="G1035" i="13"/>
  <c r="E1035" i="13"/>
  <c r="G1034" i="13"/>
  <c r="E1034" i="13"/>
  <c r="G1033" i="13"/>
  <c r="E1033" i="13"/>
  <c r="G1032" i="13"/>
  <c r="E1032" i="13"/>
  <c r="G1031" i="13"/>
  <c r="E1031" i="13"/>
  <c r="G1030" i="13"/>
  <c r="E1030" i="13"/>
  <c r="G1029" i="13"/>
  <c r="E1029" i="13"/>
  <c r="G1028" i="13"/>
  <c r="E1028" i="13"/>
  <c r="G1027" i="13"/>
  <c r="E1027" i="13"/>
  <c r="G1026" i="13"/>
  <c r="E1026" i="13"/>
  <c r="G1025" i="13"/>
  <c r="E1025" i="13"/>
  <c r="G1024" i="13"/>
  <c r="E1024" i="13"/>
  <c r="G1023" i="13"/>
  <c r="E1023" i="13"/>
  <c r="G1022" i="13"/>
  <c r="E1022" i="13"/>
  <c r="G1021" i="13"/>
  <c r="E1021" i="13"/>
  <c r="G1020" i="13"/>
  <c r="E1020" i="13"/>
  <c r="G1019" i="13"/>
  <c r="E1019" i="13"/>
  <c r="G1018" i="13"/>
  <c r="E1018" i="13"/>
  <c r="G1017" i="13"/>
  <c r="E1017" i="13"/>
  <c r="G1016" i="13"/>
  <c r="E1016" i="13"/>
  <c r="G1015" i="13"/>
  <c r="E1015" i="13"/>
  <c r="G1014" i="13"/>
  <c r="E1014" i="13"/>
  <c r="G1013" i="13"/>
  <c r="E1013" i="13"/>
  <c r="G1012" i="13"/>
  <c r="E1012" i="13"/>
  <c r="G1011" i="13"/>
  <c r="E1011" i="13"/>
  <c r="G1010" i="13"/>
  <c r="E1010" i="13"/>
  <c r="G1009" i="13"/>
  <c r="E1009" i="13"/>
  <c r="G1008" i="13"/>
  <c r="E1008" i="13"/>
  <c r="G1007" i="13"/>
  <c r="E1007" i="13"/>
  <c r="G1006" i="13"/>
  <c r="E1006" i="13"/>
  <c r="G1005" i="13"/>
  <c r="E1005" i="13"/>
  <c r="G1004" i="13"/>
  <c r="E1004" i="13"/>
  <c r="G1003" i="13"/>
  <c r="E1003" i="13"/>
  <c r="G1002" i="13"/>
  <c r="E1002" i="13"/>
  <c r="G1001" i="13"/>
  <c r="E1001" i="13"/>
  <c r="G1000" i="13"/>
  <c r="E1000" i="13"/>
  <c r="G999" i="13"/>
  <c r="E999" i="13"/>
  <c r="G998" i="13"/>
  <c r="E998" i="13"/>
  <c r="G997" i="13"/>
  <c r="E997" i="13"/>
  <c r="G996" i="13"/>
  <c r="E996" i="13"/>
  <c r="G995" i="13"/>
  <c r="E995" i="13"/>
  <c r="G994" i="13"/>
  <c r="E994" i="13"/>
  <c r="G993" i="13"/>
  <c r="E993" i="13"/>
  <c r="G992" i="13"/>
  <c r="E992" i="13"/>
  <c r="G991" i="13"/>
  <c r="E991" i="13"/>
  <c r="G990" i="13"/>
  <c r="E990" i="13"/>
  <c r="G989" i="13"/>
  <c r="E989" i="13"/>
  <c r="G988" i="13"/>
  <c r="E988" i="13"/>
  <c r="G987" i="13"/>
  <c r="E987" i="13"/>
  <c r="G986" i="13"/>
  <c r="E986" i="13"/>
  <c r="G985" i="13"/>
  <c r="E985" i="13"/>
  <c r="G984" i="13"/>
  <c r="E984" i="13"/>
  <c r="G983" i="13"/>
  <c r="E983" i="13"/>
  <c r="G982" i="13"/>
  <c r="E982" i="13"/>
  <c r="G981" i="13"/>
  <c r="E981" i="13"/>
  <c r="G980" i="13"/>
  <c r="E980" i="13"/>
  <c r="G979" i="13"/>
  <c r="E979" i="13"/>
  <c r="G978" i="13"/>
  <c r="E978" i="13"/>
  <c r="G977" i="13"/>
  <c r="E977" i="13"/>
  <c r="G976" i="13"/>
  <c r="E976" i="13"/>
  <c r="G975" i="13"/>
  <c r="E975" i="13"/>
  <c r="G974" i="13"/>
  <c r="E974" i="13"/>
  <c r="G973" i="13"/>
  <c r="E973" i="13"/>
  <c r="G972" i="13"/>
  <c r="E972" i="13"/>
  <c r="G971" i="13"/>
  <c r="E971" i="13"/>
  <c r="G970" i="13"/>
  <c r="E970" i="13"/>
  <c r="G969" i="13"/>
  <c r="E969" i="13"/>
  <c r="G968" i="13"/>
  <c r="E968" i="13"/>
  <c r="G967" i="13"/>
  <c r="E967" i="13"/>
  <c r="G966" i="13"/>
  <c r="E966" i="13"/>
  <c r="G965" i="13"/>
  <c r="E965" i="13"/>
  <c r="G964" i="13"/>
  <c r="E964" i="13"/>
  <c r="G963" i="13"/>
  <c r="E963" i="13"/>
  <c r="G962" i="13"/>
  <c r="E962" i="13"/>
  <c r="G961" i="13"/>
  <c r="E961" i="13"/>
  <c r="G960" i="13"/>
  <c r="E960" i="13"/>
  <c r="G959" i="13"/>
  <c r="E959" i="13"/>
  <c r="G958" i="13"/>
  <c r="E958" i="13"/>
  <c r="G957" i="13"/>
  <c r="E957" i="13"/>
  <c r="G956" i="13"/>
  <c r="E956" i="13"/>
  <c r="G955" i="13"/>
  <c r="E955" i="13"/>
  <c r="G954" i="13"/>
  <c r="E954" i="13"/>
  <c r="G953" i="13"/>
  <c r="E953" i="13"/>
  <c r="G952" i="13"/>
  <c r="E952" i="13"/>
  <c r="G951" i="13"/>
  <c r="E951" i="13"/>
  <c r="G950" i="13"/>
  <c r="E950" i="13"/>
  <c r="G949" i="13"/>
  <c r="E949" i="13"/>
  <c r="G948" i="13"/>
  <c r="E948" i="13"/>
  <c r="G947" i="13"/>
  <c r="E947" i="13"/>
  <c r="G946" i="13"/>
  <c r="E946" i="13"/>
  <c r="G945" i="13"/>
  <c r="E945" i="13"/>
  <c r="G944" i="13"/>
  <c r="E944" i="13"/>
  <c r="G943" i="13"/>
  <c r="E943" i="13"/>
  <c r="G942" i="13"/>
  <c r="E942" i="13"/>
  <c r="G941" i="13"/>
  <c r="E941" i="13"/>
  <c r="G940" i="13"/>
  <c r="E940" i="13"/>
  <c r="G939" i="13"/>
  <c r="E939" i="13"/>
  <c r="G938" i="13"/>
  <c r="E938" i="13"/>
  <c r="G937" i="13"/>
  <c r="E937" i="13"/>
  <c r="G936" i="13"/>
  <c r="E936" i="13"/>
  <c r="G935" i="13"/>
  <c r="E935" i="13"/>
  <c r="G934" i="13"/>
  <c r="E934" i="13"/>
  <c r="G933" i="13"/>
  <c r="E933" i="13"/>
  <c r="G932" i="13"/>
  <c r="E932" i="13"/>
  <c r="G931" i="13"/>
  <c r="E931" i="13"/>
  <c r="G930" i="13"/>
  <c r="E930" i="13"/>
  <c r="G929" i="13"/>
  <c r="E929" i="13"/>
  <c r="G928" i="13"/>
  <c r="E928" i="13"/>
  <c r="G927" i="13"/>
  <c r="E927" i="13"/>
  <c r="G926" i="13"/>
  <c r="E926" i="13"/>
  <c r="G925" i="13"/>
  <c r="E925" i="13"/>
  <c r="G924" i="13"/>
  <c r="E924" i="13"/>
  <c r="G923" i="13"/>
  <c r="E923" i="13"/>
  <c r="G922" i="13"/>
  <c r="E922" i="13"/>
  <c r="G921" i="13"/>
  <c r="E921" i="13"/>
  <c r="G920" i="13"/>
  <c r="E920" i="13"/>
  <c r="G919" i="13"/>
  <c r="E919" i="13"/>
  <c r="G918" i="13"/>
  <c r="E918" i="13"/>
  <c r="G917" i="13"/>
  <c r="E917" i="13"/>
  <c r="G916" i="13"/>
  <c r="E916" i="13"/>
  <c r="G915" i="13"/>
  <c r="E915" i="13"/>
  <c r="G914" i="13"/>
  <c r="E914" i="13"/>
  <c r="G913" i="13"/>
  <c r="E913" i="13"/>
  <c r="G912" i="13"/>
  <c r="E912" i="13"/>
  <c r="G911" i="13"/>
  <c r="E911" i="13"/>
  <c r="G910" i="13"/>
  <c r="E910" i="13"/>
  <c r="G909" i="13"/>
  <c r="E909" i="13"/>
  <c r="G908" i="13"/>
  <c r="E908" i="13"/>
  <c r="G907" i="13"/>
  <c r="E907" i="13"/>
  <c r="G906" i="13"/>
  <c r="E906" i="13"/>
  <c r="G905" i="13"/>
  <c r="E905" i="13"/>
  <c r="G904" i="13"/>
  <c r="E904" i="13"/>
  <c r="G903" i="13"/>
  <c r="E903" i="13"/>
  <c r="G902" i="13"/>
  <c r="E902" i="13"/>
  <c r="G901" i="13"/>
  <c r="E901" i="13"/>
  <c r="G900" i="13"/>
  <c r="E900" i="13"/>
  <c r="G899" i="13"/>
  <c r="E899" i="13"/>
  <c r="G898" i="13"/>
  <c r="E898" i="13"/>
  <c r="G897" i="13"/>
  <c r="E897" i="13"/>
  <c r="G896" i="13"/>
  <c r="E896" i="13"/>
  <c r="G895" i="13"/>
  <c r="E895" i="13"/>
  <c r="G894" i="13"/>
  <c r="E894" i="13"/>
  <c r="G893" i="13"/>
  <c r="E893" i="13"/>
  <c r="G892" i="13"/>
  <c r="E892" i="13"/>
  <c r="G891" i="13"/>
  <c r="E891" i="13"/>
  <c r="G890" i="13"/>
  <c r="E890" i="13"/>
  <c r="G889" i="13"/>
  <c r="E889" i="13"/>
  <c r="G888" i="13"/>
  <c r="E888" i="13"/>
  <c r="G887" i="13"/>
  <c r="E887" i="13"/>
  <c r="G886" i="13"/>
  <c r="E886" i="13"/>
  <c r="G885" i="13"/>
  <c r="E885" i="13"/>
  <c r="G884" i="13"/>
  <c r="E884" i="13"/>
  <c r="G883" i="13"/>
  <c r="E883" i="13"/>
  <c r="G882" i="13"/>
  <c r="E882" i="13"/>
  <c r="G881" i="13"/>
  <c r="E881" i="13"/>
  <c r="G880" i="13"/>
  <c r="E880" i="13"/>
  <c r="G879" i="13"/>
  <c r="E879" i="13"/>
  <c r="G878" i="13"/>
  <c r="E878" i="13"/>
  <c r="G877" i="13"/>
  <c r="E877" i="13"/>
  <c r="G876" i="13"/>
  <c r="E876" i="13"/>
  <c r="G875" i="13"/>
  <c r="E875" i="13"/>
  <c r="G874" i="13"/>
  <c r="E874" i="13"/>
  <c r="G873" i="13"/>
  <c r="E873" i="13"/>
  <c r="G872" i="13"/>
  <c r="E872" i="13"/>
  <c r="G871" i="13"/>
  <c r="E871" i="13"/>
  <c r="G870" i="13"/>
  <c r="E870" i="13"/>
  <c r="G869" i="13"/>
  <c r="E869" i="13"/>
  <c r="G868" i="13"/>
  <c r="E868" i="13"/>
  <c r="G867" i="13"/>
  <c r="E867" i="13"/>
  <c r="G866" i="13"/>
  <c r="E866" i="13"/>
  <c r="G865" i="13"/>
  <c r="E865" i="13"/>
  <c r="G864" i="13"/>
  <c r="E864" i="13"/>
  <c r="G863" i="13"/>
  <c r="E863" i="13"/>
  <c r="G862" i="13"/>
  <c r="E862" i="13"/>
  <c r="G861" i="13"/>
  <c r="E861" i="13"/>
  <c r="G860" i="13"/>
  <c r="E860" i="13"/>
  <c r="G859" i="13"/>
  <c r="E859" i="13"/>
  <c r="G858" i="13"/>
  <c r="E858" i="13"/>
  <c r="G857" i="13"/>
  <c r="E857" i="13"/>
  <c r="G856" i="13"/>
  <c r="E856" i="13"/>
  <c r="G855" i="13"/>
  <c r="E855" i="13"/>
  <c r="G854" i="13"/>
  <c r="E854" i="13"/>
  <c r="G853" i="13"/>
  <c r="E853" i="13"/>
  <c r="G852" i="13"/>
  <c r="E852" i="13"/>
  <c r="G851" i="13"/>
  <c r="E851" i="13"/>
  <c r="G850" i="13"/>
  <c r="E850" i="13"/>
  <c r="G849" i="13"/>
  <c r="E849" i="13"/>
  <c r="G848" i="13"/>
  <c r="E848" i="13"/>
  <c r="G847" i="13"/>
  <c r="E847" i="13"/>
  <c r="G846" i="13"/>
  <c r="E846" i="13"/>
  <c r="G845" i="13"/>
  <c r="E845" i="13"/>
  <c r="G844" i="13"/>
  <c r="E844" i="13"/>
  <c r="G843" i="13"/>
  <c r="E843" i="13"/>
  <c r="G842" i="13"/>
  <c r="E842" i="13"/>
  <c r="G841" i="13"/>
  <c r="E841" i="13"/>
  <c r="G840" i="13"/>
  <c r="E840" i="13"/>
  <c r="G839" i="13"/>
  <c r="E839" i="13"/>
  <c r="G838" i="13"/>
  <c r="E838" i="13"/>
  <c r="G837" i="13"/>
  <c r="E837" i="13"/>
  <c r="G836" i="13"/>
  <c r="E836" i="13"/>
  <c r="G835" i="13"/>
  <c r="E835" i="13"/>
  <c r="G834" i="13"/>
  <c r="E834" i="13"/>
  <c r="G833" i="13"/>
  <c r="E833" i="13"/>
  <c r="G832" i="13"/>
  <c r="E832" i="13"/>
  <c r="G831" i="13"/>
  <c r="E831" i="13"/>
  <c r="G830" i="13"/>
  <c r="E830" i="13"/>
  <c r="G829" i="13"/>
  <c r="E829" i="13"/>
  <c r="G828" i="13"/>
  <c r="E828" i="13"/>
  <c r="G827" i="13"/>
  <c r="E827" i="13"/>
  <c r="G826" i="13"/>
  <c r="E826" i="13"/>
  <c r="G825" i="13"/>
  <c r="E825" i="13"/>
  <c r="G824" i="13"/>
  <c r="E824" i="13"/>
  <c r="G823" i="13"/>
  <c r="E823" i="13"/>
  <c r="G822" i="13"/>
  <c r="E822" i="13"/>
  <c r="G821" i="13"/>
  <c r="E821" i="13"/>
  <c r="G820" i="13"/>
  <c r="E820" i="13"/>
  <c r="G819" i="13"/>
  <c r="E819" i="13"/>
  <c r="G818" i="13"/>
  <c r="E818" i="13"/>
  <c r="G817" i="13"/>
  <c r="E817" i="13"/>
  <c r="G816" i="13"/>
  <c r="E816" i="13"/>
  <c r="G815" i="13"/>
  <c r="E815" i="13"/>
  <c r="G814" i="13"/>
  <c r="E814" i="13"/>
  <c r="G813" i="13"/>
  <c r="E813" i="13"/>
  <c r="G812" i="13"/>
  <c r="E812" i="13"/>
  <c r="G811" i="13"/>
  <c r="E811" i="13"/>
  <c r="G810" i="13"/>
  <c r="E810" i="13"/>
  <c r="G809" i="13"/>
  <c r="E809" i="13"/>
  <c r="G808" i="13"/>
  <c r="E808" i="13"/>
  <c r="G807" i="13"/>
  <c r="E807" i="13"/>
  <c r="G806" i="13"/>
  <c r="E806" i="13"/>
  <c r="G805" i="13"/>
  <c r="E805" i="13"/>
  <c r="G804" i="13"/>
  <c r="E804" i="13"/>
  <c r="G803" i="13"/>
  <c r="E803" i="13"/>
  <c r="G802" i="13"/>
  <c r="E802" i="13"/>
  <c r="G801" i="13"/>
  <c r="E801" i="13"/>
  <c r="G800" i="13"/>
  <c r="E800" i="13"/>
  <c r="G799" i="13"/>
  <c r="E799" i="13"/>
  <c r="G798" i="13"/>
  <c r="E798" i="13"/>
  <c r="G797" i="13"/>
  <c r="E797" i="13"/>
  <c r="G796" i="13"/>
  <c r="E796" i="13"/>
  <c r="G795" i="13"/>
  <c r="E795" i="13"/>
  <c r="G794" i="13"/>
  <c r="E794" i="13"/>
  <c r="G793" i="13"/>
  <c r="E793" i="13"/>
  <c r="G792" i="13"/>
  <c r="E792" i="13"/>
  <c r="G791" i="13"/>
  <c r="E791" i="13"/>
  <c r="G790" i="13"/>
  <c r="E790" i="13"/>
  <c r="G789" i="13"/>
  <c r="E789" i="13"/>
  <c r="G788" i="13"/>
  <c r="E788" i="13"/>
  <c r="G787" i="13"/>
  <c r="E787" i="13"/>
  <c r="G786" i="13"/>
  <c r="E786" i="13"/>
  <c r="G785" i="13"/>
  <c r="E785" i="13"/>
  <c r="G784" i="13"/>
  <c r="E784" i="13"/>
  <c r="G783" i="13"/>
  <c r="E783" i="13"/>
  <c r="G782" i="13"/>
  <c r="E782" i="13"/>
  <c r="G781" i="13"/>
  <c r="E781" i="13"/>
  <c r="G780" i="13"/>
  <c r="E780" i="13"/>
  <c r="G779" i="13"/>
  <c r="E779" i="13"/>
  <c r="G778" i="13"/>
  <c r="E778" i="13"/>
  <c r="G777" i="13"/>
  <c r="E777" i="13"/>
  <c r="G776" i="13"/>
  <c r="E776" i="13"/>
  <c r="G775" i="13"/>
  <c r="E775" i="13"/>
  <c r="G774" i="13"/>
  <c r="E774" i="13"/>
  <c r="G773" i="13"/>
  <c r="E773" i="13"/>
  <c r="G772" i="13"/>
  <c r="E772" i="13"/>
  <c r="G771" i="13"/>
  <c r="E771" i="13"/>
  <c r="G770" i="13"/>
  <c r="E770" i="13"/>
  <c r="G769" i="13"/>
  <c r="E769" i="13"/>
  <c r="G768" i="13"/>
  <c r="E768" i="13"/>
  <c r="G767" i="13"/>
  <c r="E767" i="13"/>
  <c r="G766" i="13"/>
  <c r="E766" i="13"/>
  <c r="G765" i="13"/>
  <c r="E765" i="13"/>
  <c r="G764" i="13"/>
  <c r="E764" i="13"/>
  <c r="G763" i="13"/>
  <c r="E763" i="13"/>
  <c r="G762" i="13"/>
  <c r="E762" i="13"/>
  <c r="G761" i="13"/>
  <c r="E761" i="13"/>
  <c r="G760" i="13"/>
  <c r="E760" i="13"/>
  <c r="G759" i="13"/>
  <c r="E759" i="13"/>
  <c r="G758" i="13"/>
  <c r="E758" i="13"/>
  <c r="G757" i="13"/>
  <c r="E757" i="13"/>
  <c r="G756" i="13"/>
  <c r="E756" i="13"/>
  <c r="G755" i="13"/>
  <c r="E755" i="13"/>
  <c r="G754" i="13"/>
  <c r="E754" i="13"/>
  <c r="G753" i="13"/>
  <c r="E753" i="13"/>
  <c r="G752" i="13"/>
  <c r="E752" i="13"/>
  <c r="G751" i="13"/>
  <c r="E751" i="13"/>
  <c r="G750" i="13"/>
  <c r="E750" i="13"/>
  <c r="G749" i="13"/>
  <c r="E749" i="13"/>
  <c r="G748" i="13"/>
  <c r="E748" i="13"/>
  <c r="G747" i="13"/>
  <c r="E747" i="13"/>
  <c r="G746" i="13"/>
  <c r="E746" i="13"/>
  <c r="G745" i="13"/>
  <c r="E745" i="13"/>
  <c r="G744" i="13"/>
  <c r="E744" i="13"/>
  <c r="G743" i="13"/>
  <c r="E743" i="13"/>
  <c r="G742" i="13"/>
  <c r="E742" i="13"/>
  <c r="G741" i="13"/>
  <c r="E741" i="13"/>
  <c r="G740" i="13"/>
  <c r="E740" i="13"/>
  <c r="G739" i="13"/>
  <c r="E739" i="13"/>
  <c r="G738" i="13"/>
  <c r="E738" i="13"/>
  <c r="G737" i="13"/>
  <c r="E737" i="13"/>
  <c r="G736" i="13"/>
  <c r="E736" i="13"/>
  <c r="G735" i="13"/>
  <c r="E735" i="13"/>
  <c r="G734" i="13"/>
  <c r="E734" i="13"/>
  <c r="G733" i="13"/>
  <c r="E733" i="13"/>
  <c r="G732" i="13"/>
  <c r="E732" i="13"/>
  <c r="G731" i="13"/>
  <c r="E731" i="13"/>
  <c r="G730" i="13"/>
  <c r="E730" i="13"/>
  <c r="G729" i="13"/>
  <c r="E729" i="13"/>
  <c r="G728" i="13"/>
  <c r="E728" i="13"/>
  <c r="G727" i="13"/>
  <c r="E727" i="13"/>
  <c r="G726" i="13"/>
  <c r="E726" i="13"/>
  <c r="G725" i="13"/>
  <c r="E725" i="13"/>
  <c r="G724" i="13"/>
  <c r="E724" i="13"/>
  <c r="G723" i="13"/>
  <c r="E723" i="13"/>
  <c r="G722" i="13"/>
  <c r="E722" i="13"/>
  <c r="G721" i="13"/>
  <c r="E721" i="13"/>
  <c r="G720" i="13"/>
  <c r="E720" i="13"/>
  <c r="G719" i="13"/>
  <c r="E719" i="13"/>
  <c r="G718" i="13"/>
  <c r="E718" i="13"/>
  <c r="G717" i="13"/>
  <c r="E717" i="13"/>
  <c r="G716" i="13"/>
  <c r="E716" i="13"/>
  <c r="G715" i="13"/>
  <c r="E715" i="13"/>
  <c r="G714" i="13"/>
  <c r="E714" i="13"/>
  <c r="G713" i="13"/>
  <c r="E713" i="13"/>
  <c r="G712" i="13"/>
  <c r="E712" i="13"/>
  <c r="G711" i="13"/>
  <c r="E711" i="13"/>
  <c r="G710" i="13"/>
  <c r="E710" i="13"/>
  <c r="G709" i="13"/>
  <c r="E709" i="13"/>
  <c r="G708" i="13"/>
  <c r="E708" i="13"/>
  <c r="G707" i="13"/>
  <c r="E707" i="13"/>
  <c r="G706" i="13"/>
  <c r="E706" i="13"/>
  <c r="G705" i="13"/>
  <c r="E705" i="13"/>
  <c r="G704" i="13"/>
  <c r="E704" i="13"/>
  <c r="G703" i="13"/>
  <c r="E703" i="13"/>
  <c r="G702" i="13"/>
  <c r="E702" i="13"/>
  <c r="G701" i="13"/>
  <c r="E701" i="13"/>
  <c r="G700" i="13"/>
  <c r="E700" i="13"/>
  <c r="G699" i="13"/>
  <c r="E699" i="13"/>
  <c r="G698" i="13"/>
  <c r="E698" i="13"/>
  <c r="G697" i="13"/>
  <c r="E697" i="13"/>
  <c r="G696" i="13"/>
  <c r="E696" i="13"/>
  <c r="G695" i="13"/>
  <c r="E695" i="13"/>
  <c r="G694" i="13"/>
  <c r="E694" i="13"/>
  <c r="G693" i="13"/>
  <c r="E693" i="13"/>
  <c r="G692" i="13"/>
  <c r="E692" i="13"/>
  <c r="G691" i="13"/>
  <c r="E691" i="13"/>
  <c r="G690" i="13"/>
  <c r="E690" i="13"/>
  <c r="G689" i="13"/>
  <c r="E689" i="13"/>
  <c r="G688" i="13"/>
  <c r="E688" i="13"/>
  <c r="G687" i="13"/>
  <c r="E687" i="13"/>
  <c r="G686" i="13"/>
  <c r="E686" i="13"/>
  <c r="G685" i="13"/>
  <c r="E685" i="13"/>
  <c r="G684" i="13"/>
  <c r="E684" i="13"/>
  <c r="G683" i="13"/>
  <c r="E683" i="13"/>
  <c r="G682" i="13"/>
  <c r="E682" i="13"/>
  <c r="G681" i="13"/>
  <c r="E681" i="13"/>
  <c r="G680" i="13"/>
  <c r="E680" i="13"/>
  <c r="G679" i="13"/>
  <c r="E679" i="13"/>
  <c r="G678" i="13"/>
  <c r="E678" i="13"/>
  <c r="G677" i="13"/>
  <c r="E677" i="13"/>
  <c r="G676" i="13"/>
  <c r="E676" i="13"/>
  <c r="G675" i="13"/>
  <c r="E675" i="13"/>
  <c r="G674" i="13"/>
  <c r="E674" i="13"/>
  <c r="G673" i="13"/>
  <c r="E673" i="13"/>
  <c r="G672" i="13"/>
  <c r="E672" i="13"/>
  <c r="G671" i="13"/>
  <c r="E671" i="13"/>
  <c r="G670" i="13"/>
  <c r="E670" i="13"/>
  <c r="G669" i="13"/>
  <c r="E669" i="13"/>
  <c r="G668" i="13"/>
  <c r="E668" i="13"/>
  <c r="G667" i="13"/>
  <c r="E667" i="13"/>
  <c r="G666" i="13"/>
  <c r="E666" i="13"/>
  <c r="G665" i="13"/>
  <c r="E665" i="13"/>
  <c r="G664" i="13"/>
  <c r="E664" i="13"/>
  <c r="G663" i="13"/>
  <c r="E663" i="13"/>
  <c r="G662" i="13"/>
  <c r="E662" i="13"/>
  <c r="G661" i="13"/>
  <c r="E661" i="13"/>
  <c r="G660" i="13"/>
  <c r="E660" i="13"/>
  <c r="G659" i="13"/>
  <c r="E659" i="13"/>
  <c r="G658" i="13"/>
  <c r="E658" i="13"/>
  <c r="G657" i="13"/>
  <c r="E657" i="13"/>
  <c r="G656" i="13"/>
  <c r="E656" i="13"/>
  <c r="G655" i="13"/>
  <c r="E655" i="13"/>
  <c r="G654" i="13"/>
  <c r="E654" i="13"/>
  <c r="G653" i="13"/>
  <c r="E653" i="13"/>
  <c r="G652" i="13"/>
  <c r="E652" i="13"/>
  <c r="G651" i="13"/>
  <c r="E651" i="13"/>
  <c r="G650" i="13"/>
  <c r="E650" i="13"/>
  <c r="G649" i="13"/>
  <c r="E649" i="13"/>
  <c r="G648" i="13"/>
  <c r="E648" i="13"/>
  <c r="G647" i="13"/>
  <c r="E647" i="13"/>
  <c r="G646" i="13"/>
  <c r="E646" i="13"/>
  <c r="G645" i="13"/>
  <c r="E645" i="13"/>
  <c r="G644" i="13"/>
  <c r="E644" i="13"/>
  <c r="G643" i="13"/>
  <c r="E643" i="13"/>
  <c r="G642" i="13"/>
  <c r="E642" i="13"/>
  <c r="G641" i="13"/>
  <c r="E641" i="13"/>
  <c r="G640" i="13"/>
  <c r="E640" i="13"/>
  <c r="G639" i="13"/>
  <c r="E639" i="13"/>
  <c r="G638" i="13"/>
  <c r="E638" i="13"/>
  <c r="G637" i="13"/>
  <c r="E637" i="13"/>
  <c r="G636" i="13"/>
  <c r="E636" i="13"/>
  <c r="G635" i="13"/>
  <c r="E635" i="13"/>
  <c r="G634" i="13"/>
  <c r="E634" i="13"/>
  <c r="G633" i="13"/>
  <c r="E633" i="13"/>
  <c r="G632" i="13"/>
  <c r="E632" i="13"/>
  <c r="G631" i="13"/>
  <c r="E631" i="13"/>
  <c r="G630" i="13"/>
  <c r="E630" i="13"/>
  <c r="G629" i="13"/>
  <c r="E629" i="13"/>
  <c r="G628" i="13"/>
  <c r="E628" i="13"/>
  <c r="G627" i="13"/>
  <c r="E627" i="13"/>
  <c r="G626" i="13"/>
  <c r="E626" i="13"/>
  <c r="G625" i="13"/>
  <c r="E625" i="13"/>
  <c r="G624" i="13"/>
  <c r="E624" i="13"/>
  <c r="G623" i="13"/>
  <c r="E623" i="13"/>
  <c r="G622" i="13"/>
  <c r="E622" i="13"/>
  <c r="G621" i="13"/>
  <c r="E621" i="13"/>
  <c r="G620" i="13"/>
  <c r="E620" i="13"/>
  <c r="G619" i="13"/>
  <c r="E619" i="13"/>
  <c r="G618" i="13"/>
  <c r="E618" i="13"/>
  <c r="G617" i="13"/>
  <c r="E617" i="13"/>
  <c r="G616" i="13"/>
  <c r="E616" i="13"/>
  <c r="G615" i="13"/>
  <c r="E615" i="13"/>
  <c r="G614" i="13"/>
  <c r="E614" i="13"/>
  <c r="G613" i="13"/>
  <c r="E613" i="13"/>
  <c r="G612" i="13"/>
  <c r="E612" i="13"/>
  <c r="G611" i="13"/>
  <c r="E611" i="13"/>
  <c r="G610" i="13"/>
  <c r="E610" i="13"/>
  <c r="G609" i="13"/>
  <c r="E609" i="13"/>
  <c r="G608" i="13"/>
  <c r="E608" i="13"/>
  <c r="G607" i="13"/>
  <c r="E607" i="13"/>
  <c r="G606" i="13"/>
  <c r="E606" i="13"/>
  <c r="G605" i="13"/>
  <c r="E605" i="13"/>
  <c r="G604" i="13"/>
  <c r="E604" i="13"/>
  <c r="G603" i="13"/>
  <c r="E603" i="13"/>
  <c r="G602" i="13"/>
  <c r="E602" i="13"/>
  <c r="G601" i="13"/>
  <c r="E601" i="13"/>
  <c r="G600" i="13"/>
  <c r="E600" i="13"/>
  <c r="G599" i="13"/>
  <c r="E599" i="13"/>
  <c r="G598" i="13"/>
  <c r="E598" i="13"/>
  <c r="G597" i="13"/>
  <c r="E597" i="13"/>
  <c r="G596" i="13"/>
  <c r="E596" i="13"/>
  <c r="G595" i="13"/>
  <c r="E595" i="13"/>
  <c r="G594" i="13"/>
  <c r="E594" i="13"/>
  <c r="G593" i="13"/>
  <c r="E593" i="13"/>
  <c r="G592" i="13"/>
  <c r="E592" i="13"/>
  <c r="G591" i="13"/>
  <c r="E591" i="13"/>
  <c r="G590" i="13"/>
  <c r="E590" i="13"/>
  <c r="G589" i="13"/>
  <c r="E589" i="13"/>
  <c r="G588" i="13"/>
  <c r="E588" i="13"/>
  <c r="G587" i="13"/>
  <c r="E587" i="13"/>
  <c r="G586" i="13"/>
  <c r="E586" i="13"/>
  <c r="G585" i="13"/>
  <c r="E585" i="13"/>
  <c r="G584" i="13"/>
  <c r="E584" i="13"/>
  <c r="G583" i="13"/>
  <c r="E583" i="13"/>
  <c r="G582" i="13"/>
  <c r="E582" i="13"/>
  <c r="G581" i="13"/>
  <c r="E581" i="13"/>
  <c r="G580" i="13"/>
  <c r="E580" i="13"/>
  <c r="G579" i="13"/>
  <c r="E579" i="13"/>
  <c r="G578" i="13"/>
  <c r="E578" i="13"/>
  <c r="G577" i="13"/>
  <c r="E577" i="13"/>
  <c r="G576" i="13"/>
  <c r="E576" i="13"/>
  <c r="G575" i="13"/>
  <c r="E575" i="13"/>
  <c r="G574" i="13"/>
  <c r="E574" i="13"/>
  <c r="G573" i="13"/>
  <c r="E573" i="13"/>
  <c r="G572" i="13"/>
  <c r="E572" i="13"/>
  <c r="G571" i="13"/>
  <c r="E571" i="13"/>
  <c r="G570" i="13"/>
  <c r="E570" i="13"/>
  <c r="G569" i="13"/>
  <c r="E569" i="13"/>
  <c r="G568" i="13"/>
  <c r="E568" i="13"/>
  <c r="G567" i="13"/>
  <c r="E567" i="13"/>
  <c r="G566" i="13"/>
  <c r="E566" i="13"/>
  <c r="G565" i="13"/>
  <c r="E565" i="13"/>
  <c r="G564" i="13"/>
  <c r="E564" i="13"/>
  <c r="G563" i="13"/>
  <c r="E563" i="13"/>
  <c r="G562" i="13"/>
  <c r="E562" i="13"/>
  <c r="G561" i="13"/>
  <c r="E561" i="13"/>
  <c r="G560" i="13"/>
  <c r="E560" i="13"/>
  <c r="G559" i="13"/>
  <c r="E559" i="13"/>
  <c r="G558" i="13"/>
  <c r="E558" i="13"/>
  <c r="G557" i="13"/>
  <c r="E557" i="13"/>
  <c r="G556" i="13"/>
  <c r="E556" i="13"/>
  <c r="G555" i="13"/>
  <c r="E555" i="13"/>
  <c r="G554" i="13"/>
  <c r="E554" i="13"/>
  <c r="G553" i="13"/>
  <c r="E553" i="13"/>
  <c r="G552" i="13"/>
  <c r="E552" i="13"/>
  <c r="G551" i="13"/>
  <c r="E551" i="13"/>
  <c r="G550" i="13"/>
  <c r="E550" i="13"/>
  <c r="G549" i="13"/>
  <c r="E549" i="13"/>
  <c r="G548" i="13"/>
  <c r="E548" i="13"/>
  <c r="G547" i="13"/>
  <c r="E547" i="13"/>
  <c r="G546" i="13"/>
  <c r="E546" i="13"/>
  <c r="G545" i="13"/>
  <c r="E545" i="13"/>
  <c r="G544" i="13"/>
  <c r="E544" i="13"/>
  <c r="G543" i="13"/>
  <c r="E543" i="13"/>
  <c r="G542" i="13"/>
  <c r="E542" i="13"/>
  <c r="G541" i="13"/>
  <c r="E541" i="13"/>
  <c r="G540" i="13"/>
  <c r="E540" i="13"/>
  <c r="G539" i="13"/>
  <c r="E539" i="13"/>
  <c r="G538" i="13"/>
  <c r="E538" i="13"/>
  <c r="G537" i="13"/>
  <c r="E537" i="13"/>
  <c r="G536" i="13"/>
  <c r="E536" i="13"/>
  <c r="G535" i="13"/>
  <c r="E535" i="13"/>
  <c r="G534" i="13"/>
  <c r="E534" i="13"/>
  <c r="G533" i="13"/>
  <c r="E533" i="13"/>
  <c r="G532" i="13"/>
  <c r="E532" i="13"/>
  <c r="G531" i="13"/>
  <c r="E531" i="13"/>
  <c r="G530" i="13"/>
  <c r="E530" i="13"/>
  <c r="G529" i="13"/>
  <c r="E529" i="13"/>
  <c r="G528" i="13"/>
  <c r="E528" i="13"/>
  <c r="G527" i="13"/>
  <c r="E527" i="13"/>
  <c r="G526" i="13"/>
  <c r="E526" i="13"/>
  <c r="G525" i="13"/>
  <c r="E525" i="13"/>
  <c r="G524" i="13"/>
  <c r="E524" i="13"/>
  <c r="G523" i="13"/>
  <c r="E523" i="13"/>
  <c r="G522" i="13"/>
  <c r="E522" i="13"/>
  <c r="G521" i="13"/>
  <c r="E521" i="13"/>
  <c r="G520" i="13"/>
  <c r="E520" i="13"/>
  <c r="G519" i="13"/>
  <c r="E519" i="13"/>
  <c r="G518" i="13"/>
  <c r="E518" i="13"/>
  <c r="G517" i="13"/>
  <c r="E517" i="13"/>
  <c r="G516" i="13"/>
  <c r="E516" i="13"/>
  <c r="G515" i="13"/>
  <c r="E515" i="13"/>
  <c r="G514" i="13"/>
  <c r="E514" i="13"/>
  <c r="G513" i="13"/>
  <c r="E513" i="13"/>
  <c r="G512" i="13"/>
  <c r="E512" i="13"/>
  <c r="G511" i="13"/>
  <c r="E511" i="13"/>
  <c r="G510" i="13"/>
  <c r="E510" i="13"/>
  <c r="G509" i="13"/>
  <c r="E509" i="13"/>
  <c r="G508" i="13"/>
  <c r="E508" i="13"/>
  <c r="G507" i="13"/>
  <c r="E507" i="13"/>
  <c r="G506" i="13"/>
  <c r="E506" i="13"/>
  <c r="G505" i="13"/>
  <c r="E505" i="13"/>
  <c r="G504" i="13"/>
  <c r="E504" i="13"/>
  <c r="G503" i="13"/>
  <c r="E503" i="13"/>
  <c r="G502" i="13"/>
  <c r="E502" i="13"/>
  <c r="G501" i="13"/>
  <c r="E501" i="13"/>
  <c r="G500" i="13"/>
  <c r="E500" i="13"/>
  <c r="G499" i="13"/>
  <c r="E499" i="13"/>
  <c r="G498" i="13"/>
  <c r="E498" i="13"/>
  <c r="G497" i="13"/>
  <c r="E497" i="13"/>
  <c r="G496" i="13"/>
  <c r="E496" i="13"/>
  <c r="G495" i="13"/>
  <c r="E495" i="13"/>
  <c r="G494" i="13"/>
  <c r="E494" i="13"/>
  <c r="G493" i="13"/>
  <c r="E493" i="13"/>
  <c r="G492" i="13"/>
  <c r="E492" i="13"/>
  <c r="G491" i="13"/>
  <c r="E491" i="13"/>
  <c r="G490" i="13"/>
  <c r="E490" i="13"/>
  <c r="G489" i="13"/>
  <c r="E489" i="13"/>
  <c r="G488" i="13"/>
  <c r="E488" i="13"/>
  <c r="G487" i="13"/>
  <c r="E487" i="13"/>
  <c r="G486" i="13"/>
  <c r="E486" i="13"/>
  <c r="G485" i="13"/>
  <c r="E485" i="13"/>
  <c r="G484" i="13"/>
  <c r="E484" i="13"/>
  <c r="G483" i="13"/>
  <c r="E483" i="13"/>
  <c r="G482" i="13"/>
  <c r="E482" i="13"/>
  <c r="G481" i="13"/>
  <c r="E481" i="13"/>
  <c r="G480" i="13"/>
  <c r="E480" i="13"/>
  <c r="G479" i="13"/>
  <c r="E479" i="13"/>
  <c r="G478" i="13"/>
  <c r="E478" i="13"/>
  <c r="G477" i="13"/>
  <c r="E477" i="13"/>
  <c r="G476" i="13"/>
  <c r="E476" i="13"/>
  <c r="G475" i="13"/>
  <c r="E475" i="13"/>
  <c r="G474" i="13"/>
  <c r="E474" i="13"/>
  <c r="G473" i="13"/>
  <c r="E473" i="13"/>
  <c r="G472" i="13"/>
  <c r="E472" i="13"/>
  <c r="G471" i="13"/>
  <c r="E471" i="13"/>
  <c r="G470" i="13"/>
  <c r="E470" i="13"/>
  <c r="G469" i="13"/>
  <c r="E469" i="13"/>
  <c r="G468" i="13"/>
  <c r="E468" i="13"/>
  <c r="G467" i="13"/>
  <c r="E467" i="13"/>
  <c r="G466" i="13"/>
  <c r="E466" i="13"/>
  <c r="G465" i="13"/>
  <c r="E465" i="13"/>
  <c r="G464" i="13"/>
  <c r="E464" i="13"/>
  <c r="G463" i="13"/>
  <c r="E463" i="13"/>
  <c r="G462" i="13"/>
  <c r="E462" i="13"/>
  <c r="G461" i="13"/>
  <c r="E461" i="13"/>
  <c r="G460" i="13"/>
  <c r="E460" i="13"/>
  <c r="G459" i="13"/>
  <c r="E459" i="13"/>
  <c r="G458" i="13"/>
  <c r="E458" i="13"/>
  <c r="G457" i="13"/>
  <c r="E457" i="13"/>
  <c r="G456" i="13"/>
  <c r="E456" i="13"/>
  <c r="G455" i="13"/>
  <c r="E455" i="13"/>
  <c r="G454" i="13"/>
  <c r="E454" i="13"/>
  <c r="G453" i="13"/>
  <c r="E453" i="13"/>
  <c r="G452" i="13"/>
  <c r="E452" i="13"/>
  <c r="G451" i="13"/>
  <c r="E451" i="13"/>
  <c r="G450" i="13"/>
  <c r="E450" i="13"/>
  <c r="G449" i="13"/>
  <c r="E449" i="13"/>
  <c r="G448" i="13"/>
  <c r="E448" i="13"/>
  <c r="G447" i="13"/>
  <c r="E447" i="13"/>
  <c r="G446" i="13"/>
  <c r="E446" i="13"/>
  <c r="G445" i="13"/>
  <c r="E445" i="13"/>
  <c r="G444" i="13"/>
  <c r="E444" i="13"/>
  <c r="G443" i="13"/>
  <c r="E443" i="13"/>
  <c r="G442" i="13"/>
  <c r="E442" i="13"/>
  <c r="G441" i="13"/>
  <c r="E441" i="13"/>
  <c r="G440" i="13"/>
  <c r="E440" i="13"/>
  <c r="G439" i="13"/>
  <c r="E439" i="13"/>
  <c r="G438" i="13"/>
  <c r="E438" i="13"/>
  <c r="G437" i="13"/>
  <c r="E437" i="13"/>
  <c r="G436" i="13"/>
  <c r="E436" i="13"/>
  <c r="G435" i="13"/>
  <c r="E435" i="13"/>
  <c r="G434" i="13"/>
  <c r="E434" i="13"/>
  <c r="G433" i="13"/>
  <c r="E433" i="13"/>
  <c r="G432" i="13"/>
  <c r="E432" i="13"/>
  <c r="G431" i="13"/>
  <c r="E431" i="13"/>
  <c r="G430" i="13"/>
  <c r="E430" i="13"/>
  <c r="G429" i="13"/>
  <c r="E429" i="13"/>
  <c r="G428" i="13"/>
  <c r="E428" i="13"/>
  <c r="G427" i="13"/>
  <c r="E427" i="13"/>
  <c r="G426" i="13"/>
  <c r="E426" i="13"/>
  <c r="G425" i="13"/>
  <c r="E425" i="13"/>
  <c r="G424" i="13"/>
  <c r="E424" i="13"/>
  <c r="G423" i="13"/>
  <c r="E423" i="13"/>
  <c r="G422" i="13"/>
  <c r="E422" i="13"/>
  <c r="G421" i="13"/>
  <c r="E421" i="13"/>
  <c r="G420" i="13"/>
  <c r="E420" i="13"/>
  <c r="G419" i="13"/>
  <c r="E419" i="13"/>
  <c r="G418" i="13"/>
  <c r="E418" i="13"/>
  <c r="G417" i="13"/>
  <c r="E417" i="13"/>
  <c r="G416" i="13"/>
  <c r="E416" i="13"/>
  <c r="G415" i="13"/>
  <c r="E415" i="13"/>
  <c r="G414" i="13"/>
  <c r="E414" i="13"/>
  <c r="G413" i="13"/>
  <c r="E413" i="13"/>
  <c r="G412" i="13"/>
  <c r="E412" i="13"/>
  <c r="G411" i="13"/>
  <c r="E411" i="13"/>
  <c r="G410" i="13"/>
  <c r="E410" i="13"/>
  <c r="G409" i="13"/>
  <c r="E409" i="13"/>
  <c r="G408" i="13"/>
  <c r="E408" i="13"/>
  <c r="G407" i="13"/>
  <c r="E407" i="13"/>
  <c r="G406" i="13"/>
  <c r="E406" i="13"/>
  <c r="G405" i="13"/>
  <c r="E405" i="13"/>
  <c r="G404" i="13"/>
  <c r="E404" i="13"/>
  <c r="G403" i="13"/>
  <c r="E403" i="13"/>
  <c r="G402" i="13"/>
  <c r="E402" i="13"/>
  <c r="G401" i="13"/>
  <c r="E401" i="13"/>
  <c r="G400" i="13"/>
  <c r="E400" i="13"/>
  <c r="G399" i="13"/>
  <c r="E399" i="13"/>
  <c r="G398" i="13"/>
  <c r="E398" i="13"/>
  <c r="G397" i="13"/>
  <c r="E397" i="13"/>
  <c r="G396" i="13"/>
  <c r="E396" i="13"/>
  <c r="G395" i="13"/>
  <c r="E395" i="13"/>
  <c r="G394" i="13"/>
  <c r="E394" i="13"/>
  <c r="G393" i="13"/>
  <c r="E393" i="13"/>
  <c r="G392" i="13"/>
  <c r="E392" i="13"/>
  <c r="G391" i="13"/>
  <c r="E391" i="13"/>
  <c r="G390" i="13"/>
  <c r="E390" i="13"/>
  <c r="G389" i="13"/>
  <c r="E389" i="13"/>
  <c r="G388" i="13"/>
  <c r="E388" i="13"/>
  <c r="G387" i="13"/>
  <c r="E387" i="13"/>
  <c r="G386" i="13"/>
  <c r="E386" i="13"/>
  <c r="G385" i="13"/>
  <c r="E385" i="13"/>
  <c r="G384" i="13"/>
  <c r="E384" i="13"/>
  <c r="G383" i="13"/>
  <c r="E383" i="13"/>
  <c r="G382" i="13"/>
  <c r="E382" i="13"/>
  <c r="G381" i="13"/>
  <c r="E381" i="13"/>
  <c r="G380" i="13"/>
  <c r="E380" i="13"/>
  <c r="G379" i="13"/>
  <c r="E379" i="13"/>
  <c r="G378" i="13"/>
  <c r="E378" i="13"/>
  <c r="G377" i="13"/>
  <c r="E377" i="13"/>
  <c r="G376" i="13"/>
  <c r="E376" i="13"/>
  <c r="G375" i="13"/>
  <c r="E375" i="13"/>
  <c r="G374" i="13"/>
  <c r="E374" i="13"/>
  <c r="G373" i="13"/>
  <c r="E373" i="13"/>
  <c r="G372" i="13"/>
  <c r="E372" i="13"/>
  <c r="G371" i="13"/>
  <c r="E371" i="13"/>
  <c r="G370" i="13"/>
  <c r="E370" i="13"/>
  <c r="G369" i="13"/>
  <c r="E369" i="13"/>
  <c r="G368" i="13"/>
  <c r="E368" i="13"/>
  <c r="G367" i="13"/>
  <c r="E367" i="13"/>
  <c r="G366" i="13"/>
  <c r="E366" i="13"/>
  <c r="G365" i="13"/>
  <c r="E365" i="13"/>
  <c r="G364" i="13"/>
  <c r="E364" i="13"/>
  <c r="G363" i="13"/>
  <c r="E363" i="13"/>
  <c r="G362" i="13"/>
  <c r="E362" i="13"/>
  <c r="G361" i="13"/>
  <c r="E361" i="13"/>
  <c r="G360" i="13"/>
  <c r="E360" i="13"/>
  <c r="G359" i="13"/>
  <c r="E359" i="13"/>
  <c r="G358" i="13"/>
  <c r="E358" i="13"/>
  <c r="G357" i="13"/>
  <c r="E357" i="13"/>
  <c r="G356" i="13"/>
  <c r="E356" i="13"/>
  <c r="G355" i="13"/>
  <c r="E355" i="13"/>
  <c r="G354" i="13"/>
  <c r="E354" i="13"/>
  <c r="G353" i="13"/>
  <c r="E353" i="13"/>
  <c r="G352" i="13"/>
  <c r="E352" i="13"/>
  <c r="G351" i="13"/>
  <c r="E351" i="13"/>
  <c r="G350" i="13"/>
  <c r="E350" i="13"/>
  <c r="G349" i="13"/>
  <c r="E349" i="13"/>
  <c r="G348" i="13"/>
  <c r="E348" i="13"/>
  <c r="G347" i="13"/>
  <c r="E347" i="13"/>
  <c r="G346" i="13"/>
  <c r="E346" i="13"/>
  <c r="G345" i="13"/>
  <c r="E345" i="13"/>
  <c r="G344" i="13"/>
  <c r="E344" i="13"/>
  <c r="G343" i="13"/>
  <c r="E343" i="13"/>
  <c r="G342" i="13"/>
  <c r="E342" i="13"/>
  <c r="G341" i="13"/>
  <c r="E341" i="13"/>
  <c r="G340" i="13"/>
  <c r="E340" i="13"/>
  <c r="G339" i="13"/>
  <c r="E339" i="13"/>
  <c r="G338" i="13"/>
  <c r="E338" i="13"/>
  <c r="G337" i="13"/>
  <c r="E337" i="13"/>
  <c r="G336" i="13"/>
  <c r="E336" i="13"/>
  <c r="G335" i="13"/>
  <c r="E335" i="13"/>
  <c r="G334" i="13"/>
  <c r="E334" i="13"/>
  <c r="G333" i="13"/>
  <c r="E333" i="13"/>
  <c r="G332" i="13"/>
  <c r="E332" i="13"/>
  <c r="G331" i="13"/>
  <c r="E331" i="13"/>
  <c r="G330" i="13"/>
  <c r="E330" i="13"/>
  <c r="G329" i="13"/>
  <c r="E329" i="13"/>
  <c r="G328" i="13"/>
  <c r="E328" i="13"/>
  <c r="G327" i="13"/>
  <c r="E327" i="13"/>
  <c r="G326" i="13"/>
  <c r="E326" i="13"/>
  <c r="G325" i="13"/>
  <c r="E325" i="13"/>
  <c r="G324" i="13"/>
  <c r="E324" i="13"/>
  <c r="G323" i="13"/>
  <c r="E323" i="13"/>
  <c r="G322" i="13"/>
  <c r="E322" i="13"/>
  <c r="G321" i="13"/>
  <c r="E321" i="13"/>
  <c r="G320" i="13"/>
  <c r="E320" i="13"/>
  <c r="G319" i="13"/>
  <c r="E319" i="13"/>
  <c r="G318" i="13"/>
  <c r="E318" i="13"/>
  <c r="G317" i="13"/>
  <c r="E317" i="13"/>
  <c r="G316" i="13"/>
  <c r="E316" i="13"/>
  <c r="G315" i="13"/>
  <c r="E315" i="13"/>
  <c r="G314" i="13"/>
  <c r="E314" i="13"/>
  <c r="G313" i="13"/>
  <c r="E313" i="13"/>
  <c r="G312" i="13"/>
  <c r="E312" i="13"/>
  <c r="G311" i="13"/>
  <c r="E311" i="13"/>
  <c r="G310" i="13"/>
  <c r="E310" i="13"/>
  <c r="G309" i="13"/>
  <c r="E309" i="13"/>
  <c r="G308" i="13"/>
  <c r="E308" i="13"/>
  <c r="G307" i="13"/>
  <c r="E307" i="13"/>
  <c r="G306" i="13"/>
  <c r="E306" i="13"/>
  <c r="G305" i="13"/>
  <c r="E305" i="13"/>
  <c r="G304" i="13"/>
  <c r="E304" i="13"/>
  <c r="G303" i="13"/>
  <c r="E303" i="13"/>
  <c r="G302" i="13"/>
  <c r="E302" i="13"/>
  <c r="G301" i="13"/>
  <c r="E301" i="13"/>
  <c r="G300" i="13"/>
  <c r="E300" i="13"/>
  <c r="G299" i="13"/>
  <c r="E299" i="13"/>
  <c r="G298" i="13"/>
  <c r="E298" i="13"/>
  <c r="G297" i="13"/>
  <c r="E297" i="13"/>
  <c r="G296" i="13"/>
  <c r="E296" i="13"/>
  <c r="G295" i="13"/>
  <c r="E295" i="13"/>
  <c r="G294" i="13"/>
  <c r="E294" i="13"/>
  <c r="G293" i="13"/>
  <c r="E293" i="13"/>
  <c r="G292" i="13"/>
  <c r="E292" i="13"/>
  <c r="G291" i="13"/>
  <c r="E291" i="13"/>
  <c r="G290" i="13"/>
  <c r="E290" i="13"/>
  <c r="G289" i="13"/>
  <c r="E289" i="13"/>
  <c r="G288" i="13"/>
  <c r="E288" i="13"/>
  <c r="G287" i="13"/>
  <c r="E287" i="13"/>
  <c r="G286" i="13"/>
  <c r="E286" i="13"/>
  <c r="G285" i="13"/>
  <c r="E285" i="13"/>
  <c r="G284" i="13"/>
  <c r="E284" i="13"/>
  <c r="G283" i="13"/>
  <c r="E283" i="13"/>
  <c r="G282" i="13"/>
  <c r="E282" i="13"/>
  <c r="G281" i="13"/>
  <c r="E281" i="13"/>
  <c r="G280" i="13"/>
  <c r="E280" i="13"/>
  <c r="G279" i="13"/>
  <c r="E279" i="13"/>
  <c r="G278" i="13"/>
  <c r="E278" i="13"/>
  <c r="G277" i="13"/>
  <c r="E277" i="13"/>
  <c r="G276" i="13"/>
  <c r="E276" i="13"/>
  <c r="G275" i="13"/>
  <c r="E275" i="13"/>
  <c r="G274" i="13"/>
  <c r="E274" i="13"/>
  <c r="G273" i="13"/>
  <c r="E273" i="13"/>
  <c r="G272" i="13"/>
  <c r="E272" i="13"/>
  <c r="G271" i="13"/>
  <c r="E271" i="13"/>
  <c r="G270" i="13"/>
  <c r="E270" i="13"/>
  <c r="G269" i="13"/>
  <c r="E269" i="13"/>
  <c r="G268" i="13"/>
  <c r="E268" i="13"/>
  <c r="G267" i="13"/>
  <c r="E267" i="13"/>
  <c r="G266" i="13"/>
  <c r="E266" i="13"/>
  <c r="G265" i="13"/>
  <c r="E265" i="13"/>
  <c r="G264" i="13"/>
  <c r="E264" i="13"/>
  <c r="G263" i="13"/>
  <c r="E263" i="13"/>
  <c r="G262" i="13"/>
  <c r="E262" i="13"/>
  <c r="G261" i="13"/>
  <c r="E261" i="13"/>
  <c r="G260" i="13"/>
  <c r="E260" i="13"/>
  <c r="G259" i="13"/>
  <c r="E259" i="13"/>
  <c r="G258" i="13"/>
  <c r="E258" i="13"/>
  <c r="G257" i="13"/>
  <c r="E257" i="13"/>
  <c r="G256" i="13"/>
  <c r="E256" i="13"/>
  <c r="G255" i="13"/>
  <c r="E255" i="13"/>
  <c r="G254" i="13"/>
  <c r="E254" i="13"/>
  <c r="G253" i="13"/>
  <c r="E253" i="13"/>
  <c r="G252" i="13"/>
  <c r="E252" i="13"/>
  <c r="G251" i="13"/>
  <c r="E251" i="13"/>
  <c r="G250" i="13"/>
  <c r="E250" i="13"/>
  <c r="G249" i="13"/>
  <c r="E249" i="13"/>
  <c r="G248" i="13"/>
  <c r="E248" i="13"/>
  <c r="G247" i="13"/>
  <c r="E247" i="13"/>
  <c r="G246" i="13"/>
  <c r="E246" i="13"/>
  <c r="G245" i="13"/>
  <c r="E245" i="13"/>
  <c r="G244" i="13"/>
  <c r="E244" i="13"/>
  <c r="G243" i="13"/>
  <c r="E243" i="13"/>
  <c r="G242" i="13"/>
  <c r="E242" i="13"/>
  <c r="G241" i="13"/>
  <c r="E241" i="13"/>
  <c r="G240" i="13"/>
  <c r="E240" i="13"/>
  <c r="G239" i="13"/>
  <c r="E239" i="13"/>
  <c r="G238" i="13"/>
  <c r="E238" i="13"/>
  <c r="G237" i="13"/>
  <c r="E237" i="13"/>
  <c r="G236" i="13"/>
  <c r="E236" i="13"/>
  <c r="G235" i="13"/>
  <c r="E235" i="13"/>
  <c r="G234" i="13"/>
  <c r="E234" i="13"/>
  <c r="G233" i="13"/>
  <c r="E233" i="13"/>
  <c r="G232" i="13"/>
  <c r="E232" i="13"/>
  <c r="G231" i="13"/>
  <c r="E231" i="13"/>
  <c r="G230" i="13"/>
  <c r="E230" i="13"/>
  <c r="G229" i="13"/>
  <c r="E229" i="13"/>
  <c r="G228" i="13"/>
  <c r="E228" i="13"/>
  <c r="G227" i="13"/>
  <c r="E227" i="13"/>
  <c r="G226" i="13"/>
  <c r="E226" i="13"/>
  <c r="G225" i="13"/>
  <c r="E225" i="13"/>
  <c r="G224" i="13"/>
  <c r="E224" i="13"/>
  <c r="G223" i="13"/>
  <c r="E223" i="13"/>
  <c r="G222" i="13"/>
  <c r="E222" i="13"/>
  <c r="G221" i="13"/>
  <c r="E221" i="13"/>
  <c r="G220" i="13"/>
  <c r="E220" i="13"/>
  <c r="G219" i="13"/>
  <c r="E219" i="13"/>
  <c r="G218" i="13"/>
  <c r="E218" i="13"/>
  <c r="G217" i="13"/>
  <c r="E217" i="13"/>
  <c r="G216" i="13"/>
  <c r="E216" i="13"/>
  <c r="G215" i="13"/>
  <c r="E215" i="13"/>
  <c r="G214" i="13"/>
  <c r="E214" i="13"/>
  <c r="G213" i="13"/>
  <c r="E213" i="13"/>
  <c r="G212" i="13"/>
  <c r="E212" i="13"/>
  <c r="G211" i="13"/>
  <c r="E211" i="13"/>
  <c r="G210" i="13"/>
  <c r="E210" i="13"/>
  <c r="G209" i="13"/>
  <c r="E209" i="13"/>
  <c r="G208" i="13"/>
  <c r="E208" i="13"/>
  <c r="G207" i="13"/>
  <c r="E207" i="13"/>
  <c r="G206" i="13"/>
  <c r="E206" i="13"/>
  <c r="G205" i="13"/>
  <c r="E205" i="13"/>
  <c r="G204" i="13"/>
  <c r="E204" i="13"/>
  <c r="G203" i="13"/>
  <c r="E203" i="13"/>
  <c r="G202" i="13"/>
  <c r="E202" i="13"/>
  <c r="G201" i="13"/>
  <c r="E201" i="13"/>
  <c r="G200" i="13"/>
  <c r="E200" i="13"/>
  <c r="G199" i="13"/>
  <c r="E199" i="13"/>
  <c r="G198" i="13"/>
  <c r="E198" i="13"/>
  <c r="G197" i="13"/>
  <c r="E197" i="13"/>
  <c r="G196" i="13"/>
  <c r="E196" i="13"/>
  <c r="G195" i="13"/>
  <c r="E195" i="13"/>
  <c r="G194" i="13"/>
  <c r="E194" i="13"/>
  <c r="G193" i="13"/>
  <c r="E193" i="13"/>
  <c r="G192" i="13"/>
  <c r="E192" i="13"/>
  <c r="G191" i="13"/>
  <c r="E191" i="13"/>
  <c r="G190" i="13"/>
  <c r="E190" i="13"/>
  <c r="G189" i="13"/>
  <c r="E189" i="13"/>
  <c r="G188" i="13"/>
  <c r="E188" i="13"/>
  <c r="G187" i="13"/>
  <c r="E187" i="13"/>
  <c r="G186" i="13"/>
  <c r="E186" i="13"/>
  <c r="G185" i="13"/>
  <c r="E185" i="13"/>
  <c r="G184" i="13"/>
  <c r="E184" i="13"/>
  <c r="G183" i="13"/>
  <c r="E183" i="13"/>
  <c r="G182" i="13"/>
  <c r="E182" i="13"/>
  <c r="G181" i="13"/>
  <c r="E181" i="13"/>
  <c r="G180" i="13"/>
  <c r="E180" i="13"/>
  <c r="G179" i="13"/>
  <c r="E179" i="13"/>
  <c r="G178" i="13"/>
  <c r="E178" i="13"/>
  <c r="G177" i="13"/>
  <c r="E177" i="13"/>
  <c r="G176" i="13"/>
  <c r="E176" i="13"/>
  <c r="G175" i="13"/>
  <c r="E175" i="13"/>
  <c r="G174" i="13"/>
  <c r="E174" i="13"/>
  <c r="G173" i="13"/>
  <c r="E173" i="13"/>
  <c r="G172" i="13"/>
  <c r="E172" i="13"/>
  <c r="G171" i="13"/>
  <c r="E171" i="13"/>
  <c r="G170" i="13"/>
  <c r="E170" i="13"/>
  <c r="G169" i="13"/>
  <c r="E169" i="13"/>
  <c r="G168" i="13"/>
  <c r="E168" i="13"/>
  <c r="G167" i="13"/>
  <c r="E167" i="13"/>
  <c r="G166" i="13"/>
  <c r="E166" i="13"/>
  <c r="G165" i="13"/>
  <c r="E165" i="13"/>
  <c r="G164" i="13"/>
  <c r="E164" i="13"/>
  <c r="G163" i="13"/>
  <c r="E163" i="13"/>
  <c r="G162" i="13"/>
  <c r="E162" i="13"/>
  <c r="G161" i="13"/>
  <c r="E161" i="13"/>
  <c r="G160" i="13"/>
  <c r="E160" i="13"/>
  <c r="G159" i="13"/>
  <c r="E159" i="13"/>
  <c r="G158" i="13"/>
  <c r="E158" i="13"/>
  <c r="G157" i="13"/>
  <c r="E157" i="13"/>
  <c r="G156" i="13"/>
  <c r="E156" i="13"/>
  <c r="G155" i="13"/>
  <c r="E155" i="13"/>
  <c r="G154" i="13"/>
  <c r="E154" i="13"/>
  <c r="G153" i="13"/>
  <c r="E153" i="13"/>
  <c r="G152" i="13"/>
  <c r="E152" i="13"/>
  <c r="G151" i="13"/>
  <c r="E151" i="13"/>
  <c r="G150" i="13"/>
  <c r="E150" i="13"/>
  <c r="G149" i="13"/>
  <c r="E149" i="13"/>
  <c r="G148" i="13"/>
  <c r="E148" i="13"/>
  <c r="G147" i="13"/>
  <c r="E147" i="13"/>
  <c r="G146" i="13"/>
  <c r="E146" i="13"/>
  <c r="G145" i="13"/>
  <c r="E145" i="13"/>
  <c r="G144" i="13"/>
  <c r="E144" i="13"/>
  <c r="G143" i="13"/>
  <c r="E143" i="13"/>
  <c r="G142" i="13"/>
  <c r="E142" i="13"/>
  <c r="G141" i="13"/>
  <c r="E141" i="13"/>
  <c r="G140" i="13"/>
  <c r="E140" i="13"/>
  <c r="G139" i="13"/>
  <c r="E139" i="13"/>
  <c r="G138" i="13"/>
  <c r="E138" i="13"/>
  <c r="G137" i="13"/>
  <c r="E137" i="13"/>
  <c r="G136" i="13"/>
  <c r="E136" i="13"/>
  <c r="G135" i="13"/>
  <c r="E135" i="13"/>
  <c r="G134" i="13"/>
  <c r="E134" i="13"/>
  <c r="G133" i="13"/>
  <c r="E133" i="13"/>
  <c r="G132" i="13"/>
  <c r="E132" i="13"/>
  <c r="G131" i="13"/>
  <c r="E131" i="13"/>
  <c r="G130" i="13"/>
  <c r="E130" i="13"/>
  <c r="G129" i="13"/>
  <c r="E129" i="13"/>
  <c r="G128" i="13"/>
  <c r="E128" i="13"/>
  <c r="G127" i="13"/>
  <c r="E127" i="13"/>
  <c r="G126" i="13"/>
  <c r="E126" i="13"/>
  <c r="G125" i="13"/>
  <c r="E125" i="13"/>
  <c r="G124" i="13"/>
  <c r="E124" i="13"/>
  <c r="G123" i="13"/>
  <c r="E123" i="13"/>
  <c r="G122" i="13"/>
  <c r="E122" i="13"/>
  <c r="G121" i="13"/>
  <c r="E121" i="13"/>
  <c r="G120" i="13"/>
  <c r="E120" i="13"/>
  <c r="G119" i="13"/>
  <c r="E119" i="13"/>
  <c r="G118" i="13"/>
  <c r="E118" i="13"/>
  <c r="G117" i="13"/>
  <c r="E117" i="13"/>
  <c r="G116" i="13"/>
  <c r="E116" i="13"/>
  <c r="G115" i="13"/>
  <c r="E115" i="13"/>
  <c r="G114" i="13"/>
  <c r="E114" i="13"/>
  <c r="G113" i="13"/>
  <c r="E113" i="13"/>
  <c r="G112" i="13"/>
  <c r="E112" i="13"/>
  <c r="G111" i="13"/>
  <c r="E111" i="13"/>
  <c r="G110" i="13"/>
  <c r="E110" i="13"/>
  <c r="G109" i="13"/>
  <c r="E109" i="13"/>
  <c r="G108" i="13"/>
  <c r="E108" i="13"/>
  <c r="G107" i="13"/>
  <c r="E107" i="13"/>
  <c r="G106" i="13"/>
  <c r="E106" i="13"/>
  <c r="G105" i="13"/>
  <c r="E105" i="13"/>
  <c r="G104" i="13"/>
  <c r="E104" i="13"/>
  <c r="G103" i="13"/>
  <c r="E103" i="13"/>
  <c r="G102" i="13"/>
  <c r="E102" i="13"/>
  <c r="G101" i="13"/>
  <c r="E101" i="13"/>
  <c r="G100" i="13"/>
  <c r="E100" i="13"/>
  <c r="G99" i="13"/>
  <c r="E99" i="13"/>
  <c r="G98" i="13"/>
  <c r="E98" i="13"/>
  <c r="G97" i="13"/>
  <c r="E97" i="13"/>
  <c r="G96" i="13"/>
  <c r="E96" i="13"/>
  <c r="G95" i="13"/>
  <c r="E95" i="13"/>
  <c r="G94" i="13"/>
  <c r="E94" i="13"/>
  <c r="G93" i="13"/>
  <c r="E93" i="13"/>
  <c r="G92" i="13"/>
  <c r="E92" i="13"/>
  <c r="G91" i="13"/>
  <c r="E91" i="13"/>
  <c r="G90" i="13"/>
  <c r="E90" i="13"/>
  <c r="G89" i="13"/>
  <c r="E89" i="13"/>
  <c r="G88" i="13"/>
  <c r="E88" i="13"/>
  <c r="G87" i="13"/>
  <c r="E87" i="13"/>
  <c r="G86" i="13"/>
  <c r="E86" i="13"/>
  <c r="G85" i="13"/>
  <c r="E85" i="13"/>
  <c r="G84" i="13"/>
  <c r="E84" i="13"/>
  <c r="G83" i="13"/>
  <c r="E83" i="13"/>
  <c r="G82" i="13"/>
  <c r="E82" i="13"/>
  <c r="G81" i="13"/>
  <c r="E81" i="13"/>
  <c r="G80" i="13"/>
  <c r="E80" i="13"/>
  <c r="G79" i="13"/>
  <c r="E79" i="13"/>
  <c r="G78" i="13"/>
  <c r="E78" i="13"/>
  <c r="G77" i="13"/>
  <c r="E77" i="13"/>
  <c r="G76" i="13"/>
  <c r="E76" i="13"/>
  <c r="G75" i="13"/>
  <c r="E75" i="13"/>
  <c r="G74" i="13"/>
  <c r="E74" i="13"/>
  <c r="G73" i="13"/>
  <c r="E73" i="13"/>
  <c r="G72" i="13"/>
  <c r="E72" i="13"/>
  <c r="G71" i="13"/>
  <c r="E71" i="13"/>
  <c r="G70" i="13"/>
  <c r="E70" i="13"/>
  <c r="G69" i="13"/>
  <c r="E69" i="13"/>
  <c r="G68" i="13"/>
  <c r="E68" i="13"/>
  <c r="G67" i="13"/>
  <c r="E67" i="13"/>
  <c r="G66" i="13"/>
  <c r="E66" i="13"/>
  <c r="G65" i="13"/>
  <c r="E65" i="13"/>
  <c r="G64" i="13"/>
  <c r="E64" i="13"/>
  <c r="G63" i="13"/>
  <c r="E63" i="13"/>
  <c r="G62" i="13"/>
  <c r="E62" i="13"/>
  <c r="G61" i="13"/>
  <c r="E61" i="13"/>
  <c r="G60" i="13"/>
  <c r="E60" i="13"/>
  <c r="G59" i="13"/>
  <c r="E59" i="13"/>
  <c r="G58" i="13"/>
  <c r="E58" i="13"/>
  <c r="G57" i="13"/>
  <c r="E57" i="13"/>
  <c r="G56" i="13"/>
  <c r="E56" i="13"/>
  <c r="G55" i="13"/>
  <c r="E55" i="13"/>
  <c r="G54" i="13"/>
  <c r="E54" i="13"/>
  <c r="G53" i="13"/>
  <c r="E53" i="13"/>
  <c r="G52" i="13"/>
  <c r="E52" i="13"/>
  <c r="G51" i="13"/>
  <c r="E51" i="13"/>
  <c r="G50" i="13"/>
  <c r="E50" i="13"/>
  <c r="G49" i="13"/>
  <c r="E49" i="13"/>
  <c r="G48" i="13"/>
  <c r="E48" i="13"/>
  <c r="G47" i="13"/>
  <c r="E47" i="13"/>
  <c r="G46" i="13"/>
  <c r="E46" i="13"/>
  <c r="G45" i="13"/>
  <c r="E45" i="13"/>
  <c r="G44" i="13"/>
  <c r="E44" i="13"/>
  <c r="G43" i="13"/>
  <c r="E43" i="13"/>
  <c r="G42" i="13"/>
  <c r="E42" i="13"/>
  <c r="G41" i="13"/>
  <c r="E41" i="13"/>
  <c r="G40" i="13"/>
  <c r="E40" i="13"/>
  <c r="G39" i="13"/>
  <c r="E39" i="13"/>
  <c r="G38" i="13"/>
  <c r="E38" i="13"/>
  <c r="G37" i="13"/>
  <c r="E37" i="13"/>
  <c r="G36" i="13"/>
  <c r="E36" i="13"/>
  <c r="G35" i="13"/>
  <c r="E35" i="13"/>
  <c r="G34" i="13"/>
  <c r="E34" i="13"/>
  <c r="G33" i="13"/>
  <c r="E33" i="13"/>
  <c r="G32" i="13"/>
  <c r="E32" i="13"/>
  <c r="G31" i="13"/>
  <c r="E31" i="13"/>
  <c r="G30" i="13"/>
  <c r="E30" i="13"/>
  <c r="G29" i="13"/>
  <c r="E29" i="13"/>
  <c r="G28" i="13"/>
  <c r="E28" i="13"/>
  <c r="G27" i="13"/>
  <c r="E27" i="13"/>
  <c r="G26" i="13"/>
  <c r="E26" i="13"/>
  <c r="G25" i="13"/>
  <c r="E25" i="13"/>
  <c r="G24" i="13"/>
  <c r="E24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G6" i="13"/>
  <c r="E6" i="13"/>
  <c r="G5" i="13"/>
  <c r="E5" i="13"/>
  <c r="G4" i="13"/>
  <c r="M24" i="12"/>
  <c r="G24" i="12"/>
  <c r="F23" i="12"/>
  <c r="F22" i="12"/>
  <c r="F21" i="12"/>
  <c r="F20" i="12"/>
  <c r="F19" i="12"/>
  <c r="F18" i="12"/>
  <c r="E23" i="1" s="1"/>
  <c r="F17" i="12"/>
  <c r="F16" i="12"/>
  <c r="F15" i="12"/>
  <c r="E27" i="1" s="1"/>
  <c r="F14" i="12"/>
  <c r="F13" i="12"/>
  <c r="F12" i="12"/>
  <c r="F11" i="12"/>
  <c r="F10" i="12"/>
  <c r="E25" i="1" s="1"/>
  <c r="F9" i="12"/>
  <c r="F8" i="12"/>
  <c r="F7" i="12"/>
  <c r="F6" i="12"/>
  <c r="F5" i="12"/>
  <c r="F4" i="12"/>
  <c r="C2" i="12"/>
  <c r="F2002" i="11"/>
  <c r="G2000" i="11"/>
  <c r="E2000" i="11"/>
  <c r="G1999" i="11"/>
  <c r="E1999" i="11"/>
  <c r="G1998" i="11"/>
  <c r="E1998" i="11"/>
  <c r="G1997" i="11"/>
  <c r="E1997" i="11"/>
  <c r="G1996" i="11"/>
  <c r="E1996" i="11"/>
  <c r="G1995" i="11"/>
  <c r="E1995" i="11"/>
  <c r="G1994" i="11"/>
  <c r="E1994" i="11"/>
  <c r="G1993" i="11"/>
  <c r="E1993" i="11"/>
  <c r="G1992" i="11"/>
  <c r="E1992" i="11"/>
  <c r="G1991" i="11"/>
  <c r="E1991" i="11"/>
  <c r="G1990" i="11"/>
  <c r="E1990" i="11"/>
  <c r="G1989" i="11"/>
  <c r="E1989" i="11"/>
  <c r="G1988" i="11"/>
  <c r="E1988" i="11"/>
  <c r="G1987" i="11"/>
  <c r="E1987" i="11"/>
  <c r="G1986" i="11"/>
  <c r="E1986" i="11"/>
  <c r="G1985" i="11"/>
  <c r="E1985" i="11"/>
  <c r="G1984" i="11"/>
  <c r="E1984" i="11"/>
  <c r="G1983" i="11"/>
  <c r="E1983" i="11"/>
  <c r="G1982" i="11"/>
  <c r="E1982" i="11"/>
  <c r="G1981" i="11"/>
  <c r="E1981" i="11"/>
  <c r="G1980" i="11"/>
  <c r="E1980" i="11"/>
  <c r="G1979" i="11"/>
  <c r="E1979" i="11"/>
  <c r="G1978" i="11"/>
  <c r="E1978" i="11"/>
  <c r="G1977" i="11"/>
  <c r="E1977" i="11"/>
  <c r="G1976" i="11"/>
  <c r="E1976" i="11"/>
  <c r="G1975" i="11"/>
  <c r="E1975" i="11"/>
  <c r="G1974" i="11"/>
  <c r="E1974" i="11"/>
  <c r="G1973" i="11"/>
  <c r="E1973" i="11"/>
  <c r="G1972" i="11"/>
  <c r="E1972" i="11"/>
  <c r="G1971" i="11"/>
  <c r="E1971" i="11"/>
  <c r="G1970" i="11"/>
  <c r="E1970" i="11"/>
  <c r="G1969" i="11"/>
  <c r="E1969" i="11"/>
  <c r="G1968" i="11"/>
  <c r="E1968" i="11"/>
  <c r="G1967" i="11"/>
  <c r="E1967" i="11"/>
  <c r="G1966" i="11"/>
  <c r="E1966" i="11"/>
  <c r="G1965" i="11"/>
  <c r="E1965" i="11"/>
  <c r="G1964" i="11"/>
  <c r="E1964" i="11"/>
  <c r="G1963" i="11"/>
  <c r="E1963" i="11"/>
  <c r="G1962" i="11"/>
  <c r="E1962" i="11"/>
  <c r="G1961" i="11"/>
  <c r="E1961" i="11"/>
  <c r="G1960" i="11"/>
  <c r="E1960" i="11"/>
  <c r="G1959" i="11"/>
  <c r="E1959" i="11"/>
  <c r="G1958" i="11"/>
  <c r="E1958" i="11"/>
  <c r="G1957" i="11"/>
  <c r="E1957" i="11"/>
  <c r="G1956" i="11"/>
  <c r="E1956" i="11"/>
  <c r="G1955" i="11"/>
  <c r="E1955" i="11"/>
  <c r="G1954" i="11"/>
  <c r="E1954" i="11"/>
  <c r="G1953" i="11"/>
  <c r="E1953" i="11"/>
  <c r="G1952" i="11"/>
  <c r="E1952" i="11"/>
  <c r="G1951" i="11"/>
  <c r="E1951" i="11"/>
  <c r="G1950" i="11"/>
  <c r="E1950" i="11"/>
  <c r="G1949" i="11"/>
  <c r="E1949" i="11"/>
  <c r="G1948" i="11"/>
  <c r="E1948" i="11"/>
  <c r="G1947" i="11"/>
  <c r="E1947" i="11"/>
  <c r="G1946" i="11"/>
  <c r="E1946" i="11"/>
  <c r="G1945" i="11"/>
  <c r="E1945" i="11"/>
  <c r="G1944" i="11"/>
  <c r="E1944" i="11"/>
  <c r="G1943" i="11"/>
  <c r="E1943" i="11"/>
  <c r="G1942" i="11"/>
  <c r="E1942" i="11"/>
  <c r="G1941" i="11"/>
  <c r="E1941" i="11"/>
  <c r="G1940" i="11"/>
  <c r="E1940" i="11"/>
  <c r="G1939" i="11"/>
  <c r="E1939" i="11"/>
  <c r="G1938" i="11"/>
  <c r="E1938" i="11"/>
  <c r="G1937" i="11"/>
  <c r="E1937" i="11"/>
  <c r="G1936" i="11"/>
  <c r="E1936" i="11"/>
  <c r="G1935" i="11"/>
  <c r="E1935" i="11"/>
  <c r="G1934" i="11"/>
  <c r="E1934" i="11"/>
  <c r="G1933" i="11"/>
  <c r="E1933" i="11"/>
  <c r="G1932" i="11"/>
  <c r="E1932" i="11"/>
  <c r="G1931" i="11"/>
  <c r="E1931" i="11"/>
  <c r="G1930" i="11"/>
  <c r="E1930" i="11"/>
  <c r="G1929" i="11"/>
  <c r="E1929" i="11"/>
  <c r="G1928" i="11"/>
  <c r="E1928" i="11"/>
  <c r="G1927" i="11"/>
  <c r="E1927" i="11"/>
  <c r="G1926" i="11"/>
  <c r="E1926" i="11"/>
  <c r="G1925" i="11"/>
  <c r="E1925" i="11"/>
  <c r="G1924" i="11"/>
  <c r="E1924" i="11"/>
  <c r="G1923" i="11"/>
  <c r="E1923" i="11"/>
  <c r="G1922" i="11"/>
  <c r="E1922" i="11"/>
  <c r="G1921" i="11"/>
  <c r="E1921" i="11"/>
  <c r="G1920" i="11"/>
  <c r="E1920" i="11"/>
  <c r="G1919" i="11"/>
  <c r="E1919" i="11"/>
  <c r="G1918" i="11"/>
  <c r="E1918" i="11"/>
  <c r="G1917" i="11"/>
  <c r="E1917" i="11"/>
  <c r="G1916" i="11"/>
  <c r="E1916" i="11"/>
  <c r="G1915" i="11"/>
  <c r="E1915" i="11"/>
  <c r="G1914" i="11"/>
  <c r="E1914" i="11"/>
  <c r="G1913" i="11"/>
  <c r="E1913" i="11"/>
  <c r="G1912" i="11"/>
  <c r="E1912" i="11"/>
  <c r="G1911" i="11"/>
  <c r="E1911" i="11"/>
  <c r="G1910" i="11"/>
  <c r="E1910" i="11"/>
  <c r="G1909" i="11"/>
  <c r="E1909" i="11"/>
  <c r="G1908" i="11"/>
  <c r="E1908" i="11"/>
  <c r="G1907" i="11"/>
  <c r="E1907" i="11"/>
  <c r="G1906" i="11"/>
  <c r="E1906" i="11"/>
  <c r="G1905" i="11"/>
  <c r="E1905" i="11"/>
  <c r="G1904" i="11"/>
  <c r="E1904" i="11"/>
  <c r="G1903" i="11"/>
  <c r="E1903" i="11"/>
  <c r="G1902" i="11"/>
  <c r="E1902" i="11"/>
  <c r="G1901" i="11"/>
  <c r="E1901" i="11"/>
  <c r="G1900" i="11"/>
  <c r="E1900" i="11"/>
  <c r="G1899" i="11"/>
  <c r="E1899" i="11"/>
  <c r="G1898" i="11"/>
  <c r="E1898" i="11"/>
  <c r="G1897" i="11"/>
  <c r="E1897" i="11"/>
  <c r="G1896" i="11"/>
  <c r="E1896" i="11"/>
  <c r="G1895" i="11"/>
  <c r="E1895" i="11"/>
  <c r="G1894" i="11"/>
  <c r="E1894" i="11"/>
  <c r="G1893" i="11"/>
  <c r="E1893" i="11"/>
  <c r="G1892" i="11"/>
  <c r="E1892" i="11"/>
  <c r="G1891" i="11"/>
  <c r="E1891" i="11"/>
  <c r="G1890" i="11"/>
  <c r="E1890" i="11"/>
  <c r="G1889" i="11"/>
  <c r="E1889" i="11"/>
  <c r="G1888" i="11"/>
  <c r="E1888" i="11"/>
  <c r="G1887" i="11"/>
  <c r="E1887" i="11"/>
  <c r="G1886" i="11"/>
  <c r="E1886" i="11"/>
  <c r="G1885" i="11"/>
  <c r="E1885" i="11"/>
  <c r="G1884" i="11"/>
  <c r="E1884" i="11"/>
  <c r="G1883" i="11"/>
  <c r="E1883" i="11"/>
  <c r="G1882" i="11"/>
  <c r="E1882" i="11"/>
  <c r="G1881" i="11"/>
  <c r="E1881" i="11"/>
  <c r="G1880" i="11"/>
  <c r="E1880" i="11"/>
  <c r="G1879" i="11"/>
  <c r="E1879" i="11"/>
  <c r="G1878" i="11"/>
  <c r="E1878" i="11"/>
  <c r="G1877" i="11"/>
  <c r="E1877" i="11"/>
  <c r="G1876" i="11"/>
  <c r="E1876" i="11"/>
  <c r="G1875" i="11"/>
  <c r="E1875" i="11"/>
  <c r="G1874" i="11"/>
  <c r="E1874" i="11"/>
  <c r="G1873" i="11"/>
  <c r="E1873" i="11"/>
  <c r="G1872" i="11"/>
  <c r="E1872" i="11"/>
  <c r="G1871" i="11"/>
  <c r="E1871" i="11"/>
  <c r="G1870" i="11"/>
  <c r="E1870" i="11"/>
  <c r="G1869" i="11"/>
  <c r="E1869" i="11"/>
  <c r="G1868" i="11"/>
  <c r="E1868" i="11"/>
  <c r="G1867" i="11"/>
  <c r="E1867" i="11"/>
  <c r="G1866" i="11"/>
  <c r="E1866" i="11"/>
  <c r="G1865" i="11"/>
  <c r="E1865" i="11"/>
  <c r="G1864" i="11"/>
  <c r="E1864" i="11"/>
  <c r="G1863" i="11"/>
  <c r="E1863" i="11"/>
  <c r="G1862" i="11"/>
  <c r="E1862" i="11"/>
  <c r="G1861" i="11"/>
  <c r="E1861" i="11"/>
  <c r="G1860" i="11"/>
  <c r="E1860" i="11"/>
  <c r="G1859" i="11"/>
  <c r="E1859" i="11"/>
  <c r="G1858" i="11"/>
  <c r="E1858" i="11"/>
  <c r="G1857" i="11"/>
  <c r="E1857" i="11"/>
  <c r="G1856" i="11"/>
  <c r="E1856" i="11"/>
  <c r="G1855" i="11"/>
  <c r="E1855" i="11"/>
  <c r="G1854" i="11"/>
  <c r="E1854" i="11"/>
  <c r="G1853" i="11"/>
  <c r="E1853" i="11"/>
  <c r="G1852" i="11"/>
  <c r="E1852" i="11"/>
  <c r="G1851" i="11"/>
  <c r="E1851" i="11"/>
  <c r="G1850" i="11"/>
  <c r="E1850" i="11"/>
  <c r="G1849" i="11"/>
  <c r="E1849" i="11"/>
  <c r="G1848" i="11"/>
  <c r="E1848" i="11"/>
  <c r="G1847" i="11"/>
  <c r="E1847" i="11"/>
  <c r="G1846" i="11"/>
  <c r="E1846" i="11"/>
  <c r="G1845" i="11"/>
  <c r="E1845" i="11"/>
  <c r="G1844" i="11"/>
  <c r="E1844" i="11"/>
  <c r="G1843" i="11"/>
  <c r="E1843" i="11"/>
  <c r="G1842" i="11"/>
  <c r="E1842" i="11"/>
  <c r="G1841" i="11"/>
  <c r="E1841" i="11"/>
  <c r="G1840" i="11"/>
  <c r="E1840" i="11"/>
  <c r="G1839" i="11"/>
  <c r="E1839" i="11"/>
  <c r="G1838" i="11"/>
  <c r="E1838" i="11"/>
  <c r="G1837" i="11"/>
  <c r="E1837" i="11"/>
  <c r="G1836" i="11"/>
  <c r="E1836" i="11"/>
  <c r="G1835" i="11"/>
  <c r="E1835" i="11"/>
  <c r="G1834" i="11"/>
  <c r="E1834" i="11"/>
  <c r="G1833" i="11"/>
  <c r="E1833" i="11"/>
  <c r="G1832" i="11"/>
  <c r="E1832" i="11"/>
  <c r="G1831" i="11"/>
  <c r="E1831" i="11"/>
  <c r="G1830" i="11"/>
  <c r="E1830" i="11"/>
  <c r="G1829" i="11"/>
  <c r="E1829" i="11"/>
  <c r="G1828" i="11"/>
  <c r="E1828" i="11"/>
  <c r="G1827" i="11"/>
  <c r="E1827" i="11"/>
  <c r="G1826" i="11"/>
  <c r="E1826" i="11"/>
  <c r="G1825" i="11"/>
  <c r="E1825" i="11"/>
  <c r="G1824" i="11"/>
  <c r="E1824" i="11"/>
  <c r="G1823" i="11"/>
  <c r="E1823" i="11"/>
  <c r="G1822" i="11"/>
  <c r="E1822" i="11"/>
  <c r="G1821" i="11"/>
  <c r="E1821" i="11"/>
  <c r="G1820" i="11"/>
  <c r="E1820" i="11"/>
  <c r="G1819" i="11"/>
  <c r="E1819" i="11"/>
  <c r="G1818" i="11"/>
  <c r="E1818" i="11"/>
  <c r="G1817" i="11"/>
  <c r="E1817" i="11"/>
  <c r="G1816" i="11"/>
  <c r="E1816" i="11"/>
  <c r="G1815" i="11"/>
  <c r="E1815" i="11"/>
  <c r="G1814" i="11"/>
  <c r="E1814" i="11"/>
  <c r="G1813" i="11"/>
  <c r="E1813" i="11"/>
  <c r="G1812" i="11"/>
  <c r="E1812" i="11"/>
  <c r="G1811" i="11"/>
  <c r="E1811" i="11"/>
  <c r="G1810" i="11"/>
  <c r="E1810" i="11"/>
  <c r="G1809" i="11"/>
  <c r="E1809" i="11"/>
  <c r="G1808" i="11"/>
  <c r="E1808" i="11"/>
  <c r="G1807" i="11"/>
  <c r="E1807" i="11"/>
  <c r="G1806" i="11"/>
  <c r="E1806" i="11"/>
  <c r="G1805" i="11"/>
  <c r="E1805" i="11"/>
  <c r="G1804" i="11"/>
  <c r="E1804" i="11"/>
  <c r="G1803" i="11"/>
  <c r="E1803" i="11"/>
  <c r="G1802" i="11"/>
  <c r="E1802" i="11"/>
  <c r="G1801" i="11"/>
  <c r="E1801" i="11"/>
  <c r="G1800" i="11"/>
  <c r="E1800" i="11"/>
  <c r="G1799" i="11"/>
  <c r="E1799" i="11"/>
  <c r="G1798" i="11"/>
  <c r="E1798" i="11"/>
  <c r="G1797" i="11"/>
  <c r="E1797" i="11"/>
  <c r="G1796" i="11"/>
  <c r="E1796" i="11"/>
  <c r="G1795" i="11"/>
  <c r="E1795" i="11"/>
  <c r="G1794" i="11"/>
  <c r="E1794" i="11"/>
  <c r="G1793" i="11"/>
  <c r="E1793" i="11"/>
  <c r="G1792" i="11"/>
  <c r="E1792" i="11"/>
  <c r="G1791" i="11"/>
  <c r="E1791" i="11"/>
  <c r="G1790" i="11"/>
  <c r="E1790" i="11"/>
  <c r="G1789" i="11"/>
  <c r="E1789" i="11"/>
  <c r="G1788" i="11"/>
  <c r="E1788" i="11"/>
  <c r="G1787" i="11"/>
  <c r="E1787" i="11"/>
  <c r="G1786" i="11"/>
  <c r="E1786" i="11"/>
  <c r="G1785" i="11"/>
  <c r="E1785" i="11"/>
  <c r="G1784" i="11"/>
  <c r="E1784" i="11"/>
  <c r="G1783" i="11"/>
  <c r="E1783" i="11"/>
  <c r="G1782" i="11"/>
  <c r="E1782" i="11"/>
  <c r="G1781" i="11"/>
  <c r="E1781" i="11"/>
  <c r="G1780" i="11"/>
  <c r="E1780" i="11"/>
  <c r="G1779" i="11"/>
  <c r="E1779" i="11"/>
  <c r="G1778" i="11"/>
  <c r="E1778" i="11"/>
  <c r="G1777" i="11"/>
  <c r="E1777" i="11"/>
  <c r="G1776" i="11"/>
  <c r="E1776" i="11"/>
  <c r="G1775" i="11"/>
  <c r="E1775" i="11"/>
  <c r="G1774" i="11"/>
  <c r="E1774" i="11"/>
  <c r="G1773" i="11"/>
  <c r="E1773" i="11"/>
  <c r="G1772" i="11"/>
  <c r="E1772" i="11"/>
  <c r="G1771" i="11"/>
  <c r="E1771" i="11"/>
  <c r="G1770" i="11"/>
  <c r="E1770" i="11"/>
  <c r="G1769" i="11"/>
  <c r="E1769" i="11"/>
  <c r="G1768" i="11"/>
  <c r="E1768" i="11"/>
  <c r="G1767" i="11"/>
  <c r="E1767" i="11"/>
  <c r="G1766" i="11"/>
  <c r="E1766" i="11"/>
  <c r="G1765" i="11"/>
  <c r="E1765" i="11"/>
  <c r="G1764" i="11"/>
  <c r="E1764" i="11"/>
  <c r="G1763" i="11"/>
  <c r="E1763" i="11"/>
  <c r="G1762" i="11"/>
  <c r="E1762" i="11"/>
  <c r="G1761" i="11"/>
  <c r="E1761" i="11"/>
  <c r="G1760" i="11"/>
  <c r="E1760" i="11"/>
  <c r="G1759" i="11"/>
  <c r="E1759" i="11"/>
  <c r="G1758" i="11"/>
  <c r="E1758" i="11"/>
  <c r="G1757" i="11"/>
  <c r="E1757" i="11"/>
  <c r="G1756" i="11"/>
  <c r="E1756" i="11"/>
  <c r="G1755" i="11"/>
  <c r="E1755" i="11"/>
  <c r="G1754" i="11"/>
  <c r="E1754" i="11"/>
  <c r="G1753" i="11"/>
  <c r="E1753" i="11"/>
  <c r="G1752" i="11"/>
  <c r="E1752" i="11"/>
  <c r="G1751" i="11"/>
  <c r="E1751" i="11"/>
  <c r="G1750" i="11"/>
  <c r="E1750" i="11"/>
  <c r="G1749" i="11"/>
  <c r="E1749" i="11"/>
  <c r="G1748" i="11"/>
  <c r="E1748" i="11"/>
  <c r="G1747" i="11"/>
  <c r="E1747" i="11"/>
  <c r="G1746" i="11"/>
  <c r="E1746" i="11"/>
  <c r="G1745" i="11"/>
  <c r="E1745" i="11"/>
  <c r="G1744" i="11"/>
  <c r="E1744" i="11"/>
  <c r="G1743" i="11"/>
  <c r="E1743" i="11"/>
  <c r="G1742" i="11"/>
  <c r="E1742" i="11"/>
  <c r="G1741" i="11"/>
  <c r="E1741" i="11"/>
  <c r="G1740" i="11"/>
  <c r="E1740" i="11"/>
  <c r="G1739" i="11"/>
  <c r="E1739" i="11"/>
  <c r="G1738" i="11"/>
  <c r="E1738" i="11"/>
  <c r="G1737" i="11"/>
  <c r="E1737" i="11"/>
  <c r="G1736" i="11"/>
  <c r="E1736" i="11"/>
  <c r="G1735" i="11"/>
  <c r="E1735" i="11"/>
  <c r="G1734" i="11"/>
  <c r="E1734" i="11"/>
  <c r="G1733" i="11"/>
  <c r="E1733" i="11"/>
  <c r="G1732" i="11"/>
  <c r="E1732" i="11"/>
  <c r="G1731" i="11"/>
  <c r="E1731" i="11"/>
  <c r="G1730" i="11"/>
  <c r="E1730" i="11"/>
  <c r="G1729" i="11"/>
  <c r="E1729" i="11"/>
  <c r="G1728" i="11"/>
  <c r="E1728" i="11"/>
  <c r="G1727" i="11"/>
  <c r="E1727" i="11"/>
  <c r="G1726" i="11"/>
  <c r="E1726" i="11"/>
  <c r="G1725" i="11"/>
  <c r="E1725" i="11"/>
  <c r="G1724" i="11"/>
  <c r="E1724" i="11"/>
  <c r="G1723" i="11"/>
  <c r="E1723" i="11"/>
  <c r="G1722" i="11"/>
  <c r="E1722" i="11"/>
  <c r="G1721" i="11"/>
  <c r="E1721" i="11"/>
  <c r="G1720" i="11"/>
  <c r="E1720" i="11"/>
  <c r="G1719" i="11"/>
  <c r="E1719" i="11"/>
  <c r="G1718" i="11"/>
  <c r="E1718" i="11"/>
  <c r="G1717" i="11"/>
  <c r="E1717" i="11"/>
  <c r="G1716" i="11"/>
  <c r="E1716" i="11"/>
  <c r="G1715" i="11"/>
  <c r="E1715" i="11"/>
  <c r="G1714" i="11"/>
  <c r="E1714" i="11"/>
  <c r="G1713" i="11"/>
  <c r="E1713" i="11"/>
  <c r="G1712" i="11"/>
  <c r="E1712" i="11"/>
  <c r="G1711" i="11"/>
  <c r="E1711" i="11"/>
  <c r="G1710" i="11"/>
  <c r="E1710" i="11"/>
  <c r="G1709" i="11"/>
  <c r="E1709" i="11"/>
  <c r="G1708" i="11"/>
  <c r="E1708" i="11"/>
  <c r="G1707" i="11"/>
  <c r="E1707" i="11"/>
  <c r="G1706" i="11"/>
  <c r="E1706" i="11"/>
  <c r="G1705" i="11"/>
  <c r="E1705" i="11"/>
  <c r="G1704" i="11"/>
  <c r="E1704" i="11"/>
  <c r="G1703" i="11"/>
  <c r="E1703" i="11"/>
  <c r="G1702" i="11"/>
  <c r="E1702" i="11"/>
  <c r="G1701" i="11"/>
  <c r="E1701" i="11"/>
  <c r="G1700" i="11"/>
  <c r="E1700" i="11"/>
  <c r="G1699" i="11"/>
  <c r="E1699" i="11"/>
  <c r="G1698" i="11"/>
  <c r="E1698" i="11"/>
  <c r="G1697" i="11"/>
  <c r="E1697" i="11"/>
  <c r="G1696" i="11"/>
  <c r="E1696" i="11"/>
  <c r="G1695" i="11"/>
  <c r="E1695" i="11"/>
  <c r="G1694" i="11"/>
  <c r="E1694" i="11"/>
  <c r="G1693" i="11"/>
  <c r="E1693" i="11"/>
  <c r="G1692" i="11"/>
  <c r="E1692" i="11"/>
  <c r="G1691" i="11"/>
  <c r="E1691" i="11"/>
  <c r="G1690" i="11"/>
  <c r="E1690" i="11"/>
  <c r="G1689" i="11"/>
  <c r="E1689" i="11"/>
  <c r="G1688" i="11"/>
  <c r="E1688" i="11"/>
  <c r="G1687" i="11"/>
  <c r="E1687" i="11"/>
  <c r="G1686" i="11"/>
  <c r="E1686" i="11"/>
  <c r="G1685" i="11"/>
  <c r="E1685" i="11"/>
  <c r="G1684" i="11"/>
  <c r="E1684" i="11"/>
  <c r="G1683" i="11"/>
  <c r="E1683" i="11"/>
  <c r="G1682" i="11"/>
  <c r="E1682" i="11"/>
  <c r="G1681" i="11"/>
  <c r="E1681" i="11"/>
  <c r="G1680" i="11"/>
  <c r="E1680" i="11"/>
  <c r="G1679" i="11"/>
  <c r="E1679" i="11"/>
  <c r="G1678" i="11"/>
  <c r="E1678" i="11"/>
  <c r="G1677" i="11"/>
  <c r="E1677" i="11"/>
  <c r="G1676" i="11"/>
  <c r="E1676" i="11"/>
  <c r="G1675" i="11"/>
  <c r="E1675" i="11"/>
  <c r="G1674" i="11"/>
  <c r="E1674" i="11"/>
  <c r="G1673" i="11"/>
  <c r="E1673" i="11"/>
  <c r="G1672" i="11"/>
  <c r="E1672" i="11"/>
  <c r="G1671" i="11"/>
  <c r="E1671" i="11"/>
  <c r="G1670" i="11"/>
  <c r="E1670" i="11"/>
  <c r="G1669" i="11"/>
  <c r="E1669" i="11"/>
  <c r="G1668" i="11"/>
  <c r="E1668" i="11"/>
  <c r="G1667" i="11"/>
  <c r="E1667" i="11"/>
  <c r="G1666" i="11"/>
  <c r="E1666" i="11"/>
  <c r="G1665" i="11"/>
  <c r="E1665" i="11"/>
  <c r="G1664" i="11"/>
  <c r="E1664" i="11"/>
  <c r="G1663" i="11"/>
  <c r="E1663" i="11"/>
  <c r="G1662" i="11"/>
  <c r="E1662" i="11"/>
  <c r="G1661" i="11"/>
  <c r="E1661" i="11"/>
  <c r="G1660" i="11"/>
  <c r="E1660" i="11"/>
  <c r="G1659" i="11"/>
  <c r="E1659" i="11"/>
  <c r="G1658" i="11"/>
  <c r="E1658" i="11"/>
  <c r="G1657" i="11"/>
  <c r="E1657" i="11"/>
  <c r="G1656" i="11"/>
  <c r="E1656" i="11"/>
  <c r="G1655" i="11"/>
  <c r="E1655" i="11"/>
  <c r="G1654" i="11"/>
  <c r="E1654" i="11"/>
  <c r="G1653" i="11"/>
  <c r="E1653" i="11"/>
  <c r="G1652" i="11"/>
  <c r="E1652" i="11"/>
  <c r="G1651" i="11"/>
  <c r="E1651" i="11"/>
  <c r="G1650" i="11"/>
  <c r="E1650" i="11"/>
  <c r="G1649" i="11"/>
  <c r="E1649" i="11"/>
  <c r="G1648" i="11"/>
  <c r="E1648" i="11"/>
  <c r="G1647" i="11"/>
  <c r="E1647" i="11"/>
  <c r="G1646" i="11"/>
  <c r="E1646" i="11"/>
  <c r="G1645" i="11"/>
  <c r="E1645" i="11"/>
  <c r="G1644" i="11"/>
  <c r="E1644" i="11"/>
  <c r="G1643" i="11"/>
  <c r="E1643" i="11"/>
  <c r="G1642" i="11"/>
  <c r="E1642" i="11"/>
  <c r="G1641" i="11"/>
  <c r="E1641" i="11"/>
  <c r="G1640" i="11"/>
  <c r="E1640" i="11"/>
  <c r="G1639" i="11"/>
  <c r="E1639" i="11"/>
  <c r="G1638" i="11"/>
  <c r="E1638" i="11"/>
  <c r="G1637" i="11"/>
  <c r="E1637" i="11"/>
  <c r="G1636" i="11"/>
  <c r="E1636" i="11"/>
  <c r="G1635" i="11"/>
  <c r="E1635" i="11"/>
  <c r="G1634" i="11"/>
  <c r="E1634" i="11"/>
  <c r="G1633" i="11"/>
  <c r="E1633" i="11"/>
  <c r="G1632" i="11"/>
  <c r="E1632" i="11"/>
  <c r="G1631" i="11"/>
  <c r="E1631" i="11"/>
  <c r="G1630" i="11"/>
  <c r="E1630" i="11"/>
  <c r="G1629" i="11"/>
  <c r="E1629" i="11"/>
  <c r="G1628" i="11"/>
  <c r="E1628" i="11"/>
  <c r="G1627" i="11"/>
  <c r="E1627" i="11"/>
  <c r="G1626" i="11"/>
  <c r="E1626" i="11"/>
  <c r="G1625" i="11"/>
  <c r="E1625" i="11"/>
  <c r="G1624" i="11"/>
  <c r="E1624" i="11"/>
  <c r="G1623" i="11"/>
  <c r="E1623" i="11"/>
  <c r="G1622" i="11"/>
  <c r="E1622" i="11"/>
  <c r="G1621" i="11"/>
  <c r="E1621" i="11"/>
  <c r="G1620" i="11"/>
  <c r="E1620" i="11"/>
  <c r="G1619" i="11"/>
  <c r="E1619" i="11"/>
  <c r="G1618" i="11"/>
  <c r="E1618" i="11"/>
  <c r="G1617" i="11"/>
  <c r="E1617" i="11"/>
  <c r="G1616" i="11"/>
  <c r="E1616" i="11"/>
  <c r="G1615" i="11"/>
  <c r="E1615" i="11"/>
  <c r="G1614" i="11"/>
  <c r="E1614" i="11"/>
  <c r="G1613" i="11"/>
  <c r="E1613" i="11"/>
  <c r="G1612" i="11"/>
  <c r="E1612" i="11"/>
  <c r="G1611" i="11"/>
  <c r="E1611" i="11"/>
  <c r="G1610" i="11"/>
  <c r="E1610" i="11"/>
  <c r="G1609" i="11"/>
  <c r="E1609" i="11"/>
  <c r="G1608" i="11"/>
  <c r="E1608" i="11"/>
  <c r="G1607" i="11"/>
  <c r="E1607" i="11"/>
  <c r="G1606" i="11"/>
  <c r="E1606" i="11"/>
  <c r="G1605" i="11"/>
  <c r="E1605" i="11"/>
  <c r="G1604" i="11"/>
  <c r="E1604" i="11"/>
  <c r="G1603" i="11"/>
  <c r="E1603" i="11"/>
  <c r="G1602" i="11"/>
  <c r="E1602" i="11"/>
  <c r="G1601" i="11"/>
  <c r="E1601" i="11"/>
  <c r="G1600" i="11"/>
  <c r="E1600" i="11"/>
  <c r="G1599" i="11"/>
  <c r="E1599" i="11"/>
  <c r="G1598" i="11"/>
  <c r="E1598" i="11"/>
  <c r="G1597" i="11"/>
  <c r="E1597" i="11"/>
  <c r="G1596" i="11"/>
  <c r="E1596" i="11"/>
  <c r="G1595" i="11"/>
  <c r="E1595" i="11"/>
  <c r="G1594" i="11"/>
  <c r="E1594" i="11"/>
  <c r="G1593" i="11"/>
  <c r="E1593" i="11"/>
  <c r="G1592" i="11"/>
  <c r="E1592" i="11"/>
  <c r="G1591" i="11"/>
  <c r="E1591" i="11"/>
  <c r="G1590" i="11"/>
  <c r="E1590" i="11"/>
  <c r="G1589" i="11"/>
  <c r="E1589" i="11"/>
  <c r="G1588" i="11"/>
  <c r="E1588" i="11"/>
  <c r="G1587" i="11"/>
  <c r="E1587" i="11"/>
  <c r="G1586" i="11"/>
  <c r="E1586" i="11"/>
  <c r="G1585" i="11"/>
  <c r="E1585" i="11"/>
  <c r="G1584" i="11"/>
  <c r="E1584" i="11"/>
  <c r="G1583" i="11"/>
  <c r="E1583" i="11"/>
  <c r="G1582" i="11"/>
  <c r="E1582" i="11"/>
  <c r="G1581" i="11"/>
  <c r="E1581" i="11"/>
  <c r="G1580" i="11"/>
  <c r="E1580" i="11"/>
  <c r="G1579" i="11"/>
  <c r="E1579" i="11"/>
  <c r="G1578" i="11"/>
  <c r="E1578" i="11"/>
  <c r="G1577" i="11"/>
  <c r="E1577" i="11"/>
  <c r="G1576" i="11"/>
  <c r="E1576" i="11"/>
  <c r="G1575" i="11"/>
  <c r="E1575" i="11"/>
  <c r="G1574" i="11"/>
  <c r="E1574" i="11"/>
  <c r="G1573" i="11"/>
  <c r="E1573" i="11"/>
  <c r="G1572" i="11"/>
  <c r="E1572" i="11"/>
  <c r="G1571" i="11"/>
  <c r="E1571" i="11"/>
  <c r="G1570" i="11"/>
  <c r="E1570" i="11"/>
  <c r="G1569" i="11"/>
  <c r="E1569" i="11"/>
  <c r="G1568" i="11"/>
  <c r="E1568" i="11"/>
  <c r="G1567" i="11"/>
  <c r="E1567" i="11"/>
  <c r="G1566" i="11"/>
  <c r="E1566" i="11"/>
  <c r="G1565" i="11"/>
  <c r="E1565" i="11"/>
  <c r="G1564" i="11"/>
  <c r="E1564" i="11"/>
  <c r="G1563" i="11"/>
  <c r="E1563" i="11"/>
  <c r="G1562" i="11"/>
  <c r="E1562" i="11"/>
  <c r="G1561" i="11"/>
  <c r="E1561" i="11"/>
  <c r="G1560" i="11"/>
  <c r="E1560" i="11"/>
  <c r="G1559" i="11"/>
  <c r="E1559" i="11"/>
  <c r="G1558" i="11"/>
  <c r="E1558" i="11"/>
  <c r="G1557" i="11"/>
  <c r="E1557" i="11"/>
  <c r="G1556" i="11"/>
  <c r="E1556" i="11"/>
  <c r="G1555" i="11"/>
  <c r="E1555" i="11"/>
  <c r="G1554" i="11"/>
  <c r="E1554" i="11"/>
  <c r="G1553" i="11"/>
  <c r="E1553" i="11"/>
  <c r="G1552" i="11"/>
  <c r="E1552" i="11"/>
  <c r="G1551" i="11"/>
  <c r="E1551" i="11"/>
  <c r="G1550" i="11"/>
  <c r="E1550" i="11"/>
  <c r="G1549" i="11"/>
  <c r="E1549" i="11"/>
  <c r="G1548" i="11"/>
  <c r="E1548" i="11"/>
  <c r="G1547" i="11"/>
  <c r="E1547" i="11"/>
  <c r="G1546" i="11"/>
  <c r="E1546" i="11"/>
  <c r="G1545" i="11"/>
  <c r="E1545" i="11"/>
  <c r="G1544" i="11"/>
  <c r="E1544" i="11"/>
  <c r="G1543" i="11"/>
  <c r="E1543" i="11"/>
  <c r="G1542" i="11"/>
  <c r="E1542" i="11"/>
  <c r="G1541" i="11"/>
  <c r="E1541" i="11"/>
  <c r="G1540" i="11"/>
  <c r="E1540" i="11"/>
  <c r="G1539" i="11"/>
  <c r="E1539" i="11"/>
  <c r="G1538" i="11"/>
  <c r="E1538" i="11"/>
  <c r="G1537" i="11"/>
  <c r="E1537" i="11"/>
  <c r="G1536" i="11"/>
  <c r="E1536" i="11"/>
  <c r="G1535" i="11"/>
  <c r="E1535" i="11"/>
  <c r="G1534" i="11"/>
  <c r="E1534" i="11"/>
  <c r="G1533" i="11"/>
  <c r="E1533" i="11"/>
  <c r="G1532" i="11"/>
  <c r="E1532" i="11"/>
  <c r="G1531" i="11"/>
  <c r="E1531" i="11"/>
  <c r="G1530" i="11"/>
  <c r="E1530" i="11"/>
  <c r="G1529" i="11"/>
  <c r="E1529" i="11"/>
  <c r="G1528" i="11"/>
  <c r="E1528" i="11"/>
  <c r="G1527" i="11"/>
  <c r="E1527" i="11"/>
  <c r="G1526" i="11"/>
  <c r="E1526" i="11"/>
  <c r="G1525" i="11"/>
  <c r="E1525" i="11"/>
  <c r="G1524" i="11"/>
  <c r="E1524" i="11"/>
  <c r="G1523" i="11"/>
  <c r="E1523" i="11"/>
  <c r="G1522" i="11"/>
  <c r="E1522" i="11"/>
  <c r="G1521" i="11"/>
  <c r="E1521" i="11"/>
  <c r="G1520" i="11"/>
  <c r="E1520" i="11"/>
  <c r="G1519" i="11"/>
  <c r="E1519" i="11"/>
  <c r="G1518" i="11"/>
  <c r="E1518" i="11"/>
  <c r="G1517" i="11"/>
  <c r="E1517" i="11"/>
  <c r="G1516" i="11"/>
  <c r="E1516" i="11"/>
  <c r="G1515" i="11"/>
  <c r="E1515" i="11"/>
  <c r="G1514" i="11"/>
  <c r="E1514" i="11"/>
  <c r="G1513" i="11"/>
  <c r="E1513" i="11"/>
  <c r="G1512" i="11"/>
  <c r="E1512" i="11"/>
  <c r="G1511" i="11"/>
  <c r="E1511" i="11"/>
  <c r="G1510" i="11"/>
  <c r="E1510" i="11"/>
  <c r="G1509" i="11"/>
  <c r="E1509" i="11"/>
  <c r="G1508" i="11"/>
  <c r="E1508" i="11"/>
  <c r="G1507" i="11"/>
  <c r="E1507" i="11"/>
  <c r="G1506" i="11"/>
  <c r="E1506" i="11"/>
  <c r="G1505" i="11"/>
  <c r="E1505" i="11"/>
  <c r="G1504" i="11"/>
  <c r="E1504" i="11"/>
  <c r="G1503" i="11"/>
  <c r="E1503" i="11"/>
  <c r="G1502" i="11"/>
  <c r="E1502" i="11"/>
  <c r="G1501" i="11"/>
  <c r="E1501" i="11"/>
  <c r="G1500" i="11"/>
  <c r="E1500" i="11"/>
  <c r="G1499" i="11"/>
  <c r="E1499" i="11"/>
  <c r="G1498" i="11"/>
  <c r="E1498" i="11"/>
  <c r="G1497" i="11"/>
  <c r="E1497" i="11"/>
  <c r="G1496" i="11"/>
  <c r="E1496" i="11"/>
  <c r="G1495" i="11"/>
  <c r="E1495" i="11"/>
  <c r="G1494" i="11"/>
  <c r="E1494" i="11"/>
  <c r="G1493" i="11"/>
  <c r="E1493" i="11"/>
  <c r="G1492" i="11"/>
  <c r="E1492" i="11"/>
  <c r="G1491" i="11"/>
  <c r="E1491" i="11"/>
  <c r="G1490" i="11"/>
  <c r="E1490" i="11"/>
  <c r="G1489" i="11"/>
  <c r="E1489" i="11"/>
  <c r="G1488" i="11"/>
  <c r="E1488" i="11"/>
  <c r="G1487" i="11"/>
  <c r="E1487" i="11"/>
  <c r="G1486" i="11"/>
  <c r="E1486" i="11"/>
  <c r="G1485" i="11"/>
  <c r="E1485" i="11"/>
  <c r="G1484" i="11"/>
  <c r="E1484" i="11"/>
  <c r="G1483" i="11"/>
  <c r="E1483" i="11"/>
  <c r="G1482" i="11"/>
  <c r="E1482" i="11"/>
  <c r="G1481" i="11"/>
  <c r="E1481" i="11"/>
  <c r="G1480" i="11"/>
  <c r="E1480" i="11"/>
  <c r="G1479" i="11"/>
  <c r="E1479" i="11"/>
  <c r="G1478" i="11"/>
  <c r="E1478" i="11"/>
  <c r="G1477" i="11"/>
  <c r="E1477" i="11"/>
  <c r="G1476" i="11"/>
  <c r="E1476" i="11"/>
  <c r="G1475" i="11"/>
  <c r="E1475" i="11"/>
  <c r="G1474" i="11"/>
  <c r="E1474" i="11"/>
  <c r="G1473" i="11"/>
  <c r="E1473" i="11"/>
  <c r="G1472" i="11"/>
  <c r="E1472" i="11"/>
  <c r="G1471" i="11"/>
  <c r="E1471" i="11"/>
  <c r="G1470" i="11"/>
  <c r="E1470" i="11"/>
  <c r="G1469" i="11"/>
  <c r="E1469" i="11"/>
  <c r="G1468" i="11"/>
  <c r="E1468" i="11"/>
  <c r="G1467" i="11"/>
  <c r="E1467" i="11"/>
  <c r="G1466" i="11"/>
  <c r="E1466" i="11"/>
  <c r="G1465" i="11"/>
  <c r="E1465" i="11"/>
  <c r="G1464" i="11"/>
  <c r="E1464" i="11"/>
  <c r="G1463" i="11"/>
  <c r="E1463" i="11"/>
  <c r="G1462" i="11"/>
  <c r="E1462" i="11"/>
  <c r="G1461" i="11"/>
  <c r="E1461" i="11"/>
  <c r="G1460" i="11"/>
  <c r="E1460" i="11"/>
  <c r="G1459" i="11"/>
  <c r="E1459" i="11"/>
  <c r="G1458" i="11"/>
  <c r="E1458" i="11"/>
  <c r="G1457" i="11"/>
  <c r="E1457" i="11"/>
  <c r="G1456" i="11"/>
  <c r="E1456" i="11"/>
  <c r="G1455" i="11"/>
  <c r="E1455" i="11"/>
  <c r="G1454" i="11"/>
  <c r="E1454" i="11"/>
  <c r="G1453" i="11"/>
  <c r="E1453" i="11"/>
  <c r="G1452" i="11"/>
  <c r="E1452" i="11"/>
  <c r="G1451" i="11"/>
  <c r="E1451" i="11"/>
  <c r="G1450" i="11"/>
  <c r="E1450" i="11"/>
  <c r="G1449" i="11"/>
  <c r="E1449" i="11"/>
  <c r="G1448" i="11"/>
  <c r="E1448" i="11"/>
  <c r="G1447" i="11"/>
  <c r="E1447" i="11"/>
  <c r="G1446" i="11"/>
  <c r="E1446" i="11"/>
  <c r="G1445" i="11"/>
  <c r="E1445" i="11"/>
  <c r="G1444" i="11"/>
  <c r="E1444" i="11"/>
  <c r="G1443" i="11"/>
  <c r="E1443" i="11"/>
  <c r="G1442" i="11"/>
  <c r="E1442" i="11"/>
  <c r="G1441" i="11"/>
  <c r="E1441" i="11"/>
  <c r="G1440" i="11"/>
  <c r="E1440" i="11"/>
  <c r="G1439" i="11"/>
  <c r="E1439" i="11"/>
  <c r="G1438" i="11"/>
  <c r="E1438" i="11"/>
  <c r="G1437" i="11"/>
  <c r="E1437" i="11"/>
  <c r="G1436" i="11"/>
  <c r="E1436" i="11"/>
  <c r="G1435" i="11"/>
  <c r="E1435" i="11"/>
  <c r="G1434" i="11"/>
  <c r="E1434" i="11"/>
  <c r="G1433" i="11"/>
  <c r="E1433" i="11"/>
  <c r="G1432" i="11"/>
  <c r="E1432" i="11"/>
  <c r="G1431" i="11"/>
  <c r="E1431" i="11"/>
  <c r="G1430" i="11"/>
  <c r="E1430" i="11"/>
  <c r="G1429" i="11"/>
  <c r="E1429" i="11"/>
  <c r="G1428" i="11"/>
  <c r="E1428" i="11"/>
  <c r="G1427" i="11"/>
  <c r="E1427" i="11"/>
  <c r="G1426" i="11"/>
  <c r="E1426" i="11"/>
  <c r="G1425" i="11"/>
  <c r="E1425" i="11"/>
  <c r="G1424" i="11"/>
  <c r="E1424" i="11"/>
  <c r="G1423" i="11"/>
  <c r="E1423" i="11"/>
  <c r="G1422" i="11"/>
  <c r="E1422" i="11"/>
  <c r="G1421" i="11"/>
  <c r="E1421" i="11"/>
  <c r="G1420" i="11"/>
  <c r="E1420" i="11"/>
  <c r="G1419" i="11"/>
  <c r="E1419" i="11"/>
  <c r="G1418" i="11"/>
  <c r="E1418" i="11"/>
  <c r="G1417" i="11"/>
  <c r="E1417" i="11"/>
  <c r="G1416" i="11"/>
  <c r="E1416" i="11"/>
  <c r="G1415" i="11"/>
  <c r="E1415" i="11"/>
  <c r="G1414" i="11"/>
  <c r="E1414" i="11"/>
  <c r="G1413" i="11"/>
  <c r="E1413" i="11"/>
  <c r="G1412" i="11"/>
  <c r="E1412" i="11"/>
  <c r="G1411" i="11"/>
  <c r="E1411" i="11"/>
  <c r="G1410" i="11"/>
  <c r="E1410" i="11"/>
  <c r="G1409" i="11"/>
  <c r="E1409" i="11"/>
  <c r="G1408" i="11"/>
  <c r="E1408" i="11"/>
  <c r="G1407" i="11"/>
  <c r="E1407" i="11"/>
  <c r="G1406" i="11"/>
  <c r="E1406" i="11"/>
  <c r="G1405" i="11"/>
  <c r="E1405" i="11"/>
  <c r="G1404" i="11"/>
  <c r="E1404" i="11"/>
  <c r="G1403" i="11"/>
  <c r="E1403" i="11"/>
  <c r="G1402" i="11"/>
  <c r="E1402" i="11"/>
  <c r="G1401" i="11"/>
  <c r="E1401" i="11"/>
  <c r="G1400" i="11"/>
  <c r="E1400" i="11"/>
  <c r="G1399" i="11"/>
  <c r="E1399" i="11"/>
  <c r="G1398" i="11"/>
  <c r="E1398" i="11"/>
  <c r="G1397" i="11"/>
  <c r="E1397" i="11"/>
  <c r="G1396" i="11"/>
  <c r="E1396" i="11"/>
  <c r="G1395" i="11"/>
  <c r="E1395" i="11"/>
  <c r="G1394" i="11"/>
  <c r="E1394" i="11"/>
  <c r="G1393" i="11"/>
  <c r="E1393" i="11"/>
  <c r="G1392" i="11"/>
  <c r="E1392" i="11"/>
  <c r="G1391" i="11"/>
  <c r="E1391" i="11"/>
  <c r="G1390" i="11"/>
  <c r="E1390" i="11"/>
  <c r="G1389" i="11"/>
  <c r="E1389" i="11"/>
  <c r="G1388" i="11"/>
  <c r="E1388" i="11"/>
  <c r="G1387" i="11"/>
  <c r="E1387" i="11"/>
  <c r="G1386" i="11"/>
  <c r="E1386" i="11"/>
  <c r="G1385" i="11"/>
  <c r="E1385" i="11"/>
  <c r="G1384" i="11"/>
  <c r="E1384" i="11"/>
  <c r="G1383" i="11"/>
  <c r="E1383" i="11"/>
  <c r="G1382" i="11"/>
  <c r="E1382" i="11"/>
  <c r="G1381" i="11"/>
  <c r="E1381" i="11"/>
  <c r="G1380" i="11"/>
  <c r="E1380" i="11"/>
  <c r="G1379" i="11"/>
  <c r="E1379" i="11"/>
  <c r="G1378" i="11"/>
  <c r="E1378" i="11"/>
  <c r="G1377" i="11"/>
  <c r="E1377" i="11"/>
  <c r="G1376" i="11"/>
  <c r="E1376" i="11"/>
  <c r="G1375" i="11"/>
  <c r="E1375" i="11"/>
  <c r="G1374" i="11"/>
  <c r="E1374" i="11"/>
  <c r="G1373" i="11"/>
  <c r="E1373" i="11"/>
  <c r="G1372" i="11"/>
  <c r="E1372" i="11"/>
  <c r="G1371" i="11"/>
  <c r="E1371" i="11"/>
  <c r="G1370" i="11"/>
  <c r="E1370" i="11"/>
  <c r="G1369" i="11"/>
  <c r="E1369" i="11"/>
  <c r="G1368" i="11"/>
  <c r="E1368" i="11"/>
  <c r="G1367" i="11"/>
  <c r="E1367" i="11"/>
  <c r="G1366" i="11"/>
  <c r="E1366" i="11"/>
  <c r="G1365" i="11"/>
  <c r="E1365" i="11"/>
  <c r="G1364" i="11"/>
  <c r="E1364" i="11"/>
  <c r="G1363" i="11"/>
  <c r="E1363" i="11"/>
  <c r="G1362" i="11"/>
  <c r="E1362" i="11"/>
  <c r="G1361" i="11"/>
  <c r="E1361" i="11"/>
  <c r="G1360" i="11"/>
  <c r="E1360" i="11"/>
  <c r="G1359" i="11"/>
  <c r="E1359" i="11"/>
  <c r="G1358" i="11"/>
  <c r="E1358" i="11"/>
  <c r="G1357" i="11"/>
  <c r="E1357" i="11"/>
  <c r="G1356" i="11"/>
  <c r="E1356" i="11"/>
  <c r="G1355" i="11"/>
  <c r="E1355" i="11"/>
  <c r="G1354" i="11"/>
  <c r="E1354" i="11"/>
  <c r="G1353" i="11"/>
  <c r="E1353" i="11"/>
  <c r="G1352" i="11"/>
  <c r="E1352" i="11"/>
  <c r="G1351" i="11"/>
  <c r="E1351" i="11"/>
  <c r="G1350" i="11"/>
  <c r="E1350" i="11"/>
  <c r="G1349" i="11"/>
  <c r="E1349" i="11"/>
  <c r="G1348" i="11"/>
  <c r="E1348" i="11"/>
  <c r="G1347" i="11"/>
  <c r="E1347" i="11"/>
  <c r="G1346" i="11"/>
  <c r="E1346" i="11"/>
  <c r="G1345" i="11"/>
  <c r="E1345" i="11"/>
  <c r="G1344" i="11"/>
  <c r="E1344" i="11"/>
  <c r="G1343" i="11"/>
  <c r="E1343" i="11"/>
  <c r="G1342" i="11"/>
  <c r="E1342" i="11"/>
  <c r="G1341" i="11"/>
  <c r="E1341" i="11"/>
  <c r="G1340" i="11"/>
  <c r="E1340" i="11"/>
  <c r="G1339" i="11"/>
  <c r="E1339" i="11"/>
  <c r="G1338" i="11"/>
  <c r="E1338" i="11"/>
  <c r="G1337" i="11"/>
  <c r="E1337" i="11"/>
  <c r="G1336" i="11"/>
  <c r="E1336" i="11"/>
  <c r="G1335" i="11"/>
  <c r="E1335" i="11"/>
  <c r="G1334" i="11"/>
  <c r="E1334" i="11"/>
  <c r="G1333" i="11"/>
  <c r="E1333" i="11"/>
  <c r="G1332" i="11"/>
  <c r="E1332" i="11"/>
  <c r="G1331" i="11"/>
  <c r="E1331" i="11"/>
  <c r="G1330" i="11"/>
  <c r="E1330" i="11"/>
  <c r="G1329" i="11"/>
  <c r="E1329" i="11"/>
  <c r="G1328" i="11"/>
  <c r="E1328" i="11"/>
  <c r="G1327" i="11"/>
  <c r="E1327" i="11"/>
  <c r="G1326" i="11"/>
  <c r="E1326" i="11"/>
  <c r="G1325" i="11"/>
  <c r="E1325" i="11"/>
  <c r="G1324" i="11"/>
  <c r="E1324" i="11"/>
  <c r="G1323" i="11"/>
  <c r="E1323" i="11"/>
  <c r="G1322" i="11"/>
  <c r="E1322" i="11"/>
  <c r="G1321" i="11"/>
  <c r="E1321" i="11"/>
  <c r="G1320" i="11"/>
  <c r="E1320" i="11"/>
  <c r="G1319" i="11"/>
  <c r="E1319" i="11"/>
  <c r="G1318" i="11"/>
  <c r="E1318" i="11"/>
  <c r="G1317" i="11"/>
  <c r="E1317" i="11"/>
  <c r="G1316" i="11"/>
  <c r="E1316" i="11"/>
  <c r="G1315" i="11"/>
  <c r="E1315" i="11"/>
  <c r="G1314" i="11"/>
  <c r="E1314" i="11"/>
  <c r="G1313" i="11"/>
  <c r="E1313" i="11"/>
  <c r="G1312" i="11"/>
  <c r="E1312" i="11"/>
  <c r="G1311" i="11"/>
  <c r="E1311" i="11"/>
  <c r="G1310" i="11"/>
  <c r="E1310" i="11"/>
  <c r="G1309" i="11"/>
  <c r="E1309" i="11"/>
  <c r="G1308" i="11"/>
  <c r="E1308" i="11"/>
  <c r="G1307" i="11"/>
  <c r="E1307" i="11"/>
  <c r="G1306" i="11"/>
  <c r="E1306" i="11"/>
  <c r="G1305" i="11"/>
  <c r="E1305" i="11"/>
  <c r="G1304" i="11"/>
  <c r="E1304" i="11"/>
  <c r="G1303" i="11"/>
  <c r="E1303" i="11"/>
  <c r="G1302" i="11"/>
  <c r="E1302" i="11"/>
  <c r="G1301" i="11"/>
  <c r="E1301" i="11"/>
  <c r="G1300" i="11"/>
  <c r="E1300" i="11"/>
  <c r="G1299" i="11"/>
  <c r="E1299" i="11"/>
  <c r="G1298" i="11"/>
  <c r="E1298" i="11"/>
  <c r="G1297" i="11"/>
  <c r="E1297" i="11"/>
  <c r="G1296" i="11"/>
  <c r="E1296" i="11"/>
  <c r="G1295" i="11"/>
  <c r="E1295" i="11"/>
  <c r="G1294" i="11"/>
  <c r="E1294" i="11"/>
  <c r="G1293" i="11"/>
  <c r="E1293" i="11"/>
  <c r="G1292" i="11"/>
  <c r="E1292" i="11"/>
  <c r="G1291" i="11"/>
  <c r="E1291" i="11"/>
  <c r="G1290" i="11"/>
  <c r="E1290" i="11"/>
  <c r="G1289" i="11"/>
  <c r="E1289" i="11"/>
  <c r="G1288" i="11"/>
  <c r="E1288" i="11"/>
  <c r="G1287" i="11"/>
  <c r="E1287" i="11"/>
  <c r="G1286" i="11"/>
  <c r="E1286" i="11"/>
  <c r="G1285" i="11"/>
  <c r="E1285" i="11"/>
  <c r="G1284" i="11"/>
  <c r="E1284" i="11"/>
  <c r="G1283" i="11"/>
  <c r="E1283" i="11"/>
  <c r="G1282" i="11"/>
  <c r="E1282" i="11"/>
  <c r="G1281" i="11"/>
  <c r="E1281" i="11"/>
  <c r="G1280" i="11"/>
  <c r="E1280" i="11"/>
  <c r="G1279" i="11"/>
  <c r="E1279" i="11"/>
  <c r="G1278" i="11"/>
  <c r="E1278" i="11"/>
  <c r="G1277" i="11"/>
  <c r="E1277" i="11"/>
  <c r="G1276" i="11"/>
  <c r="E1276" i="11"/>
  <c r="G1275" i="11"/>
  <c r="E1275" i="11"/>
  <c r="G1274" i="11"/>
  <c r="E1274" i="11"/>
  <c r="G1273" i="11"/>
  <c r="E1273" i="11"/>
  <c r="G1272" i="11"/>
  <c r="E1272" i="11"/>
  <c r="G1271" i="11"/>
  <c r="E1271" i="11"/>
  <c r="G1270" i="11"/>
  <c r="E1270" i="11"/>
  <c r="G1269" i="11"/>
  <c r="E1269" i="11"/>
  <c r="G1268" i="11"/>
  <c r="E1268" i="11"/>
  <c r="G1267" i="11"/>
  <c r="E1267" i="11"/>
  <c r="G1266" i="11"/>
  <c r="E1266" i="11"/>
  <c r="G1265" i="11"/>
  <c r="E1265" i="11"/>
  <c r="G1264" i="11"/>
  <c r="E1264" i="11"/>
  <c r="G1263" i="11"/>
  <c r="E1263" i="11"/>
  <c r="G1262" i="11"/>
  <c r="E1262" i="11"/>
  <c r="G1261" i="11"/>
  <c r="E1261" i="11"/>
  <c r="G1260" i="11"/>
  <c r="E1260" i="11"/>
  <c r="G1259" i="11"/>
  <c r="E1259" i="11"/>
  <c r="G1258" i="11"/>
  <c r="E1258" i="11"/>
  <c r="G1257" i="11"/>
  <c r="E1257" i="11"/>
  <c r="G1256" i="11"/>
  <c r="E1256" i="11"/>
  <c r="G1255" i="11"/>
  <c r="E1255" i="11"/>
  <c r="G1254" i="11"/>
  <c r="E1254" i="11"/>
  <c r="G1253" i="11"/>
  <c r="E1253" i="11"/>
  <c r="G1252" i="11"/>
  <c r="E1252" i="11"/>
  <c r="G1251" i="11"/>
  <c r="E1251" i="11"/>
  <c r="G1250" i="11"/>
  <c r="E1250" i="11"/>
  <c r="G1249" i="11"/>
  <c r="E1249" i="11"/>
  <c r="G1248" i="11"/>
  <c r="E1248" i="11"/>
  <c r="G1247" i="11"/>
  <c r="E1247" i="11"/>
  <c r="G1246" i="11"/>
  <c r="E1246" i="11"/>
  <c r="G1245" i="11"/>
  <c r="E1245" i="11"/>
  <c r="G1244" i="11"/>
  <c r="E1244" i="11"/>
  <c r="G1243" i="11"/>
  <c r="E1243" i="11"/>
  <c r="G1242" i="11"/>
  <c r="E1242" i="11"/>
  <c r="G1241" i="11"/>
  <c r="E1241" i="11"/>
  <c r="G1240" i="11"/>
  <c r="E1240" i="11"/>
  <c r="G1239" i="11"/>
  <c r="E1239" i="11"/>
  <c r="G1238" i="11"/>
  <c r="E1238" i="11"/>
  <c r="G1237" i="11"/>
  <c r="E1237" i="11"/>
  <c r="G1236" i="11"/>
  <c r="E1236" i="11"/>
  <c r="G1235" i="11"/>
  <c r="E1235" i="11"/>
  <c r="G1234" i="11"/>
  <c r="E1234" i="11"/>
  <c r="G1233" i="11"/>
  <c r="E1233" i="11"/>
  <c r="G1232" i="11"/>
  <c r="E1232" i="11"/>
  <c r="G1231" i="11"/>
  <c r="E1231" i="11"/>
  <c r="G1230" i="11"/>
  <c r="E1230" i="11"/>
  <c r="G1229" i="11"/>
  <c r="E1229" i="11"/>
  <c r="G1228" i="11"/>
  <c r="E1228" i="11"/>
  <c r="G1227" i="11"/>
  <c r="E1227" i="11"/>
  <c r="G1226" i="11"/>
  <c r="E1226" i="11"/>
  <c r="G1225" i="11"/>
  <c r="E1225" i="11"/>
  <c r="G1224" i="11"/>
  <c r="E1224" i="11"/>
  <c r="G1223" i="11"/>
  <c r="E1223" i="11"/>
  <c r="G1222" i="11"/>
  <c r="E1222" i="11"/>
  <c r="G1221" i="11"/>
  <c r="E1221" i="11"/>
  <c r="G1220" i="11"/>
  <c r="E1220" i="11"/>
  <c r="G1219" i="11"/>
  <c r="E1219" i="11"/>
  <c r="G1218" i="11"/>
  <c r="E1218" i="11"/>
  <c r="G1217" i="11"/>
  <c r="E1217" i="11"/>
  <c r="G1216" i="11"/>
  <c r="E1216" i="11"/>
  <c r="G1215" i="11"/>
  <c r="E1215" i="11"/>
  <c r="G1214" i="11"/>
  <c r="E1214" i="11"/>
  <c r="G1213" i="11"/>
  <c r="E1213" i="11"/>
  <c r="G1212" i="11"/>
  <c r="E1212" i="11"/>
  <c r="G1211" i="11"/>
  <c r="E1211" i="11"/>
  <c r="G1210" i="11"/>
  <c r="E1210" i="11"/>
  <c r="G1209" i="11"/>
  <c r="E1209" i="11"/>
  <c r="G1208" i="11"/>
  <c r="E1208" i="11"/>
  <c r="G1207" i="11"/>
  <c r="E1207" i="11"/>
  <c r="G1206" i="11"/>
  <c r="E1206" i="11"/>
  <c r="G1205" i="11"/>
  <c r="E1205" i="11"/>
  <c r="G1204" i="11"/>
  <c r="E1204" i="11"/>
  <c r="G1203" i="11"/>
  <c r="E1203" i="11"/>
  <c r="G1202" i="11"/>
  <c r="E1202" i="11"/>
  <c r="G1201" i="11"/>
  <c r="E1201" i="11"/>
  <c r="G1200" i="11"/>
  <c r="E1200" i="11"/>
  <c r="G1199" i="11"/>
  <c r="E1199" i="11"/>
  <c r="G1198" i="11"/>
  <c r="E1198" i="11"/>
  <c r="G1197" i="11"/>
  <c r="E1197" i="11"/>
  <c r="G1196" i="11"/>
  <c r="E1196" i="11"/>
  <c r="G1195" i="11"/>
  <c r="E1195" i="11"/>
  <c r="G1194" i="11"/>
  <c r="E1194" i="11"/>
  <c r="G1193" i="11"/>
  <c r="E1193" i="11"/>
  <c r="G1192" i="11"/>
  <c r="E1192" i="11"/>
  <c r="G1191" i="11"/>
  <c r="E1191" i="11"/>
  <c r="G1190" i="11"/>
  <c r="E1190" i="11"/>
  <c r="G1189" i="11"/>
  <c r="E1189" i="11"/>
  <c r="G1188" i="11"/>
  <c r="E1188" i="11"/>
  <c r="G1187" i="11"/>
  <c r="E1187" i="11"/>
  <c r="G1186" i="11"/>
  <c r="E1186" i="11"/>
  <c r="G1185" i="11"/>
  <c r="E1185" i="11"/>
  <c r="G1184" i="11"/>
  <c r="E1184" i="11"/>
  <c r="G1183" i="11"/>
  <c r="E1183" i="11"/>
  <c r="G1182" i="11"/>
  <c r="E1182" i="11"/>
  <c r="G1181" i="11"/>
  <c r="E1181" i="11"/>
  <c r="G1180" i="11"/>
  <c r="E1180" i="11"/>
  <c r="G1179" i="11"/>
  <c r="E1179" i="11"/>
  <c r="G1178" i="11"/>
  <c r="E1178" i="11"/>
  <c r="G1177" i="11"/>
  <c r="E1177" i="11"/>
  <c r="G1176" i="11"/>
  <c r="E1176" i="11"/>
  <c r="G1175" i="11"/>
  <c r="E1175" i="11"/>
  <c r="G1174" i="11"/>
  <c r="E1174" i="11"/>
  <c r="G1173" i="11"/>
  <c r="E1173" i="11"/>
  <c r="G1172" i="11"/>
  <c r="E1172" i="11"/>
  <c r="G1171" i="11"/>
  <c r="E1171" i="11"/>
  <c r="G1170" i="11"/>
  <c r="E1170" i="11"/>
  <c r="G1169" i="11"/>
  <c r="E1169" i="11"/>
  <c r="G1168" i="11"/>
  <c r="E1168" i="11"/>
  <c r="G1167" i="11"/>
  <c r="E1167" i="11"/>
  <c r="G1166" i="11"/>
  <c r="E1166" i="11"/>
  <c r="G1165" i="11"/>
  <c r="E1165" i="11"/>
  <c r="G1164" i="11"/>
  <c r="E1164" i="11"/>
  <c r="G1163" i="11"/>
  <c r="E1163" i="11"/>
  <c r="G1162" i="11"/>
  <c r="E1162" i="11"/>
  <c r="G1161" i="11"/>
  <c r="E1161" i="11"/>
  <c r="G1160" i="11"/>
  <c r="E1160" i="11"/>
  <c r="G1159" i="11"/>
  <c r="E1159" i="11"/>
  <c r="G1158" i="11"/>
  <c r="E1158" i="11"/>
  <c r="G1157" i="11"/>
  <c r="E1157" i="11"/>
  <c r="G1156" i="11"/>
  <c r="E1156" i="11"/>
  <c r="G1155" i="11"/>
  <c r="E1155" i="11"/>
  <c r="G1154" i="11"/>
  <c r="E1154" i="11"/>
  <c r="G1153" i="11"/>
  <c r="E1153" i="11"/>
  <c r="G1152" i="11"/>
  <c r="E1152" i="11"/>
  <c r="G1151" i="11"/>
  <c r="E1151" i="11"/>
  <c r="G1150" i="11"/>
  <c r="E1150" i="11"/>
  <c r="G1149" i="11"/>
  <c r="E1149" i="11"/>
  <c r="G1148" i="11"/>
  <c r="E1148" i="11"/>
  <c r="G1147" i="11"/>
  <c r="E1147" i="11"/>
  <c r="G1146" i="11"/>
  <c r="E1146" i="11"/>
  <c r="G1145" i="11"/>
  <c r="E1145" i="11"/>
  <c r="G1144" i="11"/>
  <c r="E1144" i="11"/>
  <c r="G1143" i="11"/>
  <c r="E1143" i="11"/>
  <c r="G1142" i="11"/>
  <c r="E1142" i="11"/>
  <c r="G1141" i="11"/>
  <c r="E1141" i="11"/>
  <c r="G1140" i="11"/>
  <c r="E1140" i="11"/>
  <c r="G1139" i="11"/>
  <c r="E1139" i="11"/>
  <c r="G1138" i="11"/>
  <c r="E1138" i="11"/>
  <c r="G1137" i="11"/>
  <c r="E1137" i="11"/>
  <c r="G1136" i="11"/>
  <c r="E1136" i="11"/>
  <c r="G1135" i="11"/>
  <c r="E1135" i="11"/>
  <c r="G1134" i="11"/>
  <c r="E1134" i="11"/>
  <c r="G1133" i="11"/>
  <c r="E1133" i="11"/>
  <c r="G1132" i="11"/>
  <c r="E1132" i="11"/>
  <c r="G1131" i="11"/>
  <c r="E1131" i="11"/>
  <c r="G1130" i="11"/>
  <c r="E1130" i="11"/>
  <c r="G1129" i="11"/>
  <c r="E1129" i="11"/>
  <c r="G1128" i="11"/>
  <c r="E1128" i="11"/>
  <c r="G1127" i="11"/>
  <c r="E1127" i="11"/>
  <c r="G1126" i="11"/>
  <c r="E1126" i="11"/>
  <c r="G1125" i="11"/>
  <c r="E1125" i="11"/>
  <c r="G1124" i="11"/>
  <c r="E1124" i="11"/>
  <c r="G1123" i="11"/>
  <c r="E1123" i="11"/>
  <c r="G1122" i="11"/>
  <c r="E1122" i="11"/>
  <c r="G1121" i="11"/>
  <c r="E1121" i="11"/>
  <c r="G1120" i="11"/>
  <c r="E1120" i="11"/>
  <c r="G1119" i="11"/>
  <c r="E1119" i="11"/>
  <c r="G1118" i="11"/>
  <c r="E1118" i="11"/>
  <c r="G1117" i="11"/>
  <c r="E1117" i="11"/>
  <c r="G1116" i="11"/>
  <c r="E1116" i="11"/>
  <c r="G1115" i="11"/>
  <c r="E1115" i="11"/>
  <c r="G1114" i="11"/>
  <c r="E1114" i="11"/>
  <c r="G1113" i="11"/>
  <c r="E1113" i="11"/>
  <c r="G1112" i="11"/>
  <c r="E1112" i="11"/>
  <c r="G1111" i="11"/>
  <c r="E1111" i="11"/>
  <c r="G1110" i="11"/>
  <c r="E1110" i="11"/>
  <c r="G1109" i="11"/>
  <c r="E1109" i="11"/>
  <c r="G1108" i="11"/>
  <c r="E1108" i="11"/>
  <c r="G1107" i="11"/>
  <c r="E1107" i="11"/>
  <c r="G1106" i="11"/>
  <c r="E1106" i="11"/>
  <c r="G1105" i="11"/>
  <c r="E1105" i="11"/>
  <c r="G1104" i="11"/>
  <c r="E1104" i="11"/>
  <c r="G1103" i="11"/>
  <c r="E1103" i="11"/>
  <c r="G1102" i="11"/>
  <c r="E1102" i="11"/>
  <c r="G1101" i="11"/>
  <c r="E1101" i="11"/>
  <c r="G1100" i="11"/>
  <c r="E1100" i="11"/>
  <c r="G1099" i="11"/>
  <c r="E1099" i="11"/>
  <c r="G1098" i="11"/>
  <c r="E1098" i="11"/>
  <c r="G1097" i="11"/>
  <c r="E1097" i="11"/>
  <c r="G1096" i="11"/>
  <c r="E1096" i="11"/>
  <c r="G1095" i="11"/>
  <c r="E1095" i="11"/>
  <c r="G1094" i="11"/>
  <c r="E1094" i="11"/>
  <c r="G1093" i="11"/>
  <c r="E1093" i="11"/>
  <c r="G1092" i="11"/>
  <c r="E1092" i="11"/>
  <c r="G1091" i="11"/>
  <c r="E1091" i="11"/>
  <c r="G1090" i="11"/>
  <c r="E1090" i="11"/>
  <c r="G1089" i="11"/>
  <c r="E1089" i="11"/>
  <c r="G1088" i="11"/>
  <c r="E1088" i="11"/>
  <c r="G1087" i="11"/>
  <c r="E1087" i="11"/>
  <c r="G1086" i="11"/>
  <c r="E1086" i="11"/>
  <c r="G1085" i="11"/>
  <c r="E1085" i="11"/>
  <c r="G1084" i="11"/>
  <c r="E1084" i="11"/>
  <c r="G1083" i="11"/>
  <c r="E1083" i="11"/>
  <c r="G1082" i="11"/>
  <c r="E1082" i="11"/>
  <c r="G1081" i="11"/>
  <c r="E1081" i="11"/>
  <c r="G1080" i="11"/>
  <c r="E1080" i="11"/>
  <c r="G1079" i="11"/>
  <c r="E1079" i="11"/>
  <c r="G1078" i="11"/>
  <c r="E1078" i="11"/>
  <c r="G1077" i="11"/>
  <c r="E1077" i="11"/>
  <c r="G1076" i="11"/>
  <c r="E1076" i="11"/>
  <c r="G1075" i="11"/>
  <c r="E1075" i="11"/>
  <c r="G1074" i="11"/>
  <c r="E1074" i="11"/>
  <c r="G1073" i="11"/>
  <c r="E1073" i="11"/>
  <c r="G1072" i="11"/>
  <c r="E1072" i="11"/>
  <c r="G1071" i="11"/>
  <c r="E1071" i="11"/>
  <c r="G1070" i="11"/>
  <c r="E1070" i="11"/>
  <c r="G1069" i="11"/>
  <c r="E1069" i="11"/>
  <c r="G1068" i="11"/>
  <c r="E1068" i="11"/>
  <c r="G1067" i="11"/>
  <c r="E1067" i="11"/>
  <c r="G1066" i="11"/>
  <c r="E1066" i="11"/>
  <c r="G1065" i="11"/>
  <c r="E1065" i="11"/>
  <c r="G1064" i="11"/>
  <c r="E1064" i="11"/>
  <c r="G1063" i="11"/>
  <c r="E1063" i="11"/>
  <c r="G1062" i="11"/>
  <c r="E1062" i="11"/>
  <c r="G1061" i="11"/>
  <c r="E1061" i="11"/>
  <c r="G1060" i="11"/>
  <c r="E1060" i="11"/>
  <c r="G1059" i="11"/>
  <c r="E1059" i="11"/>
  <c r="G1058" i="11"/>
  <c r="E1058" i="11"/>
  <c r="G1057" i="11"/>
  <c r="E1057" i="11"/>
  <c r="G1056" i="11"/>
  <c r="E1056" i="11"/>
  <c r="G1055" i="11"/>
  <c r="E1055" i="11"/>
  <c r="G1054" i="11"/>
  <c r="E1054" i="11"/>
  <c r="G1053" i="11"/>
  <c r="E1053" i="11"/>
  <c r="G1052" i="11"/>
  <c r="E1052" i="11"/>
  <c r="G1051" i="11"/>
  <c r="E1051" i="11"/>
  <c r="G1050" i="11"/>
  <c r="E1050" i="11"/>
  <c r="G1049" i="11"/>
  <c r="E1049" i="11"/>
  <c r="G1048" i="11"/>
  <c r="E1048" i="11"/>
  <c r="G1047" i="11"/>
  <c r="E1047" i="11"/>
  <c r="G1046" i="11"/>
  <c r="E1046" i="11"/>
  <c r="G1045" i="11"/>
  <c r="E1045" i="11"/>
  <c r="G1044" i="11"/>
  <c r="E1044" i="11"/>
  <c r="G1043" i="11"/>
  <c r="E1043" i="11"/>
  <c r="G1042" i="11"/>
  <c r="E1042" i="11"/>
  <c r="G1041" i="11"/>
  <c r="E1041" i="11"/>
  <c r="G1040" i="11"/>
  <c r="E1040" i="11"/>
  <c r="G1039" i="11"/>
  <c r="E1039" i="11"/>
  <c r="G1038" i="11"/>
  <c r="E1038" i="11"/>
  <c r="G1037" i="11"/>
  <c r="E1037" i="11"/>
  <c r="G1036" i="11"/>
  <c r="E1036" i="11"/>
  <c r="G1035" i="11"/>
  <c r="E1035" i="11"/>
  <c r="G1034" i="11"/>
  <c r="E1034" i="11"/>
  <c r="G1033" i="11"/>
  <c r="E1033" i="11"/>
  <c r="G1032" i="11"/>
  <c r="E1032" i="11"/>
  <c r="G1031" i="11"/>
  <c r="E1031" i="11"/>
  <c r="G1030" i="11"/>
  <c r="E1030" i="11"/>
  <c r="G1029" i="11"/>
  <c r="E1029" i="11"/>
  <c r="G1028" i="11"/>
  <c r="E1028" i="11"/>
  <c r="G1027" i="11"/>
  <c r="E1027" i="11"/>
  <c r="G1026" i="11"/>
  <c r="E1026" i="11"/>
  <c r="G1025" i="11"/>
  <c r="E1025" i="11"/>
  <c r="G1024" i="11"/>
  <c r="E1024" i="11"/>
  <c r="G1023" i="11"/>
  <c r="E1023" i="11"/>
  <c r="G1022" i="11"/>
  <c r="E1022" i="11"/>
  <c r="G1021" i="11"/>
  <c r="E1021" i="11"/>
  <c r="G1020" i="11"/>
  <c r="E1020" i="11"/>
  <c r="G1019" i="11"/>
  <c r="E1019" i="11"/>
  <c r="G1018" i="11"/>
  <c r="E1018" i="11"/>
  <c r="G1017" i="11"/>
  <c r="E1017" i="11"/>
  <c r="G1016" i="11"/>
  <c r="E1016" i="11"/>
  <c r="G1015" i="11"/>
  <c r="E1015" i="11"/>
  <c r="G1014" i="11"/>
  <c r="E1014" i="11"/>
  <c r="G1013" i="11"/>
  <c r="E1013" i="11"/>
  <c r="G1012" i="11"/>
  <c r="E1012" i="11"/>
  <c r="G1011" i="11"/>
  <c r="E1011" i="11"/>
  <c r="G1010" i="11"/>
  <c r="E1010" i="11"/>
  <c r="G1009" i="11"/>
  <c r="E1009" i="11"/>
  <c r="G1008" i="11"/>
  <c r="E1008" i="11"/>
  <c r="G1007" i="11"/>
  <c r="E1007" i="11"/>
  <c r="G1006" i="11"/>
  <c r="E1006" i="11"/>
  <c r="G1005" i="11"/>
  <c r="E1005" i="11"/>
  <c r="G1004" i="11"/>
  <c r="E1004" i="11"/>
  <c r="G1003" i="11"/>
  <c r="E1003" i="11"/>
  <c r="G1002" i="11"/>
  <c r="E1002" i="11"/>
  <c r="G1001" i="11"/>
  <c r="E1001" i="11"/>
  <c r="G1000" i="11"/>
  <c r="E1000" i="11"/>
  <c r="G999" i="11"/>
  <c r="E999" i="11"/>
  <c r="G998" i="11"/>
  <c r="E998" i="11"/>
  <c r="G997" i="11"/>
  <c r="E997" i="11"/>
  <c r="G996" i="11"/>
  <c r="E996" i="11"/>
  <c r="G995" i="11"/>
  <c r="E995" i="11"/>
  <c r="G994" i="11"/>
  <c r="E994" i="11"/>
  <c r="G993" i="11"/>
  <c r="E993" i="11"/>
  <c r="G992" i="11"/>
  <c r="E992" i="11"/>
  <c r="G991" i="11"/>
  <c r="E991" i="11"/>
  <c r="G990" i="11"/>
  <c r="E990" i="11"/>
  <c r="G989" i="11"/>
  <c r="E989" i="11"/>
  <c r="G988" i="11"/>
  <c r="E988" i="11"/>
  <c r="G987" i="11"/>
  <c r="E987" i="11"/>
  <c r="G986" i="11"/>
  <c r="E986" i="11"/>
  <c r="G985" i="11"/>
  <c r="E985" i="11"/>
  <c r="G984" i="11"/>
  <c r="E984" i="11"/>
  <c r="G983" i="11"/>
  <c r="E983" i="11"/>
  <c r="G982" i="11"/>
  <c r="E982" i="11"/>
  <c r="G981" i="11"/>
  <c r="E981" i="11"/>
  <c r="G980" i="11"/>
  <c r="E980" i="11"/>
  <c r="G979" i="11"/>
  <c r="E979" i="11"/>
  <c r="G978" i="11"/>
  <c r="E978" i="11"/>
  <c r="G977" i="11"/>
  <c r="E977" i="11"/>
  <c r="G976" i="11"/>
  <c r="E976" i="11"/>
  <c r="G975" i="11"/>
  <c r="E975" i="11"/>
  <c r="G974" i="11"/>
  <c r="E974" i="11"/>
  <c r="G973" i="11"/>
  <c r="E973" i="11"/>
  <c r="G972" i="11"/>
  <c r="E972" i="11"/>
  <c r="G971" i="11"/>
  <c r="E971" i="11"/>
  <c r="G970" i="11"/>
  <c r="E970" i="11"/>
  <c r="G969" i="11"/>
  <c r="E969" i="11"/>
  <c r="G968" i="11"/>
  <c r="E968" i="11"/>
  <c r="G967" i="11"/>
  <c r="E967" i="11"/>
  <c r="G966" i="11"/>
  <c r="E966" i="11"/>
  <c r="G965" i="11"/>
  <c r="E965" i="11"/>
  <c r="G964" i="11"/>
  <c r="E964" i="11"/>
  <c r="G963" i="11"/>
  <c r="E963" i="11"/>
  <c r="G962" i="11"/>
  <c r="E962" i="11"/>
  <c r="G961" i="11"/>
  <c r="E961" i="11"/>
  <c r="G960" i="11"/>
  <c r="E960" i="11"/>
  <c r="G959" i="11"/>
  <c r="E959" i="11"/>
  <c r="G958" i="11"/>
  <c r="E958" i="11"/>
  <c r="G957" i="11"/>
  <c r="E957" i="11"/>
  <c r="G956" i="11"/>
  <c r="E956" i="11"/>
  <c r="G955" i="11"/>
  <c r="E955" i="11"/>
  <c r="G954" i="11"/>
  <c r="E954" i="11"/>
  <c r="G953" i="11"/>
  <c r="E953" i="11"/>
  <c r="G952" i="11"/>
  <c r="E952" i="11"/>
  <c r="G951" i="11"/>
  <c r="E951" i="11"/>
  <c r="G950" i="11"/>
  <c r="E950" i="11"/>
  <c r="G949" i="11"/>
  <c r="E949" i="11"/>
  <c r="G948" i="11"/>
  <c r="E948" i="11"/>
  <c r="G947" i="11"/>
  <c r="E947" i="11"/>
  <c r="G946" i="11"/>
  <c r="E946" i="11"/>
  <c r="G945" i="11"/>
  <c r="E945" i="11"/>
  <c r="G944" i="11"/>
  <c r="E944" i="11"/>
  <c r="G943" i="11"/>
  <c r="E943" i="11"/>
  <c r="G942" i="11"/>
  <c r="E942" i="11"/>
  <c r="G941" i="11"/>
  <c r="E941" i="11"/>
  <c r="G940" i="11"/>
  <c r="E940" i="11"/>
  <c r="G939" i="11"/>
  <c r="E939" i="11"/>
  <c r="G938" i="11"/>
  <c r="E938" i="11"/>
  <c r="G937" i="11"/>
  <c r="E937" i="11"/>
  <c r="G936" i="11"/>
  <c r="E936" i="11"/>
  <c r="G935" i="11"/>
  <c r="E935" i="11"/>
  <c r="G934" i="11"/>
  <c r="E934" i="11"/>
  <c r="G933" i="11"/>
  <c r="E933" i="11"/>
  <c r="G932" i="11"/>
  <c r="E932" i="11"/>
  <c r="G931" i="11"/>
  <c r="E931" i="11"/>
  <c r="G930" i="11"/>
  <c r="E930" i="11"/>
  <c r="G929" i="11"/>
  <c r="E929" i="11"/>
  <c r="G928" i="11"/>
  <c r="E928" i="11"/>
  <c r="G927" i="11"/>
  <c r="E927" i="11"/>
  <c r="G926" i="11"/>
  <c r="E926" i="11"/>
  <c r="G925" i="11"/>
  <c r="E925" i="11"/>
  <c r="G924" i="11"/>
  <c r="E924" i="11"/>
  <c r="G923" i="11"/>
  <c r="E923" i="11"/>
  <c r="G922" i="11"/>
  <c r="E922" i="11"/>
  <c r="G921" i="11"/>
  <c r="E921" i="11"/>
  <c r="G920" i="11"/>
  <c r="E920" i="11"/>
  <c r="G919" i="11"/>
  <c r="E919" i="11"/>
  <c r="G918" i="11"/>
  <c r="E918" i="11"/>
  <c r="G917" i="11"/>
  <c r="E917" i="11"/>
  <c r="G916" i="11"/>
  <c r="E916" i="11"/>
  <c r="G915" i="11"/>
  <c r="E915" i="11"/>
  <c r="G914" i="11"/>
  <c r="E914" i="11"/>
  <c r="G913" i="11"/>
  <c r="E913" i="11"/>
  <c r="G912" i="11"/>
  <c r="E912" i="11"/>
  <c r="G911" i="11"/>
  <c r="E911" i="11"/>
  <c r="G910" i="11"/>
  <c r="E910" i="11"/>
  <c r="G909" i="11"/>
  <c r="E909" i="11"/>
  <c r="G908" i="11"/>
  <c r="E908" i="11"/>
  <c r="G907" i="11"/>
  <c r="E907" i="11"/>
  <c r="G906" i="11"/>
  <c r="E906" i="11"/>
  <c r="G905" i="11"/>
  <c r="E905" i="11"/>
  <c r="G904" i="11"/>
  <c r="E904" i="11"/>
  <c r="G903" i="11"/>
  <c r="E903" i="11"/>
  <c r="G902" i="11"/>
  <c r="E902" i="11"/>
  <c r="G901" i="11"/>
  <c r="E901" i="11"/>
  <c r="G900" i="11"/>
  <c r="E900" i="11"/>
  <c r="G899" i="11"/>
  <c r="E899" i="11"/>
  <c r="G898" i="11"/>
  <c r="E898" i="11"/>
  <c r="G897" i="11"/>
  <c r="E897" i="11"/>
  <c r="G896" i="11"/>
  <c r="E896" i="11"/>
  <c r="G895" i="11"/>
  <c r="E895" i="11"/>
  <c r="G894" i="11"/>
  <c r="E894" i="11"/>
  <c r="G893" i="11"/>
  <c r="E893" i="11"/>
  <c r="G892" i="11"/>
  <c r="E892" i="11"/>
  <c r="G891" i="11"/>
  <c r="E891" i="11"/>
  <c r="G890" i="11"/>
  <c r="E890" i="11"/>
  <c r="G889" i="11"/>
  <c r="E889" i="11"/>
  <c r="G888" i="11"/>
  <c r="E888" i="11"/>
  <c r="G887" i="11"/>
  <c r="E887" i="11"/>
  <c r="G886" i="11"/>
  <c r="E886" i="11"/>
  <c r="G885" i="11"/>
  <c r="E885" i="11"/>
  <c r="G884" i="11"/>
  <c r="E884" i="11"/>
  <c r="G883" i="11"/>
  <c r="E883" i="11"/>
  <c r="G882" i="11"/>
  <c r="E882" i="11"/>
  <c r="G881" i="11"/>
  <c r="E881" i="11"/>
  <c r="G880" i="11"/>
  <c r="E880" i="11"/>
  <c r="G879" i="11"/>
  <c r="E879" i="11"/>
  <c r="G878" i="11"/>
  <c r="E878" i="11"/>
  <c r="G877" i="11"/>
  <c r="E877" i="11"/>
  <c r="G876" i="11"/>
  <c r="E876" i="11"/>
  <c r="G875" i="11"/>
  <c r="E875" i="11"/>
  <c r="G874" i="11"/>
  <c r="E874" i="11"/>
  <c r="G873" i="11"/>
  <c r="E873" i="11"/>
  <c r="G872" i="11"/>
  <c r="E872" i="11"/>
  <c r="G871" i="11"/>
  <c r="E871" i="11"/>
  <c r="G870" i="11"/>
  <c r="E870" i="11"/>
  <c r="G869" i="11"/>
  <c r="E869" i="11"/>
  <c r="G868" i="11"/>
  <c r="E868" i="11"/>
  <c r="G867" i="11"/>
  <c r="E867" i="11"/>
  <c r="G866" i="11"/>
  <c r="E866" i="11"/>
  <c r="G865" i="11"/>
  <c r="E865" i="11"/>
  <c r="G864" i="11"/>
  <c r="E864" i="11"/>
  <c r="G863" i="11"/>
  <c r="E863" i="11"/>
  <c r="G862" i="11"/>
  <c r="E862" i="11"/>
  <c r="G861" i="11"/>
  <c r="E861" i="11"/>
  <c r="G860" i="11"/>
  <c r="E860" i="11"/>
  <c r="G859" i="11"/>
  <c r="E859" i="11"/>
  <c r="G858" i="11"/>
  <c r="E858" i="11"/>
  <c r="G857" i="11"/>
  <c r="E857" i="11"/>
  <c r="G856" i="11"/>
  <c r="E856" i="11"/>
  <c r="G855" i="11"/>
  <c r="E855" i="11"/>
  <c r="G854" i="11"/>
  <c r="E854" i="11"/>
  <c r="G853" i="11"/>
  <c r="E853" i="11"/>
  <c r="G852" i="11"/>
  <c r="E852" i="11"/>
  <c r="G851" i="11"/>
  <c r="E851" i="11"/>
  <c r="G850" i="11"/>
  <c r="E850" i="11"/>
  <c r="G849" i="11"/>
  <c r="E849" i="11"/>
  <c r="G848" i="11"/>
  <c r="E848" i="11"/>
  <c r="G847" i="11"/>
  <c r="E847" i="11"/>
  <c r="G846" i="11"/>
  <c r="E846" i="11"/>
  <c r="G845" i="11"/>
  <c r="E845" i="11"/>
  <c r="G844" i="11"/>
  <c r="E844" i="11"/>
  <c r="G843" i="11"/>
  <c r="E843" i="11"/>
  <c r="G842" i="11"/>
  <c r="E842" i="11"/>
  <c r="G841" i="11"/>
  <c r="E841" i="11"/>
  <c r="G840" i="11"/>
  <c r="E840" i="11"/>
  <c r="G839" i="11"/>
  <c r="E839" i="11"/>
  <c r="G838" i="11"/>
  <c r="E838" i="11"/>
  <c r="G837" i="11"/>
  <c r="E837" i="11"/>
  <c r="G836" i="11"/>
  <c r="E836" i="11"/>
  <c r="G835" i="11"/>
  <c r="E835" i="11"/>
  <c r="G834" i="11"/>
  <c r="E834" i="11"/>
  <c r="G833" i="11"/>
  <c r="E833" i="11"/>
  <c r="G832" i="11"/>
  <c r="E832" i="11"/>
  <c r="G831" i="11"/>
  <c r="E831" i="11"/>
  <c r="G830" i="11"/>
  <c r="E830" i="11"/>
  <c r="G829" i="11"/>
  <c r="E829" i="11"/>
  <c r="G828" i="11"/>
  <c r="E828" i="11"/>
  <c r="G827" i="11"/>
  <c r="E827" i="11"/>
  <c r="G826" i="11"/>
  <c r="E826" i="11"/>
  <c r="G825" i="11"/>
  <c r="E825" i="11"/>
  <c r="G824" i="11"/>
  <c r="E824" i="11"/>
  <c r="G823" i="11"/>
  <c r="E823" i="11"/>
  <c r="G822" i="11"/>
  <c r="E822" i="11"/>
  <c r="G821" i="11"/>
  <c r="E821" i="11"/>
  <c r="G820" i="11"/>
  <c r="E820" i="11"/>
  <c r="G819" i="11"/>
  <c r="E819" i="11"/>
  <c r="G818" i="11"/>
  <c r="E818" i="11"/>
  <c r="G817" i="11"/>
  <c r="E817" i="11"/>
  <c r="G816" i="11"/>
  <c r="E816" i="11"/>
  <c r="G815" i="11"/>
  <c r="E815" i="11"/>
  <c r="G814" i="11"/>
  <c r="E814" i="11"/>
  <c r="G813" i="11"/>
  <c r="E813" i="11"/>
  <c r="G812" i="11"/>
  <c r="E812" i="11"/>
  <c r="G811" i="11"/>
  <c r="E811" i="11"/>
  <c r="G810" i="11"/>
  <c r="E810" i="11"/>
  <c r="G809" i="11"/>
  <c r="E809" i="11"/>
  <c r="G808" i="11"/>
  <c r="E808" i="11"/>
  <c r="G807" i="11"/>
  <c r="E807" i="11"/>
  <c r="G806" i="11"/>
  <c r="E806" i="11"/>
  <c r="G805" i="11"/>
  <c r="E805" i="11"/>
  <c r="G804" i="11"/>
  <c r="E804" i="11"/>
  <c r="G803" i="11"/>
  <c r="E803" i="11"/>
  <c r="G802" i="11"/>
  <c r="E802" i="11"/>
  <c r="G801" i="11"/>
  <c r="E801" i="11"/>
  <c r="G800" i="11"/>
  <c r="E800" i="11"/>
  <c r="G799" i="11"/>
  <c r="E799" i="11"/>
  <c r="G798" i="11"/>
  <c r="E798" i="11"/>
  <c r="G797" i="11"/>
  <c r="E797" i="11"/>
  <c r="G796" i="11"/>
  <c r="E796" i="11"/>
  <c r="G795" i="11"/>
  <c r="E795" i="11"/>
  <c r="G794" i="11"/>
  <c r="E794" i="11"/>
  <c r="G793" i="11"/>
  <c r="E793" i="11"/>
  <c r="G792" i="11"/>
  <c r="E792" i="11"/>
  <c r="G791" i="11"/>
  <c r="E791" i="11"/>
  <c r="G790" i="11"/>
  <c r="E790" i="11"/>
  <c r="G789" i="11"/>
  <c r="E789" i="11"/>
  <c r="G788" i="11"/>
  <c r="E788" i="11"/>
  <c r="G787" i="11"/>
  <c r="E787" i="11"/>
  <c r="G786" i="11"/>
  <c r="E786" i="11"/>
  <c r="G785" i="11"/>
  <c r="E785" i="11"/>
  <c r="G784" i="11"/>
  <c r="E784" i="11"/>
  <c r="G783" i="11"/>
  <c r="E783" i="11"/>
  <c r="G782" i="11"/>
  <c r="E782" i="11"/>
  <c r="G781" i="11"/>
  <c r="E781" i="11"/>
  <c r="G780" i="11"/>
  <c r="E780" i="11"/>
  <c r="G779" i="11"/>
  <c r="E779" i="11"/>
  <c r="G778" i="11"/>
  <c r="E778" i="11"/>
  <c r="G777" i="11"/>
  <c r="E777" i="11"/>
  <c r="G776" i="11"/>
  <c r="E776" i="11"/>
  <c r="G775" i="11"/>
  <c r="E775" i="11"/>
  <c r="G774" i="11"/>
  <c r="E774" i="11"/>
  <c r="G773" i="11"/>
  <c r="E773" i="11"/>
  <c r="G772" i="11"/>
  <c r="E772" i="11"/>
  <c r="G771" i="11"/>
  <c r="E771" i="11"/>
  <c r="G770" i="11"/>
  <c r="E770" i="11"/>
  <c r="G769" i="11"/>
  <c r="E769" i="11"/>
  <c r="G768" i="11"/>
  <c r="E768" i="11"/>
  <c r="G767" i="11"/>
  <c r="E767" i="11"/>
  <c r="G766" i="11"/>
  <c r="E766" i="11"/>
  <c r="G765" i="11"/>
  <c r="E765" i="11"/>
  <c r="G764" i="11"/>
  <c r="E764" i="11"/>
  <c r="G763" i="11"/>
  <c r="E763" i="11"/>
  <c r="G762" i="11"/>
  <c r="E762" i="11"/>
  <c r="G761" i="11"/>
  <c r="E761" i="11"/>
  <c r="G760" i="11"/>
  <c r="E760" i="11"/>
  <c r="G759" i="11"/>
  <c r="E759" i="11"/>
  <c r="G758" i="11"/>
  <c r="E758" i="11"/>
  <c r="G757" i="11"/>
  <c r="E757" i="11"/>
  <c r="G756" i="11"/>
  <c r="E756" i="11"/>
  <c r="G755" i="11"/>
  <c r="E755" i="11"/>
  <c r="G754" i="11"/>
  <c r="E754" i="11"/>
  <c r="G753" i="11"/>
  <c r="E753" i="11"/>
  <c r="G752" i="11"/>
  <c r="E752" i="11"/>
  <c r="G751" i="11"/>
  <c r="E751" i="11"/>
  <c r="G750" i="11"/>
  <c r="E750" i="11"/>
  <c r="G749" i="11"/>
  <c r="E749" i="11"/>
  <c r="G748" i="11"/>
  <c r="E748" i="11"/>
  <c r="G747" i="11"/>
  <c r="E747" i="11"/>
  <c r="G746" i="11"/>
  <c r="E746" i="11"/>
  <c r="G745" i="11"/>
  <c r="E745" i="11"/>
  <c r="G744" i="11"/>
  <c r="E744" i="11"/>
  <c r="G743" i="11"/>
  <c r="E743" i="11"/>
  <c r="G742" i="11"/>
  <c r="E742" i="11"/>
  <c r="G741" i="11"/>
  <c r="E741" i="11"/>
  <c r="G740" i="11"/>
  <c r="E740" i="11"/>
  <c r="G739" i="11"/>
  <c r="E739" i="11"/>
  <c r="G738" i="11"/>
  <c r="E738" i="11"/>
  <c r="G737" i="11"/>
  <c r="E737" i="11"/>
  <c r="G736" i="11"/>
  <c r="E736" i="11"/>
  <c r="G735" i="11"/>
  <c r="E735" i="11"/>
  <c r="G734" i="11"/>
  <c r="E734" i="11"/>
  <c r="G733" i="11"/>
  <c r="E733" i="11"/>
  <c r="G732" i="11"/>
  <c r="E732" i="11"/>
  <c r="G731" i="11"/>
  <c r="E731" i="11"/>
  <c r="G730" i="11"/>
  <c r="E730" i="11"/>
  <c r="G729" i="11"/>
  <c r="E729" i="11"/>
  <c r="G728" i="11"/>
  <c r="E728" i="11"/>
  <c r="G727" i="11"/>
  <c r="E727" i="11"/>
  <c r="G726" i="11"/>
  <c r="E726" i="11"/>
  <c r="G725" i="11"/>
  <c r="E725" i="11"/>
  <c r="G724" i="11"/>
  <c r="E724" i="11"/>
  <c r="G723" i="11"/>
  <c r="E723" i="11"/>
  <c r="G722" i="11"/>
  <c r="E722" i="11"/>
  <c r="G721" i="11"/>
  <c r="E721" i="11"/>
  <c r="G720" i="11"/>
  <c r="E720" i="11"/>
  <c r="G719" i="11"/>
  <c r="E719" i="11"/>
  <c r="G718" i="11"/>
  <c r="E718" i="11"/>
  <c r="G717" i="11"/>
  <c r="E717" i="11"/>
  <c r="G716" i="11"/>
  <c r="E716" i="11"/>
  <c r="G715" i="11"/>
  <c r="E715" i="11"/>
  <c r="G714" i="11"/>
  <c r="E714" i="11"/>
  <c r="G713" i="11"/>
  <c r="E713" i="11"/>
  <c r="G712" i="11"/>
  <c r="E712" i="11"/>
  <c r="G711" i="11"/>
  <c r="E711" i="11"/>
  <c r="G710" i="11"/>
  <c r="E710" i="11"/>
  <c r="G709" i="11"/>
  <c r="E709" i="11"/>
  <c r="G708" i="11"/>
  <c r="E708" i="11"/>
  <c r="G707" i="11"/>
  <c r="E707" i="11"/>
  <c r="G706" i="11"/>
  <c r="E706" i="11"/>
  <c r="G705" i="11"/>
  <c r="E705" i="11"/>
  <c r="G704" i="11"/>
  <c r="E704" i="11"/>
  <c r="G703" i="11"/>
  <c r="E703" i="11"/>
  <c r="G702" i="11"/>
  <c r="E702" i="11"/>
  <c r="G701" i="11"/>
  <c r="E701" i="11"/>
  <c r="G700" i="11"/>
  <c r="E700" i="11"/>
  <c r="G699" i="11"/>
  <c r="E699" i="11"/>
  <c r="G698" i="11"/>
  <c r="E698" i="11"/>
  <c r="G697" i="11"/>
  <c r="E697" i="11"/>
  <c r="G696" i="11"/>
  <c r="E696" i="11"/>
  <c r="G695" i="11"/>
  <c r="E695" i="11"/>
  <c r="G694" i="11"/>
  <c r="E694" i="11"/>
  <c r="G693" i="11"/>
  <c r="E693" i="11"/>
  <c r="G692" i="11"/>
  <c r="E692" i="11"/>
  <c r="G691" i="11"/>
  <c r="E691" i="11"/>
  <c r="G690" i="11"/>
  <c r="E690" i="11"/>
  <c r="G689" i="11"/>
  <c r="E689" i="11"/>
  <c r="G688" i="11"/>
  <c r="E688" i="11"/>
  <c r="G687" i="11"/>
  <c r="E687" i="11"/>
  <c r="G686" i="11"/>
  <c r="E686" i="11"/>
  <c r="G685" i="11"/>
  <c r="E685" i="11"/>
  <c r="G684" i="11"/>
  <c r="E684" i="11"/>
  <c r="G683" i="11"/>
  <c r="E683" i="11"/>
  <c r="G682" i="11"/>
  <c r="E682" i="11"/>
  <c r="G681" i="11"/>
  <c r="E681" i="11"/>
  <c r="G680" i="11"/>
  <c r="E680" i="11"/>
  <c r="G679" i="11"/>
  <c r="E679" i="11"/>
  <c r="G678" i="11"/>
  <c r="E678" i="11"/>
  <c r="G677" i="11"/>
  <c r="E677" i="11"/>
  <c r="G676" i="11"/>
  <c r="E676" i="11"/>
  <c r="G675" i="11"/>
  <c r="E675" i="11"/>
  <c r="G674" i="11"/>
  <c r="E674" i="11"/>
  <c r="G673" i="11"/>
  <c r="E673" i="11"/>
  <c r="G672" i="11"/>
  <c r="E672" i="11"/>
  <c r="G671" i="11"/>
  <c r="E671" i="11"/>
  <c r="G670" i="11"/>
  <c r="E670" i="11"/>
  <c r="G669" i="11"/>
  <c r="E669" i="11"/>
  <c r="G668" i="11"/>
  <c r="E668" i="11"/>
  <c r="G667" i="11"/>
  <c r="E667" i="11"/>
  <c r="G666" i="11"/>
  <c r="E666" i="11"/>
  <c r="G665" i="11"/>
  <c r="E665" i="11"/>
  <c r="G664" i="11"/>
  <c r="E664" i="11"/>
  <c r="G663" i="11"/>
  <c r="E663" i="11"/>
  <c r="G662" i="11"/>
  <c r="E662" i="11"/>
  <c r="G661" i="11"/>
  <c r="E661" i="11"/>
  <c r="G660" i="11"/>
  <c r="E660" i="11"/>
  <c r="G659" i="11"/>
  <c r="E659" i="11"/>
  <c r="G658" i="11"/>
  <c r="E658" i="11"/>
  <c r="G657" i="11"/>
  <c r="E657" i="11"/>
  <c r="G656" i="11"/>
  <c r="E656" i="11"/>
  <c r="G655" i="11"/>
  <c r="E655" i="11"/>
  <c r="G654" i="11"/>
  <c r="E654" i="11"/>
  <c r="G653" i="11"/>
  <c r="E653" i="11"/>
  <c r="G652" i="11"/>
  <c r="E652" i="11"/>
  <c r="G651" i="11"/>
  <c r="E651" i="11"/>
  <c r="G650" i="11"/>
  <c r="E650" i="11"/>
  <c r="G649" i="11"/>
  <c r="E649" i="11"/>
  <c r="G648" i="11"/>
  <c r="E648" i="11"/>
  <c r="G647" i="11"/>
  <c r="E647" i="11"/>
  <c r="G646" i="11"/>
  <c r="E646" i="11"/>
  <c r="G645" i="11"/>
  <c r="E645" i="11"/>
  <c r="G644" i="11"/>
  <c r="E644" i="11"/>
  <c r="G643" i="11"/>
  <c r="E643" i="11"/>
  <c r="G642" i="11"/>
  <c r="E642" i="11"/>
  <c r="G641" i="11"/>
  <c r="E641" i="11"/>
  <c r="G640" i="11"/>
  <c r="E640" i="11"/>
  <c r="G639" i="11"/>
  <c r="E639" i="11"/>
  <c r="G638" i="11"/>
  <c r="E638" i="11"/>
  <c r="G637" i="11"/>
  <c r="E637" i="11"/>
  <c r="G636" i="11"/>
  <c r="E636" i="11"/>
  <c r="G635" i="11"/>
  <c r="E635" i="11"/>
  <c r="G634" i="11"/>
  <c r="E634" i="11"/>
  <c r="G633" i="11"/>
  <c r="E633" i="11"/>
  <c r="G632" i="11"/>
  <c r="E632" i="11"/>
  <c r="G631" i="11"/>
  <c r="E631" i="11"/>
  <c r="G630" i="11"/>
  <c r="E630" i="11"/>
  <c r="G629" i="11"/>
  <c r="E629" i="11"/>
  <c r="G628" i="11"/>
  <c r="E628" i="11"/>
  <c r="G627" i="11"/>
  <c r="E627" i="11"/>
  <c r="G626" i="11"/>
  <c r="E626" i="11"/>
  <c r="G625" i="11"/>
  <c r="E625" i="11"/>
  <c r="G624" i="11"/>
  <c r="E624" i="11"/>
  <c r="G623" i="11"/>
  <c r="E623" i="11"/>
  <c r="G622" i="11"/>
  <c r="E622" i="11"/>
  <c r="G621" i="11"/>
  <c r="E621" i="11"/>
  <c r="G620" i="11"/>
  <c r="E620" i="11"/>
  <c r="G619" i="11"/>
  <c r="E619" i="11"/>
  <c r="G618" i="11"/>
  <c r="E618" i="11"/>
  <c r="G617" i="11"/>
  <c r="E617" i="11"/>
  <c r="G616" i="11"/>
  <c r="E616" i="11"/>
  <c r="G615" i="11"/>
  <c r="E615" i="11"/>
  <c r="G614" i="11"/>
  <c r="E614" i="11"/>
  <c r="G613" i="11"/>
  <c r="E613" i="11"/>
  <c r="G612" i="11"/>
  <c r="E612" i="11"/>
  <c r="G611" i="11"/>
  <c r="E611" i="11"/>
  <c r="G610" i="11"/>
  <c r="E610" i="11"/>
  <c r="G609" i="11"/>
  <c r="E609" i="11"/>
  <c r="G608" i="11"/>
  <c r="E608" i="11"/>
  <c r="G607" i="11"/>
  <c r="E607" i="11"/>
  <c r="G606" i="11"/>
  <c r="E606" i="11"/>
  <c r="G605" i="11"/>
  <c r="E605" i="11"/>
  <c r="G604" i="11"/>
  <c r="E604" i="11"/>
  <c r="G603" i="11"/>
  <c r="E603" i="11"/>
  <c r="G602" i="11"/>
  <c r="E602" i="11"/>
  <c r="G601" i="11"/>
  <c r="E601" i="11"/>
  <c r="G600" i="11"/>
  <c r="E600" i="11"/>
  <c r="G599" i="11"/>
  <c r="E599" i="11"/>
  <c r="G598" i="11"/>
  <c r="E598" i="11"/>
  <c r="G597" i="11"/>
  <c r="E597" i="11"/>
  <c r="G596" i="11"/>
  <c r="E596" i="11"/>
  <c r="G595" i="11"/>
  <c r="E595" i="11"/>
  <c r="G594" i="11"/>
  <c r="E594" i="11"/>
  <c r="G593" i="11"/>
  <c r="E593" i="11"/>
  <c r="G592" i="11"/>
  <c r="E592" i="11"/>
  <c r="G591" i="11"/>
  <c r="E591" i="11"/>
  <c r="G590" i="11"/>
  <c r="E590" i="11"/>
  <c r="G589" i="11"/>
  <c r="E589" i="11"/>
  <c r="G588" i="11"/>
  <c r="E588" i="11"/>
  <c r="G587" i="11"/>
  <c r="E587" i="11"/>
  <c r="G586" i="11"/>
  <c r="E586" i="11"/>
  <c r="G585" i="11"/>
  <c r="E585" i="11"/>
  <c r="G584" i="11"/>
  <c r="E584" i="11"/>
  <c r="G583" i="11"/>
  <c r="E583" i="11"/>
  <c r="G582" i="11"/>
  <c r="E582" i="11"/>
  <c r="G581" i="11"/>
  <c r="E581" i="11"/>
  <c r="G580" i="11"/>
  <c r="E580" i="11"/>
  <c r="G579" i="11"/>
  <c r="E579" i="11"/>
  <c r="G578" i="11"/>
  <c r="E578" i="11"/>
  <c r="G577" i="11"/>
  <c r="E577" i="11"/>
  <c r="G576" i="11"/>
  <c r="E576" i="11"/>
  <c r="G575" i="11"/>
  <c r="E575" i="11"/>
  <c r="G574" i="11"/>
  <c r="E574" i="11"/>
  <c r="G573" i="11"/>
  <c r="E573" i="11"/>
  <c r="G572" i="11"/>
  <c r="E572" i="11"/>
  <c r="G571" i="11"/>
  <c r="E571" i="11"/>
  <c r="G570" i="11"/>
  <c r="E570" i="11"/>
  <c r="G569" i="11"/>
  <c r="E569" i="11"/>
  <c r="G568" i="11"/>
  <c r="E568" i="11"/>
  <c r="G567" i="11"/>
  <c r="E567" i="11"/>
  <c r="G566" i="11"/>
  <c r="E566" i="11"/>
  <c r="G565" i="11"/>
  <c r="E565" i="11"/>
  <c r="G564" i="11"/>
  <c r="E564" i="11"/>
  <c r="G563" i="11"/>
  <c r="E563" i="11"/>
  <c r="G562" i="11"/>
  <c r="E562" i="11"/>
  <c r="G561" i="11"/>
  <c r="E561" i="11"/>
  <c r="G560" i="11"/>
  <c r="E560" i="11"/>
  <c r="G559" i="11"/>
  <c r="E559" i="11"/>
  <c r="G558" i="11"/>
  <c r="E558" i="11"/>
  <c r="G557" i="11"/>
  <c r="E557" i="11"/>
  <c r="G556" i="11"/>
  <c r="E556" i="11"/>
  <c r="G555" i="11"/>
  <c r="E555" i="11"/>
  <c r="G554" i="11"/>
  <c r="E554" i="11"/>
  <c r="G553" i="11"/>
  <c r="E553" i="11"/>
  <c r="G552" i="11"/>
  <c r="E552" i="11"/>
  <c r="G551" i="11"/>
  <c r="E551" i="11"/>
  <c r="G550" i="11"/>
  <c r="E550" i="11"/>
  <c r="G549" i="11"/>
  <c r="E549" i="11"/>
  <c r="G548" i="11"/>
  <c r="E548" i="11"/>
  <c r="G547" i="11"/>
  <c r="E547" i="11"/>
  <c r="G546" i="11"/>
  <c r="E546" i="11"/>
  <c r="G545" i="11"/>
  <c r="E545" i="11"/>
  <c r="G544" i="11"/>
  <c r="E544" i="11"/>
  <c r="G543" i="11"/>
  <c r="E543" i="11"/>
  <c r="G542" i="11"/>
  <c r="E542" i="11"/>
  <c r="G541" i="11"/>
  <c r="E541" i="11"/>
  <c r="G540" i="11"/>
  <c r="E540" i="11"/>
  <c r="G539" i="11"/>
  <c r="E539" i="11"/>
  <c r="G538" i="11"/>
  <c r="E538" i="11"/>
  <c r="G537" i="11"/>
  <c r="E537" i="11"/>
  <c r="G536" i="11"/>
  <c r="E536" i="11"/>
  <c r="G535" i="11"/>
  <c r="E535" i="11"/>
  <c r="G534" i="11"/>
  <c r="E534" i="11"/>
  <c r="G533" i="11"/>
  <c r="E533" i="11"/>
  <c r="G532" i="11"/>
  <c r="E532" i="11"/>
  <c r="G531" i="11"/>
  <c r="E531" i="11"/>
  <c r="G530" i="11"/>
  <c r="E530" i="11"/>
  <c r="G529" i="11"/>
  <c r="E529" i="11"/>
  <c r="G528" i="11"/>
  <c r="E528" i="11"/>
  <c r="G527" i="11"/>
  <c r="E527" i="11"/>
  <c r="G526" i="11"/>
  <c r="E526" i="11"/>
  <c r="G525" i="11"/>
  <c r="E525" i="11"/>
  <c r="G524" i="11"/>
  <c r="E524" i="11"/>
  <c r="G523" i="11"/>
  <c r="E523" i="11"/>
  <c r="G522" i="11"/>
  <c r="E522" i="11"/>
  <c r="G521" i="11"/>
  <c r="E521" i="11"/>
  <c r="G520" i="11"/>
  <c r="E520" i="11"/>
  <c r="G519" i="11"/>
  <c r="E519" i="11"/>
  <c r="G518" i="11"/>
  <c r="E518" i="11"/>
  <c r="G517" i="11"/>
  <c r="E517" i="11"/>
  <c r="G516" i="11"/>
  <c r="E516" i="11"/>
  <c r="G515" i="11"/>
  <c r="E515" i="11"/>
  <c r="G514" i="11"/>
  <c r="E514" i="11"/>
  <c r="G513" i="11"/>
  <c r="E513" i="11"/>
  <c r="G512" i="11"/>
  <c r="E512" i="11"/>
  <c r="G511" i="11"/>
  <c r="E511" i="11"/>
  <c r="G510" i="11"/>
  <c r="E510" i="11"/>
  <c r="G509" i="11"/>
  <c r="E509" i="11"/>
  <c r="G508" i="11"/>
  <c r="E508" i="11"/>
  <c r="G507" i="11"/>
  <c r="E507" i="11"/>
  <c r="G506" i="11"/>
  <c r="E506" i="11"/>
  <c r="G505" i="11"/>
  <c r="E505" i="11"/>
  <c r="G504" i="11"/>
  <c r="E504" i="11"/>
  <c r="G503" i="11"/>
  <c r="E503" i="11"/>
  <c r="G502" i="11"/>
  <c r="E502" i="11"/>
  <c r="G501" i="11"/>
  <c r="E501" i="11"/>
  <c r="G500" i="11"/>
  <c r="E500" i="11"/>
  <c r="G499" i="11"/>
  <c r="E499" i="11"/>
  <c r="G498" i="11"/>
  <c r="E498" i="11"/>
  <c r="G497" i="11"/>
  <c r="E497" i="11"/>
  <c r="G496" i="11"/>
  <c r="E496" i="11"/>
  <c r="G495" i="11"/>
  <c r="E495" i="11"/>
  <c r="G494" i="11"/>
  <c r="E494" i="11"/>
  <c r="G493" i="11"/>
  <c r="E493" i="11"/>
  <c r="G492" i="11"/>
  <c r="E492" i="11"/>
  <c r="G491" i="11"/>
  <c r="E491" i="11"/>
  <c r="G490" i="11"/>
  <c r="E490" i="11"/>
  <c r="G489" i="11"/>
  <c r="E489" i="11"/>
  <c r="G488" i="11"/>
  <c r="E488" i="11"/>
  <c r="G487" i="11"/>
  <c r="E487" i="11"/>
  <c r="G486" i="11"/>
  <c r="E486" i="11"/>
  <c r="G485" i="11"/>
  <c r="E485" i="11"/>
  <c r="G484" i="11"/>
  <c r="E484" i="11"/>
  <c r="G483" i="11"/>
  <c r="E483" i="11"/>
  <c r="G482" i="11"/>
  <c r="E482" i="11"/>
  <c r="G481" i="11"/>
  <c r="E481" i="11"/>
  <c r="G480" i="11"/>
  <c r="E480" i="11"/>
  <c r="G479" i="11"/>
  <c r="E479" i="11"/>
  <c r="G478" i="11"/>
  <c r="E478" i="11"/>
  <c r="G477" i="11"/>
  <c r="E477" i="11"/>
  <c r="G476" i="11"/>
  <c r="E476" i="11"/>
  <c r="G475" i="11"/>
  <c r="E475" i="11"/>
  <c r="G474" i="11"/>
  <c r="E474" i="11"/>
  <c r="G473" i="11"/>
  <c r="E473" i="11"/>
  <c r="G472" i="11"/>
  <c r="E472" i="11"/>
  <c r="G471" i="11"/>
  <c r="E471" i="11"/>
  <c r="G470" i="11"/>
  <c r="E470" i="11"/>
  <c r="G469" i="11"/>
  <c r="E469" i="11"/>
  <c r="G468" i="11"/>
  <c r="E468" i="11"/>
  <c r="G467" i="11"/>
  <c r="E467" i="11"/>
  <c r="G466" i="11"/>
  <c r="E466" i="11"/>
  <c r="G465" i="11"/>
  <c r="E465" i="11"/>
  <c r="G464" i="11"/>
  <c r="E464" i="11"/>
  <c r="G463" i="11"/>
  <c r="E463" i="11"/>
  <c r="G462" i="11"/>
  <c r="E462" i="11"/>
  <c r="G461" i="11"/>
  <c r="E461" i="11"/>
  <c r="G460" i="11"/>
  <c r="E460" i="11"/>
  <c r="G459" i="11"/>
  <c r="E459" i="11"/>
  <c r="G458" i="11"/>
  <c r="E458" i="11"/>
  <c r="G457" i="11"/>
  <c r="E457" i="11"/>
  <c r="G456" i="11"/>
  <c r="E456" i="11"/>
  <c r="G455" i="11"/>
  <c r="E455" i="11"/>
  <c r="G454" i="11"/>
  <c r="E454" i="11"/>
  <c r="G453" i="11"/>
  <c r="E453" i="11"/>
  <c r="G452" i="11"/>
  <c r="E452" i="11"/>
  <c r="G451" i="11"/>
  <c r="E451" i="11"/>
  <c r="G450" i="11"/>
  <c r="E450" i="11"/>
  <c r="G449" i="11"/>
  <c r="E449" i="11"/>
  <c r="G448" i="11"/>
  <c r="E448" i="11"/>
  <c r="G447" i="11"/>
  <c r="E447" i="11"/>
  <c r="G446" i="11"/>
  <c r="E446" i="11"/>
  <c r="G445" i="11"/>
  <c r="E445" i="11"/>
  <c r="G444" i="11"/>
  <c r="E444" i="11"/>
  <c r="G443" i="11"/>
  <c r="E443" i="11"/>
  <c r="G442" i="11"/>
  <c r="E442" i="11"/>
  <c r="G441" i="11"/>
  <c r="E441" i="11"/>
  <c r="G440" i="11"/>
  <c r="E440" i="11"/>
  <c r="G439" i="11"/>
  <c r="E439" i="11"/>
  <c r="G438" i="11"/>
  <c r="E438" i="11"/>
  <c r="G437" i="11"/>
  <c r="E437" i="11"/>
  <c r="G436" i="11"/>
  <c r="E436" i="11"/>
  <c r="G435" i="11"/>
  <c r="E435" i="11"/>
  <c r="G434" i="11"/>
  <c r="E434" i="11"/>
  <c r="G433" i="11"/>
  <c r="E433" i="11"/>
  <c r="G432" i="11"/>
  <c r="E432" i="11"/>
  <c r="G431" i="11"/>
  <c r="E431" i="11"/>
  <c r="G430" i="11"/>
  <c r="E430" i="11"/>
  <c r="G429" i="11"/>
  <c r="E429" i="11"/>
  <c r="G428" i="11"/>
  <c r="E428" i="11"/>
  <c r="G427" i="11"/>
  <c r="E427" i="11"/>
  <c r="G426" i="11"/>
  <c r="E426" i="11"/>
  <c r="G425" i="11"/>
  <c r="E425" i="11"/>
  <c r="G424" i="11"/>
  <c r="E424" i="11"/>
  <c r="G423" i="11"/>
  <c r="E423" i="11"/>
  <c r="G422" i="11"/>
  <c r="E422" i="11"/>
  <c r="G421" i="11"/>
  <c r="E421" i="11"/>
  <c r="G420" i="11"/>
  <c r="E420" i="11"/>
  <c r="G419" i="11"/>
  <c r="E419" i="11"/>
  <c r="G418" i="11"/>
  <c r="E418" i="11"/>
  <c r="G417" i="11"/>
  <c r="E417" i="11"/>
  <c r="G416" i="11"/>
  <c r="E416" i="11"/>
  <c r="G415" i="11"/>
  <c r="E415" i="11"/>
  <c r="G414" i="11"/>
  <c r="E414" i="11"/>
  <c r="G413" i="11"/>
  <c r="E413" i="11"/>
  <c r="G412" i="11"/>
  <c r="E412" i="11"/>
  <c r="G411" i="11"/>
  <c r="E411" i="11"/>
  <c r="G410" i="11"/>
  <c r="E410" i="11"/>
  <c r="G409" i="11"/>
  <c r="E409" i="11"/>
  <c r="G408" i="11"/>
  <c r="E408" i="11"/>
  <c r="G407" i="11"/>
  <c r="E407" i="11"/>
  <c r="G406" i="11"/>
  <c r="E406" i="11"/>
  <c r="G405" i="11"/>
  <c r="E405" i="11"/>
  <c r="G404" i="11"/>
  <c r="E404" i="11"/>
  <c r="G403" i="11"/>
  <c r="E403" i="11"/>
  <c r="G402" i="11"/>
  <c r="E402" i="11"/>
  <c r="G401" i="11"/>
  <c r="E401" i="11"/>
  <c r="G400" i="11"/>
  <c r="E400" i="11"/>
  <c r="G399" i="11"/>
  <c r="E399" i="11"/>
  <c r="G398" i="11"/>
  <c r="E398" i="11"/>
  <c r="G397" i="11"/>
  <c r="E397" i="11"/>
  <c r="G396" i="11"/>
  <c r="E396" i="11"/>
  <c r="G395" i="11"/>
  <c r="E395" i="11"/>
  <c r="G394" i="11"/>
  <c r="E394" i="11"/>
  <c r="G393" i="11"/>
  <c r="E393" i="11"/>
  <c r="G392" i="11"/>
  <c r="E392" i="11"/>
  <c r="G391" i="11"/>
  <c r="E391" i="11"/>
  <c r="G390" i="11"/>
  <c r="E390" i="11"/>
  <c r="G389" i="11"/>
  <c r="E389" i="11"/>
  <c r="G388" i="11"/>
  <c r="E388" i="11"/>
  <c r="G387" i="11"/>
  <c r="E387" i="11"/>
  <c r="G386" i="11"/>
  <c r="E386" i="11"/>
  <c r="G385" i="11"/>
  <c r="E385" i="11"/>
  <c r="G384" i="11"/>
  <c r="E384" i="11"/>
  <c r="G383" i="11"/>
  <c r="E383" i="11"/>
  <c r="G382" i="11"/>
  <c r="E382" i="11"/>
  <c r="G381" i="11"/>
  <c r="E381" i="11"/>
  <c r="G380" i="11"/>
  <c r="E380" i="11"/>
  <c r="G379" i="11"/>
  <c r="E379" i="11"/>
  <c r="G378" i="11"/>
  <c r="E378" i="11"/>
  <c r="G377" i="11"/>
  <c r="E377" i="11"/>
  <c r="G376" i="11"/>
  <c r="E376" i="11"/>
  <c r="G375" i="11"/>
  <c r="E375" i="11"/>
  <c r="G374" i="11"/>
  <c r="E374" i="11"/>
  <c r="G373" i="11"/>
  <c r="E373" i="11"/>
  <c r="G372" i="11"/>
  <c r="E372" i="11"/>
  <c r="G371" i="11"/>
  <c r="E371" i="11"/>
  <c r="G370" i="11"/>
  <c r="E370" i="11"/>
  <c r="G369" i="11"/>
  <c r="E369" i="11"/>
  <c r="G368" i="11"/>
  <c r="E368" i="11"/>
  <c r="G367" i="11"/>
  <c r="E367" i="11"/>
  <c r="G366" i="11"/>
  <c r="E366" i="11"/>
  <c r="G365" i="11"/>
  <c r="E365" i="11"/>
  <c r="G364" i="11"/>
  <c r="E364" i="11"/>
  <c r="G363" i="11"/>
  <c r="E363" i="11"/>
  <c r="G362" i="11"/>
  <c r="E362" i="11"/>
  <c r="G361" i="11"/>
  <c r="E361" i="11"/>
  <c r="G360" i="11"/>
  <c r="E360" i="11"/>
  <c r="G359" i="11"/>
  <c r="E359" i="11"/>
  <c r="G358" i="11"/>
  <c r="E358" i="11"/>
  <c r="G357" i="11"/>
  <c r="E357" i="11"/>
  <c r="G356" i="11"/>
  <c r="E356" i="11"/>
  <c r="G355" i="11"/>
  <c r="E355" i="11"/>
  <c r="G354" i="11"/>
  <c r="E354" i="11"/>
  <c r="G353" i="11"/>
  <c r="E353" i="11"/>
  <c r="G352" i="11"/>
  <c r="E352" i="11"/>
  <c r="G351" i="11"/>
  <c r="E351" i="11"/>
  <c r="G350" i="11"/>
  <c r="E350" i="11"/>
  <c r="G349" i="11"/>
  <c r="E349" i="11"/>
  <c r="G348" i="11"/>
  <c r="E348" i="11"/>
  <c r="G347" i="11"/>
  <c r="E347" i="11"/>
  <c r="G346" i="11"/>
  <c r="E346" i="11"/>
  <c r="G345" i="11"/>
  <c r="E345" i="11"/>
  <c r="G344" i="11"/>
  <c r="E344" i="11"/>
  <c r="G343" i="11"/>
  <c r="E343" i="11"/>
  <c r="G342" i="11"/>
  <c r="E342" i="11"/>
  <c r="G341" i="11"/>
  <c r="E341" i="11"/>
  <c r="G340" i="11"/>
  <c r="E340" i="11"/>
  <c r="G339" i="11"/>
  <c r="E339" i="11"/>
  <c r="G338" i="11"/>
  <c r="E338" i="11"/>
  <c r="G337" i="11"/>
  <c r="E337" i="11"/>
  <c r="G336" i="11"/>
  <c r="E336" i="11"/>
  <c r="G335" i="11"/>
  <c r="E335" i="11"/>
  <c r="G334" i="11"/>
  <c r="E334" i="11"/>
  <c r="G333" i="11"/>
  <c r="E333" i="11"/>
  <c r="G332" i="11"/>
  <c r="E332" i="11"/>
  <c r="G331" i="11"/>
  <c r="E331" i="11"/>
  <c r="G330" i="11"/>
  <c r="E330" i="11"/>
  <c r="G329" i="11"/>
  <c r="E329" i="11"/>
  <c r="G328" i="11"/>
  <c r="E328" i="11"/>
  <c r="G327" i="11"/>
  <c r="E327" i="11"/>
  <c r="G326" i="11"/>
  <c r="E326" i="11"/>
  <c r="G325" i="11"/>
  <c r="E325" i="11"/>
  <c r="G324" i="11"/>
  <c r="E324" i="11"/>
  <c r="G323" i="11"/>
  <c r="E323" i="11"/>
  <c r="G322" i="11"/>
  <c r="E322" i="11"/>
  <c r="G321" i="11"/>
  <c r="E321" i="11"/>
  <c r="G320" i="11"/>
  <c r="E320" i="11"/>
  <c r="G319" i="11"/>
  <c r="E319" i="11"/>
  <c r="G318" i="11"/>
  <c r="E318" i="11"/>
  <c r="G317" i="11"/>
  <c r="E317" i="11"/>
  <c r="G316" i="11"/>
  <c r="E316" i="11"/>
  <c r="G315" i="11"/>
  <c r="E315" i="11"/>
  <c r="G314" i="11"/>
  <c r="E314" i="11"/>
  <c r="G313" i="11"/>
  <c r="E313" i="11"/>
  <c r="G312" i="11"/>
  <c r="E312" i="11"/>
  <c r="G311" i="11"/>
  <c r="E311" i="11"/>
  <c r="G310" i="11"/>
  <c r="E310" i="11"/>
  <c r="G309" i="11"/>
  <c r="E309" i="11"/>
  <c r="G308" i="11"/>
  <c r="E308" i="11"/>
  <c r="G307" i="11"/>
  <c r="E307" i="11"/>
  <c r="G306" i="11"/>
  <c r="E306" i="11"/>
  <c r="G305" i="11"/>
  <c r="E305" i="11"/>
  <c r="G304" i="11"/>
  <c r="E304" i="11"/>
  <c r="G303" i="11"/>
  <c r="E303" i="11"/>
  <c r="G302" i="11"/>
  <c r="E302" i="11"/>
  <c r="G301" i="11"/>
  <c r="E301" i="11"/>
  <c r="G300" i="11"/>
  <c r="E300" i="11"/>
  <c r="G299" i="11"/>
  <c r="E299" i="11"/>
  <c r="G298" i="11"/>
  <c r="E298" i="11"/>
  <c r="G297" i="11"/>
  <c r="E297" i="11"/>
  <c r="G296" i="11"/>
  <c r="E296" i="11"/>
  <c r="G295" i="11"/>
  <c r="E295" i="11"/>
  <c r="G294" i="11"/>
  <c r="E294" i="11"/>
  <c r="G293" i="11"/>
  <c r="E293" i="11"/>
  <c r="G292" i="11"/>
  <c r="E292" i="11"/>
  <c r="G291" i="11"/>
  <c r="E291" i="11"/>
  <c r="G290" i="11"/>
  <c r="E290" i="11"/>
  <c r="G289" i="11"/>
  <c r="E289" i="11"/>
  <c r="G288" i="11"/>
  <c r="E288" i="11"/>
  <c r="G287" i="11"/>
  <c r="E287" i="11"/>
  <c r="G286" i="11"/>
  <c r="E286" i="11"/>
  <c r="G285" i="11"/>
  <c r="E285" i="11"/>
  <c r="G284" i="11"/>
  <c r="E284" i="11"/>
  <c r="G283" i="11"/>
  <c r="E283" i="11"/>
  <c r="G282" i="11"/>
  <c r="E282" i="11"/>
  <c r="G281" i="11"/>
  <c r="E281" i="11"/>
  <c r="G280" i="11"/>
  <c r="E280" i="11"/>
  <c r="G279" i="11"/>
  <c r="E279" i="11"/>
  <c r="G278" i="11"/>
  <c r="E278" i="11"/>
  <c r="G277" i="11"/>
  <c r="E277" i="11"/>
  <c r="G276" i="11"/>
  <c r="E276" i="11"/>
  <c r="G275" i="11"/>
  <c r="E275" i="11"/>
  <c r="G274" i="11"/>
  <c r="E274" i="11"/>
  <c r="G273" i="11"/>
  <c r="E273" i="11"/>
  <c r="G272" i="11"/>
  <c r="E272" i="11"/>
  <c r="G271" i="11"/>
  <c r="E271" i="11"/>
  <c r="G270" i="11"/>
  <c r="E270" i="11"/>
  <c r="G269" i="11"/>
  <c r="E269" i="11"/>
  <c r="G268" i="11"/>
  <c r="E268" i="11"/>
  <c r="G267" i="11"/>
  <c r="E267" i="11"/>
  <c r="G266" i="11"/>
  <c r="E266" i="11"/>
  <c r="G265" i="11"/>
  <c r="E265" i="11"/>
  <c r="G264" i="11"/>
  <c r="E264" i="11"/>
  <c r="G263" i="11"/>
  <c r="E263" i="11"/>
  <c r="G262" i="11"/>
  <c r="E262" i="11"/>
  <c r="G261" i="11"/>
  <c r="E261" i="11"/>
  <c r="G260" i="11"/>
  <c r="E260" i="11"/>
  <c r="G259" i="11"/>
  <c r="E259" i="11"/>
  <c r="G258" i="11"/>
  <c r="E258" i="11"/>
  <c r="G257" i="11"/>
  <c r="E257" i="11"/>
  <c r="G256" i="11"/>
  <c r="E256" i="11"/>
  <c r="G255" i="11"/>
  <c r="E255" i="11"/>
  <c r="G254" i="11"/>
  <c r="E254" i="11"/>
  <c r="G253" i="11"/>
  <c r="E253" i="11"/>
  <c r="G252" i="11"/>
  <c r="E252" i="11"/>
  <c r="G251" i="11"/>
  <c r="E251" i="11"/>
  <c r="G250" i="11"/>
  <c r="E250" i="11"/>
  <c r="G249" i="11"/>
  <c r="E249" i="11"/>
  <c r="G248" i="11"/>
  <c r="E248" i="11"/>
  <c r="G247" i="11"/>
  <c r="E247" i="11"/>
  <c r="G246" i="11"/>
  <c r="E246" i="11"/>
  <c r="G245" i="11"/>
  <c r="E245" i="11"/>
  <c r="G244" i="11"/>
  <c r="E244" i="11"/>
  <c r="G243" i="11"/>
  <c r="E243" i="11"/>
  <c r="G242" i="11"/>
  <c r="E242" i="11"/>
  <c r="G241" i="11"/>
  <c r="E241" i="11"/>
  <c r="G240" i="11"/>
  <c r="E240" i="11"/>
  <c r="G239" i="11"/>
  <c r="E239" i="11"/>
  <c r="G238" i="11"/>
  <c r="E238" i="11"/>
  <c r="G237" i="11"/>
  <c r="E237" i="11"/>
  <c r="G236" i="11"/>
  <c r="E236" i="11"/>
  <c r="G235" i="11"/>
  <c r="E235" i="11"/>
  <c r="G234" i="11"/>
  <c r="E234" i="11"/>
  <c r="G233" i="11"/>
  <c r="E233" i="11"/>
  <c r="G232" i="11"/>
  <c r="E232" i="11"/>
  <c r="G231" i="11"/>
  <c r="E231" i="11"/>
  <c r="G230" i="11"/>
  <c r="E230" i="11"/>
  <c r="G229" i="11"/>
  <c r="E229" i="11"/>
  <c r="G228" i="11"/>
  <c r="E228" i="11"/>
  <c r="G227" i="11"/>
  <c r="E227" i="11"/>
  <c r="G226" i="11"/>
  <c r="E226" i="11"/>
  <c r="G225" i="11"/>
  <c r="E225" i="11"/>
  <c r="G224" i="11"/>
  <c r="E224" i="11"/>
  <c r="G223" i="11"/>
  <c r="E223" i="11"/>
  <c r="G222" i="11"/>
  <c r="E222" i="11"/>
  <c r="G221" i="11"/>
  <c r="E221" i="11"/>
  <c r="G220" i="11"/>
  <c r="E220" i="11"/>
  <c r="G219" i="11"/>
  <c r="E219" i="11"/>
  <c r="G218" i="11"/>
  <c r="E218" i="11"/>
  <c r="G217" i="11"/>
  <c r="E217" i="11"/>
  <c r="G216" i="11"/>
  <c r="E216" i="11"/>
  <c r="G215" i="11"/>
  <c r="E215" i="11"/>
  <c r="G214" i="11"/>
  <c r="E214" i="11"/>
  <c r="G213" i="11"/>
  <c r="E213" i="11"/>
  <c r="G212" i="11"/>
  <c r="E212" i="11"/>
  <c r="G211" i="11"/>
  <c r="E211" i="11"/>
  <c r="G210" i="11"/>
  <c r="E210" i="11"/>
  <c r="G209" i="11"/>
  <c r="E209" i="11"/>
  <c r="G208" i="11"/>
  <c r="E208" i="11"/>
  <c r="G207" i="11"/>
  <c r="E207" i="11"/>
  <c r="G206" i="11"/>
  <c r="E206" i="11"/>
  <c r="G205" i="11"/>
  <c r="E205" i="11"/>
  <c r="G204" i="11"/>
  <c r="E204" i="11"/>
  <c r="G203" i="11"/>
  <c r="E203" i="11"/>
  <c r="G202" i="11"/>
  <c r="E202" i="11"/>
  <c r="G201" i="11"/>
  <c r="E201" i="11"/>
  <c r="G200" i="11"/>
  <c r="E200" i="11"/>
  <c r="G199" i="11"/>
  <c r="E199" i="11"/>
  <c r="G198" i="11"/>
  <c r="E198" i="11"/>
  <c r="G197" i="11"/>
  <c r="E197" i="11"/>
  <c r="G196" i="11"/>
  <c r="E196" i="11"/>
  <c r="G195" i="11"/>
  <c r="E195" i="11"/>
  <c r="G194" i="11"/>
  <c r="E194" i="11"/>
  <c r="G193" i="11"/>
  <c r="E193" i="11"/>
  <c r="G192" i="11"/>
  <c r="E192" i="11"/>
  <c r="G191" i="11"/>
  <c r="E191" i="11"/>
  <c r="G190" i="11"/>
  <c r="E190" i="11"/>
  <c r="G189" i="11"/>
  <c r="E189" i="11"/>
  <c r="G188" i="11"/>
  <c r="E188" i="11"/>
  <c r="G187" i="11"/>
  <c r="E187" i="11"/>
  <c r="G186" i="11"/>
  <c r="E186" i="11"/>
  <c r="G185" i="11"/>
  <c r="E185" i="11"/>
  <c r="G184" i="11"/>
  <c r="E184" i="11"/>
  <c r="G183" i="11"/>
  <c r="E183" i="11"/>
  <c r="G182" i="11"/>
  <c r="E182" i="11"/>
  <c r="G181" i="11"/>
  <c r="E181" i="11"/>
  <c r="G180" i="11"/>
  <c r="E180" i="11"/>
  <c r="G179" i="11"/>
  <c r="E179" i="11"/>
  <c r="G178" i="11"/>
  <c r="E178" i="11"/>
  <c r="G177" i="11"/>
  <c r="E177" i="11"/>
  <c r="G176" i="11"/>
  <c r="E176" i="11"/>
  <c r="G175" i="11"/>
  <c r="E175" i="11"/>
  <c r="G174" i="11"/>
  <c r="E174" i="11"/>
  <c r="G173" i="11"/>
  <c r="E173" i="11"/>
  <c r="G172" i="11"/>
  <c r="E172" i="11"/>
  <c r="G171" i="11"/>
  <c r="E171" i="11"/>
  <c r="G170" i="11"/>
  <c r="E170" i="11"/>
  <c r="G169" i="11"/>
  <c r="E169" i="11"/>
  <c r="G168" i="11"/>
  <c r="E168" i="11"/>
  <c r="G167" i="11"/>
  <c r="E167" i="11"/>
  <c r="G166" i="11"/>
  <c r="E166" i="11"/>
  <c r="G165" i="11"/>
  <c r="E165" i="11"/>
  <c r="G164" i="11"/>
  <c r="E164" i="11"/>
  <c r="G163" i="11"/>
  <c r="E163" i="11"/>
  <c r="G162" i="11"/>
  <c r="E162" i="11"/>
  <c r="G161" i="11"/>
  <c r="E161" i="11"/>
  <c r="G160" i="11"/>
  <c r="E160" i="11"/>
  <c r="G159" i="11"/>
  <c r="E159" i="11"/>
  <c r="G158" i="11"/>
  <c r="E158" i="11"/>
  <c r="G157" i="11"/>
  <c r="E157" i="11"/>
  <c r="G156" i="11"/>
  <c r="E156" i="11"/>
  <c r="G155" i="11"/>
  <c r="E155" i="11"/>
  <c r="G154" i="11"/>
  <c r="E154" i="11"/>
  <c r="G153" i="11"/>
  <c r="E153" i="11"/>
  <c r="G152" i="11"/>
  <c r="E152" i="11"/>
  <c r="G151" i="11"/>
  <c r="E151" i="11"/>
  <c r="G150" i="11"/>
  <c r="E150" i="11"/>
  <c r="G149" i="11"/>
  <c r="E149" i="11"/>
  <c r="G148" i="11"/>
  <c r="E148" i="11"/>
  <c r="G147" i="11"/>
  <c r="E147" i="11"/>
  <c r="G146" i="11"/>
  <c r="E146" i="11"/>
  <c r="G145" i="11"/>
  <c r="E145" i="11"/>
  <c r="G144" i="11"/>
  <c r="E144" i="11"/>
  <c r="G143" i="11"/>
  <c r="E143" i="11"/>
  <c r="G142" i="11"/>
  <c r="E142" i="11"/>
  <c r="G141" i="11"/>
  <c r="E141" i="11"/>
  <c r="G140" i="11"/>
  <c r="E140" i="11"/>
  <c r="G139" i="11"/>
  <c r="E139" i="11"/>
  <c r="G138" i="11"/>
  <c r="E138" i="11"/>
  <c r="G137" i="11"/>
  <c r="E137" i="11"/>
  <c r="G136" i="11"/>
  <c r="E136" i="11"/>
  <c r="G135" i="11"/>
  <c r="E135" i="11"/>
  <c r="G134" i="11"/>
  <c r="E134" i="11"/>
  <c r="G133" i="11"/>
  <c r="E133" i="11"/>
  <c r="G132" i="11"/>
  <c r="E132" i="11"/>
  <c r="G131" i="11"/>
  <c r="E131" i="11"/>
  <c r="G130" i="11"/>
  <c r="E130" i="11"/>
  <c r="G129" i="11"/>
  <c r="E129" i="11"/>
  <c r="G128" i="11"/>
  <c r="E128" i="11"/>
  <c r="G127" i="11"/>
  <c r="E127" i="11"/>
  <c r="G126" i="11"/>
  <c r="E126" i="11"/>
  <c r="G125" i="11"/>
  <c r="E125" i="11"/>
  <c r="G124" i="11"/>
  <c r="E124" i="11"/>
  <c r="G123" i="11"/>
  <c r="E123" i="11"/>
  <c r="G122" i="11"/>
  <c r="E122" i="11"/>
  <c r="G121" i="11"/>
  <c r="E121" i="11"/>
  <c r="G120" i="11"/>
  <c r="E120" i="11"/>
  <c r="G119" i="11"/>
  <c r="E119" i="11"/>
  <c r="G118" i="11"/>
  <c r="E118" i="11"/>
  <c r="G117" i="11"/>
  <c r="E117" i="11"/>
  <c r="G116" i="11"/>
  <c r="E116" i="11"/>
  <c r="G115" i="11"/>
  <c r="E115" i="11"/>
  <c r="G114" i="11"/>
  <c r="E114" i="11"/>
  <c r="G113" i="11"/>
  <c r="E113" i="11"/>
  <c r="G112" i="11"/>
  <c r="E112" i="11"/>
  <c r="G111" i="11"/>
  <c r="E111" i="11"/>
  <c r="G110" i="11"/>
  <c r="E110" i="11"/>
  <c r="G109" i="11"/>
  <c r="E109" i="11"/>
  <c r="G108" i="11"/>
  <c r="E108" i="11"/>
  <c r="G107" i="11"/>
  <c r="E107" i="11"/>
  <c r="G106" i="11"/>
  <c r="E106" i="11"/>
  <c r="G105" i="11"/>
  <c r="E105" i="11"/>
  <c r="G104" i="11"/>
  <c r="E104" i="11"/>
  <c r="G103" i="11"/>
  <c r="E103" i="11"/>
  <c r="G102" i="11"/>
  <c r="E102" i="11"/>
  <c r="G101" i="11"/>
  <c r="E101" i="11"/>
  <c r="G100" i="11"/>
  <c r="E100" i="11"/>
  <c r="G99" i="11"/>
  <c r="E99" i="11"/>
  <c r="G98" i="11"/>
  <c r="E98" i="11"/>
  <c r="G97" i="11"/>
  <c r="E97" i="11"/>
  <c r="G96" i="11"/>
  <c r="E96" i="11"/>
  <c r="G95" i="11"/>
  <c r="E95" i="11"/>
  <c r="G94" i="11"/>
  <c r="E94" i="11"/>
  <c r="G93" i="11"/>
  <c r="E93" i="11"/>
  <c r="G92" i="11"/>
  <c r="E92" i="11"/>
  <c r="G91" i="11"/>
  <c r="E91" i="11"/>
  <c r="G90" i="11"/>
  <c r="E90" i="11"/>
  <c r="G89" i="11"/>
  <c r="E89" i="11"/>
  <c r="G88" i="11"/>
  <c r="E88" i="11"/>
  <c r="G87" i="11"/>
  <c r="E87" i="11"/>
  <c r="G86" i="11"/>
  <c r="E86" i="11"/>
  <c r="G85" i="11"/>
  <c r="E85" i="11"/>
  <c r="G84" i="11"/>
  <c r="E84" i="11"/>
  <c r="G83" i="11"/>
  <c r="E83" i="11"/>
  <c r="G82" i="11"/>
  <c r="E82" i="11"/>
  <c r="G81" i="11"/>
  <c r="E81" i="11"/>
  <c r="G80" i="11"/>
  <c r="E80" i="11"/>
  <c r="G79" i="11"/>
  <c r="E79" i="11"/>
  <c r="G78" i="11"/>
  <c r="E78" i="11"/>
  <c r="G77" i="11"/>
  <c r="E77" i="11"/>
  <c r="G76" i="11"/>
  <c r="E76" i="11"/>
  <c r="G75" i="11"/>
  <c r="E75" i="11"/>
  <c r="G74" i="11"/>
  <c r="E74" i="11"/>
  <c r="G73" i="11"/>
  <c r="E73" i="11"/>
  <c r="G72" i="11"/>
  <c r="E72" i="11"/>
  <c r="G71" i="11"/>
  <c r="E71" i="11"/>
  <c r="G70" i="11"/>
  <c r="E70" i="11"/>
  <c r="G69" i="11"/>
  <c r="E69" i="11"/>
  <c r="G68" i="11"/>
  <c r="E68" i="11"/>
  <c r="G67" i="11"/>
  <c r="E67" i="11"/>
  <c r="G66" i="11"/>
  <c r="E66" i="11"/>
  <c r="G65" i="11"/>
  <c r="E65" i="11"/>
  <c r="G64" i="11"/>
  <c r="E64" i="11"/>
  <c r="G63" i="11"/>
  <c r="E63" i="11"/>
  <c r="G62" i="11"/>
  <c r="E62" i="11"/>
  <c r="G61" i="11"/>
  <c r="E61" i="11"/>
  <c r="G60" i="11"/>
  <c r="E60" i="11"/>
  <c r="G59" i="11"/>
  <c r="E59" i="11"/>
  <c r="G58" i="11"/>
  <c r="E58" i="11"/>
  <c r="G57" i="11"/>
  <c r="E57" i="11"/>
  <c r="G56" i="11"/>
  <c r="E56" i="11"/>
  <c r="G55" i="11"/>
  <c r="E55" i="11"/>
  <c r="G54" i="11"/>
  <c r="E54" i="11"/>
  <c r="G53" i="11"/>
  <c r="E53" i="11"/>
  <c r="G52" i="11"/>
  <c r="E52" i="11"/>
  <c r="G51" i="11"/>
  <c r="E51" i="11"/>
  <c r="G50" i="11"/>
  <c r="E50" i="11"/>
  <c r="G49" i="11"/>
  <c r="E49" i="11"/>
  <c r="G48" i="11"/>
  <c r="E48" i="11"/>
  <c r="G47" i="11"/>
  <c r="E47" i="11"/>
  <c r="G46" i="11"/>
  <c r="E46" i="11"/>
  <c r="G45" i="11"/>
  <c r="E45" i="11"/>
  <c r="G44" i="11"/>
  <c r="E44" i="11"/>
  <c r="G43" i="11"/>
  <c r="E43" i="11"/>
  <c r="G42" i="11"/>
  <c r="E42" i="11"/>
  <c r="G41" i="11"/>
  <c r="E41" i="11"/>
  <c r="G40" i="11"/>
  <c r="E40" i="11"/>
  <c r="G39" i="11"/>
  <c r="E39" i="11"/>
  <c r="G38" i="11"/>
  <c r="E38" i="11"/>
  <c r="G37" i="11"/>
  <c r="E37" i="11"/>
  <c r="G36" i="11"/>
  <c r="E36" i="11"/>
  <c r="G35" i="11"/>
  <c r="E35" i="11"/>
  <c r="G34" i="11"/>
  <c r="E34" i="11"/>
  <c r="G33" i="11"/>
  <c r="E33" i="11"/>
  <c r="G32" i="11"/>
  <c r="E32" i="11"/>
  <c r="G31" i="11"/>
  <c r="E31" i="11"/>
  <c r="G30" i="11"/>
  <c r="E30" i="11"/>
  <c r="G29" i="11"/>
  <c r="E29" i="11"/>
  <c r="G28" i="11"/>
  <c r="E28" i="11"/>
  <c r="G27" i="11"/>
  <c r="E27" i="11"/>
  <c r="G26" i="11"/>
  <c r="E26" i="11"/>
  <c r="G25" i="11"/>
  <c r="E25" i="11"/>
  <c r="G24" i="11"/>
  <c r="E24" i="11"/>
  <c r="G23" i="11"/>
  <c r="E23" i="11"/>
  <c r="G22" i="11"/>
  <c r="E22" i="11"/>
  <c r="G21" i="11"/>
  <c r="E21" i="11"/>
  <c r="G20" i="11"/>
  <c r="E20" i="11"/>
  <c r="G19" i="11"/>
  <c r="E19" i="11"/>
  <c r="G18" i="11"/>
  <c r="E18" i="11"/>
  <c r="G17" i="11"/>
  <c r="E17" i="11"/>
  <c r="G16" i="11"/>
  <c r="E16" i="11"/>
  <c r="G15" i="11"/>
  <c r="E15" i="11"/>
  <c r="G14" i="11"/>
  <c r="E14" i="11"/>
  <c r="G13" i="11"/>
  <c r="E13" i="11"/>
  <c r="G12" i="11"/>
  <c r="E12" i="11"/>
  <c r="G11" i="11"/>
  <c r="E11" i="11"/>
  <c r="G10" i="11"/>
  <c r="E10" i="11"/>
  <c r="G9" i="11"/>
  <c r="E9" i="11"/>
  <c r="G8" i="11"/>
  <c r="E8" i="11"/>
  <c r="G7" i="11"/>
  <c r="E7" i="11"/>
  <c r="G6" i="11"/>
  <c r="E6" i="11"/>
  <c r="G5" i="11"/>
  <c r="E5" i="11"/>
  <c r="G4" i="11"/>
  <c r="E4" i="11"/>
  <c r="M17" i="10"/>
  <c r="G17" i="10"/>
  <c r="F16" i="10"/>
  <c r="F15" i="10"/>
  <c r="F14" i="10"/>
  <c r="F13" i="10"/>
  <c r="F12" i="10"/>
  <c r="F11" i="10"/>
  <c r="F10" i="10"/>
  <c r="F9" i="10"/>
  <c r="F8" i="10"/>
  <c r="F7" i="10"/>
  <c r="F6" i="10"/>
  <c r="F17" i="10" s="1"/>
  <c r="E10" i="1" s="1"/>
  <c r="F5" i="10"/>
  <c r="F4" i="10"/>
  <c r="C2" i="10"/>
  <c r="E15" i="10" s="1"/>
  <c r="F2002" i="9"/>
  <c r="G2000" i="9"/>
  <c r="E2000" i="9"/>
  <c r="G1999" i="9"/>
  <c r="E1999" i="9"/>
  <c r="G1998" i="9"/>
  <c r="E1998" i="9"/>
  <c r="G1997" i="9"/>
  <c r="E1997" i="9"/>
  <c r="G1996" i="9"/>
  <c r="E1996" i="9"/>
  <c r="G1995" i="9"/>
  <c r="E1995" i="9"/>
  <c r="G1994" i="9"/>
  <c r="E1994" i="9"/>
  <c r="G1993" i="9"/>
  <c r="E1993" i="9"/>
  <c r="G1992" i="9"/>
  <c r="E1992" i="9"/>
  <c r="G1991" i="9"/>
  <c r="E1991" i="9"/>
  <c r="G1990" i="9"/>
  <c r="E1990" i="9"/>
  <c r="G1989" i="9"/>
  <c r="E1989" i="9"/>
  <c r="G1988" i="9"/>
  <c r="E1988" i="9"/>
  <c r="G1987" i="9"/>
  <c r="E1987" i="9"/>
  <c r="G1986" i="9"/>
  <c r="E1986" i="9"/>
  <c r="G1985" i="9"/>
  <c r="E1985" i="9"/>
  <c r="G1984" i="9"/>
  <c r="E1984" i="9"/>
  <c r="G1983" i="9"/>
  <c r="E1983" i="9"/>
  <c r="G1982" i="9"/>
  <c r="E1982" i="9"/>
  <c r="G1981" i="9"/>
  <c r="E1981" i="9"/>
  <c r="G1980" i="9"/>
  <c r="E1980" i="9"/>
  <c r="G1979" i="9"/>
  <c r="E1979" i="9"/>
  <c r="G1978" i="9"/>
  <c r="E1978" i="9"/>
  <c r="G1977" i="9"/>
  <c r="E1977" i="9"/>
  <c r="G1976" i="9"/>
  <c r="E1976" i="9"/>
  <c r="G1975" i="9"/>
  <c r="E1975" i="9"/>
  <c r="G1974" i="9"/>
  <c r="E1974" i="9"/>
  <c r="G1973" i="9"/>
  <c r="E1973" i="9"/>
  <c r="G1972" i="9"/>
  <c r="E1972" i="9"/>
  <c r="G1971" i="9"/>
  <c r="E1971" i="9"/>
  <c r="G1970" i="9"/>
  <c r="E1970" i="9"/>
  <c r="G1969" i="9"/>
  <c r="E1969" i="9"/>
  <c r="G1968" i="9"/>
  <c r="E1968" i="9"/>
  <c r="G1967" i="9"/>
  <c r="E1967" i="9"/>
  <c r="G1966" i="9"/>
  <c r="E1966" i="9"/>
  <c r="G1965" i="9"/>
  <c r="E1965" i="9"/>
  <c r="G1964" i="9"/>
  <c r="E1964" i="9"/>
  <c r="G1963" i="9"/>
  <c r="E1963" i="9"/>
  <c r="G1962" i="9"/>
  <c r="E1962" i="9"/>
  <c r="G1961" i="9"/>
  <c r="E1961" i="9"/>
  <c r="G1960" i="9"/>
  <c r="E1960" i="9"/>
  <c r="G1959" i="9"/>
  <c r="E1959" i="9"/>
  <c r="G1958" i="9"/>
  <c r="E1958" i="9"/>
  <c r="G1957" i="9"/>
  <c r="E1957" i="9"/>
  <c r="G1956" i="9"/>
  <c r="E1956" i="9"/>
  <c r="G1955" i="9"/>
  <c r="E1955" i="9"/>
  <c r="G1954" i="9"/>
  <c r="E1954" i="9"/>
  <c r="G1953" i="9"/>
  <c r="E1953" i="9"/>
  <c r="G1952" i="9"/>
  <c r="E1952" i="9"/>
  <c r="G1951" i="9"/>
  <c r="E1951" i="9"/>
  <c r="G1950" i="9"/>
  <c r="E1950" i="9"/>
  <c r="G1949" i="9"/>
  <c r="E1949" i="9"/>
  <c r="G1948" i="9"/>
  <c r="E1948" i="9"/>
  <c r="G1947" i="9"/>
  <c r="E1947" i="9"/>
  <c r="G1946" i="9"/>
  <c r="E1946" i="9"/>
  <c r="G1945" i="9"/>
  <c r="E1945" i="9"/>
  <c r="G1944" i="9"/>
  <c r="E1944" i="9"/>
  <c r="G1943" i="9"/>
  <c r="E1943" i="9"/>
  <c r="G1942" i="9"/>
  <c r="E1942" i="9"/>
  <c r="G1941" i="9"/>
  <c r="E1941" i="9"/>
  <c r="G1940" i="9"/>
  <c r="E1940" i="9"/>
  <c r="G1939" i="9"/>
  <c r="E1939" i="9"/>
  <c r="G1938" i="9"/>
  <c r="E1938" i="9"/>
  <c r="G1937" i="9"/>
  <c r="E1937" i="9"/>
  <c r="G1936" i="9"/>
  <c r="E1936" i="9"/>
  <c r="G1935" i="9"/>
  <c r="E1935" i="9"/>
  <c r="G1934" i="9"/>
  <c r="E1934" i="9"/>
  <c r="G1933" i="9"/>
  <c r="E1933" i="9"/>
  <c r="G1932" i="9"/>
  <c r="E1932" i="9"/>
  <c r="G1931" i="9"/>
  <c r="E1931" i="9"/>
  <c r="G1930" i="9"/>
  <c r="E1930" i="9"/>
  <c r="G1929" i="9"/>
  <c r="E1929" i="9"/>
  <c r="G1928" i="9"/>
  <c r="E1928" i="9"/>
  <c r="G1927" i="9"/>
  <c r="E1927" i="9"/>
  <c r="G1926" i="9"/>
  <c r="E1926" i="9"/>
  <c r="G1925" i="9"/>
  <c r="E1925" i="9"/>
  <c r="G1924" i="9"/>
  <c r="E1924" i="9"/>
  <c r="G1923" i="9"/>
  <c r="E1923" i="9"/>
  <c r="G1922" i="9"/>
  <c r="E1922" i="9"/>
  <c r="G1921" i="9"/>
  <c r="E1921" i="9"/>
  <c r="G1920" i="9"/>
  <c r="E1920" i="9"/>
  <c r="G1919" i="9"/>
  <c r="E1919" i="9"/>
  <c r="G1918" i="9"/>
  <c r="E1918" i="9"/>
  <c r="G1917" i="9"/>
  <c r="E1917" i="9"/>
  <c r="G1916" i="9"/>
  <c r="E1916" i="9"/>
  <c r="G1915" i="9"/>
  <c r="E1915" i="9"/>
  <c r="G1914" i="9"/>
  <c r="E1914" i="9"/>
  <c r="G1913" i="9"/>
  <c r="E1913" i="9"/>
  <c r="G1912" i="9"/>
  <c r="E1912" i="9"/>
  <c r="G1911" i="9"/>
  <c r="E1911" i="9"/>
  <c r="G1910" i="9"/>
  <c r="E1910" i="9"/>
  <c r="G1909" i="9"/>
  <c r="E1909" i="9"/>
  <c r="G1908" i="9"/>
  <c r="E1908" i="9"/>
  <c r="G1907" i="9"/>
  <c r="E1907" i="9"/>
  <c r="G1906" i="9"/>
  <c r="E1906" i="9"/>
  <c r="G1905" i="9"/>
  <c r="E1905" i="9"/>
  <c r="G1904" i="9"/>
  <c r="E1904" i="9"/>
  <c r="G1903" i="9"/>
  <c r="E1903" i="9"/>
  <c r="G1902" i="9"/>
  <c r="E1902" i="9"/>
  <c r="G1901" i="9"/>
  <c r="E1901" i="9"/>
  <c r="G1900" i="9"/>
  <c r="E1900" i="9"/>
  <c r="G1899" i="9"/>
  <c r="E1899" i="9"/>
  <c r="G1898" i="9"/>
  <c r="E1898" i="9"/>
  <c r="G1897" i="9"/>
  <c r="E1897" i="9"/>
  <c r="G1896" i="9"/>
  <c r="E1896" i="9"/>
  <c r="G1895" i="9"/>
  <c r="E1895" i="9"/>
  <c r="G1894" i="9"/>
  <c r="E1894" i="9"/>
  <c r="G1893" i="9"/>
  <c r="E1893" i="9"/>
  <c r="G1892" i="9"/>
  <c r="E1892" i="9"/>
  <c r="G1891" i="9"/>
  <c r="E1891" i="9"/>
  <c r="G1890" i="9"/>
  <c r="E1890" i="9"/>
  <c r="G1889" i="9"/>
  <c r="E1889" i="9"/>
  <c r="G1888" i="9"/>
  <c r="E1888" i="9"/>
  <c r="G1887" i="9"/>
  <c r="E1887" i="9"/>
  <c r="G1886" i="9"/>
  <c r="E1886" i="9"/>
  <c r="G1885" i="9"/>
  <c r="E1885" i="9"/>
  <c r="G1884" i="9"/>
  <c r="E1884" i="9"/>
  <c r="G1883" i="9"/>
  <c r="E1883" i="9"/>
  <c r="G1882" i="9"/>
  <c r="E1882" i="9"/>
  <c r="G1881" i="9"/>
  <c r="E1881" i="9"/>
  <c r="G1880" i="9"/>
  <c r="E1880" i="9"/>
  <c r="G1879" i="9"/>
  <c r="E1879" i="9"/>
  <c r="G1878" i="9"/>
  <c r="E1878" i="9"/>
  <c r="G1877" i="9"/>
  <c r="E1877" i="9"/>
  <c r="G1876" i="9"/>
  <c r="E1876" i="9"/>
  <c r="G1875" i="9"/>
  <c r="E1875" i="9"/>
  <c r="G1874" i="9"/>
  <c r="E1874" i="9"/>
  <c r="G1873" i="9"/>
  <c r="E1873" i="9"/>
  <c r="G1872" i="9"/>
  <c r="E1872" i="9"/>
  <c r="G1871" i="9"/>
  <c r="E1871" i="9"/>
  <c r="G1870" i="9"/>
  <c r="E1870" i="9"/>
  <c r="G1869" i="9"/>
  <c r="E1869" i="9"/>
  <c r="G1868" i="9"/>
  <c r="E1868" i="9"/>
  <c r="G1867" i="9"/>
  <c r="E1867" i="9"/>
  <c r="G1866" i="9"/>
  <c r="E1866" i="9"/>
  <c r="G1865" i="9"/>
  <c r="E1865" i="9"/>
  <c r="G1864" i="9"/>
  <c r="E1864" i="9"/>
  <c r="G1863" i="9"/>
  <c r="E1863" i="9"/>
  <c r="G1862" i="9"/>
  <c r="E1862" i="9"/>
  <c r="G1861" i="9"/>
  <c r="E1861" i="9"/>
  <c r="G1860" i="9"/>
  <c r="E1860" i="9"/>
  <c r="G1859" i="9"/>
  <c r="E1859" i="9"/>
  <c r="G1858" i="9"/>
  <c r="E1858" i="9"/>
  <c r="G1857" i="9"/>
  <c r="E1857" i="9"/>
  <c r="G1856" i="9"/>
  <c r="E1856" i="9"/>
  <c r="G1855" i="9"/>
  <c r="E1855" i="9"/>
  <c r="G1854" i="9"/>
  <c r="E1854" i="9"/>
  <c r="G1853" i="9"/>
  <c r="E1853" i="9"/>
  <c r="G1852" i="9"/>
  <c r="E1852" i="9"/>
  <c r="G1851" i="9"/>
  <c r="E1851" i="9"/>
  <c r="G1850" i="9"/>
  <c r="E1850" i="9"/>
  <c r="G1849" i="9"/>
  <c r="E1849" i="9"/>
  <c r="G1848" i="9"/>
  <c r="E1848" i="9"/>
  <c r="G1847" i="9"/>
  <c r="E1847" i="9"/>
  <c r="G1846" i="9"/>
  <c r="E1846" i="9"/>
  <c r="G1845" i="9"/>
  <c r="E1845" i="9"/>
  <c r="G1844" i="9"/>
  <c r="E1844" i="9"/>
  <c r="G1843" i="9"/>
  <c r="E1843" i="9"/>
  <c r="G1842" i="9"/>
  <c r="E1842" i="9"/>
  <c r="G1841" i="9"/>
  <c r="E1841" i="9"/>
  <c r="G1840" i="9"/>
  <c r="E1840" i="9"/>
  <c r="G1839" i="9"/>
  <c r="E1839" i="9"/>
  <c r="G1838" i="9"/>
  <c r="E1838" i="9"/>
  <c r="G1837" i="9"/>
  <c r="E1837" i="9"/>
  <c r="G1836" i="9"/>
  <c r="E1836" i="9"/>
  <c r="G1835" i="9"/>
  <c r="E1835" i="9"/>
  <c r="G1834" i="9"/>
  <c r="E1834" i="9"/>
  <c r="G1833" i="9"/>
  <c r="E1833" i="9"/>
  <c r="G1832" i="9"/>
  <c r="E1832" i="9"/>
  <c r="G1831" i="9"/>
  <c r="E1831" i="9"/>
  <c r="G1830" i="9"/>
  <c r="E1830" i="9"/>
  <c r="G1829" i="9"/>
  <c r="E1829" i="9"/>
  <c r="G1828" i="9"/>
  <c r="E1828" i="9"/>
  <c r="G1827" i="9"/>
  <c r="E1827" i="9"/>
  <c r="G1826" i="9"/>
  <c r="E1826" i="9"/>
  <c r="G1825" i="9"/>
  <c r="E1825" i="9"/>
  <c r="G1824" i="9"/>
  <c r="E1824" i="9"/>
  <c r="G1823" i="9"/>
  <c r="E1823" i="9"/>
  <c r="G1822" i="9"/>
  <c r="E1822" i="9"/>
  <c r="G1821" i="9"/>
  <c r="E1821" i="9"/>
  <c r="G1820" i="9"/>
  <c r="E1820" i="9"/>
  <c r="G1819" i="9"/>
  <c r="E1819" i="9"/>
  <c r="G1818" i="9"/>
  <c r="E1818" i="9"/>
  <c r="G1817" i="9"/>
  <c r="E1817" i="9"/>
  <c r="G1816" i="9"/>
  <c r="E1816" i="9"/>
  <c r="G1815" i="9"/>
  <c r="E1815" i="9"/>
  <c r="G1814" i="9"/>
  <c r="E1814" i="9"/>
  <c r="G1813" i="9"/>
  <c r="E1813" i="9"/>
  <c r="G1812" i="9"/>
  <c r="E1812" i="9"/>
  <c r="G1811" i="9"/>
  <c r="E1811" i="9"/>
  <c r="G1810" i="9"/>
  <c r="E1810" i="9"/>
  <c r="G1809" i="9"/>
  <c r="E1809" i="9"/>
  <c r="G1808" i="9"/>
  <c r="E1808" i="9"/>
  <c r="G1807" i="9"/>
  <c r="E1807" i="9"/>
  <c r="G1806" i="9"/>
  <c r="E1806" i="9"/>
  <c r="G1805" i="9"/>
  <c r="E1805" i="9"/>
  <c r="G1804" i="9"/>
  <c r="E1804" i="9"/>
  <c r="G1803" i="9"/>
  <c r="E1803" i="9"/>
  <c r="G1802" i="9"/>
  <c r="E1802" i="9"/>
  <c r="G1801" i="9"/>
  <c r="E1801" i="9"/>
  <c r="G1800" i="9"/>
  <c r="E1800" i="9"/>
  <c r="G1799" i="9"/>
  <c r="E1799" i="9"/>
  <c r="G1798" i="9"/>
  <c r="E1798" i="9"/>
  <c r="G1797" i="9"/>
  <c r="E1797" i="9"/>
  <c r="G1796" i="9"/>
  <c r="E1796" i="9"/>
  <c r="G1795" i="9"/>
  <c r="E1795" i="9"/>
  <c r="G1794" i="9"/>
  <c r="E1794" i="9"/>
  <c r="G1793" i="9"/>
  <c r="E1793" i="9"/>
  <c r="G1792" i="9"/>
  <c r="E1792" i="9"/>
  <c r="G1791" i="9"/>
  <c r="E1791" i="9"/>
  <c r="G1790" i="9"/>
  <c r="E1790" i="9"/>
  <c r="G1789" i="9"/>
  <c r="E1789" i="9"/>
  <c r="G1788" i="9"/>
  <c r="E1788" i="9"/>
  <c r="G1787" i="9"/>
  <c r="E1787" i="9"/>
  <c r="G1786" i="9"/>
  <c r="E1786" i="9"/>
  <c r="G1785" i="9"/>
  <c r="E1785" i="9"/>
  <c r="G1784" i="9"/>
  <c r="E1784" i="9"/>
  <c r="G1783" i="9"/>
  <c r="E1783" i="9"/>
  <c r="G1782" i="9"/>
  <c r="E1782" i="9"/>
  <c r="G1781" i="9"/>
  <c r="E1781" i="9"/>
  <c r="G1780" i="9"/>
  <c r="E1780" i="9"/>
  <c r="G1779" i="9"/>
  <c r="E1779" i="9"/>
  <c r="G1778" i="9"/>
  <c r="E1778" i="9"/>
  <c r="G1777" i="9"/>
  <c r="E1777" i="9"/>
  <c r="G1776" i="9"/>
  <c r="E1776" i="9"/>
  <c r="G1775" i="9"/>
  <c r="E1775" i="9"/>
  <c r="G1774" i="9"/>
  <c r="E1774" i="9"/>
  <c r="G1773" i="9"/>
  <c r="E1773" i="9"/>
  <c r="G1772" i="9"/>
  <c r="E1772" i="9"/>
  <c r="G1771" i="9"/>
  <c r="E1771" i="9"/>
  <c r="G1770" i="9"/>
  <c r="E1770" i="9"/>
  <c r="G1769" i="9"/>
  <c r="E1769" i="9"/>
  <c r="G1768" i="9"/>
  <c r="E1768" i="9"/>
  <c r="G1767" i="9"/>
  <c r="E1767" i="9"/>
  <c r="G1766" i="9"/>
  <c r="E1766" i="9"/>
  <c r="G1765" i="9"/>
  <c r="E1765" i="9"/>
  <c r="G1764" i="9"/>
  <c r="E1764" i="9"/>
  <c r="G1763" i="9"/>
  <c r="E1763" i="9"/>
  <c r="G1762" i="9"/>
  <c r="E1762" i="9"/>
  <c r="G1761" i="9"/>
  <c r="E1761" i="9"/>
  <c r="G1760" i="9"/>
  <c r="E1760" i="9"/>
  <c r="G1759" i="9"/>
  <c r="E1759" i="9"/>
  <c r="G1758" i="9"/>
  <c r="E1758" i="9"/>
  <c r="G1757" i="9"/>
  <c r="E1757" i="9"/>
  <c r="G1756" i="9"/>
  <c r="E1756" i="9"/>
  <c r="G1755" i="9"/>
  <c r="E1755" i="9"/>
  <c r="G1754" i="9"/>
  <c r="E1754" i="9"/>
  <c r="G1753" i="9"/>
  <c r="E1753" i="9"/>
  <c r="G1752" i="9"/>
  <c r="E1752" i="9"/>
  <c r="G1751" i="9"/>
  <c r="E1751" i="9"/>
  <c r="G1750" i="9"/>
  <c r="E1750" i="9"/>
  <c r="G1749" i="9"/>
  <c r="E1749" i="9"/>
  <c r="G1748" i="9"/>
  <c r="E1748" i="9"/>
  <c r="G1747" i="9"/>
  <c r="E1747" i="9"/>
  <c r="G1746" i="9"/>
  <c r="E1746" i="9"/>
  <c r="G1745" i="9"/>
  <c r="E1745" i="9"/>
  <c r="G1744" i="9"/>
  <c r="E1744" i="9"/>
  <c r="G1743" i="9"/>
  <c r="E1743" i="9"/>
  <c r="G1742" i="9"/>
  <c r="E1742" i="9"/>
  <c r="G1741" i="9"/>
  <c r="E1741" i="9"/>
  <c r="G1740" i="9"/>
  <c r="E1740" i="9"/>
  <c r="G1739" i="9"/>
  <c r="E1739" i="9"/>
  <c r="G1738" i="9"/>
  <c r="E1738" i="9"/>
  <c r="G1737" i="9"/>
  <c r="E1737" i="9"/>
  <c r="G1736" i="9"/>
  <c r="E1736" i="9"/>
  <c r="G1735" i="9"/>
  <c r="E1735" i="9"/>
  <c r="G1734" i="9"/>
  <c r="E1734" i="9"/>
  <c r="G1733" i="9"/>
  <c r="E1733" i="9"/>
  <c r="G1732" i="9"/>
  <c r="E1732" i="9"/>
  <c r="G1731" i="9"/>
  <c r="E1731" i="9"/>
  <c r="G1730" i="9"/>
  <c r="E1730" i="9"/>
  <c r="G1729" i="9"/>
  <c r="E1729" i="9"/>
  <c r="G1728" i="9"/>
  <c r="E1728" i="9"/>
  <c r="G1727" i="9"/>
  <c r="E1727" i="9"/>
  <c r="G1726" i="9"/>
  <c r="E1726" i="9"/>
  <c r="G1725" i="9"/>
  <c r="E1725" i="9"/>
  <c r="G1724" i="9"/>
  <c r="E1724" i="9"/>
  <c r="G1723" i="9"/>
  <c r="E1723" i="9"/>
  <c r="G1722" i="9"/>
  <c r="E1722" i="9"/>
  <c r="G1721" i="9"/>
  <c r="E1721" i="9"/>
  <c r="G1720" i="9"/>
  <c r="E1720" i="9"/>
  <c r="G1719" i="9"/>
  <c r="E1719" i="9"/>
  <c r="G1718" i="9"/>
  <c r="E1718" i="9"/>
  <c r="G1717" i="9"/>
  <c r="E1717" i="9"/>
  <c r="G1716" i="9"/>
  <c r="E1716" i="9"/>
  <c r="G1715" i="9"/>
  <c r="E1715" i="9"/>
  <c r="G1714" i="9"/>
  <c r="E1714" i="9"/>
  <c r="G1713" i="9"/>
  <c r="E1713" i="9"/>
  <c r="G1712" i="9"/>
  <c r="E1712" i="9"/>
  <c r="G1711" i="9"/>
  <c r="E1711" i="9"/>
  <c r="G1710" i="9"/>
  <c r="E1710" i="9"/>
  <c r="G1709" i="9"/>
  <c r="E1709" i="9"/>
  <c r="G1708" i="9"/>
  <c r="E1708" i="9"/>
  <c r="G1707" i="9"/>
  <c r="E1707" i="9"/>
  <c r="G1706" i="9"/>
  <c r="E1706" i="9"/>
  <c r="G1705" i="9"/>
  <c r="E1705" i="9"/>
  <c r="G1704" i="9"/>
  <c r="E1704" i="9"/>
  <c r="G1703" i="9"/>
  <c r="E1703" i="9"/>
  <c r="G1702" i="9"/>
  <c r="E1702" i="9"/>
  <c r="G1701" i="9"/>
  <c r="E1701" i="9"/>
  <c r="G1700" i="9"/>
  <c r="E1700" i="9"/>
  <c r="G1699" i="9"/>
  <c r="E1699" i="9"/>
  <c r="G1698" i="9"/>
  <c r="E1698" i="9"/>
  <c r="G1697" i="9"/>
  <c r="E1697" i="9"/>
  <c r="G1696" i="9"/>
  <c r="E1696" i="9"/>
  <c r="G1695" i="9"/>
  <c r="E1695" i="9"/>
  <c r="G1694" i="9"/>
  <c r="E1694" i="9"/>
  <c r="G1693" i="9"/>
  <c r="E1693" i="9"/>
  <c r="G1692" i="9"/>
  <c r="E1692" i="9"/>
  <c r="G1691" i="9"/>
  <c r="E1691" i="9"/>
  <c r="G1690" i="9"/>
  <c r="E1690" i="9"/>
  <c r="G1689" i="9"/>
  <c r="E1689" i="9"/>
  <c r="G1688" i="9"/>
  <c r="E1688" i="9"/>
  <c r="G1687" i="9"/>
  <c r="E1687" i="9"/>
  <c r="G1686" i="9"/>
  <c r="E1686" i="9"/>
  <c r="G1685" i="9"/>
  <c r="E1685" i="9"/>
  <c r="G1684" i="9"/>
  <c r="E1684" i="9"/>
  <c r="G1683" i="9"/>
  <c r="E1683" i="9"/>
  <c r="G1682" i="9"/>
  <c r="E1682" i="9"/>
  <c r="G1681" i="9"/>
  <c r="E1681" i="9"/>
  <c r="G1680" i="9"/>
  <c r="E1680" i="9"/>
  <c r="G1679" i="9"/>
  <c r="E1679" i="9"/>
  <c r="G1678" i="9"/>
  <c r="E1678" i="9"/>
  <c r="G1677" i="9"/>
  <c r="E1677" i="9"/>
  <c r="G1676" i="9"/>
  <c r="E1676" i="9"/>
  <c r="G1675" i="9"/>
  <c r="E1675" i="9"/>
  <c r="G1674" i="9"/>
  <c r="E1674" i="9"/>
  <c r="G1673" i="9"/>
  <c r="E1673" i="9"/>
  <c r="G1672" i="9"/>
  <c r="E1672" i="9"/>
  <c r="G1671" i="9"/>
  <c r="E1671" i="9"/>
  <c r="G1670" i="9"/>
  <c r="E1670" i="9"/>
  <c r="G1669" i="9"/>
  <c r="E1669" i="9"/>
  <c r="G1668" i="9"/>
  <c r="E1668" i="9"/>
  <c r="G1667" i="9"/>
  <c r="E1667" i="9"/>
  <c r="G1666" i="9"/>
  <c r="E1666" i="9"/>
  <c r="G1665" i="9"/>
  <c r="E1665" i="9"/>
  <c r="G1664" i="9"/>
  <c r="E1664" i="9"/>
  <c r="G1663" i="9"/>
  <c r="E1663" i="9"/>
  <c r="G1662" i="9"/>
  <c r="E1662" i="9"/>
  <c r="G1661" i="9"/>
  <c r="E1661" i="9"/>
  <c r="G1660" i="9"/>
  <c r="E1660" i="9"/>
  <c r="G1659" i="9"/>
  <c r="E1659" i="9"/>
  <c r="G1658" i="9"/>
  <c r="E1658" i="9"/>
  <c r="G1657" i="9"/>
  <c r="E1657" i="9"/>
  <c r="G1656" i="9"/>
  <c r="E1656" i="9"/>
  <c r="G1655" i="9"/>
  <c r="E1655" i="9"/>
  <c r="G1654" i="9"/>
  <c r="E1654" i="9"/>
  <c r="G1653" i="9"/>
  <c r="E1653" i="9"/>
  <c r="G1652" i="9"/>
  <c r="E1652" i="9"/>
  <c r="G1651" i="9"/>
  <c r="E1651" i="9"/>
  <c r="G1650" i="9"/>
  <c r="E1650" i="9"/>
  <c r="G1649" i="9"/>
  <c r="E1649" i="9"/>
  <c r="G1648" i="9"/>
  <c r="E1648" i="9"/>
  <c r="G1647" i="9"/>
  <c r="E1647" i="9"/>
  <c r="G1646" i="9"/>
  <c r="E1646" i="9"/>
  <c r="G1645" i="9"/>
  <c r="E1645" i="9"/>
  <c r="G1644" i="9"/>
  <c r="E1644" i="9"/>
  <c r="G1643" i="9"/>
  <c r="E1643" i="9"/>
  <c r="G1642" i="9"/>
  <c r="E1642" i="9"/>
  <c r="G1641" i="9"/>
  <c r="E1641" i="9"/>
  <c r="G1640" i="9"/>
  <c r="E1640" i="9"/>
  <c r="G1639" i="9"/>
  <c r="E1639" i="9"/>
  <c r="G1638" i="9"/>
  <c r="E1638" i="9"/>
  <c r="G1637" i="9"/>
  <c r="E1637" i="9"/>
  <c r="G1636" i="9"/>
  <c r="E1636" i="9"/>
  <c r="G1635" i="9"/>
  <c r="E1635" i="9"/>
  <c r="G1634" i="9"/>
  <c r="E1634" i="9"/>
  <c r="G1633" i="9"/>
  <c r="E1633" i="9"/>
  <c r="G1632" i="9"/>
  <c r="E1632" i="9"/>
  <c r="G1631" i="9"/>
  <c r="E1631" i="9"/>
  <c r="G1630" i="9"/>
  <c r="E1630" i="9"/>
  <c r="G1629" i="9"/>
  <c r="E1629" i="9"/>
  <c r="G1628" i="9"/>
  <c r="E1628" i="9"/>
  <c r="G1627" i="9"/>
  <c r="E1627" i="9"/>
  <c r="G1626" i="9"/>
  <c r="E1626" i="9"/>
  <c r="G1625" i="9"/>
  <c r="E1625" i="9"/>
  <c r="G1624" i="9"/>
  <c r="E1624" i="9"/>
  <c r="G1623" i="9"/>
  <c r="E1623" i="9"/>
  <c r="G1622" i="9"/>
  <c r="E1622" i="9"/>
  <c r="G1621" i="9"/>
  <c r="E1621" i="9"/>
  <c r="G1620" i="9"/>
  <c r="E1620" i="9"/>
  <c r="G1619" i="9"/>
  <c r="E1619" i="9"/>
  <c r="G1618" i="9"/>
  <c r="E1618" i="9"/>
  <c r="G1617" i="9"/>
  <c r="E1617" i="9"/>
  <c r="G1616" i="9"/>
  <c r="E1616" i="9"/>
  <c r="G1615" i="9"/>
  <c r="E1615" i="9"/>
  <c r="G1614" i="9"/>
  <c r="E1614" i="9"/>
  <c r="G1613" i="9"/>
  <c r="E1613" i="9"/>
  <c r="G1612" i="9"/>
  <c r="E1612" i="9"/>
  <c r="G1611" i="9"/>
  <c r="E1611" i="9"/>
  <c r="G1610" i="9"/>
  <c r="E1610" i="9"/>
  <c r="G1609" i="9"/>
  <c r="E1609" i="9"/>
  <c r="G1608" i="9"/>
  <c r="E1608" i="9"/>
  <c r="G1607" i="9"/>
  <c r="E1607" i="9"/>
  <c r="G1606" i="9"/>
  <c r="E1606" i="9"/>
  <c r="G1605" i="9"/>
  <c r="E1605" i="9"/>
  <c r="G1604" i="9"/>
  <c r="E1604" i="9"/>
  <c r="G1603" i="9"/>
  <c r="E1603" i="9"/>
  <c r="G1602" i="9"/>
  <c r="E1602" i="9"/>
  <c r="G1601" i="9"/>
  <c r="E1601" i="9"/>
  <c r="G1600" i="9"/>
  <c r="E1600" i="9"/>
  <c r="G1599" i="9"/>
  <c r="E1599" i="9"/>
  <c r="G1598" i="9"/>
  <c r="E1598" i="9"/>
  <c r="G1597" i="9"/>
  <c r="E1597" i="9"/>
  <c r="G1596" i="9"/>
  <c r="E1596" i="9"/>
  <c r="G1595" i="9"/>
  <c r="E1595" i="9"/>
  <c r="G1594" i="9"/>
  <c r="E1594" i="9"/>
  <c r="G1593" i="9"/>
  <c r="E1593" i="9"/>
  <c r="G1592" i="9"/>
  <c r="E1592" i="9"/>
  <c r="G1591" i="9"/>
  <c r="E1591" i="9"/>
  <c r="G1590" i="9"/>
  <c r="E1590" i="9"/>
  <c r="G1589" i="9"/>
  <c r="E1589" i="9"/>
  <c r="G1588" i="9"/>
  <c r="E1588" i="9"/>
  <c r="G1587" i="9"/>
  <c r="E1587" i="9"/>
  <c r="G1586" i="9"/>
  <c r="E1586" i="9"/>
  <c r="G1585" i="9"/>
  <c r="E1585" i="9"/>
  <c r="G1584" i="9"/>
  <c r="E1584" i="9"/>
  <c r="G1583" i="9"/>
  <c r="E1583" i="9"/>
  <c r="G1582" i="9"/>
  <c r="E1582" i="9"/>
  <c r="G1581" i="9"/>
  <c r="E1581" i="9"/>
  <c r="G1580" i="9"/>
  <c r="E1580" i="9"/>
  <c r="G1579" i="9"/>
  <c r="E1579" i="9"/>
  <c r="G1578" i="9"/>
  <c r="E1578" i="9"/>
  <c r="G1577" i="9"/>
  <c r="E1577" i="9"/>
  <c r="G1576" i="9"/>
  <c r="E1576" i="9"/>
  <c r="G1575" i="9"/>
  <c r="E1575" i="9"/>
  <c r="G1574" i="9"/>
  <c r="E1574" i="9"/>
  <c r="G1573" i="9"/>
  <c r="E1573" i="9"/>
  <c r="G1572" i="9"/>
  <c r="E1572" i="9"/>
  <c r="G1571" i="9"/>
  <c r="E1571" i="9"/>
  <c r="G1570" i="9"/>
  <c r="E1570" i="9"/>
  <c r="G1569" i="9"/>
  <c r="E1569" i="9"/>
  <c r="G1568" i="9"/>
  <c r="E1568" i="9"/>
  <c r="G1567" i="9"/>
  <c r="E1567" i="9"/>
  <c r="G1566" i="9"/>
  <c r="E1566" i="9"/>
  <c r="G1565" i="9"/>
  <c r="E1565" i="9"/>
  <c r="G1564" i="9"/>
  <c r="E1564" i="9"/>
  <c r="G1563" i="9"/>
  <c r="E1563" i="9"/>
  <c r="G1562" i="9"/>
  <c r="E1562" i="9"/>
  <c r="G1561" i="9"/>
  <c r="E1561" i="9"/>
  <c r="G1560" i="9"/>
  <c r="E1560" i="9"/>
  <c r="G1559" i="9"/>
  <c r="E1559" i="9"/>
  <c r="G1558" i="9"/>
  <c r="E1558" i="9"/>
  <c r="G1557" i="9"/>
  <c r="E1557" i="9"/>
  <c r="G1556" i="9"/>
  <c r="E1556" i="9"/>
  <c r="G1555" i="9"/>
  <c r="E1555" i="9"/>
  <c r="G1554" i="9"/>
  <c r="E1554" i="9"/>
  <c r="G1553" i="9"/>
  <c r="E1553" i="9"/>
  <c r="G1552" i="9"/>
  <c r="E1552" i="9"/>
  <c r="G1551" i="9"/>
  <c r="E1551" i="9"/>
  <c r="G1550" i="9"/>
  <c r="E1550" i="9"/>
  <c r="G1549" i="9"/>
  <c r="E1549" i="9"/>
  <c r="G1548" i="9"/>
  <c r="E1548" i="9"/>
  <c r="G1547" i="9"/>
  <c r="E1547" i="9"/>
  <c r="G1546" i="9"/>
  <c r="E1546" i="9"/>
  <c r="G1545" i="9"/>
  <c r="E1545" i="9"/>
  <c r="G1544" i="9"/>
  <c r="E1544" i="9"/>
  <c r="G1543" i="9"/>
  <c r="E1543" i="9"/>
  <c r="G1542" i="9"/>
  <c r="E1542" i="9"/>
  <c r="G1541" i="9"/>
  <c r="E1541" i="9"/>
  <c r="G1540" i="9"/>
  <c r="E1540" i="9"/>
  <c r="G1539" i="9"/>
  <c r="E1539" i="9"/>
  <c r="G1538" i="9"/>
  <c r="E1538" i="9"/>
  <c r="G1537" i="9"/>
  <c r="E1537" i="9"/>
  <c r="G1536" i="9"/>
  <c r="E1536" i="9"/>
  <c r="G1535" i="9"/>
  <c r="E1535" i="9"/>
  <c r="G1534" i="9"/>
  <c r="E1534" i="9"/>
  <c r="G1533" i="9"/>
  <c r="E1533" i="9"/>
  <c r="G1532" i="9"/>
  <c r="E1532" i="9"/>
  <c r="G1531" i="9"/>
  <c r="E1531" i="9"/>
  <c r="G1530" i="9"/>
  <c r="E1530" i="9"/>
  <c r="G1529" i="9"/>
  <c r="E1529" i="9"/>
  <c r="G1528" i="9"/>
  <c r="E1528" i="9"/>
  <c r="G1527" i="9"/>
  <c r="E1527" i="9"/>
  <c r="G1526" i="9"/>
  <c r="E1526" i="9"/>
  <c r="G1525" i="9"/>
  <c r="E1525" i="9"/>
  <c r="G1524" i="9"/>
  <c r="E1524" i="9"/>
  <c r="G1523" i="9"/>
  <c r="E1523" i="9"/>
  <c r="G1522" i="9"/>
  <c r="E1522" i="9"/>
  <c r="G1521" i="9"/>
  <c r="E1521" i="9"/>
  <c r="G1520" i="9"/>
  <c r="E1520" i="9"/>
  <c r="G1519" i="9"/>
  <c r="E1519" i="9"/>
  <c r="G1518" i="9"/>
  <c r="E1518" i="9"/>
  <c r="G1517" i="9"/>
  <c r="E1517" i="9"/>
  <c r="G1516" i="9"/>
  <c r="E1516" i="9"/>
  <c r="G1515" i="9"/>
  <c r="E1515" i="9"/>
  <c r="G1514" i="9"/>
  <c r="E1514" i="9"/>
  <c r="G1513" i="9"/>
  <c r="E1513" i="9"/>
  <c r="G1512" i="9"/>
  <c r="E1512" i="9"/>
  <c r="G1511" i="9"/>
  <c r="E1511" i="9"/>
  <c r="G1510" i="9"/>
  <c r="E1510" i="9"/>
  <c r="G1509" i="9"/>
  <c r="E1509" i="9"/>
  <c r="G1508" i="9"/>
  <c r="E1508" i="9"/>
  <c r="G1507" i="9"/>
  <c r="E1507" i="9"/>
  <c r="G1506" i="9"/>
  <c r="E1506" i="9"/>
  <c r="G1505" i="9"/>
  <c r="E1505" i="9"/>
  <c r="G1504" i="9"/>
  <c r="E1504" i="9"/>
  <c r="G1503" i="9"/>
  <c r="E1503" i="9"/>
  <c r="G1502" i="9"/>
  <c r="E1502" i="9"/>
  <c r="G1501" i="9"/>
  <c r="E1501" i="9"/>
  <c r="G1500" i="9"/>
  <c r="E1500" i="9"/>
  <c r="G1499" i="9"/>
  <c r="E1499" i="9"/>
  <c r="G1498" i="9"/>
  <c r="E1498" i="9"/>
  <c r="G1497" i="9"/>
  <c r="E1497" i="9"/>
  <c r="G1496" i="9"/>
  <c r="E1496" i="9"/>
  <c r="G1495" i="9"/>
  <c r="E1495" i="9"/>
  <c r="G1494" i="9"/>
  <c r="E1494" i="9"/>
  <c r="G1493" i="9"/>
  <c r="E1493" i="9"/>
  <c r="G1492" i="9"/>
  <c r="E1492" i="9"/>
  <c r="G1491" i="9"/>
  <c r="E1491" i="9"/>
  <c r="G1490" i="9"/>
  <c r="E1490" i="9"/>
  <c r="G1489" i="9"/>
  <c r="E1489" i="9"/>
  <c r="G1488" i="9"/>
  <c r="E1488" i="9"/>
  <c r="G1487" i="9"/>
  <c r="E1487" i="9"/>
  <c r="G1486" i="9"/>
  <c r="E1486" i="9"/>
  <c r="G1485" i="9"/>
  <c r="E1485" i="9"/>
  <c r="G1484" i="9"/>
  <c r="E1484" i="9"/>
  <c r="G1483" i="9"/>
  <c r="E1483" i="9"/>
  <c r="G1482" i="9"/>
  <c r="E1482" i="9"/>
  <c r="G1481" i="9"/>
  <c r="E1481" i="9"/>
  <c r="G1480" i="9"/>
  <c r="E1480" i="9"/>
  <c r="G1479" i="9"/>
  <c r="E1479" i="9"/>
  <c r="G1478" i="9"/>
  <c r="E1478" i="9"/>
  <c r="G1477" i="9"/>
  <c r="E1477" i="9"/>
  <c r="G1476" i="9"/>
  <c r="E1476" i="9"/>
  <c r="G1475" i="9"/>
  <c r="E1475" i="9"/>
  <c r="G1474" i="9"/>
  <c r="E1474" i="9"/>
  <c r="G1473" i="9"/>
  <c r="E1473" i="9"/>
  <c r="G1472" i="9"/>
  <c r="E1472" i="9"/>
  <c r="G1471" i="9"/>
  <c r="E1471" i="9"/>
  <c r="G1470" i="9"/>
  <c r="E1470" i="9"/>
  <c r="G1469" i="9"/>
  <c r="E1469" i="9"/>
  <c r="G1468" i="9"/>
  <c r="E1468" i="9"/>
  <c r="G1467" i="9"/>
  <c r="E1467" i="9"/>
  <c r="G1466" i="9"/>
  <c r="E1466" i="9"/>
  <c r="G1465" i="9"/>
  <c r="E1465" i="9"/>
  <c r="G1464" i="9"/>
  <c r="E1464" i="9"/>
  <c r="G1463" i="9"/>
  <c r="E1463" i="9"/>
  <c r="G1462" i="9"/>
  <c r="E1462" i="9"/>
  <c r="G1461" i="9"/>
  <c r="E1461" i="9"/>
  <c r="G1460" i="9"/>
  <c r="E1460" i="9"/>
  <c r="G1459" i="9"/>
  <c r="E1459" i="9"/>
  <c r="G1458" i="9"/>
  <c r="E1458" i="9"/>
  <c r="G1457" i="9"/>
  <c r="E1457" i="9"/>
  <c r="G1456" i="9"/>
  <c r="E1456" i="9"/>
  <c r="G1455" i="9"/>
  <c r="E1455" i="9"/>
  <c r="G1454" i="9"/>
  <c r="E1454" i="9"/>
  <c r="G1453" i="9"/>
  <c r="E1453" i="9"/>
  <c r="G1452" i="9"/>
  <c r="E1452" i="9"/>
  <c r="G1451" i="9"/>
  <c r="E1451" i="9"/>
  <c r="G1450" i="9"/>
  <c r="E1450" i="9"/>
  <c r="G1449" i="9"/>
  <c r="E1449" i="9"/>
  <c r="G1448" i="9"/>
  <c r="E1448" i="9"/>
  <c r="G1447" i="9"/>
  <c r="E1447" i="9"/>
  <c r="G1446" i="9"/>
  <c r="E1446" i="9"/>
  <c r="G1445" i="9"/>
  <c r="E1445" i="9"/>
  <c r="G1444" i="9"/>
  <c r="E1444" i="9"/>
  <c r="G1443" i="9"/>
  <c r="E1443" i="9"/>
  <c r="G1442" i="9"/>
  <c r="E1442" i="9"/>
  <c r="G1441" i="9"/>
  <c r="E1441" i="9"/>
  <c r="G1440" i="9"/>
  <c r="E1440" i="9"/>
  <c r="G1439" i="9"/>
  <c r="E1439" i="9"/>
  <c r="G1438" i="9"/>
  <c r="E1438" i="9"/>
  <c r="G1437" i="9"/>
  <c r="E1437" i="9"/>
  <c r="G1436" i="9"/>
  <c r="E1436" i="9"/>
  <c r="G1435" i="9"/>
  <c r="E1435" i="9"/>
  <c r="G1434" i="9"/>
  <c r="E1434" i="9"/>
  <c r="G1433" i="9"/>
  <c r="E1433" i="9"/>
  <c r="G1432" i="9"/>
  <c r="E1432" i="9"/>
  <c r="G1431" i="9"/>
  <c r="E1431" i="9"/>
  <c r="G1430" i="9"/>
  <c r="E1430" i="9"/>
  <c r="G1429" i="9"/>
  <c r="E1429" i="9"/>
  <c r="G1428" i="9"/>
  <c r="E1428" i="9"/>
  <c r="G1427" i="9"/>
  <c r="E1427" i="9"/>
  <c r="G1426" i="9"/>
  <c r="E1426" i="9"/>
  <c r="G1425" i="9"/>
  <c r="E1425" i="9"/>
  <c r="G1424" i="9"/>
  <c r="E1424" i="9"/>
  <c r="G1423" i="9"/>
  <c r="E1423" i="9"/>
  <c r="G1422" i="9"/>
  <c r="E1422" i="9"/>
  <c r="G1421" i="9"/>
  <c r="E1421" i="9"/>
  <c r="G1420" i="9"/>
  <c r="E1420" i="9"/>
  <c r="G1419" i="9"/>
  <c r="E1419" i="9"/>
  <c r="G1418" i="9"/>
  <c r="E1418" i="9"/>
  <c r="G1417" i="9"/>
  <c r="E1417" i="9"/>
  <c r="G1416" i="9"/>
  <c r="E1416" i="9"/>
  <c r="G1415" i="9"/>
  <c r="E1415" i="9"/>
  <c r="G1414" i="9"/>
  <c r="E1414" i="9"/>
  <c r="G1413" i="9"/>
  <c r="E1413" i="9"/>
  <c r="G1412" i="9"/>
  <c r="E1412" i="9"/>
  <c r="G1411" i="9"/>
  <c r="E1411" i="9"/>
  <c r="G1410" i="9"/>
  <c r="E1410" i="9"/>
  <c r="G1409" i="9"/>
  <c r="E1409" i="9"/>
  <c r="G1408" i="9"/>
  <c r="E1408" i="9"/>
  <c r="G1407" i="9"/>
  <c r="E1407" i="9"/>
  <c r="G1406" i="9"/>
  <c r="E1406" i="9"/>
  <c r="G1405" i="9"/>
  <c r="E1405" i="9"/>
  <c r="G1404" i="9"/>
  <c r="E1404" i="9"/>
  <c r="G1403" i="9"/>
  <c r="E1403" i="9"/>
  <c r="G1402" i="9"/>
  <c r="E1402" i="9"/>
  <c r="G1401" i="9"/>
  <c r="E1401" i="9"/>
  <c r="G1400" i="9"/>
  <c r="E1400" i="9"/>
  <c r="G1399" i="9"/>
  <c r="E1399" i="9"/>
  <c r="G1398" i="9"/>
  <c r="E1398" i="9"/>
  <c r="G1397" i="9"/>
  <c r="E1397" i="9"/>
  <c r="G1396" i="9"/>
  <c r="E1396" i="9"/>
  <c r="G1395" i="9"/>
  <c r="E1395" i="9"/>
  <c r="G1394" i="9"/>
  <c r="E1394" i="9"/>
  <c r="G1393" i="9"/>
  <c r="E1393" i="9"/>
  <c r="G1392" i="9"/>
  <c r="E1392" i="9"/>
  <c r="G1391" i="9"/>
  <c r="E1391" i="9"/>
  <c r="G1390" i="9"/>
  <c r="E1390" i="9"/>
  <c r="G1389" i="9"/>
  <c r="E1389" i="9"/>
  <c r="G1388" i="9"/>
  <c r="E1388" i="9"/>
  <c r="G1387" i="9"/>
  <c r="E1387" i="9"/>
  <c r="G1386" i="9"/>
  <c r="E1386" i="9"/>
  <c r="G1385" i="9"/>
  <c r="E1385" i="9"/>
  <c r="G1384" i="9"/>
  <c r="E1384" i="9"/>
  <c r="G1383" i="9"/>
  <c r="E1383" i="9"/>
  <c r="G1382" i="9"/>
  <c r="E1382" i="9"/>
  <c r="G1381" i="9"/>
  <c r="E1381" i="9"/>
  <c r="G1380" i="9"/>
  <c r="E1380" i="9"/>
  <c r="G1379" i="9"/>
  <c r="E1379" i="9"/>
  <c r="G1378" i="9"/>
  <c r="E1378" i="9"/>
  <c r="G1377" i="9"/>
  <c r="E1377" i="9"/>
  <c r="G1376" i="9"/>
  <c r="E1376" i="9"/>
  <c r="G1375" i="9"/>
  <c r="E1375" i="9"/>
  <c r="G1374" i="9"/>
  <c r="E1374" i="9"/>
  <c r="G1373" i="9"/>
  <c r="E1373" i="9"/>
  <c r="G1372" i="9"/>
  <c r="E1372" i="9"/>
  <c r="G1371" i="9"/>
  <c r="E1371" i="9"/>
  <c r="G1370" i="9"/>
  <c r="E1370" i="9"/>
  <c r="G1369" i="9"/>
  <c r="E1369" i="9"/>
  <c r="G1368" i="9"/>
  <c r="E1368" i="9"/>
  <c r="G1367" i="9"/>
  <c r="E1367" i="9"/>
  <c r="G1366" i="9"/>
  <c r="E1366" i="9"/>
  <c r="G1365" i="9"/>
  <c r="E1365" i="9"/>
  <c r="G1364" i="9"/>
  <c r="E1364" i="9"/>
  <c r="G1363" i="9"/>
  <c r="E1363" i="9"/>
  <c r="G1362" i="9"/>
  <c r="E1362" i="9"/>
  <c r="G1361" i="9"/>
  <c r="E1361" i="9"/>
  <c r="G1360" i="9"/>
  <c r="E1360" i="9"/>
  <c r="G1359" i="9"/>
  <c r="E1359" i="9"/>
  <c r="G1358" i="9"/>
  <c r="E1358" i="9"/>
  <c r="G1357" i="9"/>
  <c r="E1357" i="9"/>
  <c r="G1356" i="9"/>
  <c r="E1356" i="9"/>
  <c r="G1355" i="9"/>
  <c r="E1355" i="9"/>
  <c r="G1354" i="9"/>
  <c r="E1354" i="9"/>
  <c r="G1353" i="9"/>
  <c r="E1353" i="9"/>
  <c r="G1352" i="9"/>
  <c r="E1352" i="9"/>
  <c r="G1351" i="9"/>
  <c r="E1351" i="9"/>
  <c r="G1350" i="9"/>
  <c r="E1350" i="9"/>
  <c r="G1349" i="9"/>
  <c r="E1349" i="9"/>
  <c r="G1348" i="9"/>
  <c r="E1348" i="9"/>
  <c r="G1347" i="9"/>
  <c r="E1347" i="9"/>
  <c r="G1346" i="9"/>
  <c r="E1346" i="9"/>
  <c r="G1345" i="9"/>
  <c r="E1345" i="9"/>
  <c r="G1344" i="9"/>
  <c r="E1344" i="9"/>
  <c r="G1343" i="9"/>
  <c r="E1343" i="9"/>
  <c r="G1342" i="9"/>
  <c r="E1342" i="9"/>
  <c r="G1341" i="9"/>
  <c r="E1341" i="9"/>
  <c r="G1340" i="9"/>
  <c r="E1340" i="9"/>
  <c r="G1339" i="9"/>
  <c r="E1339" i="9"/>
  <c r="G1338" i="9"/>
  <c r="E1338" i="9"/>
  <c r="G1337" i="9"/>
  <c r="E1337" i="9"/>
  <c r="G1336" i="9"/>
  <c r="E1336" i="9"/>
  <c r="G1335" i="9"/>
  <c r="E1335" i="9"/>
  <c r="G1334" i="9"/>
  <c r="E1334" i="9"/>
  <c r="G1333" i="9"/>
  <c r="E1333" i="9"/>
  <c r="G1332" i="9"/>
  <c r="E1332" i="9"/>
  <c r="G1331" i="9"/>
  <c r="E1331" i="9"/>
  <c r="G1330" i="9"/>
  <c r="E1330" i="9"/>
  <c r="G1329" i="9"/>
  <c r="E1329" i="9"/>
  <c r="G1328" i="9"/>
  <c r="E1328" i="9"/>
  <c r="G1327" i="9"/>
  <c r="E1327" i="9"/>
  <c r="G1326" i="9"/>
  <c r="E1326" i="9"/>
  <c r="G1325" i="9"/>
  <c r="E1325" i="9"/>
  <c r="G1324" i="9"/>
  <c r="E1324" i="9"/>
  <c r="G1323" i="9"/>
  <c r="E1323" i="9"/>
  <c r="G1322" i="9"/>
  <c r="E1322" i="9"/>
  <c r="G1321" i="9"/>
  <c r="E1321" i="9"/>
  <c r="G1320" i="9"/>
  <c r="E1320" i="9"/>
  <c r="G1319" i="9"/>
  <c r="E1319" i="9"/>
  <c r="G1318" i="9"/>
  <c r="E1318" i="9"/>
  <c r="G1317" i="9"/>
  <c r="E1317" i="9"/>
  <c r="G1316" i="9"/>
  <c r="E1316" i="9"/>
  <c r="G1315" i="9"/>
  <c r="E1315" i="9"/>
  <c r="G1314" i="9"/>
  <c r="E1314" i="9"/>
  <c r="G1313" i="9"/>
  <c r="E1313" i="9"/>
  <c r="G1312" i="9"/>
  <c r="E1312" i="9"/>
  <c r="G1311" i="9"/>
  <c r="E1311" i="9"/>
  <c r="G1310" i="9"/>
  <c r="E1310" i="9"/>
  <c r="G1309" i="9"/>
  <c r="E1309" i="9"/>
  <c r="G1308" i="9"/>
  <c r="E1308" i="9"/>
  <c r="G1307" i="9"/>
  <c r="E1307" i="9"/>
  <c r="G1306" i="9"/>
  <c r="E1306" i="9"/>
  <c r="G1305" i="9"/>
  <c r="E1305" i="9"/>
  <c r="G1304" i="9"/>
  <c r="E1304" i="9"/>
  <c r="G1303" i="9"/>
  <c r="E1303" i="9"/>
  <c r="G1302" i="9"/>
  <c r="E1302" i="9"/>
  <c r="G1301" i="9"/>
  <c r="E1301" i="9"/>
  <c r="G1300" i="9"/>
  <c r="E1300" i="9"/>
  <c r="G1299" i="9"/>
  <c r="E1299" i="9"/>
  <c r="G1298" i="9"/>
  <c r="E1298" i="9"/>
  <c r="G1297" i="9"/>
  <c r="E1297" i="9"/>
  <c r="G1296" i="9"/>
  <c r="E1296" i="9"/>
  <c r="G1295" i="9"/>
  <c r="E1295" i="9"/>
  <c r="G1294" i="9"/>
  <c r="E1294" i="9"/>
  <c r="G1293" i="9"/>
  <c r="E1293" i="9"/>
  <c r="G1292" i="9"/>
  <c r="E1292" i="9"/>
  <c r="G1291" i="9"/>
  <c r="E1291" i="9"/>
  <c r="G1290" i="9"/>
  <c r="E1290" i="9"/>
  <c r="G1289" i="9"/>
  <c r="E1289" i="9"/>
  <c r="G1288" i="9"/>
  <c r="E1288" i="9"/>
  <c r="G1287" i="9"/>
  <c r="E1287" i="9"/>
  <c r="G1286" i="9"/>
  <c r="E1286" i="9"/>
  <c r="G1285" i="9"/>
  <c r="E1285" i="9"/>
  <c r="G1284" i="9"/>
  <c r="E1284" i="9"/>
  <c r="G1283" i="9"/>
  <c r="E1283" i="9"/>
  <c r="G1282" i="9"/>
  <c r="E1282" i="9"/>
  <c r="G1281" i="9"/>
  <c r="E1281" i="9"/>
  <c r="G1280" i="9"/>
  <c r="E1280" i="9"/>
  <c r="G1279" i="9"/>
  <c r="E1279" i="9"/>
  <c r="G1278" i="9"/>
  <c r="E1278" i="9"/>
  <c r="G1277" i="9"/>
  <c r="E1277" i="9"/>
  <c r="G1276" i="9"/>
  <c r="E1276" i="9"/>
  <c r="G1275" i="9"/>
  <c r="E1275" i="9"/>
  <c r="G1274" i="9"/>
  <c r="E1274" i="9"/>
  <c r="G1273" i="9"/>
  <c r="E1273" i="9"/>
  <c r="G1272" i="9"/>
  <c r="E1272" i="9"/>
  <c r="G1271" i="9"/>
  <c r="E1271" i="9"/>
  <c r="G1270" i="9"/>
  <c r="E1270" i="9"/>
  <c r="G1269" i="9"/>
  <c r="E1269" i="9"/>
  <c r="G1268" i="9"/>
  <c r="E1268" i="9"/>
  <c r="G1267" i="9"/>
  <c r="E1267" i="9"/>
  <c r="G1266" i="9"/>
  <c r="E1266" i="9"/>
  <c r="G1265" i="9"/>
  <c r="E1265" i="9"/>
  <c r="G1264" i="9"/>
  <c r="E1264" i="9"/>
  <c r="G1263" i="9"/>
  <c r="E1263" i="9"/>
  <c r="G1262" i="9"/>
  <c r="E1262" i="9"/>
  <c r="G1261" i="9"/>
  <c r="E1261" i="9"/>
  <c r="G1260" i="9"/>
  <c r="E1260" i="9"/>
  <c r="G1259" i="9"/>
  <c r="E1259" i="9"/>
  <c r="G1258" i="9"/>
  <c r="E1258" i="9"/>
  <c r="G1257" i="9"/>
  <c r="E1257" i="9"/>
  <c r="G1256" i="9"/>
  <c r="E1256" i="9"/>
  <c r="G1255" i="9"/>
  <c r="E1255" i="9"/>
  <c r="G1254" i="9"/>
  <c r="E1254" i="9"/>
  <c r="G1253" i="9"/>
  <c r="E1253" i="9"/>
  <c r="G1252" i="9"/>
  <c r="E1252" i="9"/>
  <c r="G1251" i="9"/>
  <c r="E1251" i="9"/>
  <c r="G1250" i="9"/>
  <c r="E1250" i="9"/>
  <c r="G1249" i="9"/>
  <c r="E1249" i="9"/>
  <c r="G1248" i="9"/>
  <c r="E1248" i="9"/>
  <c r="G1247" i="9"/>
  <c r="E1247" i="9"/>
  <c r="G1246" i="9"/>
  <c r="E1246" i="9"/>
  <c r="G1245" i="9"/>
  <c r="E1245" i="9"/>
  <c r="G1244" i="9"/>
  <c r="E1244" i="9"/>
  <c r="G1243" i="9"/>
  <c r="E1243" i="9"/>
  <c r="G1242" i="9"/>
  <c r="E1242" i="9"/>
  <c r="G1241" i="9"/>
  <c r="E1241" i="9"/>
  <c r="G1240" i="9"/>
  <c r="E1240" i="9"/>
  <c r="G1239" i="9"/>
  <c r="E1239" i="9"/>
  <c r="G1238" i="9"/>
  <c r="E1238" i="9"/>
  <c r="G1237" i="9"/>
  <c r="E1237" i="9"/>
  <c r="G1236" i="9"/>
  <c r="E1236" i="9"/>
  <c r="G1235" i="9"/>
  <c r="E1235" i="9"/>
  <c r="G1234" i="9"/>
  <c r="E1234" i="9"/>
  <c r="G1233" i="9"/>
  <c r="E1233" i="9"/>
  <c r="G1232" i="9"/>
  <c r="E1232" i="9"/>
  <c r="G1231" i="9"/>
  <c r="E1231" i="9"/>
  <c r="G1230" i="9"/>
  <c r="E1230" i="9"/>
  <c r="G1229" i="9"/>
  <c r="E1229" i="9"/>
  <c r="G1228" i="9"/>
  <c r="E1228" i="9"/>
  <c r="G1227" i="9"/>
  <c r="E1227" i="9"/>
  <c r="G1226" i="9"/>
  <c r="E1226" i="9"/>
  <c r="G1225" i="9"/>
  <c r="E1225" i="9"/>
  <c r="G1224" i="9"/>
  <c r="E1224" i="9"/>
  <c r="G1223" i="9"/>
  <c r="E1223" i="9"/>
  <c r="G1222" i="9"/>
  <c r="E1222" i="9"/>
  <c r="G1221" i="9"/>
  <c r="E1221" i="9"/>
  <c r="G1220" i="9"/>
  <c r="E1220" i="9"/>
  <c r="G1219" i="9"/>
  <c r="E1219" i="9"/>
  <c r="G1218" i="9"/>
  <c r="E1218" i="9"/>
  <c r="G1217" i="9"/>
  <c r="E1217" i="9"/>
  <c r="G1216" i="9"/>
  <c r="E1216" i="9"/>
  <c r="G1215" i="9"/>
  <c r="E1215" i="9"/>
  <c r="G1214" i="9"/>
  <c r="E1214" i="9"/>
  <c r="G1213" i="9"/>
  <c r="E1213" i="9"/>
  <c r="G1212" i="9"/>
  <c r="E1212" i="9"/>
  <c r="G1211" i="9"/>
  <c r="E1211" i="9"/>
  <c r="G1210" i="9"/>
  <c r="E1210" i="9"/>
  <c r="G1209" i="9"/>
  <c r="E1209" i="9"/>
  <c r="G1208" i="9"/>
  <c r="E1208" i="9"/>
  <c r="G1207" i="9"/>
  <c r="E1207" i="9"/>
  <c r="G1206" i="9"/>
  <c r="E1206" i="9"/>
  <c r="G1205" i="9"/>
  <c r="E1205" i="9"/>
  <c r="G1204" i="9"/>
  <c r="E1204" i="9"/>
  <c r="G1203" i="9"/>
  <c r="E1203" i="9"/>
  <c r="G1202" i="9"/>
  <c r="E1202" i="9"/>
  <c r="G1201" i="9"/>
  <c r="E1201" i="9"/>
  <c r="G1200" i="9"/>
  <c r="E1200" i="9"/>
  <c r="G1199" i="9"/>
  <c r="E1199" i="9"/>
  <c r="G1198" i="9"/>
  <c r="E1198" i="9"/>
  <c r="G1197" i="9"/>
  <c r="E1197" i="9"/>
  <c r="G1196" i="9"/>
  <c r="E1196" i="9"/>
  <c r="G1195" i="9"/>
  <c r="E1195" i="9"/>
  <c r="G1194" i="9"/>
  <c r="E1194" i="9"/>
  <c r="G1193" i="9"/>
  <c r="E1193" i="9"/>
  <c r="G1192" i="9"/>
  <c r="E1192" i="9"/>
  <c r="G1191" i="9"/>
  <c r="E1191" i="9"/>
  <c r="G1190" i="9"/>
  <c r="E1190" i="9"/>
  <c r="G1189" i="9"/>
  <c r="E1189" i="9"/>
  <c r="G1188" i="9"/>
  <c r="E1188" i="9"/>
  <c r="G1187" i="9"/>
  <c r="E1187" i="9"/>
  <c r="G1186" i="9"/>
  <c r="E1186" i="9"/>
  <c r="G1185" i="9"/>
  <c r="E1185" i="9"/>
  <c r="G1184" i="9"/>
  <c r="E1184" i="9"/>
  <c r="G1183" i="9"/>
  <c r="E1183" i="9"/>
  <c r="G1182" i="9"/>
  <c r="E1182" i="9"/>
  <c r="G1181" i="9"/>
  <c r="E1181" i="9"/>
  <c r="G1180" i="9"/>
  <c r="E1180" i="9"/>
  <c r="G1179" i="9"/>
  <c r="E1179" i="9"/>
  <c r="G1178" i="9"/>
  <c r="E1178" i="9"/>
  <c r="G1177" i="9"/>
  <c r="E1177" i="9"/>
  <c r="G1176" i="9"/>
  <c r="E1176" i="9"/>
  <c r="G1175" i="9"/>
  <c r="E1175" i="9"/>
  <c r="G1174" i="9"/>
  <c r="E1174" i="9"/>
  <c r="G1173" i="9"/>
  <c r="E1173" i="9"/>
  <c r="G1172" i="9"/>
  <c r="E1172" i="9"/>
  <c r="G1171" i="9"/>
  <c r="E1171" i="9"/>
  <c r="G1170" i="9"/>
  <c r="E1170" i="9"/>
  <c r="G1169" i="9"/>
  <c r="E1169" i="9"/>
  <c r="G1168" i="9"/>
  <c r="E1168" i="9"/>
  <c r="G1167" i="9"/>
  <c r="E1167" i="9"/>
  <c r="G1166" i="9"/>
  <c r="E1166" i="9"/>
  <c r="G1165" i="9"/>
  <c r="E1165" i="9"/>
  <c r="G1164" i="9"/>
  <c r="E1164" i="9"/>
  <c r="G1163" i="9"/>
  <c r="E1163" i="9"/>
  <c r="G1162" i="9"/>
  <c r="E1162" i="9"/>
  <c r="G1161" i="9"/>
  <c r="E1161" i="9"/>
  <c r="G1160" i="9"/>
  <c r="E1160" i="9"/>
  <c r="G1159" i="9"/>
  <c r="E1159" i="9"/>
  <c r="G1158" i="9"/>
  <c r="E1158" i="9"/>
  <c r="G1157" i="9"/>
  <c r="E1157" i="9"/>
  <c r="G1156" i="9"/>
  <c r="E1156" i="9"/>
  <c r="G1155" i="9"/>
  <c r="E1155" i="9"/>
  <c r="G1154" i="9"/>
  <c r="E1154" i="9"/>
  <c r="G1153" i="9"/>
  <c r="E1153" i="9"/>
  <c r="G1152" i="9"/>
  <c r="E1152" i="9"/>
  <c r="G1151" i="9"/>
  <c r="E1151" i="9"/>
  <c r="G1150" i="9"/>
  <c r="E1150" i="9"/>
  <c r="G1149" i="9"/>
  <c r="E1149" i="9"/>
  <c r="G1148" i="9"/>
  <c r="E1148" i="9"/>
  <c r="G1147" i="9"/>
  <c r="E1147" i="9"/>
  <c r="G1146" i="9"/>
  <c r="E1146" i="9"/>
  <c r="G1145" i="9"/>
  <c r="E1145" i="9"/>
  <c r="G1144" i="9"/>
  <c r="E1144" i="9"/>
  <c r="G1143" i="9"/>
  <c r="E1143" i="9"/>
  <c r="G1142" i="9"/>
  <c r="E1142" i="9"/>
  <c r="G1141" i="9"/>
  <c r="E1141" i="9"/>
  <c r="G1140" i="9"/>
  <c r="E1140" i="9"/>
  <c r="G1139" i="9"/>
  <c r="E1139" i="9"/>
  <c r="G1138" i="9"/>
  <c r="E1138" i="9"/>
  <c r="G1137" i="9"/>
  <c r="E1137" i="9"/>
  <c r="G1136" i="9"/>
  <c r="E1136" i="9"/>
  <c r="G1135" i="9"/>
  <c r="E1135" i="9"/>
  <c r="G1134" i="9"/>
  <c r="E1134" i="9"/>
  <c r="G1133" i="9"/>
  <c r="E1133" i="9"/>
  <c r="G1132" i="9"/>
  <c r="E1132" i="9"/>
  <c r="G1131" i="9"/>
  <c r="E1131" i="9"/>
  <c r="G1130" i="9"/>
  <c r="E1130" i="9"/>
  <c r="G1129" i="9"/>
  <c r="E1129" i="9"/>
  <c r="G1128" i="9"/>
  <c r="E1128" i="9"/>
  <c r="G1127" i="9"/>
  <c r="E1127" i="9"/>
  <c r="G1126" i="9"/>
  <c r="E1126" i="9"/>
  <c r="G1125" i="9"/>
  <c r="E1125" i="9"/>
  <c r="G1124" i="9"/>
  <c r="E1124" i="9"/>
  <c r="G1123" i="9"/>
  <c r="E1123" i="9"/>
  <c r="G1122" i="9"/>
  <c r="E1122" i="9"/>
  <c r="G1121" i="9"/>
  <c r="E1121" i="9"/>
  <c r="G1120" i="9"/>
  <c r="E1120" i="9"/>
  <c r="G1119" i="9"/>
  <c r="E1119" i="9"/>
  <c r="G1118" i="9"/>
  <c r="E1118" i="9"/>
  <c r="G1117" i="9"/>
  <c r="E1117" i="9"/>
  <c r="G1116" i="9"/>
  <c r="E1116" i="9"/>
  <c r="G1115" i="9"/>
  <c r="E1115" i="9"/>
  <c r="G1114" i="9"/>
  <c r="E1114" i="9"/>
  <c r="G1113" i="9"/>
  <c r="E1113" i="9"/>
  <c r="G1112" i="9"/>
  <c r="E1112" i="9"/>
  <c r="G1111" i="9"/>
  <c r="E1111" i="9"/>
  <c r="G1110" i="9"/>
  <c r="E1110" i="9"/>
  <c r="G1109" i="9"/>
  <c r="E1109" i="9"/>
  <c r="G1108" i="9"/>
  <c r="E1108" i="9"/>
  <c r="G1107" i="9"/>
  <c r="E1107" i="9"/>
  <c r="G1106" i="9"/>
  <c r="E1106" i="9"/>
  <c r="G1105" i="9"/>
  <c r="E1105" i="9"/>
  <c r="G1104" i="9"/>
  <c r="E1104" i="9"/>
  <c r="G1103" i="9"/>
  <c r="E1103" i="9"/>
  <c r="G1102" i="9"/>
  <c r="E1102" i="9"/>
  <c r="G1101" i="9"/>
  <c r="E1101" i="9"/>
  <c r="G1100" i="9"/>
  <c r="E1100" i="9"/>
  <c r="G1099" i="9"/>
  <c r="E1099" i="9"/>
  <c r="G1098" i="9"/>
  <c r="E1098" i="9"/>
  <c r="G1097" i="9"/>
  <c r="E1097" i="9"/>
  <c r="G1096" i="9"/>
  <c r="E1096" i="9"/>
  <c r="G1095" i="9"/>
  <c r="E1095" i="9"/>
  <c r="G1094" i="9"/>
  <c r="E1094" i="9"/>
  <c r="G1093" i="9"/>
  <c r="E1093" i="9"/>
  <c r="G1092" i="9"/>
  <c r="E1092" i="9"/>
  <c r="G1091" i="9"/>
  <c r="E1091" i="9"/>
  <c r="G1090" i="9"/>
  <c r="E1090" i="9"/>
  <c r="G1089" i="9"/>
  <c r="E1089" i="9"/>
  <c r="G1088" i="9"/>
  <c r="E1088" i="9"/>
  <c r="G1087" i="9"/>
  <c r="E1087" i="9"/>
  <c r="G1086" i="9"/>
  <c r="E1086" i="9"/>
  <c r="G1085" i="9"/>
  <c r="E1085" i="9"/>
  <c r="G1084" i="9"/>
  <c r="E1084" i="9"/>
  <c r="G1083" i="9"/>
  <c r="E1083" i="9"/>
  <c r="G1082" i="9"/>
  <c r="E1082" i="9"/>
  <c r="G1081" i="9"/>
  <c r="E1081" i="9"/>
  <c r="G1080" i="9"/>
  <c r="E1080" i="9"/>
  <c r="G1079" i="9"/>
  <c r="E1079" i="9"/>
  <c r="G1078" i="9"/>
  <c r="E1078" i="9"/>
  <c r="G1077" i="9"/>
  <c r="E1077" i="9"/>
  <c r="G1076" i="9"/>
  <c r="E1076" i="9"/>
  <c r="G1075" i="9"/>
  <c r="E1075" i="9"/>
  <c r="G1074" i="9"/>
  <c r="E1074" i="9"/>
  <c r="G1073" i="9"/>
  <c r="E1073" i="9"/>
  <c r="G1072" i="9"/>
  <c r="E1072" i="9"/>
  <c r="G1071" i="9"/>
  <c r="E1071" i="9"/>
  <c r="G1070" i="9"/>
  <c r="E1070" i="9"/>
  <c r="G1069" i="9"/>
  <c r="E1069" i="9"/>
  <c r="G1068" i="9"/>
  <c r="E1068" i="9"/>
  <c r="G1067" i="9"/>
  <c r="E1067" i="9"/>
  <c r="G1066" i="9"/>
  <c r="E1066" i="9"/>
  <c r="G1065" i="9"/>
  <c r="E1065" i="9"/>
  <c r="G1064" i="9"/>
  <c r="E1064" i="9"/>
  <c r="G1063" i="9"/>
  <c r="E1063" i="9"/>
  <c r="G1062" i="9"/>
  <c r="E1062" i="9"/>
  <c r="G1061" i="9"/>
  <c r="E1061" i="9"/>
  <c r="G1060" i="9"/>
  <c r="E1060" i="9"/>
  <c r="G1059" i="9"/>
  <c r="E1059" i="9"/>
  <c r="G1058" i="9"/>
  <c r="E1058" i="9"/>
  <c r="G1057" i="9"/>
  <c r="E1057" i="9"/>
  <c r="G1056" i="9"/>
  <c r="E1056" i="9"/>
  <c r="G1055" i="9"/>
  <c r="E1055" i="9"/>
  <c r="G1054" i="9"/>
  <c r="E1054" i="9"/>
  <c r="G1053" i="9"/>
  <c r="E1053" i="9"/>
  <c r="G1052" i="9"/>
  <c r="E1052" i="9"/>
  <c r="G1051" i="9"/>
  <c r="E1051" i="9"/>
  <c r="G1050" i="9"/>
  <c r="E1050" i="9"/>
  <c r="G1049" i="9"/>
  <c r="E1049" i="9"/>
  <c r="G1048" i="9"/>
  <c r="E1048" i="9"/>
  <c r="G1047" i="9"/>
  <c r="E1047" i="9"/>
  <c r="G1046" i="9"/>
  <c r="E1046" i="9"/>
  <c r="G1045" i="9"/>
  <c r="E1045" i="9"/>
  <c r="G1044" i="9"/>
  <c r="E1044" i="9"/>
  <c r="G1043" i="9"/>
  <c r="E1043" i="9"/>
  <c r="G1042" i="9"/>
  <c r="E1042" i="9"/>
  <c r="G1041" i="9"/>
  <c r="E1041" i="9"/>
  <c r="G1040" i="9"/>
  <c r="E1040" i="9"/>
  <c r="G1039" i="9"/>
  <c r="E1039" i="9"/>
  <c r="G1038" i="9"/>
  <c r="E1038" i="9"/>
  <c r="G1037" i="9"/>
  <c r="E1037" i="9"/>
  <c r="G1036" i="9"/>
  <c r="E1036" i="9"/>
  <c r="G1035" i="9"/>
  <c r="E1035" i="9"/>
  <c r="G1034" i="9"/>
  <c r="E1034" i="9"/>
  <c r="G1033" i="9"/>
  <c r="E1033" i="9"/>
  <c r="G1032" i="9"/>
  <c r="E1032" i="9"/>
  <c r="G1031" i="9"/>
  <c r="E1031" i="9"/>
  <c r="G1030" i="9"/>
  <c r="E1030" i="9"/>
  <c r="G1029" i="9"/>
  <c r="E1029" i="9"/>
  <c r="G1028" i="9"/>
  <c r="E1028" i="9"/>
  <c r="G1027" i="9"/>
  <c r="E1027" i="9"/>
  <c r="G1026" i="9"/>
  <c r="E1026" i="9"/>
  <c r="G1025" i="9"/>
  <c r="E1025" i="9"/>
  <c r="G1024" i="9"/>
  <c r="E1024" i="9"/>
  <c r="G1023" i="9"/>
  <c r="E1023" i="9"/>
  <c r="G1022" i="9"/>
  <c r="E1022" i="9"/>
  <c r="G1021" i="9"/>
  <c r="E1021" i="9"/>
  <c r="G1020" i="9"/>
  <c r="E1020" i="9"/>
  <c r="G1019" i="9"/>
  <c r="E1019" i="9"/>
  <c r="G1018" i="9"/>
  <c r="E1018" i="9"/>
  <c r="G1017" i="9"/>
  <c r="E1017" i="9"/>
  <c r="G1016" i="9"/>
  <c r="E1016" i="9"/>
  <c r="G1015" i="9"/>
  <c r="E1015" i="9"/>
  <c r="G1014" i="9"/>
  <c r="E1014" i="9"/>
  <c r="G1013" i="9"/>
  <c r="E1013" i="9"/>
  <c r="G1012" i="9"/>
  <c r="E1012" i="9"/>
  <c r="G1011" i="9"/>
  <c r="E1011" i="9"/>
  <c r="G1010" i="9"/>
  <c r="E1010" i="9"/>
  <c r="G1009" i="9"/>
  <c r="E1009" i="9"/>
  <c r="G1008" i="9"/>
  <c r="E1008" i="9"/>
  <c r="G1007" i="9"/>
  <c r="E1007" i="9"/>
  <c r="G1006" i="9"/>
  <c r="E1006" i="9"/>
  <c r="G1005" i="9"/>
  <c r="E1005" i="9"/>
  <c r="G1004" i="9"/>
  <c r="E1004" i="9"/>
  <c r="G1003" i="9"/>
  <c r="E1003" i="9"/>
  <c r="G1002" i="9"/>
  <c r="E1002" i="9"/>
  <c r="G1001" i="9"/>
  <c r="E1001" i="9"/>
  <c r="G1000" i="9"/>
  <c r="E1000" i="9"/>
  <c r="G999" i="9"/>
  <c r="E999" i="9"/>
  <c r="G998" i="9"/>
  <c r="E998" i="9"/>
  <c r="G997" i="9"/>
  <c r="E997" i="9"/>
  <c r="G996" i="9"/>
  <c r="E996" i="9"/>
  <c r="G995" i="9"/>
  <c r="E995" i="9"/>
  <c r="G994" i="9"/>
  <c r="E994" i="9"/>
  <c r="G993" i="9"/>
  <c r="E993" i="9"/>
  <c r="G992" i="9"/>
  <c r="E992" i="9"/>
  <c r="G991" i="9"/>
  <c r="E991" i="9"/>
  <c r="G990" i="9"/>
  <c r="E990" i="9"/>
  <c r="G989" i="9"/>
  <c r="E989" i="9"/>
  <c r="G988" i="9"/>
  <c r="E988" i="9"/>
  <c r="G987" i="9"/>
  <c r="E987" i="9"/>
  <c r="G986" i="9"/>
  <c r="E986" i="9"/>
  <c r="G985" i="9"/>
  <c r="E985" i="9"/>
  <c r="G984" i="9"/>
  <c r="E984" i="9"/>
  <c r="G983" i="9"/>
  <c r="E983" i="9"/>
  <c r="G982" i="9"/>
  <c r="E982" i="9"/>
  <c r="G981" i="9"/>
  <c r="E981" i="9"/>
  <c r="G980" i="9"/>
  <c r="E980" i="9"/>
  <c r="G979" i="9"/>
  <c r="E979" i="9"/>
  <c r="G978" i="9"/>
  <c r="E978" i="9"/>
  <c r="G977" i="9"/>
  <c r="E977" i="9"/>
  <c r="G976" i="9"/>
  <c r="E976" i="9"/>
  <c r="G975" i="9"/>
  <c r="E975" i="9"/>
  <c r="G974" i="9"/>
  <c r="E974" i="9"/>
  <c r="G973" i="9"/>
  <c r="E973" i="9"/>
  <c r="G972" i="9"/>
  <c r="E972" i="9"/>
  <c r="G971" i="9"/>
  <c r="E971" i="9"/>
  <c r="G970" i="9"/>
  <c r="E970" i="9"/>
  <c r="G969" i="9"/>
  <c r="E969" i="9"/>
  <c r="G968" i="9"/>
  <c r="E968" i="9"/>
  <c r="G967" i="9"/>
  <c r="E967" i="9"/>
  <c r="G966" i="9"/>
  <c r="E966" i="9"/>
  <c r="G965" i="9"/>
  <c r="E965" i="9"/>
  <c r="G964" i="9"/>
  <c r="E964" i="9"/>
  <c r="G963" i="9"/>
  <c r="E963" i="9"/>
  <c r="G962" i="9"/>
  <c r="E962" i="9"/>
  <c r="G961" i="9"/>
  <c r="E961" i="9"/>
  <c r="G960" i="9"/>
  <c r="E960" i="9"/>
  <c r="G959" i="9"/>
  <c r="E959" i="9"/>
  <c r="G958" i="9"/>
  <c r="E958" i="9"/>
  <c r="G957" i="9"/>
  <c r="E957" i="9"/>
  <c r="G956" i="9"/>
  <c r="E956" i="9"/>
  <c r="G955" i="9"/>
  <c r="E955" i="9"/>
  <c r="G954" i="9"/>
  <c r="E954" i="9"/>
  <c r="G953" i="9"/>
  <c r="E953" i="9"/>
  <c r="G952" i="9"/>
  <c r="E952" i="9"/>
  <c r="G951" i="9"/>
  <c r="E951" i="9"/>
  <c r="G950" i="9"/>
  <c r="E950" i="9"/>
  <c r="G949" i="9"/>
  <c r="E949" i="9"/>
  <c r="G948" i="9"/>
  <c r="E948" i="9"/>
  <c r="G947" i="9"/>
  <c r="E947" i="9"/>
  <c r="G946" i="9"/>
  <c r="E946" i="9"/>
  <c r="G945" i="9"/>
  <c r="E945" i="9"/>
  <c r="G944" i="9"/>
  <c r="E944" i="9"/>
  <c r="G943" i="9"/>
  <c r="E943" i="9"/>
  <c r="G942" i="9"/>
  <c r="E942" i="9"/>
  <c r="G941" i="9"/>
  <c r="E941" i="9"/>
  <c r="G940" i="9"/>
  <c r="E940" i="9"/>
  <c r="G939" i="9"/>
  <c r="E939" i="9"/>
  <c r="G938" i="9"/>
  <c r="E938" i="9"/>
  <c r="G937" i="9"/>
  <c r="E937" i="9"/>
  <c r="G936" i="9"/>
  <c r="E936" i="9"/>
  <c r="G935" i="9"/>
  <c r="E935" i="9"/>
  <c r="G934" i="9"/>
  <c r="E934" i="9"/>
  <c r="G933" i="9"/>
  <c r="E933" i="9"/>
  <c r="G932" i="9"/>
  <c r="E932" i="9"/>
  <c r="G931" i="9"/>
  <c r="E931" i="9"/>
  <c r="G930" i="9"/>
  <c r="E930" i="9"/>
  <c r="G929" i="9"/>
  <c r="E929" i="9"/>
  <c r="G928" i="9"/>
  <c r="E928" i="9"/>
  <c r="G927" i="9"/>
  <c r="E927" i="9"/>
  <c r="G926" i="9"/>
  <c r="E926" i="9"/>
  <c r="G925" i="9"/>
  <c r="E925" i="9"/>
  <c r="G924" i="9"/>
  <c r="E924" i="9"/>
  <c r="G923" i="9"/>
  <c r="E923" i="9"/>
  <c r="G922" i="9"/>
  <c r="E922" i="9"/>
  <c r="G921" i="9"/>
  <c r="E921" i="9"/>
  <c r="G920" i="9"/>
  <c r="E920" i="9"/>
  <c r="G919" i="9"/>
  <c r="E919" i="9"/>
  <c r="G918" i="9"/>
  <c r="E918" i="9"/>
  <c r="G917" i="9"/>
  <c r="E917" i="9"/>
  <c r="G916" i="9"/>
  <c r="E916" i="9"/>
  <c r="G915" i="9"/>
  <c r="E915" i="9"/>
  <c r="G914" i="9"/>
  <c r="E914" i="9"/>
  <c r="G913" i="9"/>
  <c r="E913" i="9"/>
  <c r="G912" i="9"/>
  <c r="E912" i="9"/>
  <c r="G911" i="9"/>
  <c r="E911" i="9"/>
  <c r="G910" i="9"/>
  <c r="E910" i="9"/>
  <c r="G909" i="9"/>
  <c r="E909" i="9"/>
  <c r="G908" i="9"/>
  <c r="E908" i="9"/>
  <c r="G907" i="9"/>
  <c r="E907" i="9"/>
  <c r="G906" i="9"/>
  <c r="E906" i="9"/>
  <c r="G905" i="9"/>
  <c r="E905" i="9"/>
  <c r="G904" i="9"/>
  <c r="E904" i="9"/>
  <c r="G903" i="9"/>
  <c r="E903" i="9"/>
  <c r="G902" i="9"/>
  <c r="E902" i="9"/>
  <c r="G901" i="9"/>
  <c r="E901" i="9"/>
  <c r="G900" i="9"/>
  <c r="E900" i="9"/>
  <c r="G899" i="9"/>
  <c r="E899" i="9"/>
  <c r="G898" i="9"/>
  <c r="E898" i="9"/>
  <c r="G897" i="9"/>
  <c r="E897" i="9"/>
  <c r="G896" i="9"/>
  <c r="E896" i="9"/>
  <c r="G895" i="9"/>
  <c r="E895" i="9"/>
  <c r="G894" i="9"/>
  <c r="E894" i="9"/>
  <c r="G893" i="9"/>
  <c r="E893" i="9"/>
  <c r="G892" i="9"/>
  <c r="E892" i="9"/>
  <c r="G891" i="9"/>
  <c r="E891" i="9"/>
  <c r="G890" i="9"/>
  <c r="E890" i="9"/>
  <c r="G889" i="9"/>
  <c r="E889" i="9"/>
  <c r="G888" i="9"/>
  <c r="E888" i="9"/>
  <c r="G887" i="9"/>
  <c r="E887" i="9"/>
  <c r="G886" i="9"/>
  <c r="E886" i="9"/>
  <c r="G885" i="9"/>
  <c r="E885" i="9"/>
  <c r="G884" i="9"/>
  <c r="E884" i="9"/>
  <c r="G883" i="9"/>
  <c r="E883" i="9"/>
  <c r="G882" i="9"/>
  <c r="E882" i="9"/>
  <c r="G881" i="9"/>
  <c r="E881" i="9"/>
  <c r="G880" i="9"/>
  <c r="E880" i="9"/>
  <c r="G879" i="9"/>
  <c r="E879" i="9"/>
  <c r="G878" i="9"/>
  <c r="E878" i="9"/>
  <c r="G877" i="9"/>
  <c r="E877" i="9"/>
  <c r="G876" i="9"/>
  <c r="E876" i="9"/>
  <c r="G875" i="9"/>
  <c r="E875" i="9"/>
  <c r="G874" i="9"/>
  <c r="E874" i="9"/>
  <c r="G873" i="9"/>
  <c r="E873" i="9"/>
  <c r="G872" i="9"/>
  <c r="E872" i="9"/>
  <c r="G871" i="9"/>
  <c r="E871" i="9"/>
  <c r="G870" i="9"/>
  <c r="E870" i="9"/>
  <c r="G869" i="9"/>
  <c r="E869" i="9"/>
  <c r="G868" i="9"/>
  <c r="E868" i="9"/>
  <c r="G867" i="9"/>
  <c r="E867" i="9"/>
  <c r="G866" i="9"/>
  <c r="E866" i="9"/>
  <c r="G865" i="9"/>
  <c r="E865" i="9"/>
  <c r="G864" i="9"/>
  <c r="E864" i="9"/>
  <c r="G863" i="9"/>
  <c r="E863" i="9"/>
  <c r="G862" i="9"/>
  <c r="E862" i="9"/>
  <c r="G861" i="9"/>
  <c r="E861" i="9"/>
  <c r="G860" i="9"/>
  <c r="E860" i="9"/>
  <c r="G859" i="9"/>
  <c r="E859" i="9"/>
  <c r="G858" i="9"/>
  <c r="E858" i="9"/>
  <c r="G857" i="9"/>
  <c r="E857" i="9"/>
  <c r="G856" i="9"/>
  <c r="E856" i="9"/>
  <c r="G855" i="9"/>
  <c r="E855" i="9"/>
  <c r="G854" i="9"/>
  <c r="E854" i="9"/>
  <c r="G853" i="9"/>
  <c r="E853" i="9"/>
  <c r="G852" i="9"/>
  <c r="E852" i="9"/>
  <c r="G851" i="9"/>
  <c r="E851" i="9"/>
  <c r="G850" i="9"/>
  <c r="E850" i="9"/>
  <c r="G849" i="9"/>
  <c r="E849" i="9"/>
  <c r="G848" i="9"/>
  <c r="E848" i="9"/>
  <c r="G847" i="9"/>
  <c r="E847" i="9"/>
  <c r="G846" i="9"/>
  <c r="E846" i="9"/>
  <c r="G845" i="9"/>
  <c r="E845" i="9"/>
  <c r="G844" i="9"/>
  <c r="E844" i="9"/>
  <c r="G843" i="9"/>
  <c r="E843" i="9"/>
  <c r="G842" i="9"/>
  <c r="E842" i="9"/>
  <c r="G841" i="9"/>
  <c r="E841" i="9"/>
  <c r="G840" i="9"/>
  <c r="E840" i="9"/>
  <c r="G839" i="9"/>
  <c r="E839" i="9"/>
  <c r="G838" i="9"/>
  <c r="E838" i="9"/>
  <c r="G837" i="9"/>
  <c r="E837" i="9"/>
  <c r="G836" i="9"/>
  <c r="E836" i="9"/>
  <c r="G835" i="9"/>
  <c r="E835" i="9"/>
  <c r="G834" i="9"/>
  <c r="E834" i="9"/>
  <c r="G833" i="9"/>
  <c r="E833" i="9"/>
  <c r="G832" i="9"/>
  <c r="E832" i="9"/>
  <c r="G831" i="9"/>
  <c r="E831" i="9"/>
  <c r="G830" i="9"/>
  <c r="E830" i="9"/>
  <c r="G829" i="9"/>
  <c r="E829" i="9"/>
  <c r="G828" i="9"/>
  <c r="E828" i="9"/>
  <c r="G827" i="9"/>
  <c r="E827" i="9"/>
  <c r="G826" i="9"/>
  <c r="E826" i="9"/>
  <c r="G825" i="9"/>
  <c r="E825" i="9"/>
  <c r="G824" i="9"/>
  <c r="E824" i="9"/>
  <c r="G823" i="9"/>
  <c r="E823" i="9"/>
  <c r="G822" i="9"/>
  <c r="E822" i="9"/>
  <c r="G821" i="9"/>
  <c r="E821" i="9"/>
  <c r="G820" i="9"/>
  <c r="E820" i="9"/>
  <c r="G819" i="9"/>
  <c r="E819" i="9"/>
  <c r="G818" i="9"/>
  <c r="E818" i="9"/>
  <c r="G817" i="9"/>
  <c r="E817" i="9"/>
  <c r="G816" i="9"/>
  <c r="E816" i="9"/>
  <c r="G815" i="9"/>
  <c r="E815" i="9"/>
  <c r="G814" i="9"/>
  <c r="E814" i="9"/>
  <c r="G813" i="9"/>
  <c r="E813" i="9"/>
  <c r="G812" i="9"/>
  <c r="E812" i="9"/>
  <c r="G811" i="9"/>
  <c r="E811" i="9"/>
  <c r="G810" i="9"/>
  <c r="E810" i="9"/>
  <c r="G809" i="9"/>
  <c r="E809" i="9"/>
  <c r="G808" i="9"/>
  <c r="E808" i="9"/>
  <c r="G807" i="9"/>
  <c r="E807" i="9"/>
  <c r="G806" i="9"/>
  <c r="E806" i="9"/>
  <c r="G805" i="9"/>
  <c r="E805" i="9"/>
  <c r="G804" i="9"/>
  <c r="E804" i="9"/>
  <c r="G803" i="9"/>
  <c r="E803" i="9"/>
  <c r="G802" i="9"/>
  <c r="E802" i="9"/>
  <c r="G801" i="9"/>
  <c r="E801" i="9"/>
  <c r="G800" i="9"/>
  <c r="E800" i="9"/>
  <c r="G799" i="9"/>
  <c r="E799" i="9"/>
  <c r="G798" i="9"/>
  <c r="E798" i="9"/>
  <c r="G797" i="9"/>
  <c r="E797" i="9"/>
  <c r="G796" i="9"/>
  <c r="E796" i="9"/>
  <c r="G795" i="9"/>
  <c r="E795" i="9"/>
  <c r="G794" i="9"/>
  <c r="E794" i="9"/>
  <c r="G793" i="9"/>
  <c r="E793" i="9"/>
  <c r="G792" i="9"/>
  <c r="E792" i="9"/>
  <c r="G791" i="9"/>
  <c r="E791" i="9"/>
  <c r="G790" i="9"/>
  <c r="E790" i="9"/>
  <c r="G789" i="9"/>
  <c r="E789" i="9"/>
  <c r="G788" i="9"/>
  <c r="E788" i="9"/>
  <c r="G787" i="9"/>
  <c r="E787" i="9"/>
  <c r="G786" i="9"/>
  <c r="E786" i="9"/>
  <c r="G785" i="9"/>
  <c r="E785" i="9"/>
  <c r="G784" i="9"/>
  <c r="E784" i="9"/>
  <c r="G783" i="9"/>
  <c r="E783" i="9"/>
  <c r="G782" i="9"/>
  <c r="E782" i="9"/>
  <c r="G781" i="9"/>
  <c r="E781" i="9"/>
  <c r="G780" i="9"/>
  <c r="E780" i="9"/>
  <c r="G779" i="9"/>
  <c r="E779" i="9"/>
  <c r="G778" i="9"/>
  <c r="E778" i="9"/>
  <c r="G777" i="9"/>
  <c r="E777" i="9"/>
  <c r="G776" i="9"/>
  <c r="E776" i="9"/>
  <c r="G775" i="9"/>
  <c r="E775" i="9"/>
  <c r="G774" i="9"/>
  <c r="E774" i="9"/>
  <c r="G773" i="9"/>
  <c r="E773" i="9"/>
  <c r="G772" i="9"/>
  <c r="E772" i="9"/>
  <c r="G771" i="9"/>
  <c r="E771" i="9"/>
  <c r="G770" i="9"/>
  <c r="E770" i="9"/>
  <c r="G769" i="9"/>
  <c r="E769" i="9"/>
  <c r="G768" i="9"/>
  <c r="E768" i="9"/>
  <c r="G767" i="9"/>
  <c r="E767" i="9"/>
  <c r="G766" i="9"/>
  <c r="E766" i="9"/>
  <c r="G765" i="9"/>
  <c r="E765" i="9"/>
  <c r="G764" i="9"/>
  <c r="E764" i="9"/>
  <c r="G763" i="9"/>
  <c r="E763" i="9"/>
  <c r="G762" i="9"/>
  <c r="E762" i="9"/>
  <c r="G761" i="9"/>
  <c r="E761" i="9"/>
  <c r="G760" i="9"/>
  <c r="E760" i="9"/>
  <c r="G759" i="9"/>
  <c r="E759" i="9"/>
  <c r="G758" i="9"/>
  <c r="E758" i="9"/>
  <c r="G757" i="9"/>
  <c r="E757" i="9"/>
  <c r="G756" i="9"/>
  <c r="E756" i="9"/>
  <c r="G755" i="9"/>
  <c r="E755" i="9"/>
  <c r="G754" i="9"/>
  <c r="E754" i="9"/>
  <c r="G753" i="9"/>
  <c r="E753" i="9"/>
  <c r="G752" i="9"/>
  <c r="E752" i="9"/>
  <c r="G751" i="9"/>
  <c r="E751" i="9"/>
  <c r="G750" i="9"/>
  <c r="E750" i="9"/>
  <c r="G749" i="9"/>
  <c r="E749" i="9"/>
  <c r="G748" i="9"/>
  <c r="E748" i="9"/>
  <c r="G747" i="9"/>
  <c r="E747" i="9"/>
  <c r="G746" i="9"/>
  <c r="E746" i="9"/>
  <c r="G745" i="9"/>
  <c r="E745" i="9"/>
  <c r="G744" i="9"/>
  <c r="E744" i="9"/>
  <c r="G743" i="9"/>
  <c r="E743" i="9"/>
  <c r="G742" i="9"/>
  <c r="E742" i="9"/>
  <c r="G741" i="9"/>
  <c r="E741" i="9"/>
  <c r="G740" i="9"/>
  <c r="E740" i="9"/>
  <c r="G739" i="9"/>
  <c r="E739" i="9"/>
  <c r="G738" i="9"/>
  <c r="E738" i="9"/>
  <c r="G737" i="9"/>
  <c r="E737" i="9"/>
  <c r="G736" i="9"/>
  <c r="E736" i="9"/>
  <c r="G735" i="9"/>
  <c r="E735" i="9"/>
  <c r="G734" i="9"/>
  <c r="E734" i="9"/>
  <c r="G733" i="9"/>
  <c r="E733" i="9"/>
  <c r="G732" i="9"/>
  <c r="E732" i="9"/>
  <c r="G731" i="9"/>
  <c r="E731" i="9"/>
  <c r="G730" i="9"/>
  <c r="E730" i="9"/>
  <c r="G729" i="9"/>
  <c r="E729" i="9"/>
  <c r="G728" i="9"/>
  <c r="E728" i="9"/>
  <c r="G727" i="9"/>
  <c r="E727" i="9"/>
  <c r="G726" i="9"/>
  <c r="E726" i="9"/>
  <c r="G725" i="9"/>
  <c r="E725" i="9"/>
  <c r="G724" i="9"/>
  <c r="E724" i="9"/>
  <c r="G723" i="9"/>
  <c r="E723" i="9"/>
  <c r="G722" i="9"/>
  <c r="E722" i="9"/>
  <c r="G721" i="9"/>
  <c r="E721" i="9"/>
  <c r="G720" i="9"/>
  <c r="E720" i="9"/>
  <c r="G719" i="9"/>
  <c r="E719" i="9"/>
  <c r="G718" i="9"/>
  <c r="E718" i="9"/>
  <c r="G717" i="9"/>
  <c r="E717" i="9"/>
  <c r="G716" i="9"/>
  <c r="E716" i="9"/>
  <c r="G715" i="9"/>
  <c r="E715" i="9"/>
  <c r="G714" i="9"/>
  <c r="E714" i="9"/>
  <c r="G713" i="9"/>
  <c r="E713" i="9"/>
  <c r="G712" i="9"/>
  <c r="E712" i="9"/>
  <c r="G711" i="9"/>
  <c r="E711" i="9"/>
  <c r="G710" i="9"/>
  <c r="E710" i="9"/>
  <c r="G709" i="9"/>
  <c r="E709" i="9"/>
  <c r="G708" i="9"/>
  <c r="E708" i="9"/>
  <c r="G707" i="9"/>
  <c r="E707" i="9"/>
  <c r="G706" i="9"/>
  <c r="E706" i="9"/>
  <c r="G705" i="9"/>
  <c r="E705" i="9"/>
  <c r="G704" i="9"/>
  <c r="E704" i="9"/>
  <c r="G703" i="9"/>
  <c r="E703" i="9"/>
  <c r="G702" i="9"/>
  <c r="E702" i="9"/>
  <c r="G701" i="9"/>
  <c r="E701" i="9"/>
  <c r="G700" i="9"/>
  <c r="E700" i="9"/>
  <c r="G699" i="9"/>
  <c r="E699" i="9"/>
  <c r="G698" i="9"/>
  <c r="E698" i="9"/>
  <c r="G697" i="9"/>
  <c r="E697" i="9"/>
  <c r="G696" i="9"/>
  <c r="E696" i="9"/>
  <c r="G695" i="9"/>
  <c r="E695" i="9"/>
  <c r="G694" i="9"/>
  <c r="E694" i="9"/>
  <c r="G693" i="9"/>
  <c r="E693" i="9"/>
  <c r="G692" i="9"/>
  <c r="E692" i="9"/>
  <c r="G691" i="9"/>
  <c r="E691" i="9"/>
  <c r="G690" i="9"/>
  <c r="E690" i="9"/>
  <c r="G689" i="9"/>
  <c r="E689" i="9"/>
  <c r="G688" i="9"/>
  <c r="E688" i="9"/>
  <c r="G687" i="9"/>
  <c r="E687" i="9"/>
  <c r="G686" i="9"/>
  <c r="E686" i="9"/>
  <c r="G685" i="9"/>
  <c r="E685" i="9"/>
  <c r="G684" i="9"/>
  <c r="E684" i="9"/>
  <c r="G683" i="9"/>
  <c r="E683" i="9"/>
  <c r="G682" i="9"/>
  <c r="E682" i="9"/>
  <c r="G681" i="9"/>
  <c r="E681" i="9"/>
  <c r="G680" i="9"/>
  <c r="E680" i="9"/>
  <c r="G679" i="9"/>
  <c r="E679" i="9"/>
  <c r="G678" i="9"/>
  <c r="E678" i="9"/>
  <c r="G677" i="9"/>
  <c r="E677" i="9"/>
  <c r="G676" i="9"/>
  <c r="E676" i="9"/>
  <c r="G675" i="9"/>
  <c r="E675" i="9"/>
  <c r="G674" i="9"/>
  <c r="E674" i="9"/>
  <c r="G673" i="9"/>
  <c r="E673" i="9"/>
  <c r="G672" i="9"/>
  <c r="E672" i="9"/>
  <c r="G671" i="9"/>
  <c r="E671" i="9"/>
  <c r="G670" i="9"/>
  <c r="E670" i="9"/>
  <c r="G669" i="9"/>
  <c r="E669" i="9"/>
  <c r="G668" i="9"/>
  <c r="E668" i="9"/>
  <c r="G667" i="9"/>
  <c r="E667" i="9"/>
  <c r="G666" i="9"/>
  <c r="E666" i="9"/>
  <c r="G665" i="9"/>
  <c r="E665" i="9"/>
  <c r="G664" i="9"/>
  <c r="E664" i="9"/>
  <c r="G663" i="9"/>
  <c r="E663" i="9"/>
  <c r="G662" i="9"/>
  <c r="E662" i="9"/>
  <c r="G661" i="9"/>
  <c r="E661" i="9"/>
  <c r="G660" i="9"/>
  <c r="E660" i="9"/>
  <c r="G659" i="9"/>
  <c r="E659" i="9"/>
  <c r="G658" i="9"/>
  <c r="E658" i="9"/>
  <c r="G657" i="9"/>
  <c r="E657" i="9"/>
  <c r="G656" i="9"/>
  <c r="E656" i="9"/>
  <c r="G655" i="9"/>
  <c r="E655" i="9"/>
  <c r="G654" i="9"/>
  <c r="E654" i="9"/>
  <c r="G653" i="9"/>
  <c r="E653" i="9"/>
  <c r="G652" i="9"/>
  <c r="E652" i="9"/>
  <c r="G651" i="9"/>
  <c r="E651" i="9"/>
  <c r="G650" i="9"/>
  <c r="E650" i="9"/>
  <c r="G649" i="9"/>
  <c r="E649" i="9"/>
  <c r="G648" i="9"/>
  <c r="E648" i="9"/>
  <c r="G647" i="9"/>
  <c r="E647" i="9"/>
  <c r="G646" i="9"/>
  <c r="E646" i="9"/>
  <c r="G645" i="9"/>
  <c r="E645" i="9"/>
  <c r="G644" i="9"/>
  <c r="E644" i="9"/>
  <c r="G643" i="9"/>
  <c r="E643" i="9"/>
  <c r="G642" i="9"/>
  <c r="E642" i="9"/>
  <c r="G641" i="9"/>
  <c r="E641" i="9"/>
  <c r="G640" i="9"/>
  <c r="E640" i="9"/>
  <c r="G639" i="9"/>
  <c r="E639" i="9"/>
  <c r="G638" i="9"/>
  <c r="E638" i="9"/>
  <c r="G637" i="9"/>
  <c r="E637" i="9"/>
  <c r="G636" i="9"/>
  <c r="E636" i="9"/>
  <c r="G635" i="9"/>
  <c r="E635" i="9"/>
  <c r="G634" i="9"/>
  <c r="E634" i="9"/>
  <c r="G633" i="9"/>
  <c r="E633" i="9"/>
  <c r="G632" i="9"/>
  <c r="E632" i="9"/>
  <c r="G631" i="9"/>
  <c r="E631" i="9"/>
  <c r="G630" i="9"/>
  <c r="E630" i="9"/>
  <c r="G629" i="9"/>
  <c r="E629" i="9"/>
  <c r="G628" i="9"/>
  <c r="E628" i="9"/>
  <c r="G627" i="9"/>
  <c r="E627" i="9"/>
  <c r="G626" i="9"/>
  <c r="E626" i="9"/>
  <c r="G625" i="9"/>
  <c r="E625" i="9"/>
  <c r="G624" i="9"/>
  <c r="E624" i="9"/>
  <c r="G623" i="9"/>
  <c r="E623" i="9"/>
  <c r="G622" i="9"/>
  <c r="E622" i="9"/>
  <c r="G621" i="9"/>
  <c r="E621" i="9"/>
  <c r="G620" i="9"/>
  <c r="E620" i="9"/>
  <c r="G619" i="9"/>
  <c r="E619" i="9"/>
  <c r="G618" i="9"/>
  <c r="E618" i="9"/>
  <c r="G617" i="9"/>
  <c r="E617" i="9"/>
  <c r="G616" i="9"/>
  <c r="E616" i="9"/>
  <c r="G615" i="9"/>
  <c r="E615" i="9"/>
  <c r="G614" i="9"/>
  <c r="E614" i="9"/>
  <c r="G613" i="9"/>
  <c r="E613" i="9"/>
  <c r="G612" i="9"/>
  <c r="E612" i="9"/>
  <c r="G611" i="9"/>
  <c r="E611" i="9"/>
  <c r="G610" i="9"/>
  <c r="E610" i="9"/>
  <c r="G609" i="9"/>
  <c r="E609" i="9"/>
  <c r="G608" i="9"/>
  <c r="E608" i="9"/>
  <c r="G607" i="9"/>
  <c r="E607" i="9"/>
  <c r="G606" i="9"/>
  <c r="E606" i="9"/>
  <c r="G605" i="9"/>
  <c r="E605" i="9"/>
  <c r="G604" i="9"/>
  <c r="E604" i="9"/>
  <c r="G603" i="9"/>
  <c r="E603" i="9"/>
  <c r="G602" i="9"/>
  <c r="E602" i="9"/>
  <c r="G601" i="9"/>
  <c r="E601" i="9"/>
  <c r="G600" i="9"/>
  <c r="E600" i="9"/>
  <c r="G599" i="9"/>
  <c r="E599" i="9"/>
  <c r="G598" i="9"/>
  <c r="E598" i="9"/>
  <c r="G597" i="9"/>
  <c r="E597" i="9"/>
  <c r="G596" i="9"/>
  <c r="E596" i="9"/>
  <c r="G595" i="9"/>
  <c r="E595" i="9"/>
  <c r="G594" i="9"/>
  <c r="E594" i="9"/>
  <c r="G593" i="9"/>
  <c r="E593" i="9"/>
  <c r="G592" i="9"/>
  <c r="E592" i="9"/>
  <c r="G591" i="9"/>
  <c r="E591" i="9"/>
  <c r="G590" i="9"/>
  <c r="E590" i="9"/>
  <c r="G589" i="9"/>
  <c r="E589" i="9"/>
  <c r="G588" i="9"/>
  <c r="E588" i="9"/>
  <c r="G587" i="9"/>
  <c r="E587" i="9"/>
  <c r="G586" i="9"/>
  <c r="E586" i="9"/>
  <c r="G585" i="9"/>
  <c r="E585" i="9"/>
  <c r="G584" i="9"/>
  <c r="E584" i="9"/>
  <c r="G583" i="9"/>
  <c r="E583" i="9"/>
  <c r="G582" i="9"/>
  <c r="E582" i="9"/>
  <c r="G581" i="9"/>
  <c r="E581" i="9"/>
  <c r="G580" i="9"/>
  <c r="E580" i="9"/>
  <c r="G579" i="9"/>
  <c r="E579" i="9"/>
  <c r="G578" i="9"/>
  <c r="E578" i="9"/>
  <c r="G577" i="9"/>
  <c r="E577" i="9"/>
  <c r="G576" i="9"/>
  <c r="E576" i="9"/>
  <c r="G575" i="9"/>
  <c r="E575" i="9"/>
  <c r="G574" i="9"/>
  <c r="E574" i="9"/>
  <c r="G573" i="9"/>
  <c r="E573" i="9"/>
  <c r="G572" i="9"/>
  <c r="E572" i="9"/>
  <c r="G571" i="9"/>
  <c r="E571" i="9"/>
  <c r="G570" i="9"/>
  <c r="E570" i="9"/>
  <c r="G569" i="9"/>
  <c r="E569" i="9"/>
  <c r="G568" i="9"/>
  <c r="E568" i="9"/>
  <c r="G567" i="9"/>
  <c r="E567" i="9"/>
  <c r="G566" i="9"/>
  <c r="E566" i="9"/>
  <c r="G565" i="9"/>
  <c r="E565" i="9"/>
  <c r="G564" i="9"/>
  <c r="E564" i="9"/>
  <c r="G563" i="9"/>
  <c r="E563" i="9"/>
  <c r="G562" i="9"/>
  <c r="E562" i="9"/>
  <c r="G561" i="9"/>
  <c r="E561" i="9"/>
  <c r="G560" i="9"/>
  <c r="E560" i="9"/>
  <c r="G559" i="9"/>
  <c r="E559" i="9"/>
  <c r="G558" i="9"/>
  <c r="E558" i="9"/>
  <c r="G557" i="9"/>
  <c r="E557" i="9"/>
  <c r="G556" i="9"/>
  <c r="E556" i="9"/>
  <c r="G555" i="9"/>
  <c r="E555" i="9"/>
  <c r="G554" i="9"/>
  <c r="E554" i="9"/>
  <c r="G553" i="9"/>
  <c r="E553" i="9"/>
  <c r="G552" i="9"/>
  <c r="E552" i="9"/>
  <c r="G551" i="9"/>
  <c r="E551" i="9"/>
  <c r="G550" i="9"/>
  <c r="E550" i="9"/>
  <c r="G549" i="9"/>
  <c r="E549" i="9"/>
  <c r="G548" i="9"/>
  <c r="E548" i="9"/>
  <c r="G547" i="9"/>
  <c r="E547" i="9"/>
  <c r="G546" i="9"/>
  <c r="E546" i="9"/>
  <c r="G545" i="9"/>
  <c r="E545" i="9"/>
  <c r="G544" i="9"/>
  <c r="E544" i="9"/>
  <c r="G543" i="9"/>
  <c r="E543" i="9"/>
  <c r="G542" i="9"/>
  <c r="E542" i="9"/>
  <c r="G541" i="9"/>
  <c r="E541" i="9"/>
  <c r="G540" i="9"/>
  <c r="E540" i="9"/>
  <c r="G539" i="9"/>
  <c r="E539" i="9"/>
  <c r="G538" i="9"/>
  <c r="E538" i="9"/>
  <c r="G537" i="9"/>
  <c r="E537" i="9"/>
  <c r="G536" i="9"/>
  <c r="E536" i="9"/>
  <c r="G535" i="9"/>
  <c r="E535" i="9"/>
  <c r="G534" i="9"/>
  <c r="E534" i="9"/>
  <c r="G533" i="9"/>
  <c r="E533" i="9"/>
  <c r="G532" i="9"/>
  <c r="E532" i="9"/>
  <c r="G531" i="9"/>
  <c r="E531" i="9"/>
  <c r="G530" i="9"/>
  <c r="E530" i="9"/>
  <c r="G529" i="9"/>
  <c r="E529" i="9"/>
  <c r="G528" i="9"/>
  <c r="E528" i="9"/>
  <c r="G527" i="9"/>
  <c r="E527" i="9"/>
  <c r="G526" i="9"/>
  <c r="E526" i="9"/>
  <c r="G525" i="9"/>
  <c r="E525" i="9"/>
  <c r="G524" i="9"/>
  <c r="E524" i="9"/>
  <c r="G523" i="9"/>
  <c r="E523" i="9"/>
  <c r="G522" i="9"/>
  <c r="E522" i="9"/>
  <c r="G521" i="9"/>
  <c r="E521" i="9"/>
  <c r="G520" i="9"/>
  <c r="E520" i="9"/>
  <c r="G519" i="9"/>
  <c r="E519" i="9"/>
  <c r="G518" i="9"/>
  <c r="E518" i="9"/>
  <c r="G517" i="9"/>
  <c r="E517" i="9"/>
  <c r="G516" i="9"/>
  <c r="E516" i="9"/>
  <c r="G515" i="9"/>
  <c r="E515" i="9"/>
  <c r="G514" i="9"/>
  <c r="E514" i="9"/>
  <c r="G513" i="9"/>
  <c r="E513" i="9"/>
  <c r="G512" i="9"/>
  <c r="E512" i="9"/>
  <c r="G511" i="9"/>
  <c r="E511" i="9"/>
  <c r="G510" i="9"/>
  <c r="E510" i="9"/>
  <c r="G509" i="9"/>
  <c r="E509" i="9"/>
  <c r="G508" i="9"/>
  <c r="E508" i="9"/>
  <c r="G507" i="9"/>
  <c r="E507" i="9"/>
  <c r="G506" i="9"/>
  <c r="E506" i="9"/>
  <c r="G505" i="9"/>
  <c r="E505" i="9"/>
  <c r="G504" i="9"/>
  <c r="E504" i="9"/>
  <c r="G503" i="9"/>
  <c r="E503" i="9"/>
  <c r="G502" i="9"/>
  <c r="E502" i="9"/>
  <c r="G501" i="9"/>
  <c r="E501" i="9"/>
  <c r="G500" i="9"/>
  <c r="E500" i="9"/>
  <c r="G499" i="9"/>
  <c r="E499" i="9"/>
  <c r="G498" i="9"/>
  <c r="E498" i="9"/>
  <c r="G497" i="9"/>
  <c r="E497" i="9"/>
  <c r="G496" i="9"/>
  <c r="E496" i="9"/>
  <c r="G495" i="9"/>
  <c r="E495" i="9"/>
  <c r="G494" i="9"/>
  <c r="E494" i="9"/>
  <c r="G493" i="9"/>
  <c r="E493" i="9"/>
  <c r="G492" i="9"/>
  <c r="E492" i="9"/>
  <c r="G491" i="9"/>
  <c r="E491" i="9"/>
  <c r="G490" i="9"/>
  <c r="E490" i="9"/>
  <c r="G489" i="9"/>
  <c r="E489" i="9"/>
  <c r="G488" i="9"/>
  <c r="E488" i="9"/>
  <c r="G487" i="9"/>
  <c r="E487" i="9"/>
  <c r="G486" i="9"/>
  <c r="E486" i="9"/>
  <c r="G485" i="9"/>
  <c r="E485" i="9"/>
  <c r="G484" i="9"/>
  <c r="E484" i="9"/>
  <c r="G483" i="9"/>
  <c r="E483" i="9"/>
  <c r="G482" i="9"/>
  <c r="E482" i="9"/>
  <c r="G481" i="9"/>
  <c r="E481" i="9"/>
  <c r="G480" i="9"/>
  <c r="E480" i="9"/>
  <c r="G479" i="9"/>
  <c r="E479" i="9"/>
  <c r="G478" i="9"/>
  <c r="E478" i="9"/>
  <c r="G477" i="9"/>
  <c r="E477" i="9"/>
  <c r="G476" i="9"/>
  <c r="E476" i="9"/>
  <c r="G475" i="9"/>
  <c r="E475" i="9"/>
  <c r="G474" i="9"/>
  <c r="E474" i="9"/>
  <c r="G473" i="9"/>
  <c r="E473" i="9"/>
  <c r="G472" i="9"/>
  <c r="E472" i="9"/>
  <c r="G471" i="9"/>
  <c r="E471" i="9"/>
  <c r="G470" i="9"/>
  <c r="E470" i="9"/>
  <c r="G469" i="9"/>
  <c r="E469" i="9"/>
  <c r="G468" i="9"/>
  <c r="E468" i="9"/>
  <c r="G467" i="9"/>
  <c r="E467" i="9"/>
  <c r="G466" i="9"/>
  <c r="E466" i="9"/>
  <c r="G465" i="9"/>
  <c r="E465" i="9"/>
  <c r="G464" i="9"/>
  <c r="E464" i="9"/>
  <c r="G463" i="9"/>
  <c r="E463" i="9"/>
  <c r="G462" i="9"/>
  <c r="E462" i="9"/>
  <c r="G461" i="9"/>
  <c r="E461" i="9"/>
  <c r="G460" i="9"/>
  <c r="E460" i="9"/>
  <c r="G459" i="9"/>
  <c r="E459" i="9"/>
  <c r="G458" i="9"/>
  <c r="E458" i="9"/>
  <c r="G457" i="9"/>
  <c r="E457" i="9"/>
  <c r="G456" i="9"/>
  <c r="E456" i="9"/>
  <c r="G455" i="9"/>
  <c r="E455" i="9"/>
  <c r="G454" i="9"/>
  <c r="E454" i="9"/>
  <c r="G453" i="9"/>
  <c r="E453" i="9"/>
  <c r="G452" i="9"/>
  <c r="E452" i="9"/>
  <c r="G451" i="9"/>
  <c r="E451" i="9"/>
  <c r="G450" i="9"/>
  <c r="E450" i="9"/>
  <c r="G449" i="9"/>
  <c r="E449" i="9"/>
  <c r="G448" i="9"/>
  <c r="E448" i="9"/>
  <c r="G447" i="9"/>
  <c r="E447" i="9"/>
  <c r="G446" i="9"/>
  <c r="E446" i="9"/>
  <c r="G445" i="9"/>
  <c r="E445" i="9"/>
  <c r="G444" i="9"/>
  <c r="E444" i="9"/>
  <c r="G443" i="9"/>
  <c r="E443" i="9"/>
  <c r="G442" i="9"/>
  <c r="E442" i="9"/>
  <c r="G441" i="9"/>
  <c r="E441" i="9"/>
  <c r="G440" i="9"/>
  <c r="E440" i="9"/>
  <c r="G439" i="9"/>
  <c r="E439" i="9"/>
  <c r="G438" i="9"/>
  <c r="E438" i="9"/>
  <c r="G437" i="9"/>
  <c r="E437" i="9"/>
  <c r="G436" i="9"/>
  <c r="E436" i="9"/>
  <c r="G435" i="9"/>
  <c r="E435" i="9"/>
  <c r="G434" i="9"/>
  <c r="E434" i="9"/>
  <c r="G433" i="9"/>
  <c r="E433" i="9"/>
  <c r="G432" i="9"/>
  <c r="E432" i="9"/>
  <c r="G431" i="9"/>
  <c r="E431" i="9"/>
  <c r="G430" i="9"/>
  <c r="E430" i="9"/>
  <c r="G429" i="9"/>
  <c r="E429" i="9"/>
  <c r="G428" i="9"/>
  <c r="E428" i="9"/>
  <c r="G427" i="9"/>
  <c r="E427" i="9"/>
  <c r="G426" i="9"/>
  <c r="E426" i="9"/>
  <c r="G425" i="9"/>
  <c r="E425" i="9"/>
  <c r="G424" i="9"/>
  <c r="E424" i="9"/>
  <c r="G423" i="9"/>
  <c r="E423" i="9"/>
  <c r="G422" i="9"/>
  <c r="E422" i="9"/>
  <c r="G421" i="9"/>
  <c r="E421" i="9"/>
  <c r="G420" i="9"/>
  <c r="E420" i="9"/>
  <c r="G419" i="9"/>
  <c r="E419" i="9"/>
  <c r="G418" i="9"/>
  <c r="E418" i="9"/>
  <c r="G417" i="9"/>
  <c r="E417" i="9"/>
  <c r="G416" i="9"/>
  <c r="E416" i="9"/>
  <c r="G415" i="9"/>
  <c r="E415" i="9"/>
  <c r="G414" i="9"/>
  <c r="E414" i="9"/>
  <c r="G413" i="9"/>
  <c r="E413" i="9"/>
  <c r="G412" i="9"/>
  <c r="E412" i="9"/>
  <c r="G411" i="9"/>
  <c r="E411" i="9"/>
  <c r="G410" i="9"/>
  <c r="E410" i="9"/>
  <c r="G409" i="9"/>
  <c r="E409" i="9"/>
  <c r="G408" i="9"/>
  <c r="E408" i="9"/>
  <c r="G407" i="9"/>
  <c r="E407" i="9"/>
  <c r="G406" i="9"/>
  <c r="E406" i="9"/>
  <c r="G405" i="9"/>
  <c r="E405" i="9"/>
  <c r="G404" i="9"/>
  <c r="E404" i="9"/>
  <c r="G403" i="9"/>
  <c r="E403" i="9"/>
  <c r="G402" i="9"/>
  <c r="E402" i="9"/>
  <c r="G401" i="9"/>
  <c r="E401" i="9"/>
  <c r="G400" i="9"/>
  <c r="E400" i="9"/>
  <c r="G399" i="9"/>
  <c r="E399" i="9"/>
  <c r="G398" i="9"/>
  <c r="E398" i="9"/>
  <c r="G397" i="9"/>
  <c r="E397" i="9"/>
  <c r="G396" i="9"/>
  <c r="E396" i="9"/>
  <c r="G395" i="9"/>
  <c r="E395" i="9"/>
  <c r="G394" i="9"/>
  <c r="E394" i="9"/>
  <c r="G393" i="9"/>
  <c r="E393" i="9"/>
  <c r="G392" i="9"/>
  <c r="E392" i="9"/>
  <c r="G391" i="9"/>
  <c r="E391" i="9"/>
  <c r="G390" i="9"/>
  <c r="E390" i="9"/>
  <c r="G389" i="9"/>
  <c r="E389" i="9"/>
  <c r="G388" i="9"/>
  <c r="E388" i="9"/>
  <c r="G387" i="9"/>
  <c r="E387" i="9"/>
  <c r="G386" i="9"/>
  <c r="E386" i="9"/>
  <c r="G385" i="9"/>
  <c r="E385" i="9"/>
  <c r="G384" i="9"/>
  <c r="E384" i="9"/>
  <c r="G383" i="9"/>
  <c r="E383" i="9"/>
  <c r="G382" i="9"/>
  <c r="E382" i="9"/>
  <c r="G381" i="9"/>
  <c r="E381" i="9"/>
  <c r="G380" i="9"/>
  <c r="E380" i="9"/>
  <c r="G379" i="9"/>
  <c r="E379" i="9"/>
  <c r="G378" i="9"/>
  <c r="E378" i="9"/>
  <c r="G377" i="9"/>
  <c r="E377" i="9"/>
  <c r="G376" i="9"/>
  <c r="E376" i="9"/>
  <c r="G375" i="9"/>
  <c r="E375" i="9"/>
  <c r="G374" i="9"/>
  <c r="E374" i="9"/>
  <c r="G373" i="9"/>
  <c r="E373" i="9"/>
  <c r="G372" i="9"/>
  <c r="E372" i="9"/>
  <c r="G371" i="9"/>
  <c r="E371" i="9"/>
  <c r="G370" i="9"/>
  <c r="E370" i="9"/>
  <c r="G369" i="9"/>
  <c r="E369" i="9"/>
  <c r="G368" i="9"/>
  <c r="E368" i="9"/>
  <c r="G367" i="9"/>
  <c r="E367" i="9"/>
  <c r="G366" i="9"/>
  <c r="E366" i="9"/>
  <c r="G365" i="9"/>
  <c r="E365" i="9"/>
  <c r="G364" i="9"/>
  <c r="E364" i="9"/>
  <c r="G363" i="9"/>
  <c r="E363" i="9"/>
  <c r="G362" i="9"/>
  <c r="E362" i="9"/>
  <c r="G361" i="9"/>
  <c r="E361" i="9"/>
  <c r="G360" i="9"/>
  <c r="E360" i="9"/>
  <c r="G359" i="9"/>
  <c r="E359" i="9"/>
  <c r="G358" i="9"/>
  <c r="E358" i="9"/>
  <c r="G357" i="9"/>
  <c r="E357" i="9"/>
  <c r="G356" i="9"/>
  <c r="E356" i="9"/>
  <c r="G355" i="9"/>
  <c r="E355" i="9"/>
  <c r="G354" i="9"/>
  <c r="E354" i="9"/>
  <c r="G353" i="9"/>
  <c r="E353" i="9"/>
  <c r="G352" i="9"/>
  <c r="E352" i="9"/>
  <c r="G351" i="9"/>
  <c r="E351" i="9"/>
  <c r="G350" i="9"/>
  <c r="E350" i="9"/>
  <c r="G349" i="9"/>
  <c r="E349" i="9"/>
  <c r="G348" i="9"/>
  <c r="E348" i="9"/>
  <c r="G347" i="9"/>
  <c r="E347" i="9"/>
  <c r="G346" i="9"/>
  <c r="E346" i="9"/>
  <c r="G345" i="9"/>
  <c r="E345" i="9"/>
  <c r="G344" i="9"/>
  <c r="E344" i="9"/>
  <c r="G343" i="9"/>
  <c r="E343" i="9"/>
  <c r="G342" i="9"/>
  <c r="E342" i="9"/>
  <c r="G341" i="9"/>
  <c r="E341" i="9"/>
  <c r="G340" i="9"/>
  <c r="E340" i="9"/>
  <c r="G339" i="9"/>
  <c r="E339" i="9"/>
  <c r="G338" i="9"/>
  <c r="E338" i="9"/>
  <c r="G337" i="9"/>
  <c r="E337" i="9"/>
  <c r="G336" i="9"/>
  <c r="E336" i="9"/>
  <c r="G335" i="9"/>
  <c r="E335" i="9"/>
  <c r="G334" i="9"/>
  <c r="E334" i="9"/>
  <c r="G333" i="9"/>
  <c r="E333" i="9"/>
  <c r="G332" i="9"/>
  <c r="E332" i="9"/>
  <c r="G331" i="9"/>
  <c r="E331" i="9"/>
  <c r="G330" i="9"/>
  <c r="E330" i="9"/>
  <c r="G329" i="9"/>
  <c r="E329" i="9"/>
  <c r="G328" i="9"/>
  <c r="E328" i="9"/>
  <c r="G327" i="9"/>
  <c r="E327" i="9"/>
  <c r="G326" i="9"/>
  <c r="E326" i="9"/>
  <c r="G325" i="9"/>
  <c r="E325" i="9"/>
  <c r="G324" i="9"/>
  <c r="E324" i="9"/>
  <c r="G323" i="9"/>
  <c r="E323" i="9"/>
  <c r="G322" i="9"/>
  <c r="E322" i="9"/>
  <c r="G321" i="9"/>
  <c r="E321" i="9"/>
  <c r="G320" i="9"/>
  <c r="E320" i="9"/>
  <c r="G319" i="9"/>
  <c r="E319" i="9"/>
  <c r="G318" i="9"/>
  <c r="E318" i="9"/>
  <c r="G317" i="9"/>
  <c r="E317" i="9"/>
  <c r="G316" i="9"/>
  <c r="E316" i="9"/>
  <c r="G315" i="9"/>
  <c r="E315" i="9"/>
  <c r="G314" i="9"/>
  <c r="E314" i="9"/>
  <c r="G313" i="9"/>
  <c r="E313" i="9"/>
  <c r="G312" i="9"/>
  <c r="E312" i="9"/>
  <c r="G311" i="9"/>
  <c r="E311" i="9"/>
  <c r="G310" i="9"/>
  <c r="E310" i="9"/>
  <c r="G309" i="9"/>
  <c r="E309" i="9"/>
  <c r="G308" i="9"/>
  <c r="E308" i="9"/>
  <c r="G307" i="9"/>
  <c r="E307" i="9"/>
  <c r="G306" i="9"/>
  <c r="E306" i="9"/>
  <c r="G305" i="9"/>
  <c r="E305" i="9"/>
  <c r="G304" i="9"/>
  <c r="E304" i="9"/>
  <c r="G303" i="9"/>
  <c r="E303" i="9"/>
  <c r="G302" i="9"/>
  <c r="E302" i="9"/>
  <c r="G301" i="9"/>
  <c r="E301" i="9"/>
  <c r="G300" i="9"/>
  <c r="E300" i="9"/>
  <c r="G299" i="9"/>
  <c r="E299" i="9"/>
  <c r="G298" i="9"/>
  <c r="E298" i="9"/>
  <c r="G297" i="9"/>
  <c r="E297" i="9"/>
  <c r="G296" i="9"/>
  <c r="E296" i="9"/>
  <c r="G295" i="9"/>
  <c r="E295" i="9"/>
  <c r="G294" i="9"/>
  <c r="E294" i="9"/>
  <c r="G293" i="9"/>
  <c r="E293" i="9"/>
  <c r="G292" i="9"/>
  <c r="E292" i="9"/>
  <c r="G291" i="9"/>
  <c r="E291" i="9"/>
  <c r="G290" i="9"/>
  <c r="E290" i="9"/>
  <c r="G289" i="9"/>
  <c r="E289" i="9"/>
  <c r="G288" i="9"/>
  <c r="E288" i="9"/>
  <c r="G287" i="9"/>
  <c r="E287" i="9"/>
  <c r="G286" i="9"/>
  <c r="E286" i="9"/>
  <c r="G285" i="9"/>
  <c r="E285" i="9"/>
  <c r="G284" i="9"/>
  <c r="E284" i="9"/>
  <c r="G283" i="9"/>
  <c r="E283" i="9"/>
  <c r="G282" i="9"/>
  <c r="E282" i="9"/>
  <c r="G281" i="9"/>
  <c r="E281" i="9"/>
  <c r="G280" i="9"/>
  <c r="E280" i="9"/>
  <c r="G279" i="9"/>
  <c r="E279" i="9"/>
  <c r="G278" i="9"/>
  <c r="E278" i="9"/>
  <c r="G277" i="9"/>
  <c r="E277" i="9"/>
  <c r="G276" i="9"/>
  <c r="E276" i="9"/>
  <c r="G275" i="9"/>
  <c r="E275" i="9"/>
  <c r="G274" i="9"/>
  <c r="E274" i="9"/>
  <c r="G273" i="9"/>
  <c r="E273" i="9"/>
  <c r="G272" i="9"/>
  <c r="E272" i="9"/>
  <c r="G271" i="9"/>
  <c r="E271" i="9"/>
  <c r="G270" i="9"/>
  <c r="E270" i="9"/>
  <c r="G269" i="9"/>
  <c r="E269" i="9"/>
  <c r="G268" i="9"/>
  <c r="E268" i="9"/>
  <c r="G267" i="9"/>
  <c r="E267" i="9"/>
  <c r="G266" i="9"/>
  <c r="E266" i="9"/>
  <c r="G265" i="9"/>
  <c r="E265" i="9"/>
  <c r="G264" i="9"/>
  <c r="E264" i="9"/>
  <c r="G263" i="9"/>
  <c r="E263" i="9"/>
  <c r="G262" i="9"/>
  <c r="E262" i="9"/>
  <c r="G261" i="9"/>
  <c r="E261" i="9"/>
  <c r="G260" i="9"/>
  <c r="E260" i="9"/>
  <c r="G259" i="9"/>
  <c r="E259" i="9"/>
  <c r="G258" i="9"/>
  <c r="E258" i="9"/>
  <c r="G257" i="9"/>
  <c r="E257" i="9"/>
  <c r="G256" i="9"/>
  <c r="E256" i="9"/>
  <c r="G255" i="9"/>
  <c r="E255" i="9"/>
  <c r="G254" i="9"/>
  <c r="E254" i="9"/>
  <c r="G253" i="9"/>
  <c r="E253" i="9"/>
  <c r="G252" i="9"/>
  <c r="E252" i="9"/>
  <c r="G251" i="9"/>
  <c r="E251" i="9"/>
  <c r="G250" i="9"/>
  <c r="E250" i="9"/>
  <c r="G249" i="9"/>
  <c r="E249" i="9"/>
  <c r="G248" i="9"/>
  <c r="E248" i="9"/>
  <c r="G247" i="9"/>
  <c r="E247" i="9"/>
  <c r="G246" i="9"/>
  <c r="E246" i="9"/>
  <c r="G245" i="9"/>
  <c r="E245" i="9"/>
  <c r="G244" i="9"/>
  <c r="E244" i="9"/>
  <c r="G243" i="9"/>
  <c r="E243" i="9"/>
  <c r="G242" i="9"/>
  <c r="E242" i="9"/>
  <c r="G241" i="9"/>
  <c r="E241" i="9"/>
  <c r="G240" i="9"/>
  <c r="E240" i="9"/>
  <c r="G239" i="9"/>
  <c r="E239" i="9"/>
  <c r="G238" i="9"/>
  <c r="E238" i="9"/>
  <c r="G237" i="9"/>
  <c r="E237" i="9"/>
  <c r="G236" i="9"/>
  <c r="E236" i="9"/>
  <c r="G235" i="9"/>
  <c r="E235" i="9"/>
  <c r="G234" i="9"/>
  <c r="E234" i="9"/>
  <c r="G233" i="9"/>
  <c r="E233" i="9"/>
  <c r="G232" i="9"/>
  <c r="E232" i="9"/>
  <c r="G231" i="9"/>
  <c r="E231" i="9"/>
  <c r="G230" i="9"/>
  <c r="E230" i="9"/>
  <c r="G229" i="9"/>
  <c r="E229" i="9"/>
  <c r="G228" i="9"/>
  <c r="E228" i="9"/>
  <c r="G227" i="9"/>
  <c r="E227" i="9"/>
  <c r="G226" i="9"/>
  <c r="E226" i="9"/>
  <c r="G225" i="9"/>
  <c r="E225" i="9"/>
  <c r="G224" i="9"/>
  <c r="E224" i="9"/>
  <c r="G223" i="9"/>
  <c r="E223" i="9"/>
  <c r="G222" i="9"/>
  <c r="E222" i="9"/>
  <c r="G221" i="9"/>
  <c r="E221" i="9"/>
  <c r="G220" i="9"/>
  <c r="E220" i="9"/>
  <c r="G219" i="9"/>
  <c r="E219" i="9"/>
  <c r="G218" i="9"/>
  <c r="E218" i="9"/>
  <c r="G217" i="9"/>
  <c r="E217" i="9"/>
  <c r="G216" i="9"/>
  <c r="E216" i="9"/>
  <c r="G215" i="9"/>
  <c r="E215" i="9"/>
  <c r="G214" i="9"/>
  <c r="E214" i="9"/>
  <c r="G213" i="9"/>
  <c r="E213" i="9"/>
  <c r="G212" i="9"/>
  <c r="E212" i="9"/>
  <c r="G211" i="9"/>
  <c r="E211" i="9"/>
  <c r="G210" i="9"/>
  <c r="E210" i="9"/>
  <c r="G209" i="9"/>
  <c r="E209" i="9"/>
  <c r="G208" i="9"/>
  <c r="E208" i="9"/>
  <c r="G207" i="9"/>
  <c r="E207" i="9"/>
  <c r="G206" i="9"/>
  <c r="E206" i="9"/>
  <c r="G205" i="9"/>
  <c r="E205" i="9"/>
  <c r="G204" i="9"/>
  <c r="E204" i="9"/>
  <c r="G203" i="9"/>
  <c r="E203" i="9"/>
  <c r="G202" i="9"/>
  <c r="E202" i="9"/>
  <c r="G201" i="9"/>
  <c r="E201" i="9"/>
  <c r="G200" i="9"/>
  <c r="E200" i="9"/>
  <c r="G199" i="9"/>
  <c r="E199" i="9"/>
  <c r="G198" i="9"/>
  <c r="E198" i="9"/>
  <c r="G197" i="9"/>
  <c r="E197" i="9"/>
  <c r="G196" i="9"/>
  <c r="E196" i="9"/>
  <c r="G195" i="9"/>
  <c r="E195" i="9"/>
  <c r="G194" i="9"/>
  <c r="E194" i="9"/>
  <c r="G193" i="9"/>
  <c r="E193" i="9"/>
  <c r="G192" i="9"/>
  <c r="E192" i="9"/>
  <c r="G191" i="9"/>
  <c r="E191" i="9"/>
  <c r="G190" i="9"/>
  <c r="E190" i="9"/>
  <c r="G189" i="9"/>
  <c r="E189" i="9"/>
  <c r="G188" i="9"/>
  <c r="E188" i="9"/>
  <c r="G187" i="9"/>
  <c r="E187" i="9"/>
  <c r="G186" i="9"/>
  <c r="E186" i="9"/>
  <c r="G185" i="9"/>
  <c r="E185" i="9"/>
  <c r="G184" i="9"/>
  <c r="E184" i="9"/>
  <c r="G183" i="9"/>
  <c r="E183" i="9"/>
  <c r="G182" i="9"/>
  <c r="E182" i="9"/>
  <c r="G181" i="9"/>
  <c r="E181" i="9"/>
  <c r="G180" i="9"/>
  <c r="E180" i="9"/>
  <c r="G179" i="9"/>
  <c r="E179" i="9"/>
  <c r="G178" i="9"/>
  <c r="E178" i="9"/>
  <c r="G177" i="9"/>
  <c r="E177" i="9"/>
  <c r="G176" i="9"/>
  <c r="E176" i="9"/>
  <c r="G175" i="9"/>
  <c r="E175" i="9"/>
  <c r="G174" i="9"/>
  <c r="E174" i="9"/>
  <c r="G173" i="9"/>
  <c r="E173" i="9"/>
  <c r="G172" i="9"/>
  <c r="E172" i="9"/>
  <c r="G171" i="9"/>
  <c r="E171" i="9"/>
  <c r="G170" i="9"/>
  <c r="E170" i="9"/>
  <c r="G169" i="9"/>
  <c r="E169" i="9"/>
  <c r="G168" i="9"/>
  <c r="E168" i="9"/>
  <c r="G167" i="9"/>
  <c r="E167" i="9"/>
  <c r="G166" i="9"/>
  <c r="E166" i="9"/>
  <c r="G165" i="9"/>
  <c r="E165" i="9"/>
  <c r="G164" i="9"/>
  <c r="E164" i="9"/>
  <c r="G163" i="9"/>
  <c r="E163" i="9"/>
  <c r="G162" i="9"/>
  <c r="E162" i="9"/>
  <c r="G161" i="9"/>
  <c r="E161" i="9"/>
  <c r="G160" i="9"/>
  <c r="E160" i="9"/>
  <c r="G159" i="9"/>
  <c r="E159" i="9"/>
  <c r="G158" i="9"/>
  <c r="E158" i="9"/>
  <c r="G157" i="9"/>
  <c r="E157" i="9"/>
  <c r="G156" i="9"/>
  <c r="E156" i="9"/>
  <c r="G155" i="9"/>
  <c r="E155" i="9"/>
  <c r="G154" i="9"/>
  <c r="E154" i="9"/>
  <c r="G153" i="9"/>
  <c r="E153" i="9"/>
  <c r="G152" i="9"/>
  <c r="E152" i="9"/>
  <c r="G151" i="9"/>
  <c r="E151" i="9"/>
  <c r="G150" i="9"/>
  <c r="E150" i="9"/>
  <c r="G149" i="9"/>
  <c r="E149" i="9"/>
  <c r="G148" i="9"/>
  <c r="E148" i="9"/>
  <c r="G147" i="9"/>
  <c r="E147" i="9"/>
  <c r="G146" i="9"/>
  <c r="E146" i="9"/>
  <c r="G145" i="9"/>
  <c r="E145" i="9"/>
  <c r="G144" i="9"/>
  <c r="E144" i="9"/>
  <c r="G143" i="9"/>
  <c r="E143" i="9"/>
  <c r="G142" i="9"/>
  <c r="E142" i="9"/>
  <c r="G141" i="9"/>
  <c r="E141" i="9"/>
  <c r="G140" i="9"/>
  <c r="E140" i="9"/>
  <c r="G139" i="9"/>
  <c r="E139" i="9"/>
  <c r="G138" i="9"/>
  <c r="E138" i="9"/>
  <c r="G137" i="9"/>
  <c r="E137" i="9"/>
  <c r="G136" i="9"/>
  <c r="E136" i="9"/>
  <c r="G135" i="9"/>
  <c r="E135" i="9"/>
  <c r="G134" i="9"/>
  <c r="E134" i="9"/>
  <c r="G133" i="9"/>
  <c r="E133" i="9"/>
  <c r="G132" i="9"/>
  <c r="E132" i="9"/>
  <c r="G131" i="9"/>
  <c r="E131" i="9"/>
  <c r="G130" i="9"/>
  <c r="E130" i="9"/>
  <c r="G129" i="9"/>
  <c r="E129" i="9"/>
  <c r="G128" i="9"/>
  <c r="E128" i="9"/>
  <c r="G127" i="9"/>
  <c r="E127" i="9"/>
  <c r="G126" i="9"/>
  <c r="E126" i="9"/>
  <c r="G125" i="9"/>
  <c r="E125" i="9"/>
  <c r="G124" i="9"/>
  <c r="E124" i="9"/>
  <c r="G123" i="9"/>
  <c r="E123" i="9"/>
  <c r="G122" i="9"/>
  <c r="E122" i="9"/>
  <c r="G121" i="9"/>
  <c r="E121" i="9"/>
  <c r="G120" i="9"/>
  <c r="E120" i="9"/>
  <c r="G119" i="9"/>
  <c r="E119" i="9"/>
  <c r="G118" i="9"/>
  <c r="E118" i="9"/>
  <c r="G117" i="9"/>
  <c r="E117" i="9"/>
  <c r="G116" i="9"/>
  <c r="E116" i="9"/>
  <c r="G115" i="9"/>
  <c r="E115" i="9"/>
  <c r="G114" i="9"/>
  <c r="E114" i="9"/>
  <c r="G113" i="9"/>
  <c r="E113" i="9"/>
  <c r="G112" i="9"/>
  <c r="E112" i="9"/>
  <c r="G111" i="9"/>
  <c r="E111" i="9"/>
  <c r="G110" i="9"/>
  <c r="E110" i="9"/>
  <c r="G109" i="9"/>
  <c r="E109" i="9"/>
  <c r="G108" i="9"/>
  <c r="E108" i="9"/>
  <c r="G107" i="9"/>
  <c r="E107" i="9"/>
  <c r="G106" i="9"/>
  <c r="E106" i="9"/>
  <c r="G105" i="9"/>
  <c r="E105" i="9"/>
  <c r="G104" i="9"/>
  <c r="E104" i="9"/>
  <c r="G103" i="9"/>
  <c r="E103" i="9"/>
  <c r="G102" i="9"/>
  <c r="E102" i="9"/>
  <c r="G101" i="9"/>
  <c r="E101" i="9"/>
  <c r="G100" i="9"/>
  <c r="E100" i="9"/>
  <c r="G99" i="9"/>
  <c r="E99" i="9"/>
  <c r="G98" i="9"/>
  <c r="E98" i="9"/>
  <c r="G97" i="9"/>
  <c r="E97" i="9"/>
  <c r="G96" i="9"/>
  <c r="E96" i="9"/>
  <c r="G95" i="9"/>
  <c r="E95" i="9"/>
  <c r="G94" i="9"/>
  <c r="E94" i="9"/>
  <c r="G93" i="9"/>
  <c r="E93" i="9"/>
  <c r="G92" i="9"/>
  <c r="E92" i="9"/>
  <c r="G91" i="9"/>
  <c r="E91" i="9"/>
  <c r="G90" i="9"/>
  <c r="E90" i="9"/>
  <c r="G89" i="9"/>
  <c r="E89" i="9"/>
  <c r="G88" i="9"/>
  <c r="E88" i="9"/>
  <c r="G87" i="9"/>
  <c r="E87" i="9"/>
  <c r="G86" i="9"/>
  <c r="E86" i="9"/>
  <c r="G85" i="9"/>
  <c r="E85" i="9"/>
  <c r="G84" i="9"/>
  <c r="E84" i="9"/>
  <c r="G83" i="9"/>
  <c r="E83" i="9"/>
  <c r="G82" i="9"/>
  <c r="E82" i="9"/>
  <c r="G81" i="9"/>
  <c r="E81" i="9"/>
  <c r="G80" i="9"/>
  <c r="E80" i="9"/>
  <c r="G79" i="9"/>
  <c r="E79" i="9"/>
  <c r="G78" i="9"/>
  <c r="E78" i="9"/>
  <c r="G77" i="9"/>
  <c r="E77" i="9"/>
  <c r="G76" i="9"/>
  <c r="E76" i="9"/>
  <c r="G75" i="9"/>
  <c r="E75" i="9"/>
  <c r="G74" i="9"/>
  <c r="E74" i="9"/>
  <c r="G73" i="9"/>
  <c r="E73" i="9"/>
  <c r="G72" i="9"/>
  <c r="E72" i="9"/>
  <c r="G71" i="9"/>
  <c r="E71" i="9"/>
  <c r="G70" i="9"/>
  <c r="E70" i="9"/>
  <c r="G69" i="9"/>
  <c r="E69" i="9"/>
  <c r="G68" i="9"/>
  <c r="E68" i="9"/>
  <c r="G67" i="9"/>
  <c r="E67" i="9"/>
  <c r="G66" i="9"/>
  <c r="E66" i="9"/>
  <c r="G65" i="9"/>
  <c r="E65" i="9"/>
  <c r="G64" i="9"/>
  <c r="E64" i="9"/>
  <c r="G63" i="9"/>
  <c r="E63" i="9"/>
  <c r="G62" i="9"/>
  <c r="E62" i="9"/>
  <c r="G61" i="9"/>
  <c r="E61" i="9"/>
  <c r="G60" i="9"/>
  <c r="E60" i="9"/>
  <c r="G59" i="9"/>
  <c r="E59" i="9"/>
  <c r="G58" i="9"/>
  <c r="E58" i="9"/>
  <c r="G57" i="9"/>
  <c r="E57" i="9"/>
  <c r="G56" i="9"/>
  <c r="E56" i="9"/>
  <c r="G55" i="9"/>
  <c r="E55" i="9"/>
  <c r="G54" i="9"/>
  <c r="E54" i="9"/>
  <c r="G53" i="9"/>
  <c r="E53" i="9"/>
  <c r="G52" i="9"/>
  <c r="E52" i="9"/>
  <c r="G51" i="9"/>
  <c r="E51" i="9"/>
  <c r="G50" i="9"/>
  <c r="E50" i="9"/>
  <c r="G49" i="9"/>
  <c r="E49" i="9"/>
  <c r="G48" i="9"/>
  <c r="E48" i="9"/>
  <c r="G47" i="9"/>
  <c r="E47" i="9"/>
  <c r="G46" i="9"/>
  <c r="E46" i="9"/>
  <c r="G45" i="9"/>
  <c r="E45" i="9"/>
  <c r="G44" i="9"/>
  <c r="E44" i="9"/>
  <c r="G43" i="9"/>
  <c r="E43" i="9"/>
  <c r="G42" i="9"/>
  <c r="E42" i="9"/>
  <c r="G41" i="9"/>
  <c r="E41" i="9"/>
  <c r="G40" i="9"/>
  <c r="E40" i="9"/>
  <c r="G39" i="9"/>
  <c r="E39" i="9"/>
  <c r="G38" i="9"/>
  <c r="E38" i="9"/>
  <c r="G37" i="9"/>
  <c r="E37" i="9"/>
  <c r="G36" i="9"/>
  <c r="E36" i="9"/>
  <c r="G35" i="9"/>
  <c r="E35" i="9"/>
  <c r="G34" i="9"/>
  <c r="E34" i="9"/>
  <c r="G33" i="9"/>
  <c r="E33" i="9"/>
  <c r="G32" i="9"/>
  <c r="E32" i="9"/>
  <c r="G31" i="9"/>
  <c r="E31" i="9"/>
  <c r="G30" i="9"/>
  <c r="E30" i="9"/>
  <c r="G29" i="9"/>
  <c r="E29" i="9"/>
  <c r="G28" i="9"/>
  <c r="E28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G19" i="9"/>
  <c r="E19" i="9"/>
  <c r="G18" i="9"/>
  <c r="E18" i="9"/>
  <c r="G17" i="9"/>
  <c r="E17" i="9"/>
  <c r="G16" i="9"/>
  <c r="E16" i="9"/>
  <c r="G15" i="9"/>
  <c r="E15" i="9"/>
  <c r="G14" i="9"/>
  <c r="E14" i="9"/>
  <c r="G13" i="9"/>
  <c r="E13" i="9"/>
  <c r="G12" i="9"/>
  <c r="E12" i="9"/>
  <c r="G11" i="9"/>
  <c r="E11" i="9"/>
  <c r="G10" i="9"/>
  <c r="E10" i="9"/>
  <c r="G9" i="9"/>
  <c r="E9" i="9"/>
  <c r="G8" i="9"/>
  <c r="E8" i="9"/>
  <c r="G7" i="9"/>
  <c r="E7" i="9"/>
  <c r="G6" i="9"/>
  <c r="E6" i="9"/>
  <c r="G5" i="9"/>
  <c r="G4" i="9"/>
  <c r="M42" i="8"/>
  <c r="G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C2" i="8"/>
  <c r="F2002" i="7"/>
  <c r="G2000" i="7"/>
  <c r="E2000" i="7"/>
  <c r="G1999" i="7"/>
  <c r="E1999" i="7"/>
  <c r="G1998" i="7"/>
  <c r="E1998" i="7"/>
  <c r="G1997" i="7"/>
  <c r="E1997" i="7"/>
  <c r="G1996" i="7"/>
  <c r="E1996" i="7"/>
  <c r="G1995" i="7"/>
  <c r="E1995" i="7"/>
  <c r="G1994" i="7"/>
  <c r="E1994" i="7"/>
  <c r="G1993" i="7"/>
  <c r="E1993" i="7"/>
  <c r="G1992" i="7"/>
  <c r="E1992" i="7"/>
  <c r="G1991" i="7"/>
  <c r="E1991" i="7"/>
  <c r="G1990" i="7"/>
  <c r="E1990" i="7"/>
  <c r="G1989" i="7"/>
  <c r="E1989" i="7"/>
  <c r="G1988" i="7"/>
  <c r="E1988" i="7"/>
  <c r="G1987" i="7"/>
  <c r="E1987" i="7"/>
  <c r="G1986" i="7"/>
  <c r="E1986" i="7"/>
  <c r="G1985" i="7"/>
  <c r="E1985" i="7"/>
  <c r="G1984" i="7"/>
  <c r="E1984" i="7"/>
  <c r="G1983" i="7"/>
  <c r="E1983" i="7"/>
  <c r="G1982" i="7"/>
  <c r="E1982" i="7"/>
  <c r="G1981" i="7"/>
  <c r="E1981" i="7"/>
  <c r="G1980" i="7"/>
  <c r="E1980" i="7"/>
  <c r="G1979" i="7"/>
  <c r="E1979" i="7"/>
  <c r="G1978" i="7"/>
  <c r="E1978" i="7"/>
  <c r="G1977" i="7"/>
  <c r="E1977" i="7"/>
  <c r="G1976" i="7"/>
  <c r="E1976" i="7"/>
  <c r="G1975" i="7"/>
  <c r="E1975" i="7"/>
  <c r="G1974" i="7"/>
  <c r="E1974" i="7"/>
  <c r="G1973" i="7"/>
  <c r="E1973" i="7"/>
  <c r="G1972" i="7"/>
  <c r="E1972" i="7"/>
  <c r="G1971" i="7"/>
  <c r="E1971" i="7"/>
  <c r="G1970" i="7"/>
  <c r="E1970" i="7"/>
  <c r="G1969" i="7"/>
  <c r="E1969" i="7"/>
  <c r="G1968" i="7"/>
  <c r="E1968" i="7"/>
  <c r="G1967" i="7"/>
  <c r="E1967" i="7"/>
  <c r="G1966" i="7"/>
  <c r="E1966" i="7"/>
  <c r="G1965" i="7"/>
  <c r="E1965" i="7"/>
  <c r="G1964" i="7"/>
  <c r="E1964" i="7"/>
  <c r="G1963" i="7"/>
  <c r="E1963" i="7"/>
  <c r="G1962" i="7"/>
  <c r="E1962" i="7"/>
  <c r="G1961" i="7"/>
  <c r="E1961" i="7"/>
  <c r="G1960" i="7"/>
  <c r="E1960" i="7"/>
  <c r="G1959" i="7"/>
  <c r="E1959" i="7"/>
  <c r="G1958" i="7"/>
  <c r="E1958" i="7"/>
  <c r="G1957" i="7"/>
  <c r="E1957" i="7"/>
  <c r="G1956" i="7"/>
  <c r="E1956" i="7"/>
  <c r="G1955" i="7"/>
  <c r="E1955" i="7"/>
  <c r="G1954" i="7"/>
  <c r="E1954" i="7"/>
  <c r="G1953" i="7"/>
  <c r="E1953" i="7"/>
  <c r="G1952" i="7"/>
  <c r="E1952" i="7"/>
  <c r="G1951" i="7"/>
  <c r="E1951" i="7"/>
  <c r="G1950" i="7"/>
  <c r="E1950" i="7"/>
  <c r="G1949" i="7"/>
  <c r="E1949" i="7"/>
  <c r="G1948" i="7"/>
  <c r="E1948" i="7"/>
  <c r="G1947" i="7"/>
  <c r="E1947" i="7"/>
  <c r="G1946" i="7"/>
  <c r="E1946" i="7"/>
  <c r="G1945" i="7"/>
  <c r="E1945" i="7"/>
  <c r="G1944" i="7"/>
  <c r="E1944" i="7"/>
  <c r="G1943" i="7"/>
  <c r="E1943" i="7"/>
  <c r="G1942" i="7"/>
  <c r="E1942" i="7"/>
  <c r="G1941" i="7"/>
  <c r="E1941" i="7"/>
  <c r="G1940" i="7"/>
  <c r="E1940" i="7"/>
  <c r="G1939" i="7"/>
  <c r="E1939" i="7"/>
  <c r="G1938" i="7"/>
  <c r="E1938" i="7"/>
  <c r="G1937" i="7"/>
  <c r="E1937" i="7"/>
  <c r="G1936" i="7"/>
  <c r="E1936" i="7"/>
  <c r="G1935" i="7"/>
  <c r="E1935" i="7"/>
  <c r="G1934" i="7"/>
  <c r="E1934" i="7"/>
  <c r="G1933" i="7"/>
  <c r="E1933" i="7"/>
  <c r="G1932" i="7"/>
  <c r="E1932" i="7"/>
  <c r="G1931" i="7"/>
  <c r="E1931" i="7"/>
  <c r="G1930" i="7"/>
  <c r="E1930" i="7"/>
  <c r="G1929" i="7"/>
  <c r="E1929" i="7"/>
  <c r="G1928" i="7"/>
  <c r="E1928" i="7"/>
  <c r="G1927" i="7"/>
  <c r="E1927" i="7"/>
  <c r="G1926" i="7"/>
  <c r="E1926" i="7"/>
  <c r="G1925" i="7"/>
  <c r="E1925" i="7"/>
  <c r="G1924" i="7"/>
  <c r="E1924" i="7"/>
  <c r="G1923" i="7"/>
  <c r="E1923" i="7"/>
  <c r="G1922" i="7"/>
  <c r="E1922" i="7"/>
  <c r="G1921" i="7"/>
  <c r="E1921" i="7"/>
  <c r="G1920" i="7"/>
  <c r="E1920" i="7"/>
  <c r="G1919" i="7"/>
  <c r="E1919" i="7"/>
  <c r="G1918" i="7"/>
  <c r="E1918" i="7"/>
  <c r="G1917" i="7"/>
  <c r="E1917" i="7"/>
  <c r="G1916" i="7"/>
  <c r="E1916" i="7"/>
  <c r="G1915" i="7"/>
  <c r="E1915" i="7"/>
  <c r="G1914" i="7"/>
  <c r="E1914" i="7"/>
  <c r="G1913" i="7"/>
  <c r="E1913" i="7"/>
  <c r="G1912" i="7"/>
  <c r="E1912" i="7"/>
  <c r="G1911" i="7"/>
  <c r="E1911" i="7"/>
  <c r="G1910" i="7"/>
  <c r="E1910" i="7"/>
  <c r="G1909" i="7"/>
  <c r="E1909" i="7"/>
  <c r="G1908" i="7"/>
  <c r="E1908" i="7"/>
  <c r="G1907" i="7"/>
  <c r="E1907" i="7"/>
  <c r="G1906" i="7"/>
  <c r="E1906" i="7"/>
  <c r="G1905" i="7"/>
  <c r="E1905" i="7"/>
  <c r="G1904" i="7"/>
  <c r="E1904" i="7"/>
  <c r="G1903" i="7"/>
  <c r="E1903" i="7"/>
  <c r="G1902" i="7"/>
  <c r="E1902" i="7"/>
  <c r="G1901" i="7"/>
  <c r="E1901" i="7"/>
  <c r="G1900" i="7"/>
  <c r="E1900" i="7"/>
  <c r="G1899" i="7"/>
  <c r="E1899" i="7"/>
  <c r="G1898" i="7"/>
  <c r="E1898" i="7"/>
  <c r="G1897" i="7"/>
  <c r="E1897" i="7"/>
  <c r="G1896" i="7"/>
  <c r="E1896" i="7"/>
  <c r="G1895" i="7"/>
  <c r="E1895" i="7"/>
  <c r="G1894" i="7"/>
  <c r="E1894" i="7"/>
  <c r="G1893" i="7"/>
  <c r="E1893" i="7"/>
  <c r="G1892" i="7"/>
  <c r="E1892" i="7"/>
  <c r="G1891" i="7"/>
  <c r="E1891" i="7"/>
  <c r="G1890" i="7"/>
  <c r="E1890" i="7"/>
  <c r="G1889" i="7"/>
  <c r="E1889" i="7"/>
  <c r="G1888" i="7"/>
  <c r="E1888" i="7"/>
  <c r="G1887" i="7"/>
  <c r="E1887" i="7"/>
  <c r="G1886" i="7"/>
  <c r="E1886" i="7"/>
  <c r="G1885" i="7"/>
  <c r="E1885" i="7"/>
  <c r="G1884" i="7"/>
  <c r="E1884" i="7"/>
  <c r="G1883" i="7"/>
  <c r="E1883" i="7"/>
  <c r="G1882" i="7"/>
  <c r="E1882" i="7"/>
  <c r="G1881" i="7"/>
  <c r="E1881" i="7"/>
  <c r="G1880" i="7"/>
  <c r="E1880" i="7"/>
  <c r="G1879" i="7"/>
  <c r="E1879" i="7"/>
  <c r="G1878" i="7"/>
  <c r="E1878" i="7"/>
  <c r="G1877" i="7"/>
  <c r="E1877" i="7"/>
  <c r="G1876" i="7"/>
  <c r="E1876" i="7"/>
  <c r="G1875" i="7"/>
  <c r="E1875" i="7"/>
  <c r="G1874" i="7"/>
  <c r="E1874" i="7"/>
  <c r="G1873" i="7"/>
  <c r="E1873" i="7"/>
  <c r="G1872" i="7"/>
  <c r="E1872" i="7"/>
  <c r="G1871" i="7"/>
  <c r="E1871" i="7"/>
  <c r="G1870" i="7"/>
  <c r="E1870" i="7"/>
  <c r="G1869" i="7"/>
  <c r="E1869" i="7"/>
  <c r="G1868" i="7"/>
  <c r="E1868" i="7"/>
  <c r="G1867" i="7"/>
  <c r="E1867" i="7"/>
  <c r="G1866" i="7"/>
  <c r="E1866" i="7"/>
  <c r="G1865" i="7"/>
  <c r="E1865" i="7"/>
  <c r="G1864" i="7"/>
  <c r="E1864" i="7"/>
  <c r="G1863" i="7"/>
  <c r="E1863" i="7"/>
  <c r="G1862" i="7"/>
  <c r="E1862" i="7"/>
  <c r="G1861" i="7"/>
  <c r="E1861" i="7"/>
  <c r="G1860" i="7"/>
  <c r="E1860" i="7"/>
  <c r="G1859" i="7"/>
  <c r="E1859" i="7"/>
  <c r="G1858" i="7"/>
  <c r="E1858" i="7"/>
  <c r="G1857" i="7"/>
  <c r="E1857" i="7"/>
  <c r="G1856" i="7"/>
  <c r="E1856" i="7"/>
  <c r="G1855" i="7"/>
  <c r="E1855" i="7"/>
  <c r="G1854" i="7"/>
  <c r="E1854" i="7"/>
  <c r="G1853" i="7"/>
  <c r="E1853" i="7"/>
  <c r="G1852" i="7"/>
  <c r="E1852" i="7"/>
  <c r="G1851" i="7"/>
  <c r="E1851" i="7"/>
  <c r="G1850" i="7"/>
  <c r="E1850" i="7"/>
  <c r="G1849" i="7"/>
  <c r="E1849" i="7"/>
  <c r="G1848" i="7"/>
  <c r="E1848" i="7"/>
  <c r="G1847" i="7"/>
  <c r="E1847" i="7"/>
  <c r="G1846" i="7"/>
  <c r="E1846" i="7"/>
  <c r="G1845" i="7"/>
  <c r="E1845" i="7"/>
  <c r="G1844" i="7"/>
  <c r="E1844" i="7"/>
  <c r="G1843" i="7"/>
  <c r="E1843" i="7"/>
  <c r="G1842" i="7"/>
  <c r="E1842" i="7"/>
  <c r="G1841" i="7"/>
  <c r="E1841" i="7"/>
  <c r="G1840" i="7"/>
  <c r="E1840" i="7"/>
  <c r="G1839" i="7"/>
  <c r="E1839" i="7"/>
  <c r="G1838" i="7"/>
  <c r="E1838" i="7"/>
  <c r="G1837" i="7"/>
  <c r="E1837" i="7"/>
  <c r="G1836" i="7"/>
  <c r="E1836" i="7"/>
  <c r="G1835" i="7"/>
  <c r="E1835" i="7"/>
  <c r="G1834" i="7"/>
  <c r="E1834" i="7"/>
  <c r="G1833" i="7"/>
  <c r="E1833" i="7"/>
  <c r="G1832" i="7"/>
  <c r="E1832" i="7"/>
  <c r="G1831" i="7"/>
  <c r="E1831" i="7"/>
  <c r="G1830" i="7"/>
  <c r="E1830" i="7"/>
  <c r="G1829" i="7"/>
  <c r="E1829" i="7"/>
  <c r="G1828" i="7"/>
  <c r="E1828" i="7"/>
  <c r="G1827" i="7"/>
  <c r="E1827" i="7"/>
  <c r="G1826" i="7"/>
  <c r="E1826" i="7"/>
  <c r="G1825" i="7"/>
  <c r="E1825" i="7"/>
  <c r="G1824" i="7"/>
  <c r="E1824" i="7"/>
  <c r="G1823" i="7"/>
  <c r="E1823" i="7"/>
  <c r="G1822" i="7"/>
  <c r="E1822" i="7"/>
  <c r="G1821" i="7"/>
  <c r="E1821" i="7"/>
  <c r="G1820" i="7"/>
  <c r="E1820" i="7"/>
  <c r="G1819" i="7"/>
  <c r="E1819" i="7"/>
  <c r="G1818" i="7"/>
  <c r="E1818" i="7"/>
  <c r="G1817" i="7"/>
  <c r="E1817" i="7"/>
  <c r="G1816" i="7"/>
  <c r="E1816" i="7"/>
  <c r="G1815" i="7"/>
  <c r="E1815" i="7"/>
  <c r="G1814" i="7"/>
  <c r="E1814" i="7"/>
  <c r="G1813" i="7"/>
  <c r="E1813" i="7"/>
  <c r="G1812" i="7"/>
  <c r="E1812" i="7"/>
  <c r="G1811" i="7"/>
  <c r="E1811" i="7"/>
  <c r="G1810" i="7"/>
  <c r="E1810" i="7"/>
  <c r="G1809" i="7"/>
  <c r="E1809" i="7"/>
  <c r="G1808" i="7"/>
  <c r="E1808" i="7"/>
  <c r="G1807" i="7"/>
  <c r="E1807" i="7"/>
  <c r="G1806" i="7"/>
  <c r="E1806" i="7"/>
  <c r="G1805" i="7"/>
  <c r="E1805" i="7"/>
  <c r="G1804" i="7"/>
  <c r="E1804" i="7"/>
  <c r="G1803" i="7"/>
  <c r="E1803" i="7"/>
  <c r="G1802" i="7"/>
  <c r="E1802" i="7"/>
  <c r="G1801" i="7"/>
  <c r="E1801" i="7"/>
  <c r="G1800" i="7"/>
  <c r="E1800" i="7"/>
  <c r="G1799" i="7"/>
  <c r="E1799" i="7"/>
  <c r="G1798" i="7"/>
  <c r="E1798" i="7"/>
  <c r="G1797" i="7"/>
  <c r="E1797" i="7"/>
  <c r="G1796" i="7"/>
  <c r="E1796" i="7"/>
  <c r="G1795" i="7"/>
  <c r="E1795" i="7"/>
  <c r="G1794" i="7"/>
  <c r="E1794" i="7"/>
  <c r="G1793" i="7"/>
  <c r="E1793" i="7"/>
  <c r="G1792" i="7"/>
  <c r="E1792" i="7"/>
  <c r="G1791" i="7"/>
  <c r="E1791" i="7"/>
  <c r="G1790" i="7"/>
  <c r="E1790" i="7"/>
  <c r="G1789" i="7"/>
  <c r="E1789" i="7"/>
  <c r="G1788" i="7"/>
  <c r="E1788" i="7"/>
  <c r="G1787" i="7"/>
  <c r="E1787" i="7"/>
  <c r="G1786" i="7"/>
  <c r="E1786" i="7"/>
  <c r="G1785" i="7"/>
  <c r="E1785" i="7"/>
  <c r="G1784" i="7"/>
  <c r="E1784" i="7"/>
  <c r="G1783" i="7"/>
  <c r="E1783" i="7"/>
  <c r="G1782" i="7"/>
  <c r="E1782" i="7"/>
  <c r="G1781" i="7"/>
  <c r="E1781" i="7"/>
  <c r="G1780" i="7"/>
  <c r="E1780" i="7"/>
  <c r="G1779" i="7"/>
  <c r="E1779" i="7"/>
  <c r="G1778" i="7"/>
  <c r="E1778" i="7"/>
  <c r="G1777" i="7"/>
  <c r="E1777" i="7"/>
  <c r="G1776" i="7"/>
  <c r="E1776" i="7"/>
  <c r="G1775" i="7"/>
  <c r="E1775" i="7"/>
  <c r="G1774" i="7"/>
  <c r="E1774" i="7"/>
  <c r="G1773" i="7"/>
  <c r="E1773" i="7"/>
  <c r="G1772" i="7"/>
  <c r="E1772" i="7"/>
  <c r="G1771" i="7"/>
  <c r="E1771" i="7"/>
  <c r="G1770" i="7"/>
  <c r="E1770" i="7"/>
  <c r="G1769" i="7"/>
  <c r="E1769" i="7"/>
  <c r="G1768" i="7"/>
  <c r="E1768" i="7"/>
  <c r="G1767" i="7"/>
  <c r="E1767" i="7"/>
  <c r="G1766" i="7"/>
  <c r="E1766" i="7"/>
  <c r="G1765" i="7"/>
  <c r="E1765" i="7"/>
  <c r="G1764" i="7"/>
  <c r="E1764" i="7"/>
  <c r="G1763" i="7"/>
  <c r="E1763" i="7"/>
  <c r="G1762" i="7"/>
  <c r="E1762" i="7"/>
  <c r="G1761" i="7"/>
  <c r="E1761" i="7"/>
  <c r="G1760" i="7"/>
  <c r="E1760" i="7"/>
  <c r="G1759" i="7"/>
  <c r="E1759" i="7"/>
  <c r="G1758" i="7"/>
  <c r="E1758" i="7"/>
  <c r="G1757" i="7"/>
  <c r="E1757" i="7"/>
  <c r="G1756" i="7"/>
  <c r="E1756" i="7"/>
  <c r="G1755" i="7"/>
  <c r="E1755" i="7"/>
  <c r="G1754" i="7"/>
  <c r="E1754" i="7"/>
  <c r="G1753" i="7"/>
  <c r="E1753" i="7"/>
  <c r="G1752" i="7"/>
  <c r="E1752" i="7"/>
  <c r="G1751" i="7"/>
  <c r="E1751" i="7"/>
  <c r="G1750" i="7"/>
  <c r="E1750" i="7"/>
  <c r="G1749" i="7"/>
  <c r="E1749" i="7"/>
  <c r="G1748" i="7"/>
  <c r="E1748" i="7"/>
  <c r="G1747" i="7"/>
  <c r="E1747" i="7"/>
  <c r="G1746" i="7"/>
  <c r="E1746" i="7"/>
  <c r="G1745" i="7"/>
  <c r="E1745" i="7"/>
  <c r="G1744" i="7"/>
  <c r="E1744" i="7"/>
  <c r="G1743" i="7"/>
  <c r="E1743" i="7"/>
  <c r="G1742" i="7"/>
  <c r="E1742" i="7"/>
  <c r="G1741" i="7"/>
  <c r="E1741" i="7"/>
  <c r="G1740" i="7"/>
  <c r="E1740" i="7"/>
  <c r="G1739" i="7"/>
  <c r="E1739" i="7"/>
  <c r="G1738" i="7"/>
  <c r="E1738" i="7"/>
  <c r="G1737" i="7"/>
  <c r="E1737" i="7"/>
  <c r="G1736" i="7"/>
  <c r="E1736" i="7"/>
  <c r="G1735" i="7"/>
  <c r="E1735" i="7"/>
  <c r="G1734" i="7"/>
  <c r="E1734" i="7"/>
  <c r="G1733" i="7"/>
  <c r="E1733" i="7"/>
  <c r="G1732" i="7"/>
  <c r="E1732" i="7"/>
  <c r="G1731" i="7"/>
  <c r="E1731" i="7"/>
  <c r="G1730" i="7"/>
  <c r="E1730" i="7"/>
  <c r="G1729" i="7"/>
  <c r="E1729" i="7"/>
  <c r="G1728" i="7"/>
  <c r="E1728" i="7"/>
  <c r="G1727" i="7"/>
  <c r="E1727" i="7"/>
  <c r="G1726" i="7"/>
  <c r="E1726" i="7"/>
  <c r="G1725" i="7"/>
  <c r="E1725" i="7"/>
  <c r="G1724" i="7"/>
  <c r="E1724" i="7"/>
  <c r="G1723" i="7"/>
  <c r="E1723" i="7"/>
  <c r="G1722" i="7"/>
  <c r="E1722" i="7"/>
  <c r="G1721" i="7"/>
  <c r="E1721" i="7"/>
  <c r="G1720" i="7"/>
  <c r="E1720" i="7"/>
  <c r="G1719" i="7"/>
  <c r="E1719" i="7"/>
  <c r="G1718" i="7"/>
  <c r="E1718" i="7"/>
  <c r="G1717" i="7"/>
  <c r="E1717" i="7"/>
  <c r="G1716" i="7"/>
  <c r="E1716" i="7"/>
  <c r="G1715" i="7"/>
  <c r="E1715" i="7"/>
  <c r="G1714" i="7"/>
  <c r="E1714" i="7"/>
  <c r="G1713" i="7"/>
  <c r="E1713" i="7"/>
  <c r="G1712" i="7"/>
  <c r="E1712" i="7"/>
  <c r="G1711" i="7"/>
  <c r="E1711" i="7"/>
  <c r="G1710" i="7"/>
  <c r="E1710" i="7"/>
  <c r="G1709" i="7"/>
  <c r="E1709" i="7"/>
  <c r="G1708" i="7"/>
  <c r="E1708" i="7"/>
  <c r="G1707" i="7"/>
  <c r="E1707" i="7"/>
  <c r="G1706" i="7"/>
  <c r="E1706" i="7"/>
  <c r="G1705" i="7"/>
  <c r="E1705" i="7"/>
  <c r="G1704" i="7"/>
  <c r="E1704" i="7"/>
  <c r="G1703" i="7"/>
  <c r="E1703" i="7"/>
  <c r="G1702" i="7"/>
  <c r="E1702" i="7"/>
  <c r="G1701" i="7"/>
  <c r="E1701" i="7"/>
  <c r="G1700" i="7"/>
  <c r="E1700" i="7"/>
  <c r="G1699" i="7"/>
  <c r="E1699" i="7"/>
  <c r="G1698" i="7"/>
  <c r="E1698" i="7"/>
  <c r="G1697" i="7"/>
  <c r="E1697" i="7"/>
  <c r="G1696" i="7"/>
  <c r="E1696" i="7"/>
  <c r="G1695" i="7"/>
  <c r="E1695" i="7"/>
  <c r="G1694" i="7"/>
  <c r="E1694" i="7"/>
  <c r="G1693" i="7"/>
  <c r="E1693" i="7"/>
  <c r="G1692" i="7"/>
  <c r="E1692" i="7"/>
  <c r="G1691" i="7"/>
  <c r="E1691" i="7"/>
  <c r="G1690" i="7"/>
  <c r="E1690" i="7"/>
  <c r="G1689" i="7"/>
  <c r="E1689" i="7"/>
  <c r="G1688" i="7"/>
  <c r="E1688" i="7"/>
  <c r="G1687" i="7"/>
  <c r="E1687" i="7"/>
  <c r="G1686" i="7"/>
  <c r="E1686" i="7"/>
  <c r="G1685" i="7"/>
  <c r="E1685" i="7"/>
  <c r="G1684" i="7"/>
  <c r="E1684" i="7"/>
  <c r="G1683" i="7"/>
  <c r="E1683" i="7"/>
  <c r="G1682" i="7"/>
  <c r="E1682" i="7"/>
  <c r="G1681" i="7"/>
  <c r="E1681" i="7"/>
  <c r="G1680" i="7"/>
  <c r="E1680" i="7"/>
  <c r="G1679" i="7"/>
  <c r="E1679" i="7"/>
  <c r="G1678" i="7"/>
  <c r="E1678" i="7"/>
  <c r="G1677" i="7"/>
  <c r="E1677" i="7"/>
  <c r="G1676" i="7"/>
  <c r="E1676" i="7"/>
  <c r="G1675" i="7"/>
  <c r="E1675" i="7"/>
  <c r="G1674" i="7"/>
  <c r="E1674" i="7"/>
  <c r="G1673" i="7"/>
  <c r="E1673" i="7"/>
  <c r="G1672" i="7"/>
  <c r="E1672" i="7"/>
  <c r="G1671" i="7"/>
  <c r="E1671" i="7"/>
  <c r="G1670" i="7"/>
  <c r="E1670" i="7"/>
  <c r="G1669" i="7"/>
  <c r="E1669" i="7"/>
  <c r="G1668" i="7"/>
  <c r="E1668" i="7"/>
  <c r="G1667" i="7"/>
  <c r="E1667" i="7"/>
  <c r="G1666" i="7"/>
  <c r="E1666" i="7"/>
  <c r="G1665" i="7"/>
  <c r="E1665" i="7"/>
  <c r="G1664" i="7"/>
  <c r="E1664" i="7"/>
  <c r="G1663" i="7"/>
  <c r="E1663" i="7"/>
  <c r="G1662" i="7"/>
  <c r="E1662" i="7"/>
  <c r="G1661" i="7"/>
  <c r="E1661" i="7"/>
  <c r="G1660" i="7"/>
  <c r="E1660" i="7"/>
  <c r="G1659" i="7"/>
  <c r="E1659" i="7"/>
  <c r="G1658" i="7"/>
  <c r="E1658" i="7"/>
  <c r="G1657" i="7"/>
  <c r="E1657" i="7"/>
  <c r="G1656" i="7"/>
  <c r="E1656" i="7"/>
  <c r="G1655" i="7"/>
  <c r="E1655" i="7"/>
  <c r="G1654" i="7"/>
  <c r="E1654" i="7"/>
  <c r="G1653" i="7"/>
  <c r="E1653" i="7"/>
  <c r="G1652" i="7"/>
  <c r="E1652" i="7"/>
  <c r="G1651" i="7"/>
  <c r="E1651" i="7"/>
  <c r="G1650" i="7"/>
  <c r="E1650" i="7"/>
  <c r="G1649" i="7"/>
  <c r="E1649" i="7"/>
  <c r="G1648" i="7"/>
  <c r="E1648" i="7"/>
  <c r="G1647" i="7"/>
  <c r="E1647" i="7"/>
  <c r="G1646" i="7"/>
  <c r="E1646" i="7"/>
  <c r="G1645" i="7"/>
  <c r="E1645" i="7"/>
  <c r="G1644" i="7"/>
  <c r="E1644" i="7"/>
  <c r="G1643" i="7"/>
  <c r="E1643" i="7"/>
  <c r="G1642" i="7"/>
  <c r="E1642" i="7"/>
  <c r="G1641" i="7"/>
  <c r="E1641" i="7"/>
  <c r="G1640" i="7"/>
  <c r="E1640" i="7"/>
  <c r="G1639" i="7"/>
  <c r="E1639" i="7"/>
  <c r="G1638" i="7"/>
  <c r="E1638" i="7"/>
  <c r="G1637" i="7"/>
  <c r="E1637" i="7"/>
  <c r="G1636" i="7"/>
  <c r="E1636" i="7"/>
  <c r="G1635" i="7"/>
  <c r="E1635" i="7"/>
  <c r="G1634" i="7"/>
  <c r="E1634" i="7"/>
  <c r="G1633" i="7"/>
  <c r="E1633" i="7"/>
  <c r="G1632" i="7"/>
  <c r="E1632" i="7"/>
  <c r="G1631" i="7"/>
  <c r="E1631" i="7"/>
  <c r="G1630" i="7"/>
  <c r="E1630" i="7"/>
  <c r="G1629" i="7"/>
  <c r="E1629" i="7"/>
  <c r="G1628" i="7"/>
  <c r="E1628" i="7"/>
  <c r="G1627" i="7"/>
  <c r="E1627" i="7"/>
  <c r="G1626" i="7"/>
  <c r="E1626" i="7"/>
  <c r="G1625" i="7"/>
  <c r="E1625" i="7"/>
  <c r="G1624" i="7"/>
  <c r="E1624" i="7"/>
  <c r="G1623" i="7"/>
  <c r="E1623" i="7"/>
  <c r="G1622" i="7"/>
  <c r="E1622" i="7"/>
  <c r="G1621" i="7"/>
  <c r="E1621" i="7"/>
  <c r="G1620" i="7"/>
  <c r="E1620" i="7"/>
  <c r="G1619" i="7"/>
  <c r="E1619" i="7"/>
  <c r="G1618" i="7"/>
  <c r="E1618" i="7"/>
  <c r="G1617" i="7"/>
  <c r="E1617" i="7"/>
  <c r="G1616" i="7"/>
  <c r="E1616" i="7"/>
  <c r="G1615" i="7"/>
  <c r="E1615" i="7"/>
  <c r="G1614" i="7"/>
  <c r="E1614" i="7"/>
  <c r="G1613" i="7"/>
  <c r="E1613" i="7"/>
  <c r="G1612" i="7"/>
  <c r="E1612" i="7"/>
  <c r="G1611" i="7"/>
  <c r="E1611" i="7"/>
  <c r="G1610" i="7"/>
  <c r="E1610" i="7"/>
  <c r="G1609" i="7"/>
  <c r="E1609" i="7"/>
  <c r="G1608" i="7"/>
  <c r="E1608" i="7"/>
  <c r="G1607" i="7"/>
  <c r="E1607" i="7"/>
  <c r="G1606" i="7"/>
  <c r="E1606" i="7"/>
  <c r="G1605" i="7"/>
  <c r="E1605" i="7"/>
  <c r="G1604" i="7"/>
  <c r="E1604" i="7"/>
  <c r="G1603" i="7"/>
  <c r="E1603" i="7"/>
  <c r="G1602" i="7"/>
  <c r="E1602" i="7"/>
  <c r="G1601" i="7"/>
  <c r="E1601" i="7"/>
  <c r="G1600" i="7"/>
  <c r="E1600" i="7"/>
  <c r="G1599" i="7"/>
  <c r="E1599" i="7"/>
  <c r="G1598" i="7"/>
  <c r="E1598" i="7"/>
  <c r="G1597" i="7"/>
  <c r="E1597" i="7"/>
  <c r="G1596" i="7"/>
  <c r="E1596" i="7"/>
  <c r="G1595" i="7"/>
  <c r="E1595" i="7"/>
  <c r="G1594" i="7"/>
  <c r="E1594" i="7"/>
  <c r="G1593" i="7"/>
  <c r="E1593" i="7"/>
  <c r="G1592" i="7"/>
  <c r="E1592" i="7"/>
  <c r="G1591" i="7"/>
  <c r="E1591" i="7"/>
  <c r="G1590" i="7"/>
  <c r="E1590" i="7"/>
  <c r="G1589" i="7"/>
  <c r="E1589" i="7"/>
  <c r="G1588" i="7"/>
  <c r="E1588" i="7"/>
  <c r="G1587" i="7"/>
  <c r="E1587" i="7"/>
  <c r="G1586" i="7"/>
  <c r="E1586" i="7"/>
  <c r="G1585" i="7"/>
  <c r="E1585" i="7"/>
  <c r="G1584" i="7"/>
  <c r="E1584" i="7"/>
  <c r="G1583" i="7"/>
  <c r="E1583" i="7"/>
  <c r="G1582" i="7"/>
  <c r="E1582" i="7"/>
  <c r="G1581" i="7"/>
  <c r="E1581" i="7"/>
  <c r="G1580" i="7"/>
  <c r="E1580" i="7"/>
  <c r="G1579" i="7"/>
  <c r="E1579" i="7"/>
  <c r="G1578" i="7"/>
  <c r="E1578" i="7"/>
  <c r="G1577" i="7"/>
  <c r="E1577" i="7"/>
  <c r="G1576" i="7"/>
  <c r="E1576" i="7"/>
  <c r="G1575" i="7"/>
  <c r="E1575" i="7"/>
  <c r="G1574" i="7"/>
  <c r="E1574" i="7"/>
  <c r="G1573" i="7"/>
  <c r="E1573" i="7"/>
  <c r="G1572" i="7"/>
  <c r="E1572" i="7"/>
  <c r="G1571" i="7"/>
  <c r="E1571" i="7"/>
  <c r="G1570" i="7"/>
  <c r="E1570" i="7"/>
  <c r="G1569" i="7"/>
  <c r="E1569" i="7"/>
  <c r="G1568" i="7"/>
  <c r="E1568" i="7"/>
  <c r="G1567" i="7"/>
  <c r="E1567" i="7"/>
  <c r="G1566" i="7"/>
  <c r="E1566" i="7"/>
  <c r="G1565" i="7"/>
  <c r="E1565" i="7"/>
  <c r="G1564" i="7"/>
  <c r="E1564" i="7"/>
  <c r="G1563" i="7"/>
  <c r="E1563" i="7"/>
  <c r="G1562" i="7"/>
  <c r="E1562" i="7"/>
  <c r="G1561" i="7"/>
  <c r="E1561" i="7"/>
  <c r="G1560" i="7"/>
  <c r="E1560" i="7"/>
  <c r="G1559" i="7"/>
  <c r="E1559" i="7"/>
  <c r="G1558" i="7"/>
  <c r="E1558" i="7"/>
  <c r="G1557" i="7"/>
  <c r="E1557" i="7"/>
  <c r="G1556" i="7"/>
  <c r="E1556" i="7"/>
  <c r="G1555" i="7"/>
  <c r="E1555" i="7"/>
  <c r="G1554" i="7"/>
  <c r="E1554" i="7"/>
  <c r="G1553" i="7"/>
  <c r="E1553" i="7"/>
  <c r="G1552" i="7"/>
  <c r="E1552" i="7"/>
  <c r="G1551" i="7"/>
  <c r="E1551" i="7"/>
  <c r="G1550" i="7"/>
  <c r="E1550" i="7"/>
  <c r="G1549" i="7"/>
  <c r="E1549" i="7"/>
  <c r="G1548" i="7"/>
  <c r="E1548" i="7"/>
  <c r="G1547" i="7"/>
  <c r="E1547" i="7"/>
  <c r="G1546" i="7"/>
  <c r="E1546" i="7"/>
  <c r="G1545" i="7"/>
  <c r="E1545" i="7"/>
  <c r="G1544" i="7"/>
  <c r="E1544" i="7"/>
  <c r="G1543" i="7"/>
  <c r="E1543" i="7"/>
  <c r="G1542" i="7"/>
  <c r="E1542" i="7"/>
  <c r="G1541" i="7"/>
  <c r="E1541" i="7"/>
  <c r="G1540" i="7"/>
  <c r="E1540" i="7"/>
  <c r="G1539" i="7"/>
  <c r="E1539" i="7"/>
  <c r="G1538" i="7"/>
  <c r="E1538" i="7"/>
  <c r="G1537" i="7"/>
  <c r="E1537" i="7"/>
  <c r="G1536" i="7"/>
  <c r="E1536" i="7"/>
  <c r="G1535" i="7"/>
  <c r="E1535" i="7"/>
  <c r="G1534" i="7"/>
  <c r="E1534" i="7"/>
  <c r="G1533" i="7"/>
  <c r="E1533" i="7"/>
  <c r="G1532" i="7"/>
  <c r="E1532" i="7"/>
  <c r="G1531" i="7"/>
  <c r="E1531" i="7"/>
  <c r="G1530" i="7"/>
  <c r="E1530" i="7"/>
  <c r="G1529" i="7"/>
  <c r="E1529" i="7"/>
  <c r="G1528" i="7"/>
  <c r="E1528" i="7"/>
  <c r="G1527" i="7"/>
  <c r="E1527" i="7"/>
  <c r="G1526" i="7"/>
  <c r="E1526" i="7"/>
  <c r="G1525" i="7"/>
  <c r="E1525" i="7"/>
  <c r="G1524" i="7"/>
  <c r="E1524" i="7"/>
  <c r="G1523" i="7"/>
  <c r="E1523" i="7"/>
  <c r="G1522" i="7"/>
  <c r="E1522" i="7"/>
  <c r="G1521" i="7"/>
  <c r="E1521" i="7"/>
  <c r="G1520" i="7"/>
  <c r="E1520" i="7"/>
  <c r="G1519" i="7"/>
  <c r="E1519" i="7"/>
  <c r="G1518" i="7"/>
  <c r="E1518" i="7"/>
  <c r="G1517" i="7"/>
  <c r="E1517" i="7"/>
  <c r="G1516" i="7"/>
  <c r="E1516" i="7"/>
  <c r="G1515" i="7"/>
  <c r="E1515" i="7"/>
  <c r="G1514" i="7"/>
  <c r="E1514" i="7"/>
  <c r="G1513" i="7"/>
  <c r="E1513" i="7"/>
  <c r="G1512" i="7"/>
  <c r="E1512" i="7"/>
  <c r="G1511" i="7"/>
  <c r="E1511" i="7"/>
  <c r="G1510" i="7"/>
  <c r="E1510" i="7"/>
  <c r="G1509" i="7"/>
  <c r="E1509" i="7"/>
  <c r="G1508" i="7"/>
  <c r="E1508" i="7"/>
  <c r="G1507" i="7"/>
  <c r="E1507" i="7"/>
  <c r="G1506" i="7"/>
  <c r="E1506" i="7"/>
  <c r="G1505" i="7"/>
  <c r="E1505" i="7"/>
  <c r="G1504" i="7"/>
  <c r="E1504" i="7"/>
  <c r="G1503" i="7"/>
  <c r="E1503" i="7"/>
  <c r="G1502" i="7"/>
  <c r="E1502" i="7"/>
  <c r="G1501" i="7"/>
  <c r="E1501" i="7"/>
  <c r="G1500" i="7"/>
  <c r="E1500" i="7"/>
  <c r="G1499" i="7"/>
  <c r="E1499" i="7"/>
  <c r="G1498" i="7"/>
  <c r="E1498" i="7"/>
  <c r="G1497" i="7"/>
  <c r="E1497" i="7"/>
  <c r="G1496" i="7"/>
  <c r="E1496" i="7"/>
  <c r="G1495" i="7"/>
  <c r="E1495" i="7"/>
  <c r="G1494" i="7"/>
  <c r="E1494" i="7"/>
  <c r="G1493" i="7"/>
  <c r="E1493" i="7"/>
  <c r="G1492" i="7"/>
  <c r="E1492" i="7"/>
  <c r="G1491" i="7"/>
  <c r="E1491" i="7"/>
  <c r="G1490" i="7"/>
  <c r="E1490" i="7"/>
  <c r="G1489" i="7"/>
  <c r="E1489" i="7"/>
  <c r="G1488" i="7"/>
  <c r="E1488" i="7"/>
  <c r="G1487" i="7"/>
  <c r="E1487" i="7"/>
  <c r="G1486" i="7"/>
  <c r="E1486" i="7"/>
  <c r="G1485" i="7"/>
  <c r="E1485" i="7"/>
  <c r="G1484" i="7"/>
  <c r="E1484" i="7"/>
  <c r="G1483" i="7"/>
  <c r="E1483" i="7"/>
  <c r="G1482" i="7"/>
  <c r="E1482" i="7"/>
  <c r="G1481" i="7"/>
  <c r="E1481" i="7"/>
  <c r="G1480" i="7"/>
  <c r="E1480" i="7"/>
  <c r="G1479" i="7"/>
  <c r="E1479" i="7"/>
  <c r="G1478" i="7"/>
  <c r="E1478" i="7"/>
  <c r="G1477" i="7"/>
  <c r="E1477" i="7"/>
  <c r="G1476" i="7"/>
  <c r="E1476" i="7"/>
  <c r="G1475" i="7"/>
  <c r="E1475" i="7"/>
  <c r="G1474" i="7"/>
  <c r="E1474" i="7"/>
  <c r="G1473" i="7"/>
  <c r="E1473" i="7"/>
  <c r="G1472" i="7"/>
  <c r="E1472" i="7"/>
  <c r="G1471" i="7"/>
  <c r="E1471" i="7"/>
  <c r="G1470" i="7"/>
  <c r="E1470" i="7"/>
  <c r="G1469" i="7"/>
  <c r="E1469" i="7"/>
  <c r="G1468" i="7"/>
  <c r="E1468" i="7"/>
  <c r="G1467" i="7"/>
  <c r="E1467" i="7"/>
  <c r="G1466" i="7"/>
  <c r="E1466" i="7"/>
  <c r="G1465" i="7"/>
  <c r="E1465" i="7"/>
  <c r="G1464" i="7"/>
  <c r="E1464" i="7"/>
  <c r="G1463" i="7"/>
  <c r="E1463" i="7"/>
  <c r="G1462" i="7"/>
  <c r="E1462" i="7"/>
  <c r="G1461" i="7"/>
  <c r="E1461" i="7"/>
  <c r="G1460" i="7"/>
  <c r="E1460" i="7"/>
  <c r="G1459" i="7"/>
  <c r="E1459" i="7"/>
  <c r="G1458" i="7"/>
  <c r="E1458" i="7"/>
  <c r="G1457" i="7"/>
  <c r="E1457" i="7"/>
  <c r="G1456" i="7"/>
  <c r="E1456" i="7"/>
  <c r="G1455" i="7"/>
  <c r="E1455" i="7"/>
  <c r="G1454" i="7"/>
  <c r="E1454" i="7"/>
  <c r="G1453" i="7"/>
  <c r="E1453" i="7"/>
  <c r="G1452" i="7"/>
  <c r="E1452" i="7"/>
  <c r="G1451" i="7"/>
  <c r="E1451" i="7"/>
  <c r="G1450" i="7"/>
  <c r="E1450" i="7"/>
  <c r="G1449" i="7"/>
  <c r="E1449" i="7"/>
  <c r="G1448" i="7"/>
  <c r="E1448" i="7"/>
  <c r="G1447" i="7"/>
  <c r="E1447" i="7"/>
  <c r="G1446" i="7"/>
  <c r="E1446" i="7"/>
  <c r="G1445" i="7"/>
  <c r="E1445" i="7"/>
  <c r="G1444" i="7"/>
  <c r="E1444" i="7"/>
  <c r="G1443" i="7"/>
  <c r="E1443" i="7"/>
  <c r="G1442" i="7"/>
  <c r="E1442" i="7"/>
  <c r="G1441" i="7"/>
  <c r="E1441" i="7"/>
  <c r="G1440" i="7"/>
  <c r="E1440" i="7"/>
  <c r="G1439" i="7"/>
  <c r="E1439" i="7"/>
  <c r="G1438" i="7"/>
  <c r="E1438" i="7"/>
  <c r="G1437" i="7"/>
  <c r="E1437" i="7"/>
  <c r="G1436" i="7"/>
  <c r="E1436" i="7"/>
  <c r="G1435" i="7"/>
  <c r="E1435" i="7"/>
  <c r="G1434" i="7"/>
  <c r="E1434" i="7"/>
  <c r="G1433" i="7"/>
  <c r="E1433" i="7"/>
  <c r="G1432" i="7"/>
  <c r="E1432" i="7"/>
  <c r="G1431" i="7"/>
  <c r="E1431" i="7"/>
  <c r="G1430" i="7"/>
  <c r="E1430" i="7"/>
  <c r="G1429" i="7"/>
  <c r="E1429" i="7"/>
  <c r="G1428" i="7"/>
  <c r="E1428" i="7"/>
  <c r="G1427" i="7"/>
  <c r="E1427" i="7"/>
  <c r="G1426" i="7"/>
  <c r="E1426" i="7"/>
  <c r="G1425" i="7"/>
  <c r="E1425" i="7"/>
  <c r="G1424" i="7"/>
  <c r="E1424" i="7"/>
  <c r="G1423" i="7"/>
  <c r="E1423" i="7"/>
  <c r="G1422" i="7"/>
  <c r="E1422" i="7"/>
  <c r="G1421" i="7"/>
  <c r="E1421" i="7"/>
  <c r="G1420" i="7"/>
  <c r="E1420" i="7"/>
  <c r="G1419" i="7"/>
  <c r="E1419" i="7"/>
  <c r="G1418" i="7"/>
  <c r="E1418" i="7"/>
  <c r="G1417" i="7"/>
  <c r="E1417" i="7"/>
  <c r="G1416" i="7"/>
  <c r="E1416" i="7"/>
  <c r="G1415" i="7"/>
  <c r="E1415" i="7"/>
  <c r="G1414" i="7"/>
  <c r="E1414" i="7"/>
  <c r="G1413" i="7"/>
  <c r="E1413" i="7"/>
  <c r="G1412" i="7"/>
  <c r="E1412" i="7"/>
  <c r="G1411" i="7"/>
  <c r="E1411" i="7"/>
  <c r="G1410" i="7"/>
  <c r="E1410" i="7"/>
  <c r="G1409" i="7"/>
  <c r="E1409" i="7"/>
  <c r="G1408" i="7"/>
  <c r="E1408" i="7"/>
  <c r="G1407" i="7"/>
  <c r="E1407" i="7"/>
  <c r="G1406" i="7"/>
  <c r="E1406" i="7"/>
  <c r="G1405" i="7"/>
  <c r="E1405" i="7"/>
  <c r="G1404" i="7"/>
  <c r="E1404" i="7"/>
  <c r="G1403" i="7"/>
  <c r="E1403" i="7"/>
  <c r="G1402" i="7"/>
  <c r="E1402" i="7"/>
  <c r="G1401" i="7"/>
  <c r="E1401" i="7"/>
  <c r="G1400" i="7"/>
  <c r="E1400" i="7"/>
  <c r="G1399" i="7"/>
  <c r="E1399" i="7"/>
  <c r="G1398" i="7"/>
  <c r="E1398" i="7"/>
  <c r="G1397" i="7"/>
  <c r="E1397" i="7"/>
  <c r="G1396" i="7"/>
  <c r="E1396" i="7"/>
  <c r="G1395" i="7"/>
  <c r="E1395" i="7"/>
  <c r="G1394" i="7"/>
  <c r="E1394" i="7"/>
  <c r="G1393" i="7"/>
  <c r="E1393" i="7"/>
  <c r="G1392" i="7"/>
  <c r="E1392" i="7"/>
  <c r="G1391" i="7"/>
  <c r="E1391" i="7"/>
  <c r="G1390" i="7"/>
  <c r="E1390" i="7"/>
  <c r="G1389" i="7"/>
  <c r="E1389" i="7"/>
  <c r="G1388" i="7"/>
  <c r="E1388" i="7"/>
  <c r="G1387" i="7"/>
  <c r="E1387" i="7"/>
  <c r="G1386" i="7"/>
  <c r="E1386" i="7"/>
  <c r="G1385" i="7"/>
  <c r="E1385" i="7"/>
  <c r="G1384" i="7"/>
  <c r="E1384" i="7"/>
  <c r="G1383" i="7"/>
  <c r="E1383" i="7"/>
  <c r="G1382" i="7"/>
  <c r="E1382" i="7"/>
  <c r="G1381" i="7"/>
  <c r="E1381" i="7"/>
  <c r="G1380" i="7"/>
  <c r="E1380" i="7"/>
  <c r="G1379" i="7"/>
  <c r="E1379" i="7"/>
  <c r="G1378" i="7"/>
  <c r="E1378" i="7"/>
  <c r="G1377" i="7"/>
  <c r="E1377" i="7"/>
  <c r="G1376" i="7"/>
  <c r="E1376" i="7"/>
  <c r="G1375" i="7"/>
  <c r="E1375" i="7"/>
  <c r="G1374" i="7"/>
  <c r="E1374" i="7"/>
  <c r="G1373" i="7"/>
  <c r="E1373" i="7"/>
  <c r="G1372" i="7"/>
  <c r="E1372" i="7"/>
  <c r="G1371" i="7"/>
  <c r="E1371" i="7"/>
  <c r="G1370" i="7"/>
  <c r="E1370" i="7"/>
  <c r="G1369" i="7"/>
  <c r="E1369" i="7"/>
  <c r="G1368" i="7"/>
  <c r="E1368" i="7"/>
  <c r="G1367" i="7"/>
  <c r="E1367" i="7"/>
  <c r="G1366" i="7"/>
  <c r="E1366" i="7"/>
  <c r="G1365" i="7"/>
  <c r="E1365" i="7"/>
  <c r="G1364" i="7"/>
  <c r="E1364" i="7"/>
  <c r="G1363" i="7"/>
  <c r="E1363" i="7"/>
  <c r="G1362" i="7"/>
  <c r="E1362" i="7"/>
  <c r="G1361" i="7"/>
  <c r="E1361" i="7"/>
  <c r="G1360" i="7"/>
  <c r="E1360" i="7"/>
  <c r="G1359" i="7"/>
  <c r="E1359" i="7"/>
  <c r="G1358" i="7"/>
  <c r="E1358" i="7"/>
  <c r="G1357" i="7"/>
  <c r="E1357" i="7"/>
  <c r="G1356" i="7"/>
  <c r="E1356" i="7"/>
  <c r="G1355" i="7"/>
  <c r="E1355" i="7"/>
  <c r="G1354" i="7"/>
  <c r="E1354" i="7"/>
  <c r="G1353" i="7"/>
  <c r="E1353" i="7"/>
  <c r="G1352" i="7"/>
  <c r="E1352" i="7"/>
  <c r="G1351" i="7"/>
  <c r="E1351" i="7"/>
  <c r="G1350" i="7"/>
  <c r="E1350" i="7"/>
  <c r="G1349" i="7"/>
  <c r="E1349" i="7"/>
  <c r="G1348" i="7"/>
  <c r="E1348" i="7"/>
  <c r="G1347" i="7"/>
  <c r="E1347" i="7"/>
  <c r="G1346" i="7"/>
  <c r="E1346" i="7"/>
  <c r="G1345" i="7"/>
  <c r="E1345" i="7"/>
  <c r="G1344" i="7"/>
  <c r="E1344" i="7"/>
  <c r="G1343" i="7"/>
  <c r="E1343" i="7"/>
  <c r="G1342" i="7"/>
  <c r="E1342" i="7"/>
  <c r="G1341" i="7"/>
  <c r="E1341" i="7"/>
  <c r="G1340" i="7"/>
  <c r="E1340" i="7"/>
  <c r="G1339" i="7"/>
  <c r="E1339" i="7"/>
  <c r="G1338" i="7"/>
  <c r="E1338" i="7"/>
  <c r="G1337" i="7"/>
  <c r="E1337" i="7"/>
  <c r="G1336" i="7"/>
  <c r="E1336" i="7"/>
  <c r="G1335" i="7"/>
  <c r="E1335" i="7"/>
  <c r="G1334" i="7"/>
  <c r="E1334" i="7"/>
  <c r="G1333" i="7"/>
  <c r="E1333" i="7"/>
  <c r="G1332" i="7"/>
  <c r="E1332" i="7"/>
  <c r="G1331" i="7"/>
  <c r="E1331" i="7"/>
  <c r="G1330" i="7"/>
  <c r="E1330" i="7"/>
  <c r="G1329" i="7"/>
  <c r="E1329" i="7"/>
  <c r="G1328" i="7"/>
  <c r="E1328" i="7"/>
  <c r="G1327" i="7"/>
  <c r="E1327" i="7"/>
  <c r="G1326" i="7"/>
  <c r="E1326" i="7"/>
  <c r="G1325" i="7"/>
  <c r="E1325" i="7"/>
  <c r="G1324" i="7"/>
  <c r="E1324" i="7"/>
  <c r="G1323" i="7"/>
  <c r="E1323" i="7"/>
  <c r="G1322" i="7"/>
  <c r="E1322" i="7"/>
  <c r="G1321" i="7"/>
  <c r="E1321" i="7"/>
  <c r="G1320" i="7"/>
  <c r="E1320" i="7"/>
  <c r="G1319" i="7"/>
  <c r="E1319" i="7"/>
  <c r="G1318" i="7"/>
  <c r="E1318" i="7"/>
  <c r="G1317" i="7"/>
  <c r="E1317" i="7"/>
  <c r="G1316" i="7"/>
  <c r="E1316" i="7"/>
  <c r="G1315" i="7"/>
  <c r="E1315" i="7"/>
  <c r="G1314" i="7"/>
  <c r="E1314" i="7"/>
  <c r="G1313" i="7"/>
  <c r="E1313" i="7"/>
  <c r="G1312" i="7"/>
  <c r="E1312" i="7"/>
  <c r="G1311" i="7"/>
  <c r="E1311" i="7"/>
  <c r="G1310" i="7"/>
  <c r="E1310" i="7"/>
  <c r="G1309" i="7"/>
  <c r="E1309" i="7"/>
  <c r="G1308" i="7"/>
  <c r="E1308" i="7"/>
  <c r="G1307" i="7"/>
  <c r="E1307" i="7"/>
  <c r="G1306" i="7"/>
  <c r="E1306" i="7"/>
  <c r="G1305" i="7"/>
  <c r="E1305" i="7"/>
  <c r="G1304" i="7"/>
  <c r="E1304" i="7"/>
  <c r="G1303" i="7"/>
  <c r="E1303" i="7"/>
  <c r="G1302" i="7"/>
  <c r="E1302" i="7"/>
  <c r="G1301" i="7"/>
  <c r="E1301" i="7"/>
  <c r="G1300" i="7"/>
  <c r="E1300" i="7"/>
  <c r="G1299" i="7"/>
  <c r="E1299" i="7"/>
  <c r="G1298" i="7"/>
  <c r="E1298" i="7"/>
  <c r="G1297" i="7"/>
  <c r="E1297" i="7"/>
  <c r="G1296" i="7"/>
  <c r="E1296" i="7"/>
  <c r="G1295" i="7"/>
  <c r="E1295" i="7"/>
  <c r="G1294" i="7"/>
  <c r="E1294" i="7"/>
  <c r="G1293" i="7"/>
  <c r="E1293" i="7"/>
  <c r="G1292" i="7"/>
  <c r="E1292" i="7"/>
  <c r="G1291" i="7"/>
  <c r="E1291" i="7"/>
  <c r="G1290" i="7"/>
  <c r="E1290" i="7"/>
  <c r="G1289" i="7"/>
  <c r="E1289" i="7"/>
  <c r="G1288" i="7"/>
  <c r="E1288" i="7"/>
  <c r="G1287" i="7"/>
  <c r="E1287" i="7"/>
  <c r="G1286" i="7"/>
  <c r="E1286" i="7"/>
  <c r="G1285" i="7"/>
  <c r="E1285" i="7"/>
  <c r="G1284" i="7"/>
  <c r="E1284" i="7"/>
  <c r="G1283" i="7"/>
  <c r="E1283" i="7"/>
  <c r="G1282" i="7"/>
  <c r="E1282" i="7"/>
  <c r="G1281" i="7"/>
  <c r="E1281" i="7"/>
  <c r="G1280" i="7"/>
  <c r="E1280" i="7"/>
  <c r="G1279" i="7"/>
  <c r="E1279" i="7"/>
  <c r="G1278" i="7"/>
  <c r="E1278" i="7"/>
  <c r="G1277" i="7"/>
  <c r="E1277" i="7"/>
  <c r="G1276" i="7"/>
  <c r="E1276" i="7"/>
  <c r="G1275" i="7"/>
  <c r="E1275" i="7"/>
  <c r="G1274" i="7"/>
  <c r="E1274" i="7"/>
  <c r="G1273" i="7"/>
  <c r="E1273" i="7"/>
  <c r="G1272" i="7"/>
  <c r="E1272" i="7"/>
  <c r="G1271" i="7"/>
  <c r="E1271" i="7"/>
  <c r="G1270" i="7"/>
  <c r="E1270" i="7"/>
  <c r="G1269" i="7"/>
  <c r="E1269" i="7"/>
  <c r="G1268" i="7"/>
  <c r="E1268" i="7"/>
  <c r="G1267" i="7"/>
  <c r="E1267" i="7"/>
  <c r="G1266" i="7"/>
  <c r="E1266" i="7"/>
  <c r="G1265" i="7"/>
  <c r="E1265" i="7"/>
  <c r="G1264" i="7"/>
  <c r="E1264" i="7"/>
  <c r="G1263" i="7"/>
  <c r="E1263" i="7"/>
  <c r="G1262" i="7"/>
  <c r="E1262" i="7"/>
  <c r="G1261" i="7"/>
  <c r="E1261" i="7"/>
  <c r="G1260" i="7"/>
  <c r="E1260" i="7"/>
  <c r="G1259" i="7"/>
  <c r="E1259" i="7"/>
  <c r="G1258" i="7"/>
  <c r="E1258" i="7"/>
  <c r="G1257" i="7"/>
  <c r="E1257" i="7"/>
  <c r="G1256" i="7"/>
  <c r="E1256" i="7"/>
  <c r="G1255" i="7"/>
  <c r="E1255" i="7"/>
  <c r="G1254" i="7"/>
  <c r="E1254" i="7"/>
  <c r="G1253" i="7"/>
  <c r="E1253" i="7"/>
  <c r="G1252" i="7"/>
  <c r="E1252" i="7"/>
  <c r="G1251" i="7"/>
  <c r="E1251" i="7"/>
  <c r="G1250" i="7"/>
  <c r="E1250" i="7"/>
  <c r="G1249" i="7"/>
  <c r="E1249" i="7"/>
  <c r="G1248" i="7"/>
  <c r="E1248" i="7"/>
  <c r="G1247" i="7"/>
  <c r="E1247" i="7"/>
  <c r="G1246" i="7"/>
  <c r="E1246" i="7"/>
  <c r="G1245" i="7"/>
  <c r="E1245" i="7"/>
  <c r="G1244" i="7"/>
  <c r="E1244" i="7"/>
  <c r="G1243" i="7"/>
  <c r="E1243" i="7"/>
  <c r="G1242" i="7"/>
  <c r="E1242" i="7"/>
  <c r="G1241" i="7"/>
  <c r="E1241" i="7"/>
  <c r="G1240" i="7"/>
  <c r="E1240" i="7"/>
  <c r="G1239" i="7"/>
  <c r="E1239" i="7"/>
  <c r="G1238" i="7"/>
  <c r="E1238" i="7"/>
  <c r="G1237" i="7"/>
  <c r="E1237" i="7"/>
  <c r="G1236" i="7"/>
  <c r="E1236" i="7"/>
  <c r="G1235" i="7"/>
  <c r="E1235" i="7"/>
  <c r="G1234" i="7"/>
  <c r="E1234" i="7"/>
  <c r="G1233" i="7"/>
  <c r="E1233" i="7"/>
  <c r="G1232" i="7"/>
  <c r="E1232" i="7"/>
  <c r="G1231" i="7"/>
  <c r="E1231" i="7"/>
  <c r="G1230" i="7"/>
  <c r="E1230" i="7"/>
  <c r="G1229" i="7"/>
  <c r="E1229" i="7"/>
  <c r="G1228" i="7"/>
  <c r="E1228" i="7"/>
  <c r="G1227" i="7"/>
  <c r="E1227" i="7"/>
  <c r="G1226" i="7"/>
  <c r="E1226" i="7"/>
  <c r="G1225" i="7"/>
  <c r="E1225" i="7"/>
  <c r="G1224" i="7"/>
  <c r="E1224" i="7"/>
  <c r="G1223" i="7"/>
  <c r="E1223" i="7"/>
  <c r="G1222" i="7"/>
  <c r="E1222" i="7"/>
  <c r="G1221" i="7"/>
  <c r="E1221" i="7"/>
  <c r="G1220" i="7"/>
  <c r="E1220" i="7"/>
  <c r="G1219" i="7"/>
  <c r="E1219" i="7"/>
  <c r="G1218" i="7"/>
  <c r="E1218" i="7"/>
  <c r="G1217" i="7"/>
  <c r="E1217" i="7"/>
  <c r="G1216" i="7"/>
  <c r="E1216" i="7"/>
  <c r="G1215" i="7"/>
  <c r="E1215" i="7"/>
  <c r="G1214" i="7"/>
  <c r="E1214" i="7"/>
  <c r="G1213" i="7"/>
  <c r="E1213" i="7"/>
  <c r="G1212" i="7"/>
  <c r="E1212" i="7"/>
  <c r="G1211" i="7"/>
  <c r="E1211" i="7"/>
  <c r="G1210" i="7"/>
  <c r="E1210" i="7"/>
  <c r="G1209" i="7"/>
  <c r="E1209" i="7"/>
  <c r="G1208" i="7"/>
  <c r="E1208" i="7"/>
  <c r="G1207" i="7"/>
  <c r="E1207" i="7"/>
  <c r="G1206" i="7"/>
  <c r="E1206" i="7"/>
  <c r="G1205" i="7"/>
  <c r="E1205" i="7"/>
  <c r="G1204" i="7"/>
  <c r="E1204" i="7"/>
  <c r="G1203" i="7"/>
  <c r="E1203" i="7"/>
  <c r="G1202" i="7"/>
  <c r="E1202" i="7"/>
  <c r="G1201" i="7"/>
  <c r="E1201" i="7"/>
  <c r="G1200" i="7"/>
  <c r="E1200" i="7"/>
  <c r="G1199" i="7"/>
  <c r="E1199" i="7"/>
  <c r="G1198" i="7"/>
  <c r="E1198" i="7"/>
  <c r="G1197" i="7"/>
  <c r="E1197" i="7"/>
  <c r="G1196" i="7"/>
  <c r="E1196" i="7"/>
  <c r="G1195" i="7"/>
  <c r="E1195" i="7"/>
  <c r="G1194" i="7"/>
  <c r="E1194" i="7"/>
  <c r="G1193" i="7"/>
  <c r="E1193" i="7"/>
  <c r="G1192" i="7"/>
  <c r="E1192" i="7"/>
  <c r="G1191" i="7"/>
  <c r="E1191" i="7"/>
  <c r="G1190" i="7"/>
  <c r="E1190" i="7"/>
  <c r="G1189" i="7"/>
  <c r="E1189" i="7"/>
  <c r="G1188" i="7"/>
  <c r="E1188" i="7"/>
  <c r="G1187" i="7"/>
  <c r="E1187" i="7"/>
  <c r="G1186" i="7"/>
  <c r="E1186" i="7"/>
  <c r="G1185" i="7"/>
  <c r="E1185" i="7"/>
  <c r="G1184" i="7"/>
  <c r="E1184" i="7"/>
  <c r="G1183" i="7"/>
  <c r="E1183" i="7"/>
  <c r="G1182" i="7"/>
  <c r="E1182" i="7"/>
  <c r="G1181" i="7"/>
  <c r="E1181" i="7"/>
  <c r="G1180" i="7"/>
  <c r="E1180" i="7"/>
  <c r="G1179" i="7"/>
  <c r="E1179" i="7"/>
  <c r="G1178" i="7"/>
  <c r="E1178" i="7"/>
  <c r="G1177" i="7"/>
  <c r="E1177" i="7"/>
  <c r="G1176" i="7"/>
  <c r="E1176" i="7"/>
  <c r="G1175" i="7"/>
  <c r="E1175" i="7"/>
  <c r="G1174" i="7"/>
  <c r="E1174" i="7"/>
  <c r="G1173" i="7"/>
  <c r="E1173" i="7"/>
  <c r="G1172" i="7"/>
  <c r="E1172" i="7"/>
  <c r="G1171" i="7"/>
  <c r="E1171" i="7"/>
  <c r="G1170" i="7"/>
  <c r="E1170" i="7"/>
  <c r="G1169" i="7"/>
  <c r="E1169" i="7"/>
  <c r="G1168" i="7"/>
  <c r="E1168" i="7"/>
  <c r="G1167" i="7"/>
  <c r="E1167" i="7"/>
  <c r="G1166" i="7"/>
  <c r="E1166" i="7"/>
  <c r="G1165" i="7"/>
  <c r="E1165" i="7"/>
  <c r="G1164" i="7"/>
  <c r="E1164" i="7"/>
  <c r="G1163" i="7"/>
  <c r="E1163" i="7"/>
  <c r="G1162" i="7"/>
  <c r="E1162" i="7"/>
  <c r="G1161" i="7"/>
  <c r="E1161" i="7"/>
  <c r="G1160" i="7"/>
  <c r="E1160" i="7"/>
  <c r="G1159" i="7"/>
  <c r="E1159" i="7"/>
  <c r="G1158" i="7"/>
  <c r="E1158" i="7"/>
  <c r="G1157" i="7"/>
  <c r="E1157" i="7"/>
  <c r="G1156" i="7"/>
  <c r="E1156" i="7"/>
  <c r="G1155" i="7"/>
  <c r="E1155" i="7"/>
  <c r="G1154" i="7"/>
  <c r="E1154" i="7"/>
  <c r="G1153" i="7"/>
  <c r="E1153" i="7"/>
  <c r="G1152" i="7"/>
  <c r="E1152" i="7"/>
  <c r="G1151" i="7"/>
  <c r="E1151" i="7"/>
  <c r="G1150" i="7"/>
  <c r="E1150" i="7"/>
  <c r="G1149" i="7"/>
  <c r="E1149" i="7"/>
  <c r="G1148" i="7"/>
  <c r="E1148" i="7"/>
  <c r="G1147" i="7"/>
  <c r="E1147" i="7"/>
  <c r="G1146" i="7"/>
  <c r="E1146" i="7"/>
  <c r="G1145" i="7"/>
  <c r="E1145" i="7"/>
  <c r="G1144" i="7"/>
  <c r="E1144" i="7"/>
  <c r="G1143" i="7"/>
  <c r="E1143" i="7"/>
  <c r="G1142" i="7"/>
  <c r="E1142" i="7"/>
  <c r="G1141" i="7"/>
  <c r="E1141" i="7"/>
  <c r="G1140" i="7"/>
  <c r="E1140" i="7"/>
  <c r="G1139" i="7"/>
  <c r="E1139" i="7"/>
  <c r="G1138" i="7"/>
  <c r="E1138" i="7"/>
  <c r="G1137" i="7"/>
  <c r="E1137" i="7"/>
  <c r="G1136" i="7"/>
  <c r="E1136" i="7"/>
  <c r="G1135" i="7"/>
  <c r="E1135" i="7"/>
  <c r="G1134" i="7"/>
  <c r="E1134" i="7"/>
  <c r="G1133" i="7"/>
  <c r="E1133" i="7"/>
  <c r="G1132" i="7"/>
  <c r="E1132" i="7"/>
  <c r="G1131" i="7"/>
  <c r="E1131" i="7"/>
  <c r="G1130" i="7"/>
  <c r="E1130" i="7"/>
  <c r="G1129" i="7"/>
  <c r="E1129" i="7"/>
  <c r="G1128" i="7"/>
  <c r="E1128" i="7"/>
  <c r="G1127" i="7"/>
  <c r="E1127" i="7"/>
  <c r="G1126" i="7"/>
  <c r="E1126" i="7"/>
  <c r="G1125" i="7"/>
  <c r="E1125" i="7"/>
  <c r="G1124" i="7"/>
  <c r="E1124" i="7"/>
  <c r="G1123" i="7"/>
  <c r="E1123" i="7"/>
  <c r="G1122" i="7"/>
  <c r="E1122" i="7"/>
  <c r="G1121" i="7"/>
  <c r="E1121" i="7"/>
  <c r="G1120" i="7"/>
  <c r="E1120" i="7"/>
  <c r="G1119" i="7"/>
  <c r="E1119" i="7"/>
  <c r="G1118" i="7"/>
  <c r="E1118" i="7"/>
  <c r="G1117" i="7"/>
  <c r="E1117" i="7"/>
  <c r="G1116" i="7"/>
  <c r="E1116" i="7"/>
  <c r="G1115" i="7"/>
  <c r="E1115" i="7"/>
  <c r="G1114" i="7"/>
  <c r="E1114" i="7"/>
  <c r="G1113" i="7"/>
  <c r="E1113" i="7"/>
  <c r="G1112" i="7"/>
  <c r="E1112" i="7"/>
  <c r="G1111" i="7"/>
  <c r="E1111" i="7"/>
  <c r="G1110" i="7"/>
  <c r="E1110" i="7"/>
  <c r="G1109" i="7"/>
  <c r="E1109" i="7"/>
  <c r="G1108" i="7"/>
  <c r="E1108" i="7"/>
  <c r="G1107" i="7"/>
  <c r="E1107" i="7"/>
  <c r="G1106" i="7"/>
  <c r="E1106" i="7"/>
  <c r="G1105" i="7"/>
  <c r="E1105" i="7"/>
  <c r="G1104" i="7"/>
  <c r="E1104" i="7"/>
  <c r="G1103" i="7"/>
  <c r="E1103" i="7"/>
  <c r="G1102" i="7"/>
  <c r="E1102" i="7"/>
  <c r="G1101" i="7"/>
  <c r="E1101" i="7"/>
  <c r="G1100" i="7"/>
  <c r="E1100" i="7"/>
  <c r="G1099" i="7"/>
  <c r="E1099" i="7"/>
  <c r="G1098" i="7"/>
  <c r="E1098" i="7"/>
  <c r="G1097" i="7"/>
  <c r="E1097" i="7"/>
  <c r="G1096" i="7"/>
  <c r="E1096" i="7"/>
  <c r="G1095" i="7"/>
  <c r="E1095" i="7"/>
  <c r="G1094" i="7"/>
  <c r="E1094" i="7"/>
  <c r="G1093" i="7"/>
  <c r="E1093" i="7"/>
  <c r="G1092" i="7"/>
  <c r="E1092" i="7"/>
  <c r="G1091" i="7"/>
  <c r="E1091" i="7"/>
  <c r="G1090" i="7"/>
  <c r="E1090" i="7"/>
  <c r="G1089" i="7"/>
  <c r="E1089" i="7"/>
  <c r="G1088" i="7"/>
  <c r="E1088" i="7"/>
  <c r="G1087" i="7"/>
  <c r="E1087" i="7"/>
  <c r="G1086" i="7"/>
  <c r="E1086" i="7"/>
  <c r="G1085" i="7"/>
  <c r="E1085" i="7"/>
  <c r="G1084" i="7"/>
  <c r="E1084" i="7"/>
  <c r="G1083" i="7"/>
  <c r="E1083" i="7"/>
  <c r="G1082" i="7"/>
  <c r="E1082" i="7"/>
  <c r="G1081" i="7"/>
  <c r="E1081" i="7"/>
  <c r="G1080" i="7"/>
  <c r="E1080" i="7"/>
  <c r="G1079" i="7"/>
  <c r="E1079" i="7"/>
  <c r="G1078" i="7"/>
  <c r="E1078" i="7"/>
  <c r="G1077" i="7"/>
  <c r="E1077" i="7"/>
  <c r="G1076" i="7"/>
  <c r="E1076" i="7"/>
  <c r="G1075" i="7"/>
  <c r="E1075" i="7"/>
  <c r="G1074" i="7"/>
  <c r="E1074" i="7"/>
  <c r="G1073" i="7"/>
  <c r="E1073" i="7"/>
  <c r="G1072" i="7"/>
  <c r="E1072" i="7"/>
  <c r="G1071" i="7"/>
  <c r="E1071" i="7"/>
  <c r="G1070" i="7"/>
  <c r="E1070" i="7"/>
  <c r="G1069" i="7"/>
  <c r="E1069" i="7"/>
  <c r="G1068" i="7"/>
  <c r="E1068" i="7"/>
  <c r="G1067" i="7"/>
  <c r="E1067" i="7"/>
  <c r="G1066" i="7"/>
  <c r="E1066" i="7"/>
  <c r="G1065" i="7"/>
  <c r="E1065" i="7"/>
  <c r="G1064" i="7"/>
  <c r="E1064" i="7"/>
  <c r="G1063" i="7"/>
  <c r="E1063" i="7"/>
  <c r="G1062" i="7"/>
  <c r="E1062" i="7"/>
  <c r="G1061" i="7"/>
  <c r="E1061" i="7"/>
  <c r="G1060" i="7"/>
  <c r="E1060" i="7"/>
  <c r="G1059" i="7"/>
  <c r="E1059" i="7"/>
  <c r="G1058" i="7"/>
  <c r="E1058" i="7"/>
  <c r="G1057" i="7"/>
  <c r="E1057" i="7"/>
  <c r="G1056" i="7"/>
  <c r="E1056" i="7"/>
  <c r="G1055" i="7"/>
  <c r="E1055" i="7"/>
  <c r="G1054" i="7"/>
  <c r="E1054" i="7"/>
  <c r="G1053" i="7"/>
  <c r="E1053" i="7"/>
  <c r="G1052" i="7"/>
  <c r="E1052" i="7"/>
  <c r="G1051" i="7"/>
  <c r="E1051" i="7"/>
  <c r="G1050" i="7"/>
  <c r="E1050" i="7"/>
  <c r="G1049" i="7"/>
  <c r="E1049" i="7"/>
  <c r="G1048" i="7"/>
  <c r="E1048" i="7"/>
  <c r="G1047" i="7"/>
  <c r="E1047" i="7"/>
  <c r="G1046" i="7"/>
  <c r="E1046" i="7"/>
  <c r="G1045" i="7"/>
  <c r="E1045" i="7"/>
  <c r="G1044" i="7"/>
  <c r="E1044" i="7"/>
  <c r="G1043" i="7"/>
  <c r="E1043" i="7"/>
  <c r="G1042" i="7"/>
  <c r="E1042" i="7"/>
  <c r="G1041" i="7"/>
  <c r="E1041" i="7"/>
  <c r="G1040" i="7"/>
  <c r="E1040" i="7"/>
  <c r="G1039" i="7"/>
  <c r="E1039" i="7"/>
  <c r="G1038" i="7"/>
  <c r="E1038" i="7"/>
  <c r="G1037" i="7"/>
  <c r="E1037" i="7"/>
  <c r="G1036" i="7"/>
  <c r="E1036" i="7"/>
  <c r="G1035" i="7"/>
  <c r="E1035" i="7"/>
  <c r="G1034" i="7"/>
  <c r="E1034" i="7"/>
  <c r="G1033" i="7"/>
  <c r="E1033" i="7"/>
  <c r="G1032" i="7"/>
  <c r="E1032" i="7"/>
  <c r="G1031" i="7"/>
  <c r="E1031" i="7"/>
  <c r="G1030" i="7"/>
  <c r="E1030" i="7"/>
  <c r="G1029" i="7"/>
  <c r="E1029" i="7"/>
  <c r="G1028" i="7"/>
  <c r="E1028" i="7"/>
  <c r="G1027" i="7"/>
  <c r="E1027" i="7"/>
  <c r="G1026" i="7"/>
  <c r="E1026" i="7"/>
  <c r="G1025" i="7"/>
  <c r="E1025" i="7"/>
  <c r="G1024" i="7"/>
  <c r="E1024" i="7"/>
  <c r="G1023" i="7"/>
  <c r="E1023" i="7"/>
  <c r="G1022" i="7"/>
  <c r="E1022" i="7"/>
  <c r="G1021" i="7"/>
  <c r="E1021" i="7"/>
  <c r="G1020" i="7"/>
  <c r="E1020" i="7"/>
  <c r="G1019" i="7"/>
  <c r="E1019" i="7"/>
  <c r="G1018" i="7"/>
  <c r="E1018" i="7"/>
  <c r="G1017" i="7"/>
  <c r="E1017" i="7"/>
  <c r="G1016" i="7"/>
  <c r="E1016" i="7"/>
  <c r="G1015" i="7"/>
  <c r="E1015" i="7"/>
  <c r="G1014" i="7"/>
  <c r="E1014" i="7"/>
  <c r="G1013" i="7"/>
  <c r="E1013" i="7"/>
  <c r="G1012" i="7"/>
  <c r="E1012" i="7"/>
  <c r="G1011" i="7"/>
  <c r="E1011" i="7"/>
  <c r="G1010" i="7"/>
  <c r="E1010" i="7"/>
  <c r="G1009" i="7"/>
  <c r="E1009" i="7"/>
  <c r="G1008" i="7"/>
  <c r="E1008" i="7"/>
  <c r="G1007" i="7"/>
  <c r="E1007" i="7"/>
  <c r="G1006" i="7"/>
  <c r="E1006" i="7"/>
  <c r="G1005" i="7"/>
  <c r="E1005" i="7"/>
  <c r="G1004" i="7"/>
  <c r="E1004" i="7"/>
  <c r="G1003" i="7"/>
  <c r="E1003" i="7"/>
  <c r="G1002" i="7"/>
  <c r="E1002" i="7"/>
  <c r="G1001" i="7"/>
  <c r="E1001" i="7"/>
  <c r="G1000" i="7"/>
  <c r="E1000" i="7"/>
  <c r="G999" i="7"/>
  <c r="E999" i="7"/>
  <c r="G998" i="7"/>
  <c r="E998" i="7"/>
  <c r="G997" i="7"/>
  <c r="E997" i="7"/>
  <c r="G996" i="7"/>
  <c r="E996" i="7"/>
  <c r="G995" i="7"/>
  <c r="E995" i="7"/>
  <c r="G994" i="7"/>
  <c r="E994" i="7"/>
  <c r="G993" i="7"/>
  <c r="E993" i="7"/>
  <c r="G992" i="7"/>
  <c r="E992" i="7"/>
  <c r="G991" i="7"/>
  <c r="E991" i="7"/>
  <c r="G990" i="7"/>
  <c r="E990" i="7"/>
  <c r="G989" i="7"/>
  <c r="E989" i="7"/>
  <c r="G988" i="7"/>
  <c r="E988" i="7"/>
  <c r="G987" i="7"/>
  <c r="E987" i="7"/>
  <c r="G986" i="7"/>
  <c r="E986" i="7"/>
  <c r="G985" i="7"/>
  <c r="E985" i="7"/>
  <c r="G984" i="7"/>
  <c r="E984" i="7"/>
  <c r="G983" i="7"/>
  <c r="E983" i="7"/>
  <c r="G982" i="7"/>
  <c r="E982" i="7"/>
  <c r="G981" i="7"/>
  <c r="E981" i="7"/>
  <c r="G980" i="7"/>
  <c r="E980" i="7"/>
  <c r="G979" i="7"/>
  <c r="E979" i="7"/>
  <c r="G978" i="7"/>
  <c r="E978" i="7"/>
  <c r="G977" i="7"/>
  <c r="E977" i="7"/>
  <c r="G976" i="7"/>
  <c r="E976" i="7"/>
  <c r="G975" i="7"/>
  <c r="E975" i="7"/>
  <c r="G974" i="7"/>
  <c r="E974" i="7"/>
  <c r="G973" i="7"/>
  <c r="E973" i="7"/>
  <c r="G972" i="7"/>
  <c r="E972" i="7"/>
  <c r="G971" i="7"/>
  <c r="E971" i="7"/>
  <c r="G970" i="7"/>
  <c r="E970" i="7"/>
  <c r="G969" i="7"/>
  <c r="E969" i="7"/>
  <c r="G968" i="7"/>
  <c r="E968" i="7"/>
  <c r="G967" i="7"/>
  <c r="E967" i="7"/>
  <c r="G966" i="7"/>
  <c r="E966" i="7"/>
  <c r="G965" i="7"/>
  <c r="E965" i="7"/>
  <c r="G964" i="7"/>
  <c r="E964" i="7"/>
  <c r="G963" i="7"/>
  <c r="E963" i="7"/>
  <c r="G962" i="7"/>
  <c r="E962" i="7"/>
  <c r="G961" i="7"/>
  <c r="E961" i="7"/>
  <c r="G960" i="7"/>
  <c r="E960" i="7"/>
  <c r="G959" i="7"/>
  <c r="E959" i="7"/>
  <c r="G958" i="7"/>
  <c r="E958" i="7"/>
  <c r="G957" i="7"/>
  <c r="E957" i="7"/>
  <c r="G956" i="7"/>
  <c r="E956" i="7"/>
  <c r="G955" i="7"/>
  <c r="E955" i="7"/>
  <c r="G954" i="7"/>
  <c r="E954" i="7"/>
  <c r="G953" i="7"/>
  <c r="E953" i="7"/>
  <c r="G952" i="7"/>
  <c r="E952" i="7"/>
  <c r="G951" i="7"/>
  <c r="E951" i="7"/>
  <c r="G950" i="7"/>
  <c r="E950" i="7"/>
  <c r="G949" i="7"/>
  <c r="E949" i="7"/>
  <c r="G948" i="7"/>
  <c r="E948" i="7"/>
  <c r="G947" i="7"/>
  <c r="E947" i="7"/>
  <c r="G946" i="7"/>
  <c r="E946" i="7"/>
  <c r="G945" i="7"/>
  <c r="E945" i="7"/>
  <c r="G944" i="7"/>
  <c r="E944" i="7"/>
  <c r="G943" i="7"/>
  <c r="E943" i="7"/>
  <c r="G942" i="7"/>
  <c r="E942" i="7"/>
  <c r="G941" i="7"/>
  <c r="E941" i="7"/>
  <c r="G940" i="7"/>
  <c r="E940" i="7"/>
  <c r="G939" i="7"/>
  <c r="E939" i="7"/>
  <c r="G938" i="7"/>
  <c r="E938" i="7"/>
  <c r="G937" i="7"/>
  <c r="E937" i="7"/>
  <c r="G936" i="7"/>
  <c r="E936" i="7"/>
  <c r="G935" i="7"/>
  <c r="E935" i="7"/>
  <c r="G934" i="7"/>
  <c r="E934" i="7"/>
  <c r="G933" i="7"/>
  <c r="E933" i="7"/>
  <c r="G932" i="7"/>
  <c r="E932" i="7"/>
  <c r="G931" i="7"/>
  <c r="E931" i="7"/>
  <c r="G930" i="7"/>
  <c r="E930" i="7"/>
  <c r="G929" i="7"/>
  <c r="E929" i="7"/>
  <c r="G928" i="7"/>
  <c r="E928" i="7"/>
  <c r="G927" i="7"/>
  <c r="E927" i="7"/>
  <c r="G926" i="7"/>
  <c r="E926" i="7"/>
  <c r="G925" i="7"/>
  <c r="E925" i="7"/>
  <c r="G924" i="7"/>
  <c r="E924" i="7"/>
  <c r="G923" i="7"/>
  <c r="E923" i="7"/>
  <c r="G922" i="7"/>
  <c r="E922" i="7"/>
  <c r="G921" i="7"/>
  <c r="E921" i="7"/>
  <c r="G920" i="7"/>
  <c r="E920" i="7"/>
  <c r="G919" i="7"/>
  <c r="E919" i="7"/>
  <c r="G918" i="7"/>
  <c r="E918" i="7"/>
  <c r="G917" i="7"/>
  <c r="E917" i="7"/>
  <c r="G916" i="7"/>
  <c r="E916" i="7"/>
  <c r="G915" i="7"/>
  <c r="E915" i="7"/>
  <c r="G914" i="7"/>
  <c r="E914" i="7"/>
  <c r="G913" i="7"/>
  <c r="E913" i="7"/>
  <c r="G912" i="7"/>
  <c r="E912" i="7"/>
  <c r="G911" i="7"/>
  <c r="E911" i="7"/>
  <c r="G910" i="7"/>
  <c r="E910" i="7"/>
  <c r="G909" i="7"/>
  <c r="E909" i="7"/>
  <c r="G908" i="7"/>
  <c r="E908" i="7"/>
  <c r="G907" i="7"/>
  <c r="E907" i="7"/>
  <c r="G906" i="7"/>
  <c r="E906" i="7"/>
  <c r="G905" i="7"/>
  <c r="E905" i="7"/>
  <c r="G904" i="7"/>
  <c r="E904" i="7"/>
  <c r="G903" i="7"/>
  <c r="E903" i="7"/>
  <c r="G902" i="7"/>
  <c r="E902" i="7"/>
  <c r="G901" i="7"/>
  <c r="E901" i="7"/>
  <c r="G900" i="7"/>
  <c r="E900" i="7"/>
  <c r="G899" i="7"/>
  <c r="E899" i="7"/>
  <c r="G898" i="7"/>
  <c r="E898" i="7"/>
  <c r="G897" i="7"/>
  <c r="E897" i="7"/>
  <c r="G896" i="7"/>
  <c r="E896" i="7"/>
  <c r="G895" i="7"/>
  <c r="E895" i="7"/>
  <c r="G894" i="7"/>
  <c r="E894" i="7"/>
  <c r="G893" i="7"/>
  <c r="E893" i="7"/>
  <c r="G892" i="7"/>
  <c r="E892" i="7"/>
  <c r="G891" i="7"/>
  <c r="E891" i="7"/>
  <c r="G890" i="7"/>
  <c r="E890" i="7"/>
  <c r="G889" i="7"/>
  <c r="E889" i="7"/>
  <c r="G888" i="7"/>
  <c r="E888" i="7"/>
  <c r="G887" i="7"/>
  <c r="E887" i="7"/>
  <c r="G886" i="7"/>
  <c r="E886" i="7"/>
  <c r="G885" i="7"/>
  <c r="E885" i="7"/>
  <c r="G884" i="7"/>
  <c r="E884" i="7"/>
  <c r="G883" i="7"/>
  <c r="E883" i="7"/>
  <c r="G882" i="7"/>
  <c r="E882" i="7"/>
  <c r="G881" i="7"/>
  <c r="E881" i="7"/>
  <c r="G880" i="7"/>
  <c r="E880" i="7"/>
  <c r="G879" i="7"/>
  <c r="E879" i="7"/>
  <c r="G878" i="7"/>
  <c r="E878" i="7"/>
  <c r="G877" i="7"/>
  <c r="E877" i="7"/>
  <c r="G876" i="7"/>
  <c r="E876" i="7"/>
  <c r="G875" i="7"/>
  <c r="E875" i="7"/>
  <c r="G874" i="7"/>
  <c r="E874" i="7"/>
  <c r="G873" i="7"/>
  <c r="E873" i="7"/>
  <c r="G872" i="7"/>
  <c r="E872" i="7"/>
  <c r="G871" i="7"/>
  <c r="E871" i="7"/>
  <c r="G870" i="7"/>
  <c r="E870" i="7"/>
  <c r="G869" i="7"/>
  <c r="E869" i="7"/>
  <c r="G868" i="7"/>
  <c r="E868" i="7"/>
  <c r="G867" i="7"/>
  <c r="E867" i="7"/>
  <c r="G866" i="7"/>
  <c r="E866" i="7"/>
  <c r="G865" i="7"/>
  <c r="E865" i="7"/>
  <c r="G864" i="7"/>
  <c r="E864" i="7"/>
  <c r="G863" i="7"/>
  <c r="E863" i="7"/>
  <c r="G862" i="7"/>
  <c r="E862" i="7"/>
  <c r="G861" i="7"/>
  <c r="E861" i="7"/>
  <c r="G860" i="7"/>
  <c r="E860" i="7"/>
  <c r="G859" i="7"/>
  <c r="E859" i="7"/>
  <c r="G858" i="7"/>
  <c r="E858" i="7"/>
  <c r="G857" i="7"/>
  <c r="E857" i="7"/>
  <c r="G856" i="7"/>
  <c r="E856" i="7"/>
  <c r="G855" i="7"/>
  <c r="E855" i="7"/>
  <c r="G854" i="7"/>
  <c r="E854" i="7"/>
  <c r="G853" i="7"/>
  <c r="E853" i="7"/>
  <c r="G852" i="7"/>
  <c r="E852" i="7"/>
  <c r="G851" i="7"/>
  <c r="E851" i="7"/>
  <c r="G850" i="7"/>
  <c r="E850" i="7"/>
  <c r="G849" i="7"/>
  <c r="E849" i="7"/>
  <c r="G848" i="7"/>
  <c r="E848" i="7"/>
  <c r="G847" i="7"/>
  <c r="E847" i="7"/>
  <c r="G846" i="7"/>
  <c r="E846" i="7"/>
  <c r="G845" i="7"/>
  <c r="E845" i="7"/>
  <c r="G844" i="7"/>
  <c r="E844" i="7"/>
  <c r="G843" i="7"/>
  <c r="E843" i="7"/>
  <c r="G842" i="7"/>
  <c r="E842" i="7"/>
  <c r="G841" i="7"/>
  <c r="E841" i="7"/>
  <c r="G840" i="7"/>
  <c r="E840" i="7"/>
  <c r="G839" i="7"/>
  <c r="E839" i="7"/>
  <c r="G838" i="7"/>
  <c r="E838" i="7"/>
  <c r="G837" i="7"/>
  <c r="E837" i="7"/>
  <c r="G836" i="7"/>
  <c r="E836" i="7"/>
  <c r="G835" i="7"/>
  <c r="E835" i="7"/>
  <c r="G834" i="7"/>
  <c r="E834" i="7"/>
  <c r="G833" i="7"/>
  <c r="E833" i="7"/>
  <c r="G832" i="7"/>
  <c r="E832" i="7"/>
  <c r="G831" i="7"/>
  <c r="E831" i="7"/>
  <c r="G830" i="7"/>
  <c r="E830" i="7"/>
  <c r="G829" i="7"/>
  <c r="E829" i="7"/>
  <c r="G828" i="7"/>
  <c r="E828" i="7"/>
  <c r="G827" i="7"/>
  <c r="E827" i="7"/>
  <c r="G826" i="7"/>
  <c r="E826" i="7"/>
  <c r="G825" i="7"/>
  <c r="E825" i="7"/>
  <c r="G824" i="7"/>
  <c r="E824" i="7"/>
  <c r="G823" i="7"/>
  <c r="E823" i="7"/>
  <c r="G822" i="7"/>
  <c r="E822" i="7"/>
  <c r="G821" i="7"/>
  <c r="E821" i="7"/>
  <c r="G820" i="7"/>
  <c r="E820" i="7"/>
  <c r="G819" i="7"/>
  <c r="E819" i="7"/>
  <c r="G818" i="7"/>
  <c r="E818" i="7"/>
  <c r="G817" i="7"/>
  <c r="E817" i="7"/>
  <c r="G816" i="7"/>
  <c r="E816" i="7"/>
  <c r="G815" i="7"/>
  <c r="E815" i="7"/>
  <c r="G814" i="7"/>
  <c r="E814" i="7"/>
  <c r="G813" i="7"/>
  <c r="E813" i="7"/>
  <c r="G812" i="7"/>
  <c r="E812" i="7"/>
  <c r="G811" i="7"/>
  <c r="E811" i="7"/>
  <c r="G810" i="7"/>
  <c r="E810" i="7"/>
  <c r="G809" i="7"/>
  <c r="E809" i="7"/>
  <c r="G808" i="7"/>
  <c r="E808" i="7"/>
  <c r="G807" i="7"/>
  <c r="E807" i="7"/>
  <c r="G806" i="7"/>
  <c r="E806" i="7"/>
  <c r="G805" i="7"/>
  <c r="E805" i="7"/>
  <c r="G804" i="7"/>
  <c r="E804" i="7"/>
  <c r="G803" i="7"/>
  <c r="E803" i="7"/>
  <c r="G802" i="7"/>
  <c r="E802" i="7"/>
  <c r="G801" i="7"/>
  <c r="E801" i="7"/>
  <c r="G800" i="7"/>
  <c r="E800" i="7"/>
  <c r="G799" i="7"/>
  <c r="E799" i="7"/>
  <c r="G798" i="7"/>
  <c r="E798" i="7"/>
  <c r="G797" i="7"/>
  <c r="E797" i="7"/>
  <c r="G796" i="7"/>
  <c r="E796" i="7"/>
  <c r="G795" i="7"/>
  <c r="E795" i="7"/>
  <c r="G794" i="7"/>
  <c r="E794" i="7"/>
  <c r="G793" i="7"/>
  <c r="E793" i="7"/>
  <c r="G792" i="7"/>
  <c r="E792" i="7"/>
  <c r="G791" i="7"/>
  <c r="E791" i="7"/>
  <c r="G790" i="7"/>
  <c r="E790" i="7"/>
  <c r="G789" i="7"/>
  <c r="E789" i="7"/>
  <c r="G788" i="7"/>
  <c r="E788" i="7"/>
  <c r="G787" i="7"/>
  <c r="E787" i="7"/>
  <c r="G786" i="7"/>
  <c r="E786" i="7"/>
  <c r="G785" i="7"/>
  <c r="E785" i="7"/>
  <c r="G784" i="7"/>
  <c r="E784" i="7"/>
  <c r="G783" i="7"/>
  <c r="E783" i="7"/>
  <c r="G782" i="7"/>
  <c r="E782" i="7"/>
  <c r="G781" i="7"/>
  <c r="E781" i="7"/>
  <c r="G780" i="7"/>
  <c r="E780" i="7"/>
  <c r="G779" i="7"/>
  <c r="E779" i="7"/>
  <c r="G778" i="7"/>
  <c r="E778" i="7"/>
  <c r="G777" i="7"/>
  <c r="E777" i="7"/>
  <c r="G776" i="7"/>
  <c r="E776" i="7"/>
  <c r="G775" i="7"/>
  <c r="E775" i="7"/>
  <c r="G774" i="7"/>
  <c r="E774" i="7"/>
  <c r="G773" i="7"/>
  <c r="E773" i="7"/>
  <c r="G772" i="7"/>
  <c r="E772" i="7"/>
  <c r="G771" i="7"/>
  <c r="E771" i="7"/>
  <c r="G770" i="7"/>
  <c r="E770" i="7"/>
  <c r="G769" i="7"/>
  <c r="E769" i="7"/>
  <c r="G768" i="7"/>
  <c r="E768" i="7"/>
  <c r="G767" i="7"/>
  <c r="E767" i="7"/>
  <c r="G766" i="7"/>
  <c r="E766" i="7"/>
  <c r="G765" i="7"/>
  <c r="E765" i="7"/>
  <c r="G764" i="7"/>
  <c r="E764" i="7"/>
  <c r="G763" i="7"/>
  <c r="E763" i="7"/>
  <c r="G762" i="7"/>
  <c r="E762" i="7"/>
  <c r="G761" i="7"/>
  <c r="E761" i="7"/>
  <c r="G760" i="7"/>
  <c r="E760" i="7"/>
  <c r="G759" i="7"/>
  <c r="E759" i="7"/>
  <c r="G758" i="7"/>
  <c r="E758" i="7"/>
  <c r="G757" i="7"/>
  <c r="E757" i="7"/>
  <c r="G756" i="7"/>
  <c r="E756" i="7"/>
  <c r="G755" i="7"/>
  <c r="E755" i="7"/>
  <c r="G754" i="7"/>
  <c r="E754" i="7"/>
  <c r="G753" i="7"/>
  <c r="E753" i="7"/>
  <c r="G752" i="7"/>
  <c r="E752" i="7"/>
  <c r="G751" i="7"/>
  <c r="E751" i="7"/>
  <c r="G750" i="7"/>
  <c r="E750" i="7"/>
  <c r="G749" i="7"/>
  <c r="E749" i="7"/>
  <c r="G748" i="7"/>
  <c r="E748" i="7"/>
  <c r="G747" i="7"/>
  <c r="E747" i="7"/>
  <c r="G746" i="7"/>
  <c r="E746" i="7"/>
  <c r="G745" i="7"/>
  <c r="E745" i="7"/>
  <c r="G744" i="7"/>
  <c r="E744" i="7"/>
  <c r="G743" i="7"/>
  <c r="E743" i="7"/>
  <c r="G742" i="7"/>
  <c r="E742" i="7"/>
  <c r="G741" i="7"/>
  <c r="E741" i="7"/>
  <c r="G740" i="7"/>
  <c r="E740" i="7"/>
  <c r="G739" i="7"/>
  <c r="E739" i="7"/>
  <c r="G738" i="7"/>
  <c r="E738" i="7"/>
  <c r="G737" i="7"/>
  <c r="E737" i="7"/>
  <c r="G736" i="7"/>
  <c r="E736" i="7"/>
  <c r="G735" i="7"/>
  <c r="E735" i="7"/>
  <c r="G734" i="7"/>
  <c r="E734" i="7"/>
  <c r="G733" i="7"/>
  <c r="E733" i="7"/>
  <c r="G732" i="7"/>
  <c r="E732" i="7"/>
  <c r="G731" i="7"/>
  <c r="E731" i="7"/>
  <c r="G730" i="7"/>
  <c r="E730" i="7"/>
  <c r="G729" i="7"/>
  <c r="E729" i="7"/>
  <c r="G728" i="7"/>
  <c r="E728" i="7"/>
  <c r="G727" i="7"/>
  <c r="E727" i="7"/>
  <c r="G726" i="7"/>
  <c r="E726" i="7"/>
  <c r="G725" i="7"/>
  <c r="E725" i="7"/>
  <c r="G724" i="7"/>
  <c r="E724" i="7"/>
  <c r="G723" i="7"/>
  <c r="E723" i="7"/>
  <c r="G722" i="7"/>
  <c r="E722" i="7"/>
  <c r="G721" i="7"/>
  <c r="E721" i="7"/>
  <c r="G720" i="7"/>
  <c r="E720" i="7"/>
  <c r="G719" i="7"/>
  <c r="E719" i="7"/>
  <c r="G718" i="7"/>
  <c r="E718" i="7"/>
  <c r="G717" i="7"/>
  <c r="E717" i="7"/>
  <c r="G716" i="7"/>
  <c r="E716" i="7"/>
  <c r="G715" i="7"/>
  <c r="E715" i="7"/>
  <c r="G714" i="7"/>
  <c r="E714" i="7"/>
  <c r="G713" i="7"/>
  <c r="E713" i="7"/>
  <c r="G712" i="7"/>
  <c r="E712" i="7"/>
  <c r="G711" i="7"/>
  <c r="E711" i="7"/>
  <c r="G710" i="7"/>
  <c r="E710" i="7"/>
  <c r="G709" i="7"/>
  <c r="E709" i="7"/>
  <c r="G708" i="7"/>
  <c r="E708" i="7"/>
  <c r="G707" i="7"/>
  <c r="E707" i="7"/>
  <c r="G706" i="7"/>
  <c r="E706" i="7"/>
  <c r="G705" i="7"/>
  <c r="E705" i="7"/>
  <c r="G704" i="7"/>
  <c r="E704" i="7"/>
  <c r="G703" i="7"/>
  <c r="E703" i="7"/>
  <c r="G702" i="7"/>
  <c r="E702" i="7"/>
  <c r="G701" i="7"/>
  <c r="E701" i="7"/>
  <c r="G700" i="7"/>
  <c r="E700" i="7"/>
  <c r="G699" i="7"/>
  <c r="E699" i="7"/>
  <c r="G698" i="7"/>
  <c r="E698" i="7"/>
  <c r="G697" i="7"/>
  <c r="E697" i="7"/>
  <c r="G696" i="7"/>
  <c r="E696" i="7"/>
  <c r="G695" i="7"/>
  <c r="E695" i="7"/>
  <c r="G694" i="7"/>
  <c r="E694" i="7"/>
  <c r="G693" i="7"/>
  <c r="E693" i="7"/>
  <c r="G692" i="7"/>
  <c r="E692" i="7"/>
  <c r="G691" i="7"/>
  <c r="E691" i="7"/>
  <c r="G690" i="7"/>
  <c r="E690" i="7"/>
  <c r="G689" i="7"/>
  <c r="E689" i="7"/>
  <c r="G688" i="7"/>
  <c r="E688" i="7"/>
  <c r="G687" i="7"/>
  <c r="E687" i="7"/>
  <c r="G686" i="7"/>
  <c r="E686" i="7"/>
  <c r="G685" i="7"/>
  <c r="E685" i="7"/>
  <c r="G684" i="7"/>
  <c r="E684" i="7"/>
  <c r="G683" i="7"/>
  <c r="E683" i="7"/>
  <c r="G682" i="7"/>
  <c r="E682" i="7"/>
  <c r="G681" i="7"/>
  <c r="E681" i="7"/>
  <c r="G680" i="7"/>
  <c r="E680" i="7"/>
  <c r="G679" i="7"/>
  <c r="E679" i="7"/>
  <c r="G678" i="7"/>
  <c r="E678" i="7"/>
  <c r="G677" i="7"/>
  <c r="E677" i="7"/>
  <c r="G676" i="7"/>
  <c r="E676" i="7"/>
  <c r="G675" i="7"/>
  <c r="E675" i="7"/>
  <c r="G674" i="7"/>
  <c r="E674" i="7"/>
  <c r="G673" i="7"/>
  <c r="E673" i="7"/>
  <c r="G672" i="7"/>
  <c r="E672" i="7"/>
  <c r="G671" i="7"/>
  <c r="E671" i="7"/>
  <c r="G670" i="7"/>
  <c r="E670" i="7"/>
  <c r="G669" i="7"/>
  <c r="E669" i="7"/>
  <c r="G668" i="7"/>
  <c r="E668" i="7"/>
  <c r="G667" i="7"/>
  <c r="E667" i="7"/>
  <c r="G666" i="7"/>
  <c r="E666" i="7"/>
  <c r="G665" i="7"/>
  <c r="E665" i="7"/>
  <c r="G664" i="7"/>
  <c r="E664" i="7"/>
  <c r="G663" i="7"/>
  <c r="E663" i="7"/>
  <c r="G662" i="7"/>
  <c r="E662" i="7"/>
  <c r="G661" i="7"/>
  <c r="E661" i="7"/>
  <c r="G660" i="7"/>
  <c r="E660" i="7"/>
  <c r="G659" i="7"/>
  <c r="E659" i="7"/>
  <c r="G658" i="7"/>
  <c r="E658" i="7"/>
  <c r="G657" i="7"/>
  <c r="E657" i="7"/>
  <c r="G656" i="7"/>
  <c r="E656" i="7"/>
  <c r="G655" i="7"/>
  <c r="E655" i="7"/>
  <c r="G654" i="7"/>
  <c r="E654" i="7"/>
  <c r="G653" i="7"/>
  <c r="E653" i="7"/>
  <c r="G652" i="7"/>
  <c r="E652" i="7"/>
  <c r="G651" i="7"/>
  <c r="E651" i="7"/>
  <c r="G650" i="7"/>
  <c r="E650" i="7"/>
  <c r="G649" i="7"/>
  <c r="E649" i="7"/>
  <c r="G648" i="7"/>
  <c r="E648" i="7"/>
  <c r="G647" i="7"/>
  <c r="E647" i="7"/>
  <c r="G646" i="7"/>
  <c r="E646" i="7"/>
  <c r="G645" i="7"/>
  <c r="E645" i="7"/>
  <c r="G644" i="7"/>
  <c r="E644" i="7"/>
  <c r="G643" i="7"/>
  <c r="E643" i="7"/>
  <c r="G642" i="7"/>
  <c r="E642" i="7"/>
  <c r="G641" i="7"/>
  <c r="E641" i="7"/>
  <c r="G640" i="7"/>
  <c r="E640" i="7"/>
  <c r="G639" i="7"/>
  <c r="E639" i="7"/>
  <c r="G638" i="7"/>
  <c r="E638" i="7"/>
  <c r="G637" i="7"/>
  <c r="E637" i="7"/>
  <c r="G636" i="7"/>
  <c r="E636" i="7"/>
  <c r="G635" i="7"/>
  <c r="E635" i="7"/>
  <c r="G634" i="7"/>
  <c r="E634" i="7"/>
  <c r="G633" i="7"/>
  <c r="E633" i="7"/>
  <c r="G632" i="7"/>
  <c r="E632" i="7"/>
  <c r="G631" i="7"/>
  <c r="E631" i="7"/>
  <c r="G630" i="7"/>
  <c r="E630" i="7"/>
  <c r="G629" i="7"/>
  <c r="E629" i="7"/>
  <c r="G628" i="7"/>
  <c r="E628" i="7"/>
  <c r="G627" i="7"/>
  <c r="E627" i="7"/>
  <c r="G626" i="7"/>
  <c r="E626" i="7"/>
  <c r="G625" i="7"/>
  <c r="E625" i="7"/>
  <c r="G624" i="7"/>
  <c r="E624" i="7"/>
  <c r="G623" i="7"/>
  <c r="E623" i="7"/>
  <c r="G622" i="7"/>
  <c r="E622" i="7"/>
  <c r="G621" i="7"/>
  <c r="E621" i="7"/>
  <c r="G620" i="7"/>
  <c r="E620" i="7"/>
  <c r="G619" i="7"/>
  <c r="E619" i="7"/>
  <c r="G618" i="7"/>
  <c r="E618" i="7"/>
  <c r="G617" i="7"/>
  <c r="E617" i="7"/>
  <c r="G616" i="7"/>
  <c r="E616" i="7"/>
  <c r="G615" i="7"/>
  <c r="E615" i="7"/>
  <c r="G614" i="7"/>
  <c r="E614" i="7"/>
  <c r="G613" i="7"/>
  <c r="E613" i="7"/>
  <c r="G612" i="7"/>
  <c r="E612" i="7"/>
  <c r="G611" i="7"/>
  <c r="E611" i="7"/>
  <c r="G610" i="7"/>
  <c r="E610" i="7"/>
  <c r="G609" i="7"/>
  <c r="E609" i="7"/>
  <c r="G608" i="7"/>
  <c r="E608" i="7"/>
  <c r="G607" i="7"/>
  <c r="E607" i="7"/>
  <c r="G606" i="7"/>
  <c r="E606" i="7"/>
  <c r="G605" i="7"/>
  <c r="E605" i="7"/>
  <c r="G604" i="7"/>
  <c r="E604" i="7"/>
  <c r="G603" i="7"/>
  <c r="E603" i="7"/>
  <c r="G602" i="7"/>
  <c r="E602" i="7"/>
  <c r="G601" i="7"/>
  <c r="E601" i="7"/>
  <c r="G600" i="7"/>
  <c r="E600" i="7"/>
  <c r="G599" i="7"/>
  <c r="E599" i="7"/>
  <c r="G598" i="7"/>
  <c r="E598" i="7"/>
  <c r="G597" i="7"/>
  <c r="E597" i="7"/>
  <c r="G596" i="7"/>
  <c r="E596" i="7"/>
  <c r="G595" i="7"/>
  <c r="E595" i="7"/>
  <c r="G594" i="7"/>
  <c r="E594" i="7"/>
  <c r="G593" i="7"/>
  <c r="E593" i="7"/>
  <c r="G592" i="7"/>
  <c r="E592" i="7"/>
  <c r="G591" i="7"/>
  <c r="E591" i="7"/>
  <c r="G590" i="7"/>
  <c r="E590" i="7"/>
  <c r="G589" i="7"/>
  <c r="E589" i="7"/>
  <c r="G588" i="7"/>
  <c r="E588" i="7"/>
  <c r="G587" i="7"/>
  <c r="E587" i="7"/>
  <c r="G586" i="7"/>
  <c r="E586" i="7"/>
  <c r="G585" i="7"/>
  <c r="E585" i="7"/>
  <c r="G584" i="7"/>
  <c r="E584" i="7"/>
  <c r="G583" i="7"/>
  <c r="E583" i="7"/>
  <c r="G582" i="7"/>
  <c r="E582" i="7"/>
  <c r="G581" i="7"/>
  <c r="E581" i="7"/>
  <c r="G580" i="7"/>
  <c r="E580" i="7"/>
  <c r="G579" i="7"/>
  <c r="E579" i="7"/>
  <c r="G578" i="7"/>
  <c r="E578" i="7"/>
  <c r="G577" i="7"/>
  <c r="E577" i="7"/>
  <c r="G576" i="7"/>
  <c r="E576" i="7"/>
  <c r="G575" i="7"/>
  <c r="E575" i="7"/>
  <c r="G574" i="7"/>
  <c r="E574" i="7"/>
  <c r="G573" i="7"/>
  <c r="E573" i="7"/>
  <c r="G572" i="7"/>
  <c r="E572" i="7"/>
  <c r="G571" i="7"/>
  <c r="E571" i="7"/>
  <c r="G570" i="7"/>
  <c r="E570" i="7"/>
  <c r="G569" i="7"/>
  <c r="E569" i="7"/>
  <c r="G568" i="7"/>
  <c r="E568" i="7"/>
  <c r="G567" i="7"/>
  <c r="E567" i="7"/>
  <c r="G566" i="7"/>
  <c r="E566" i="7"/>
  <c r="G565" i="7"/>
  <c r="E565" i="7"/>
  <c r="G564" i="7"/>
  <c r="E564" i="7"/>
  <c r="G563" i="7"/>
  <c r="E563" i="7"/>
  <c r="G562" i="7"/>
  <c r="E562" i="7"/>
  <c r="G561" i="7"/>
  <c r="E561" i="7"/>
  <c r="G560" i="7"/>
  <c r="E560" i="7"/>
  <c r="G559" i="7"/>
  <c r="E559" i="7"/>
  <c r="G558" i="7"/>
  <c r="E558" i="7"/>
  <c r="G557" i="7"/>
  <c r="E557" i="7"/>
  <c r="G556" i="7"/>
  <c r="E556" i="7"/>
  <c r="G555" i="7"/>
  <c r="E555" i="7"/>
  <c r="G554" i="7"/>
  <c r="E554" i="7"/>
  <c r="G553" i="7"/>
  <c r="E553" i="7"/>
  <c r="G552" i="7"/>
  <c r="E552" i="7"/>
  <c r="G551" i="7"/>
  <c r="E551" i="7"/>
  <c r="G550" i="7"/>
  <c r="E550" i="7"/>
  <c r="G549" i="7"/>
  <c r="E549" i="7"/>
  <c r="G548" i="7"/>
  <c r="E548" i="7"/>
  <c r="G547" i="7"/>
  <c r="E547" i="7"/>
  <c r="G546" i="7"/>
  <c r="E546" i="7"/>
  <c r="G545" i="7"/>
  <c r="E545" i="7"/>
  <c r="G544" i="7"/>
  <c r="E544" i="7"/>
  <c r="G543" i="7"/>
  <c r="E543" i="7"/>
  <c r="G542" i="7"/>
  <c r="E542" i="7"/>
  <c r="G541" i="7"/>
  <c r="E541" i="7"/>
  <c r="G540" i="7"/>
  <c r="E540" i="7"/>
  <c r="G539" i="7"/>
  <c r="E539" i="7"/>
  <c r="G538" i="7"/>
  <c r="E538" i="7"/>
  <c r="G537" i="7"/>
  <c r="E537" i="7"/>
  <c r="G536" i="7"/>
  <c r="E536" i="7"/>
  <c r="G535" i="7"/>
  <c r="E535" i="7"/>
  <c r="G534" i="7"/>
  <c r="E534" i="7"/>
  <c r="G533" i="7"/>
  <c r="E533" i="7"/>
  <c r="G532" i="7"/>
  <c r="E532" i="7"/>
  <c r="G531" i="7"/>
  <c r="E531" i="7"/>
  <c r="G530" i="7"/>
  <c r="E530" i="7"/>
  <c r="G529" i="7"/>
  <c r="E529" i="7"/>
  <c r="G528" i="7"/>
  <c r="E528" i="7"/>
  <c r="G527" i="7"/>
  <c r="E527" i="7"/>
  <c r="G526" i="7"/>
  <c r="E526" i="7"/>
  <c r="G525" i="7"/>
  <c r="E525" i="7"/>
  <c r="G524" i="7"/>
  <c r="E524" i="7"/>
  <c r="G523" i="7"/>
  <c r="E523" i="7"/>
  <c r="G522" i="7"/>
  <c r="E522" i="7"/>
  <c r="G521" i="7"/>
  <c r="E521" i="7"/>
  <c r="G520" i="7"/>
  <c r="E520" i="7"/>
  <c r="G519" i="7"/>
  <c r="E519" i="7"/>
  <c r="G518" i="7"/>
  <c r="E518" i="7"/>
  <c r="G517" i="7"/>
  <c r="E517" i="7"/>
  <c r="G516" i="7"/>
  <c r="E516" i="7"/>
  <c r="G515" i="7"/>
  <c r="E515" i="7"/>
  <c r="G514" i="7"/>
  <c r="E514" i="7"/>
  <c r="G513" i="7"/>
  <c r="E513" i="7"/>
  <c r="G512" i="7"/>
  <c r="E512" i="7"/>
  <c r="G511" i="7"/>
  <c r="E511" i="7"/>
  <c r="G510" i="7"/>
  <c r="E510" i="7"/>
  <c r="G509" i="7"/>
  <c r="E509" i="7"/>
  <c r="G508" i="7"/>
  <c r="E508" i="7"/>
  <c r="G507" i="7"/>
  <c r="E507" i="7"/>
  <c r="G506" i="7"/>
  <c r="E506" i="7"/>
  <c r="G505" i="7"/>
  <c r="E505" i="7"/>
  <c r="G504" i="7"/>
  <c r="E504" i="7"/>
  <c r="G503" i="7"/>
  <c r="E503" i="7"/>
  <c r="G502" i="7"/>
  <c r="E502" i="7"/>
  <c r="G501" i="7"/>
  <c r="E501" i="7"/>
  <c r="G500" i="7"/>
  <c r="E500" i="7"/>
  <c r="G499" i="7"/>
  <c r="E499" i="7"/>
  <c r="G498" i="7"/>
  <c r="E498" i="7"/>
  <c r="G497" i="7"/>
  <c r="E497" i="7"/>
  <c r="G496" i="7"/>
  <c r="E496" i="7"/>
  <c r="G495" i="7"/>
  <c r="E495" i="7"/>
  <c r="G494" i="7"/>
  <c r="E494" i="7"/>
  <c r="G493" i="7"/>
  <c r="E493" i="7"/>
  <c r="G492" i="7"/>
  <c r="E492" i="7"/>
  <c r="G491" i="7"/>
  <c r="E491" i="7"/>
  <c r="G490" i="7"/>
  <c r="E490" i="7"/>
  <c r="G489" i="7"/>
  <c r="E489" i="7"/>
  <c r="G488" i="7"/>
  <c r="E488" i="7"/>
  <c r="G487" i="7"/>
  <c r="E487" i="7"/>
  <c r="G486" i="7"/>
  <c r="E486" i="7"/>
  <c r="G485" i="7"/>
  <c r="E485" i="7"/>
  <c r="G484" i="7"/>
  <c r="E484" i="7"/>
  <c r="G483" i="7"/>
  <c r="E483" i="7"/>
  <c r="G482" i="7"/>
  <c r="E482" i="7"/>
  <c r="G481" i="7"/>
  <c r="E481" i="7"/>
  <c r="G480" i="7"/>
  <c r="E480" i="7"/>
  <c r="G479" i="7"/>
  <c r="E479" i="7"/>
  <c r="G478" i="7"/>
  <c r="E478" i="7"/>
  <c r="G477" i="7"/>
  <c r="E477" i="7"/>
  <c r="G476" i="7"/>
  <c r="E476" i="7"/>
  <c r="G475" i="7"/>
  <c r="E475" i="7"/>
  <c r="G474" i="7"/>
  <c r="E474" i="7"/>
  <c r="G473" i="7"/>
  <c r="E473" i="7"/>
  <c r="G472" i="7"/>
  <c r="E472" i="7"/>
  <c r="G471" i="7"/>
  <c r="E471" i="7"/>
  <c r="G470" i="7"/>
  <c r="E470" i="7"/>
  <c r="G469" i="7"/>
  <c r="E469" i="7"/>
  <c r="G468" i="7"/>
  <c r="E468" i="7"/>
  <c r="G467" i="7"/>
  <c r="E467" i="7"/>
  <c r="G466" i="7"/>
  <c r="E466" i="7"/>
  <c r="G465" i="7"/>
  <c r="E465" i="7"/>
  <c r="G464" i="7"/>
  <c r="E464" i="7"/>
  <c r="G463" i="7"/>
  <c r="E463" i="7"/>
  <c r="G462" i="7"/>
  <c r="E462" i="7"/>
  <c r="G461" i="7"/>
  <c r="E461" i="7"/>
  <c r="G460" i="7"/>
  <c r="E460" i="7"/>
  <c r="G459" i="7"/>
  <c r="E459" i="7"/>
  <c r="G458" i="7"/>
  <c r="E458" i="7"/>
  <c r="G457" i="7"/>
  <c r="E457" i="7"/>
  <c r="G456" i="7"/>
  <c r="E456" i="7"/>
  <c r="G455" i="7"/>
  <c r="E455" i="7"/>
  <c r="G454" i="7"/>
  <c r="E454" i="7"/>
  <c r="G453" i="7"/>
  <c r="E453" i="7"/>
  <c r="G452" i="7"/>
  <c r="E452" i="7"/>
  <c r="G451" i="7"/>
  <c r="E451" i="7"/>
  <c r="G450" i="7"/>
  <c r="E450" i="7"/>
  <c r="G449" i="7"/>
  <c r="E449" i="7"/>
  <c r="G448" i="7"/>
  <c r="E448" i="7"/>
  <c r="G447" i="7"/>
  <c r="E447" i="7"/>
  <c r="G446" i="7"/>
  <c r="E446" i="7"/>
  <c r="G445" i="7"/>
  <c r="E445" i="7"/>
  <c r="G444" i="7"/>
  <c r="E444" i="7"/>
  <c r="G443" i="7"/>
  <c r="E443" i="7"/>
  <c r="G442" i="7"/>
  <c r="E442" i="7"/>
  <c r="G441" i="7"/>
  <c r="E441" i="7"/>
  <c r="G440" i="7"/>
  <c r="E440" i="7"/>
  <c r="G439" i="7"/>
  <c r="E439" i="7"/>
  <c r="G438" i="7"/>
  <c r="E438" i="7"/>
  <c r="G437" i="7"/>
  <c r="E437" i="7"/>
  <c r="G436" i="7"/>
  <c r="E436" i="7"/>
  <c r="G435" i="7"/>
  <c r="E435" i="7"/>
  <c r="G434" i="7"/>
  <c r="E434" i="7"/>
  <c r="G433" i="7"/>
  <c r="E433" i="7"/>
  <c r="G432" i="7"/>
  <c r="E432" i="7"/>
  <c r="G431" i="7"/>
  <c r="E431" i="7"/>
  <c r="G430" i="7"/>
  <c r="E430" i="7"/>
  <c r="G429" i="7"/>
  <c r="E429" i="7"/>
  <c r="G428" i="7"/>
  <c r="E428" i="7"/>
  <c r="G427" i="7"/>
  <c r="E427" i="7"/>
  <c r="G426" i="7"/>
  <c r="E426" i="7"/>
  <c r="G425" i="7"/>
  <c r="E425" i="7"/>
  <c r="G424" i="7"/>
  <c r="E424" i="7"/>
  <c r="G423" i="7"/>
  <c r="E423" i="7"/>
  <c r="G422" i="7"/>
  <c r="E422" i="7"/>
  <c r="G421" i="7"/>
  <c r="E421" i="7"/>
  <c r="G420" i="7"/>
  <c r="E420" i="7"/>
  <c r="G419" i="7"/>
  <c r="E419" i="7"/>
  <c r="G418" i="7"/>
  <c r="E418" i="7"/>
  <c r="G417" i="7"/>
  <c r="E417" i="7"/>
  <c r="G416" i="7"/>
  <c r="E416" i="7"/>
  <c r="G415" i="7"/>
  <c r="E415" i="7"/>
  <c r="G414" i="7"/>
  <c r="E414" i="7"/>
  <c r="G413" i="7"/>
  <c r="E413" i="7"/>
  <c r="G412" i="7"/>
  <c r="E412" i="7"/>
  <c r="G411" i="7"/>
  <c r="E411" i="7"/>
  <c r="G410" i="7"/>
  <c r="E410" i="7"/>
  <c r="G409" i="7"/>
  <c r="E409" i="7"/>
  <c r="G408" i="7"/>
  <c r="E408" i="7"/>
  <c r="G407" i="7"/>
  <c r="E407" i="7"/>
  <c r="G406" i="7"/>
  <c r="E406" i="7"/>
  <c r="G405" i="7"/>
  <c r="E405" i="7"/>
  <c r="G404" i="7"/>
  <c r="E404" i="7"/>
  <c r="G403" i="7"/>
  <c r="E403" i="7"/>
  <c r="G402" i="7"/>
  <c r="E402" i="7"/>
  <c r="G401" i="7"/>
  <c r="E401" i="7"/>
  <c r="G400" i="7"/>
  <c r="E400" i="7"/>
  <c r="G399" i="7"/>
  <c r="E399" i="7"/>
  <c r="G398" i="7"/>
  <c r="E398" i="7"/>
  <c r="G397" i="7"/>
  <c r="E397" i="7"/>
  <c r="G396" i="7"/>
  <c r="E396" i="7"/>
  <c r="G395" i="7"/>
  <c r="E395" i="7"/>
  <c r="G394" i="7"/>
  <c r="E394" i="7"/>
  <c r="G393" i="7"/>
  <c r="E393" i="7"/>
  <c r="G392" i="7"/>
  <c r="E392" i="7"/>
  <c r="G391" i="7"/>
  <c r="E391" i="7"/>
  <c r="G390" i="7"/>
  <c r="E390" i="7"/>
  <c r="G389" i="7"/>
  <c r="E389" i="7"/>
  <c r="G388" i="7"/>
  <c r="E388" i="7"/>
  <c r="G387" i="7"/>
  <c r="E387" i="7"/>
  <c r="G386" i="7"/>
  <c r="E386" i="7"/>
  <c r="G385" i="7"/>
  <c r="E385" i="7"/>
  <c r="G384" i="7"/>
  <c r="E384" i="7"/>
  <c r="G383" i="7"/>
  <c r="E383" i="7"/>
  <c r="G382" i="7"/>
  <c r="E382" i="7"/>
  <c r="G381" i="7"/>
  <c r="E381" i="7"/>
  <c r="G380" i="7"/>
  <c r="E380" i="7"/>
  <c r="G379" i="7"/>
  <c r="E379" i="7"/>
  <c r="G378" i="7"/>
  <c r="E378" i="7"/>
  <c r="G377" i="7"/>
  <c r="E377" i="7"/>
  <c r="G376" i="7"/>
  <c r="E376" i="7"/>
  <c r="G375" i="7"/>
  <c r="E375" i="7"/>
  <c r="G374" i="7"/>
  <c r="E374" i="7"/>
  <c r="G373" i="7"/>
  <c r="E373" i="7"/>
  <c r="G372" i="7"/>
  <c r="E372" i="7"/>
  <c r="G371" i="7"/>
  <c r="E371" i="7"/>
  <c r="G370" i="7"/>
  <c r="E370" i="7"/>
  <c r="G369" i="7"/>
  <c r="E369" i="7"/>
  <c r="G368" i="7"/>
  <c r="E368" i="7"/>
  <c r="G367" i="7"/>
  <c r="E367" i="7"/>
  <c r="G366" i="7"/>
  <c r="E366" i="7"/>
  <c r="G365" i="7"/>
  <c r="E365" i="7"/>
  <c r="G364" i="7"/>
  <c r="E364" i="7"/>
  <c r="G363" i="7"/>
  <c r="E363" i="7"/>
  <c r="G362" i="7"/>
  <c r="E362" i="7"/>
  <c r="G361" i="7"/>
  <c r="E361" i="7"/>
  <c r="G360" i="7"/>
  <c r="E360" i="7"/>
  <c r="G359" i="7"/>
  <c r="E359" i="7"/>
  <c r="G358" i="7"/>
  <c r="E358" i="7"/>
  <c r="G357" i="7"/>
  <c r="E357" i="7"/>
  <c r="G356" i="7"/>
  <c r="E356" i="7"/>
  <c r="G355" i="7"/>
  <c r="E355" i="7"/>
  <c r="G354" i="7"/>
  <c r="E354" i="7"/>
  <c r="G353" i="7"/>
  <c r="E353" i="7"/>
  <c r="G352" i="7"/>
  <c r="E352" i="7"/>
  <c r="G351" i="7"/>
  <c r="E351" i="7"/>
  <c r="G350" i="7"/>
  <c r="E350" i="7"/>
  <c r="G349" i="7"/>
  <c r="E349" i="7"/>
  <c r="G348" i="7"/>
  <c r="E348" i="7"/>
  <c r="G347" i="7"/>
  <c r="E347" i="7"/>
  <c r="G346" i="7"/>
  <c r="E346" i="7"/>
  <c r="G345" i="7"/>
  <c r="E345" i="7"/>
  <c r="G344" i="7"/>
  <c r="E344" i="7"/>
  <c r="G343" i="7"/>
  <c r="E343" i="7"/>
  <c r="G342" i="7"/>
  <c r="E342" i="7"/>
  <c r="G341" i="7"/>
  <c r="E341" i="7"/>
  <c r="G340" i="7"/>
  <c r="E340" i="7"/>
  <c r="G339" i="7"/>
  <c r="E339" i="7"/>
  <c r="G338" i="7"/>
  <c r="E338" i="7"/>
  <c r="G337" i="7"/>
  <c r="E337" i="7"/>
  <c r="G336" i="7"/>
  <c r="E336" i="7"/>
  <c r="G335" i="7"/>
  <c r="E335" i="7"/>
  <c r="G334" i="7"/>
  <c r="E334" i="7"/>
  <c r="G333" i="7"/>
  <c r="E333" i="7"/>
  <c r="G332" i="7"/>
  <c r="E332" i="7"/>
  <c r="G331" i="7"/>
  <c r="E331" i="7"/>
  <c r="G330" i="7"/>
  <c r="E330" i="7"/>
  <c r="G329" i="7"/>
  <c r="E329" i="7"/>
  <c r="G328" i="7"/>
  <c r="E328" i="7"/>
  <c r="G327" i="7"/>
  <c r="E327" i="7"/>
  <c r="G326" i="7"/>
  <c r="E326" i="7"/>
  <c r="G325" i="7"/>
  <c r="E325" i="7"/>
  <c r="G324" i="7"/>
  <c r="E324" i="7"/>
  <c r="G323" i="7"/>
  <c r="E323" i="7"/>
  <c r="G322" i="7"/>
  <c r="E322" i="7"/>
  <c r="G321" i="7"/>
  <c r="E321" i="7"/>
  <c r="G320" i="7"/>
  <c r="E320" i="7"/>
  <c r="G319" i="7"/>
  <c r="E319" i="7"/>
  <c r="G318" i="7"/>
  <c r="E318" i="7"/>
  <c r="G317" i="7"/>
  <c r="E317" i="7"/>
  <c r="G316" i="7"/>
  <c r="E316" i="7"/>
  <c r="G315" i="7"/>
  <c r="E315" i="7"/>
  <c r="G314" i="7"/>
  <c r="E314" i="7"/>
  <c r="G313" i="7"/>
  <c r="E313" i="7"/>
  <c r="G312" i="7"/>
  <c r="E312" i="7"/>
  <c r="G311" i="7"/>
  <c r="E311" i="7"/>
  <c r="G310" i="7"/>
  <c r="E310" i="7"/>
  <c r="G309" i="7"/>
  <c r="E309" i="7"/>
  <c r="G308" i="7"/>
  <c r="E308" i="7"/>
  <c r="G307" i="7"/>
  <c r="E307" i="7"/>
  <c r="G306" i="7"/>
  <c r="E306" i="7"/>
  <c r="G305" i="7"/>
  <c r="E305" i="7"/>
  <c r="G304" i="7"/>
  <c r="E304" i="7"/>
  <c r="G303" i="7"/>
  <c r="E303" i="7"/>
  <c r="G302" i="7"/>
  <c r="E302" i="7"/>
  <c r="G301" i="7"/>
  <c r="E301" i="7"/>
  <c r="G300" i="7"/>
  <c r="E300" i="7"/>
  <c r="G299" i="7"/>
  <c r="E299" i="7"/>
  <c r="G298" i="7"/>
  <c r="E298" i="7"/>
  <c r="G297" i="7"/>
  <c r="E297" i="7"/>
  <c r="G296" i="7"/>
  <c r="E296" i="7"/>
  <c r="G295" i="7"/>
  <c r="E295" i="7"/>
  <c r="G294" i="7"/>
  <c r="E294" i="7"/>
  <c r="G293" i="7"/>
  <c r="E293" i="7"/>
  <c r="G292" i="7"/>
  <c r="E292" i="7"/>
  <c r="G291" i="7"/>
  <c r="E291" i="7"/>
  <c r="G290" i="7"/>
  <c r="E290" i="7"/>
  <c r="G289" i="7"/>
  <c r="E289" i="7"/>
  <c r="G288" i="7"/>
  <c r="E288" i="7"/>
  <c r="G287" i="7"/>
  <c r="E287" i="7"/>
  <c r="G286" i="7"/>
  <c r="E286" i="7"/>
  <c r="G285" i="7"/>
  <c r="E285" i="7"/>
  <c r="G284" i="7"/>
  <c r="E284" i="7"/>
  <c r="G283" i="7"/>
  <c r="E283" i="7"/>
  <c r="G282" i="7"/>
  <c r="E282" i="7"/>
  <c r="G281" i="7"/>
  <c r="E281" i="7"/>
  <c r="G280" i="7"/>
  <c r="E280" i="7"/>
  <c r="G279" i="7"/>
  <c r="E279" i="7"/>
  <c r="G278" i="7"/>
  <c r="E278" i="7"/>
  <c r="G277" i="7"/>
  <c r="E277" i="7"/>
  <c r="G276" i="7"/>
  <c r="E276" i="7"/>
  <c r="G275" i="7"/>
  <c r="E275" i="7"/>
  <c r="G274" i="7"/>
  <c r="E274" i="7"/>
  <c r="G273" i="7"/>
  <c r="E273" i="7"/>
  <c r="G272" i="7"/>
  <c r="E272" i="7"/>
  <c r="G271" i="7"/>
  <c r="E271" i="7"/>
  <c r="G270" i="7"/>
  <c r="E270" i="7"/>
  <c r="G269" i="7"/>
  <c r="E269" i="7"/>
  <c r="G268" i="7"/>
  <c r="E268" i="7"/>
  <c r="G267" i="7"/>
  <c r="E267" i="7"/>
  <c r="G266" i="7"/>
  <c r="E266" i="7"/>
  <c r="G265" i="7"/>
  <c r="E265" i="7"/>
  <c r="G264" i="7"/>
  <c r="E264" i="7"/>
  <c r="G263" i="7"/>
  <c r="E263" i="7"/>
  <c r="G262" i="7"/>
  <c r="E262" i="7"/>
  <c r="G261" i="7"/>
  <c r="E261" i="7"/>
  <c r="G260" i="7"/>
  <c r="E260" i="7"/>
  <c r="G259" i="7"/>
  <c r="E259" i="7"/>
  <c r="G258" i="7"/>
  <c r="E258" i="7"/>
  <c r="G257" i="7"/>
  <c r="E257" i="7"/>
  <c r="G256" i="7"/>
  <c r="E256" i="7"/>
  <c r="G255" i="7"/>
  <c r="E255" i="7"/>
  <c r="G254" i="7"/>
  <c r="E254" i="7"/>
  <c r="G253" i="7"/>
  <c r="E253" i="7"/>
  <c r="G252" i="7"/>
  <c r="E252" i="7"/>
  <c r="G251" i="7"/>
  <c r="E251" i="7"/>
  <c r="G250" i="7"/>
  <c r="E250" i="7"/>
  <c r="G249" i="7"/>
  <c r="E249" i="7"/>
  <c r="G248" i="7"/>
  <c r="E248" i="7"/>
  <c r="G247" i="7"/>
  <c r="E247" i="7"/>
  <c r="G246" i="7"/>
  <c r="E246" i="7"/>
  <c r="G245" i="7"/>
  <c r="E245" i="7"/>
  <c r="G244" i="7"/>
  <c r="E244" i="7"/>
  <c r="G243" i="7"/>
  <c r="E243" i="7"/>
  <c r="G242" i="7"/>
  <c r="E242" i="7"/>
  <c r="G241" i="7"/>
  <c r="E241" i="7"/>
  <c r="G240" i="7"/>
  <c r="E240" i="7"/>
  <c r="G239" i="7"/>
  <c r="E239" i="7"/>
  <c r="G238" i="7"/>
  <c r="E238" i="7"/>
  <c r="G237" i="7"/>
  <c r="E237" i="7"/>
  <c r="G236" i="7"/>
  <c r="E236" i="7"/>
  <c r="G235" i="7"/>
  <c r="E235" i="7"/>
  <c r="G234" i="7"/>
  <c r="E234" i="7"/>
  <c r="G233" i="7"/>
  <c r="E233" i="7"/>
  <c r="G232" i="7"/>
  <c r="E232" i="7"/>
  <c r="G231" i="7"/>
  <c r="E231" i="7"/>
  <c r="G230" i="7"/>
  <c r="E230" i="7"/>
  <c r="G229" i="7"/>
  <c r="E229" i="7"/>
  <c r="G228" i="7"/>
  <c r="E228" i="7"/>
  <c r="G227" i="7"/>
  <c r="E227" i="7"/>
  <c r="G226" i="7"/>
  <c r="E226" i="7"/>
  <c r="G225" i="7"/>
  <c r="E225" i="7"/>
  <c r="G224" i="7"/>
  <c r="E224" i="7"/>
  <c r="G223" i="7"/>
  <c r="E223" i="7"/>
  <c r="G222" i="7"/>
  <c r="E222" i="7"/>
  <c r="G221" i="7"/>
  <c r="E221" i="7"/>
  <c r="G220" i="7"/>
  <c r="E220" i="7"/>
  <c r="G219" i="7"/>
  <c r="E219" i="7"/>
  <c r="G218" i="7"/>
  <c r="E218" i="7"/>
  <c r="G217" i="7"/>
  <c r="E217" i="7"/>
  <c r="G216" i="7"/>
  <c r="E216" i="7"/>
  <c r="G215" i="7"/>
  <c r="E215" i="7"/>
  <c r="G214" i="7"/>
  <c r="E214" i="7"/>
  <c r="G213" i="7"/>
  <c r="E213" i="7"/>
  <c r="G212" i="7"/>
  <c r="E212" i="7"/>
  <c r="G211" i="7"/>
  <c r="E211" i="7"/>
  <c r="G210" i="7"/>
  <c r="E210" i="7"/>
  <c r="G209" i="7"/>
  <c r="E209" i="7"/>
  <c r="G208" i="7"/>
  <c r="E208" i="7"/>
  <c r="G207" i="7"/>
  <c r="E207" i="7"/>
  <c r="G206" i="7"/>
  <c r="E206" i="7"/>
  <c r="G205" i="7"/>
  <c r="E205" i="7"/>
  <c r="G204" i="7"/>
  <c r="E204" i="7"/>
  <c r="G203" i="7"/>
  <c r="E203" i="7"/>
  <c r="G202" i="7"/>
  <c r="E202" i="7"/>
  <c r="G201" i="7"/>
  <c r="E201" i="7"/>
  <c r="G200" i="7"/>
  <c r="E200" i="7"/>
  <c r="G199" i="7"/>
  <c r="E199" i="7"/>
  <c r="G198" i="7"/>
  <c r="E198" i="7"/>
  <c r="G197" i="7"/>
  <c r="E197" i="7"/>
  <c r="G196" i="7"/>
  <c r="E196" i="7"/>
  <c r="G195" i="7"/>
  <c r="E195" i="7"/>
  <c r="G194" i="7"/>
  <c r="E194" i="7"/>
  <c r="G193" i="7"/>
  <c r="E193" i="7"/>
  <c r="G192" i="7"/>
  <c r="E192" i="7"/>
  <c r="G191" i="7"/>
  <c r="E191" i="7"/>
  <c r="G190" i="7"/>
  <c r="E190" i="7"/>
  <c r="G189" i="7"/>
  <c r="E189" i="7"/>
  <c r="G188" i="7"/>
  <c r="E188" i="7"/>
  <c r="G187" i="7"/>
  <c r="E187" i="7"/>
  <c r="G186" i="7"/>
  <c r="E186" i="7"/>
  <c r="G185" i="7"/>
  <c r="E185" i="7"/>
  <c r="G184" i="7"/>
  <c r="E184" i="7"/>
  <c r="G183" i="7"/>
  <c r="E183" i="7"/>
  <c r="G182" i="7"/>
  <c r="E182" i="7"/>
  <c r="G181" i="7"/>
  <c r="E181" i="7"/>
  <c r="G180" i="7"/>
  <c r="E180" i="7"/>
  <c r="G179" i="7"/>
  <c r="E179" i="7"/>
  <c r="G178" i="7"/>
  <c r="E178" i="7"/>
  <c r="G177" i="7"/>
  <c r="E177" i="7"/>
  <c r="G176" i="7"/>
  <c r="E176" i="7"/>
  <c r="G175" i="7"/>
  <c r="E175" i="7"/>
  <c r="G174" i="7"/>
  <c r="E174" i="7"/>
  <c r="G173" i="7"/>
  <c r="E173" i="7"/>
  <c r="G172" i="7"/>
  <c r="E172" i="7"/>
  <c r="G171" i="7"/>
  <c r="E171" i="7"/>
  <c r="G170" i="7"/>
  <c r="E170" i="7"/>
  <c r="G169" i="7"/>
  <c r="E169" i="7"/>
  <c r="G168" i="7"/>
  <c r="E168" i="7"/>
  <c r="G167" i="7"/>
  <c r="E167" i="7"/>
  <c r="G166" i="7"/>
  <c r="E166" i="7"/>
  <c r="G165" i="7"/>
  <c r="E165" i="7"/>
  <c r="G164" i="7"/>
  <c r="E164" i="7"/>
  <c r="G163" i="7"/>
  <c r="E163" i="7"/>
  <c r="G162" i="7"/>
  <c r="E162" i="7"/>
  <c r="G161" i="7"/>
  <c r="E161" i="7"/>
  <c r="G160" i="7"/>
  <c r="E160" i="7"/>
  <c r="G159" i="7"/>
  <c r="E159" i="7"/>
  <c r="G158" i="7"/>
  <c r="E158" i="7"/>
  <c r="G157" i="7"/>
  <c r="E157" i="7"/>
  <c r="G156" i="7"/>
  <c r="E156" i="7"/>
  <c r="G155" i="7"/>
  <c r="E155" i="7"/>
  <c r="G154" i="7"/>
  <c r="E154" i="7"/>
  <c r="G153" i="7"/>
  <c r="E153" i="7"/>
  <c r="G152" i="7"/>
  <c r="E152" i="7"/>
  <c r="G151" i="7"/>
  <c r="E151" i="7"/>
  <c r="G150" i="7"/>
  <c r="E150" i="7"/>
  <c r="G149" i="7"/>
  <c r="E149" i="7"/>
  <c r="G148" i="7"/>
  <c r="E148" i="7"/>
  <c r="G147" i="7"/>
  <c r="E147" i="7"/>
  <c r="G146" i="7"/>
  <c r="E146" i="7"/>
  <c r="G145" i="7"/>
  <c r="E145" i="7"/>
  <c r="G144" i="7"/>
  <c r="E144" i="7"/>
  <c r="G143" i="7"/>
  <c r="E143" i="7"/>
  <c r="G142" i="7"/>
  <c r="E142" i="7"/>
  <c r="G141" i="7"/>
  <c r="E141" i="7"/>
  <c r="G140" i="7"/>
  <c r="E140" i="7"/>
  <c r="G139" i="7"/>
  <c r="E139" i="7"/>
  <c r="G138" i="7"/>
  <c r="E138" i="7"/>
  <c r="G137" i="7"/>
  <c r="E137" i="7"/>
  <c r="G136" i="7"/>
  <c r="E136" i="7"/>
  <c r="G135" i="7"/>
  <c r="E135" i="7"/>
  <c r="G134" i="7"/>
  <c r="E134" i="7"/>
  <c r="G133" i="7"/>
  <c r="E133" i="7"/>
  <c r="G132" i="7"/>
  <c r="E132" i="7"/>
  <c r="G131" i="7"/>
  <c r="E131" i="7"/>
  <c r="G130" i="7"/>
  <c r="E130" i="7"/>
  <c r="G129" i="7"/>
  <c r="E129" i="7"/>
  <c r="G128" i="7"/>
  <c r="E128" i="7"/>
  <c r="G127" i="7"/>
  <c r="E127" i="7"/>
  <c r="G126" i="7"/>
  <c r="E126" i="7"/>
  <c r="G125" i="7"/>
  <c r="E125" i="7"/>
  <c r="G124" i="7"/>
  <c r="E124" i="7"/>
  <c r="G123" i="7"/>
  <c r="E123" i="7"/>
  <c r="G122" i="7"/>
  <c r="E122" i="7"/>
  <c r="G121" i="7"/>
  <c r="E121" i="7"/>
  <c r="G120" i="7"/>
  <c r="E120" i="7"/>
  <c r="G119" i="7"/>
  <c r="E119" i="7"/>
  <c r="G118" i="7"/>
  <c r="E118" i="7"/>
  <c r="G117" i="7"/>
  <c r="E117" i="7"/>
  <c r="G116" i="7"/>
  <c r="E116" i="7"/>
  <c r="G115" i="7"/>
  <c r="E115" i="7"/>
  <c r="G114" i="7"/>
  <c r="E114" i="7"/>
  <c r="G113" i="7"/>
  <c r="E113" i="7"/>
  <c r="G112" i="7"/>
  <c r="E112" i="7"/>
  <c r="G111" i="7"/>
  <c r="E111" i="7"/>
  <c r="G110" i="7"/>
  <c r="E110" i="7"/>
  <c r="G109" i="7"/>
  <c r="E109" i="7"/>
  <c r="G108" i="7"/>
  <c r="E108" i="7"/>
  <c r="G107" i="7"/>
  <c r="E107" i="7"/>
  <c r="G106" i="7"/>
  <c r="E106" i="7"/>
  <c r="G105" i="7"/>
  <c r="E105" i="7"/>
  <c r="G104" i="7"/>
  <c r="E104" i="7"/>
  <c r="G103" i="7"/>
  <c r="E103" i="7"/>
  <c r="G102" i="7"/>
  <c r="E102" i="7"/>
  <c r="G101" i="7"/>
  <c r="E101" i="7"/>
  <c r="G100" i="7"/>
  <c r="E100" i="7"/>
  <c r="G99" i="7"/>
  <c r="E99" i="7"/>
  <c r="G98" i="7"/>
  <c r="E98" i="7"/>
  <c r="G97" i="7"/>
  <c r="E97" i="7"/>
  <c r="G96" i="7"/>
  <c r="E96" i="7"/>
  <c r="G95" i="7"/>
  <c r="E95" i="7"/>
  <c r="G94" i="7"/>
  <c r="E94" i="7"/>
  <c r="G93" i="7"/>
  <c r="E93" i="7"/>
  <c r="G92" i="7"/>
  <c r="E92" i="7"/>
  <c r="G91" i="7"/>
  <c r="E91" i="7"/>
  <c r="G90" i="7"/>
  <c r="E90" i="7"/>
  <c r="G89" i="7"/>
  <c r="E89" i="7"/>
  <c r="G88" i="7"/>
  <c r="E88" i="7"/>
  <c r="G87" i="7"/>
  <c r="E87" i="7"/>
  <c r="G86" i="7"/>
  <c r="E86" i="7"/>
  <c r="G85" i="7"/>
  <c r="E85" i="7"/>
  <c r="G84" i="7"/>
  <c r="E84" i="7"/>
  <c r="G83" i="7"/>
  <c r="E83" i="7"/>
  <c r="G82" i="7"/>
  <c r="E82" i="7"/>
  <c r="G81" i="7"/>
  <c r="E81" i="7"/>
  <c r="G80" i="7"/>
  <c r="E80" i="7"/>
  <c r="G79" i="7"/>
  <c r="E79" i="7"/>
  <c r="G78" i="7"/>
  <c r="E78" i="7"/>
  <c r="G77" i="7"/>
  <c r="E77" i="7"/>
  <c r="G76" i="7"/>
  <c r="E76" i="7"/>
  <c r="G75" i="7"/>
  <c r="E75" i="7"/>
  <c r="G74" i="7"/>
  <c r="E74" i="7"/>
  <c r="G73" i="7"/>
  <c r="E73" i="7"/>
  <c r="G72" i="7"/>
  <c r="E72" i="7"/>
  <c r="G71" i="7"/>
  <c r="E71" i="7"/>
  <c r="G70" i="7"/>
  <c r="E70" i="7"/>
  <c r="G69" i="7"/>
  <c r="E69" i="7"/>
  <c r="G68" i="7"/>
  <c r="E68" i="7"/>
  <c r="G67" i="7"/>
  <c r="E67" i="7"/>
  <c r="G66" i="7"/>
  <c r="E66" i="7"/>
  <c r="G65" i="7"/>
  <c r="E65" i="7"/>
  <c r="G64" i="7"/>
  <c r="E64" i="7"/>
  <c r="G63" i="7"/>
  <c r="E63" i="7"/>
  <c r="G62" i="7"/>
  <c r="E62" i="7"/>
  <c r="G61" i="7"/>
  <c r="E61" i="7"/>
  <c r="G60" i="7"/>
  <c r="E60" i="7"/>
  <c r="G59" i="7"/>
  <c r="E59" i="7"/>
  <c r="G58" i="7"/>
  <c r="E58" i="7"/>
  <c r="G57" i="7"/>
  <c r="E57" i="7"/>
  <c r="G56" i="7"/>
  <c r="E56" i="7"/>
  <c r="G55" i="7"/>
  <c r="E55" i="7"/>
  <c r="G54" i="7"/>
  <c r="E54" i="7"/>
  <c r="G53" i="7"/>
  <c r="E53" i="7"/>
  <c r="G52" i="7"/>
  <c r="E52" i="7"/>
  <c r="G51" i="7"/>
  <c r="E51" i="7"/>
  <c r="G50" i="7"/>
  <c r="E50" i="7"/>
  <c r="G49" i="7"/>
  <c r="E49" i="7"/>
  <c r="G48" i="7"/>
  <c r="E48" i="7"/>
  <c r="G47" i="7"/>
  <c r="E47" i="7"/>
  <c r="G46" i="7"/>
  <c r="E46" i="7"/>
  <c r="G45" i="7"/>
  <c r="E45" i="7"/>
  <c r="G44" i="7"/>
  <c r="E44" i="7"/>
  <c r="G43" i="7"/>
  <c r="E43" i="7"/>
  <c r="G42" i="7"/>
  <c r="E42" i="7"/>
  <c r="G41" i="7"/>
  <c r="E41" i="7"/>
  <c r="G40" i="7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G4" i="7"/>
  <c r="E4" i="7"/>
  <c r="M33" i="6"/>
  <c r="C8" i="1" s="1"/>
  <c r="G33" i="6"/>
  <c r="F32" i="6"/>
  <c r="F31" i="6"/>
  <c r="F30" i="6"/>
  <c r="F29" i="6"/>
  <c r="F28" i="6"/>
  <c r="F27" i="6"/>
  <c r="F26" i="6"/>
  <c r="F25" i="6"/>
  <c r="F24" i="6"/>
  <c r="E24" i="6"/>
  <c r="H24" i="6" s="1"/>
  <c r="F23" i="6"/>
  <c r="E23" i="6"/>
  <c r="H23" i="6" s="1"/>
  <c r="F22" i="6"/>
  <c r="F21" i="6"/>
  <c r="F20" i="6"/>
  <c r="F19" i="6"/>
  <c r="F18" i="6"/>
  <c r="F17" i="6"/>
  <c r="F16" i="6"/>
  <c r="F15" i="6"/>
  <c r="F14" i="6"/>
  <c r="E14" i="6"/>
  <c r="H14" i="6" s="1"/>
  <c r="F13" i="6"/>
  <c r="F12" i="6"/>
  <c r="F11" i="6"/>
  <c r="F10" i="6"/>
  <c r="F9" i="6"/>
  <c r="F8" i="6"/>
  <c r="F7" i="6"/>
  <c r="F33" i="6" s="1"/>
  <c r="E8" i="1" s="1"/>
  <c r="F6" i="6"/>
  <c r="F5" i="6"/>
  <c r="F4" i="6"/>
  <c r="C2" i="6"/>
  <c r="E32" i="6" s="1"/>
  <c r="F2002" i="5"/>
  <c r="G2000" i="5"/>
  <c r="E2000" i="5"/>
  <c r="G1999" i="5"/>
  <c r="E1999" i="5"/>
  <c r="G1998" i="5"/>
  <c r="E1998" i="5"/>
  <c r="G1997" i="5"/>
  <c r="E1997" i="5"/>
  <c r="G1996" i="5"/>
  <c r="E1996" i="5"/>
  <c r="G1995" i="5"/>
  <c r="E1995" i="5"/>
  <c r="G1994" i="5"/>
  <c r="E1994" i="5"/>
  <c r="G1993" i="5"/>
  <c r="E1993" i="5"/>
  <c r="G1992" i="5"/>
  <c r="E1992" i="5"/>
  <c r="G1991" i="5"/>
  <c r="E1991" i="5"/>
  <c r="G1990" i="5"/>
  <c r="E1990" i="5"/>
  <c r="G1989" i="5"/>
  <c r="E1989" i="5"/>
  <c r="G1988" i="5"/>
  <c r="E1988" i="5"/>
  <c r="G1987" i="5"/>
  <c r="E1987" i="5"/>
  <c r="G1986" i="5"/>
  <c r="E1986" i="5"/>
  <c r="G1985" i="5"/>
  <c r="E1985" i="5"/>
  <c r="G1984" i="5"/>
  <c r="E1984" i="5"/>
  <c r="G1983" i="5"/>
  <c r="E1983" i="5"/>
  <c r="G1982" i="5"/>
  <c r="E1982" i="5"/>
  <c r="G1981" i="5"/>
  <c r="E1981" i="5"/>
  <c r="G1980" i="5"/>
  <c r="E1980" i="5"/>
  <c r="G1979" i="5"/>
  <c r="E1979" i="5"/>
  <c r="G1978" i="5"/>
  <c r="E1978" i="5"/>
  <c r="G1977" i="5"/>
  <c r="E1977" i="5"/>
  <c r="G1976" i="5"/>
  <c r="E1976" i="5"/>
  <c r="G1975" i="5"/>
  <c r="E1975" i="5"/>
  <c r="G1974" i="5"/>
  <c r="E1974" i="5"/>
  <c r="G1973" i="5"/>
  <c r="E1973" i="5"/>
  <c r="G1972" i="5"/>
  <c r="E1972" i="5"/>
  <c r="G1971" i="5"/>
  <c r="E1971" i="5"/>
  <c r="G1970" i="5"/>
  <c r="E1970" i="5"/>
  <c r="G1969" i="5"/>
  <c r="E1969" i="5"/>
  <c r="G1968" i="5"/>
  <c r="E1968" i="5"/>
  <c r="G1967" i="5"/>
  <c r="E1967" i="5"/>
  <c r="G1966" i="5"/>
  <c r="E1966" i="5"/>
  <c r="G1965" i="5"/>
  <c r="E1965" i="5"/>
  <c r="G1964" i="5"/>
  <c r="E1964" i="5"/>
  <c r="G1963" i="5"/>
  <c r="E1963" i="5"/>
  <c r="G1962" i="5"/>
  <c r="E1962" i="5"/>
  <c r="G1961" i="5"/>
  <c r="E1961" i="5"/>
  <c r="G1960" i="5"/>
  <c r="E1960" i="5"/>
  <c r="G1959" i="5"/>
  <c r="E1959" i="5"/>
  <c r="G1958" i="5"/>
  <c r="E1958" i="5"/>
  <c r="G1957" i="5"/>
  <c r="E1957" i="5"/>
  <c r="G1956" i="5"/>
  <c r="E1956" i="5"/>
  <c r="G1955" i="5"/>
  <c r="E1955" i="5"/>
  <c r="G1954" i="5"/>
  <c r="E1954" i="5"/>
  <c r="G1953" i="5"/>
  <c r="E1953" i="5"/>
  <c r="G1952" i="5"/>
  <c r="E1952" i="5"/>
  <c r="G1951" i="5"/>
  <c r="E1951" i="5"/>
  <c r="G1950" i="5"/>
  <c r="E1950" i="5"/>
  <c r="G1949" i="5"/>
  <c r="E1949" i="5"/>
  <c r="G1948" i="5"/>
  <c r="E1948" i="5"/>
  <c r="G1947" i="5"/>
  <c r="E1947" i="5"/>
  <c r="G1946" i="5"/>
  <c r="E1946" i="5"/>
  <c r="G1945" i="5"/>
  <c r="E1945" i="5"/>
  <c r="G1944" i="5"/>
  <c r="E1944" i="5"/>
  <c r="G1943" i="5"/>
  <c r="E1943" i="5"/>
  <c r="G1942" i="5"/>
  <c r="E1942" i="5"/>
  <c r="G1941" i="5"/>
  <c r="E1941" i="5"/>
  <c r="G1940" i="5"/>
  <c r="E1940" i="5"/>
  <c r="G1939" i="5"/>
  <c r="E1939" i="5"/>
  <c r="G1938" i="5"/>
  <c r="E1938" i="5"/>
  <c r="G1937" i="5"/>
  <c r="E1937" i="5"/>
  <c r="G1936" i="5"/>
  <c r="E1936" i="5"/>
  <c r="G1935" i="5"/>
  <c r="E1935" i="5"/>
  <c r="G1934" i="5"/>
  <c r="E1934" i="5"/>
  <c r="G1933" i="5"/>
  <c r="E1933" i="5"/>
  <c r="G1932" i="5"/>
  <c r="E1932" i="5"/>
  <c r="G1931" i="5"/>
  <c r="E1931" i="5"/>
  <c r="G1930" i="5"/>
  <c r="E1930" i="5"/>
  <c r="G1929" i="5"/>
  <c r="E1929" i="5"/>
  <c r="G1928" i="5"/>
  <c r="E1928" i="5"/>
  <c r="G1927" i="5"/>
  <c r="E1927" i="5"/>
  <c r="G1926" i="5"/>
  <c r="E1926" i="5"/>
  <c r="G1925" i="5"/>
  <c r="E1925" i="5"/>
  <c r="G1924" i="5"/>
  <c r="E1924" i="5"/>
  <c r="G1923" i="5"/>
  <c r="E1923" i="5"/>
  <c r="G1922" i="5"/>
  <c r="E1922" i="5"/>
  <c r="G1921" i="5"/>
  <c r="E1921" i="5"/>
  <c r="G1920" i="5"/>
  <c r="E1920" i="5"/>
  <c r="G1919" i="5"/>
  <c r="E1919" i="5"/>
  <c r="G1918" i="5"/>
  <c r="E1918" i="5"/>
  <c r="G1917" i="5"/>
  <c r="E1917" i="5"/>
  <c r="G1916" i="5"/>
  <c r="E1916" i="5"/>
  <c r="G1915" i="5"/>
  <c r="E1915" i="5"/>
  <c r="G1914" i="5"/>
  <c r="E1914" i="5"/>
  <c r="G1913" i="5"/>
  <c r="E1913" i="5"/>
  <c r="G1912" i="5"/>
  <c r="E1912" i="5"/>
  <c r="G1911" i="5"/>
  <c r="E1911" i="5"/>
  <c r="G1910" i="5"/>
  <c r="E1910" i="5"/>
  <c r="G1909" i="5"/>
  <c r="E1909" i="5"/>
  <c r="G1908" i="5"/>
  <c r="E1908" i="5"/>
  <c r="G1907" i="5"/>
  <c r="E1907" i="5"/>
  <c r="G1906" i="5"/>
  <c r="E1906" i="5"/>
  <c r="G1905" i="5"/>
  <c r="E1905" i="5"/>
  <c r="G1904" i="5"/>
  <c r="E1904" i="5"/>
  <c r="G1903" i="5"/>
  <c r="E1903" i="5"/>
  <c r="G1902" i="5"/>
  <c r="E1902" i="5"/>
  <c r="G1901" i="5"/>
  <c r="E1901" i="5"/>
  <c r="G1900" i="5"/>
  <c r="E1900" i="5"/>
  <c r="G1899" i="5"/>
  <c r="E1899" i="5"/>
  <c r="G1898" i="5"/>
  <c r="E1898" i="5"/>
  <c r="G1897" i="5"/>
  <c r="E1897" i="5"/>
  <c r="G1896" i="5"/>
  <c r="E1896" i="5"/>
  <c r="G1895" i="5"/>
  <c r="E1895" i="5"/>
  <c r="G1894" i="5"/>
  <c r="E1894" i="5"/>
  <c r="G1893" i="5"/>
  <c r="E1893" i="5"/>
  <c r="G1892" i="5"/>
  <c r="E1892" i="5"/>
  <c r="G1891" i="5"/>
  <c r="E1891" i="5"/>
  <c r="G1890" i="5"/>
  <c r="E1890" i="5"/>
  <c r="G1889" i="5"/>
  <c r="E1889" i="5"/>
  <c r="G1888" i="5"/>
  <c r="E1888" i="5"/>
  <c r="G1887" i="5"/>
  <c r="E1887" i="5"/>
  <c r="G1886" i="5"/>
  <c r="E1886" i="5"/>
  <c r="G1885" i="5"/>
  <c r="E1885" i="5"/>
  <c r="G1884" i="5"/>
  <c r="E1884" i="5"/>
  <c r="G1883" i="5"/>
  <c r="E1883" i="5"/>
  <c r="G1882" i="5"/>
  <c r="E1882" i="5"/>
  <c r="G1881" i="5"/>
  <c r="E1881" i="5"/>
  <c r="G1880" i="5"/>
  <c r="E1880" i="5"/>
  <c r="G1879" i="5"/>
  <c r="E1879" i="5"/>
  <c r="G1878" i="5"/>
  <c r="E1878" i="5"/>
  <c r="G1877" i="5"/>
  <c r="E1877" i="5"/>
  <c r="G1876" i="5"/>
  <c r="E1876" i="5"/>
  <c r="G1875" i="5"/>
  <c r="E1875" i="5"/>
  <c r="G1874" i="5"/>
  <c r="E1874" i="5"/>
  <c r="G1873" i="5"/>
  <c r="E1873" i="5"/>
  <c r="G1872" i="5"/>
  <c r="E1872" i="5"/>
  <c r="G1871" i="5"/>
  <c r="E1871" i="5"/>
  <c r="G1870" i="5"/>
  <c r="E1870" i="5"/>
  <c r="G1869" i="5"/>
  <c r="E1869" i="5"/>
  <c r="G1868" i="5"/>
  <c r="E1868" i="5"/>
  <c r="G1867" i="5"/>
  <c r="E1867" i="5"/>
  <c r="G1866" i="5"/>
  <c r="E1866" i="5"/>
  <c r="G1865" i="5"/>
  <c r="E1865" i="5"/>
  <c r="G1864" i="5"/>
  <c r="E1864" i="5"/>
  <c r="G1863" i="5"/>
  <c r="E1863" i="5"/>
  <c r="G1862" i="5"/>
  <c r="E1862" i="5"/>
  <c r="G1861" i="5"/>
  <c r="E1861" i="5"/>
  <c r="G1860" i="5"/>
  <c r="E1860" i="5"/>
  <c r="G1859" i="5"/>
  <c r="E1859" i="5"/>
  <c r="G1858" i="5"/>
  <c r="E1858" i="5"/>
  <c r="G1857" i="5"/>
  <c r="E1857" i="5"/>
  <c r="G1856" i="5"/>
  <c r="E1856" i="5"/>
  <c r="G1855" i="5"/>
  <c r="E1855" i="5"/>
  <c r="G1854" i="5"/>
  <c r="E1854" i="5"/>
  <c r="G1853" i="5"/>
  <c r="E1853" i="5"/>
  <c r="G1852" i="5"/>
  <c r="E1852" i="5"/>
  <c r="G1851" i="5"/>
  <c r="E1851" i="5"/>
  <c r="G1850" i="5"/>
  <c r="E1850" i="5"/>
  <c r="G1849" i="5"/>
  <c r="E1849" i="5"/>
  <c r="G1848" i="5"/>
  <c r="E1848" i="5"/>
  <c r="G1847" i="5"/>
  <c r="E1847" i="5"/>
  <c r="G1846" i="5"/>
  <c r="E1846" i="5"/>
  <c r="G1845" i="5"/>
  <c r="E1845" i="5"/>
  <c r="G1844" i="5"/>
  <c r="E1844" i="5"/>
  <c r="G1843" i="5"/>
  <c r="E1843" i="5"/>
  <c r="G1842" i="5"/>
  <c r="E1842" i="5"/>
  <c r="G1841" i="5"/>
  <c r="E1841" i="5"/>
  <c r="G1840" i="5"/>
  <c r="E1840" i="5"/>
  <c r="G1839" i="5"/>
  <c r="E1839" i="5"/>
  <c r="G1838" i="5"/>
  <c r="E1838" i="5"/>
  <c r="G1837" i="5"/>
  <c r="E1837" i="5"/>
  <c r="G1836" i="5"/>
  <c r="E1836" i="5"/>
  <c r="G1835" i="5"/>
  <c r="E1835" i="5"/>
  <c r="G1834" i="5"/>
  <c r="E1834" i="5"/>
  <c r="G1833" i="5"/>
  <c r="E1833" i="5"/>
  <c r="G1832" i="5"/>
  <c r="E1832" i="5"/>
  <c r="G1831" i="5"/>
  <c r="E1831" i="5"/>
  <c r="G1830" i="5"/>
  <c r="E1830" i="5"/>
  <c r="G1829" i="5"/>
  <c r="E1829" i="5"/>
  <c r="G1828" i="5"/>
  <c r="E1828" i="5"/>
  <c r="G1827" i="5"/>
  <c r="E1827" i="5"/>
  <c r="G1826" i="5"/>
  <c r="E1826" i="5"/>
  <c r="G1825" i="5"/>
  <c r="E1825" i="5"/>
  <c r="G1824" i="5"/>
  <c r="E1824" i="5"/>
  <c r="G1823" i="5"/>
  <c r="E1823" i="5"/>
  <c r="G1822" i="5"/>
  <c r="E1822" i="5"/>
  <c r="G1821" i="5"/>
  <c r="E1821" i="5"/>
  <c r="G1820" i="5"/>
  <c r="E1820" i="5"/>
  <c r="G1819" i="5"/>
  <c r="E1819" i="5"/>
  <c r="G1818" i="5"/>
  <c r="E1818" i="5"/>
  <c r="G1817" i="5"/>
  <c r="E1817" i="5"/>
  <c r="G1816" i="5"/>
  <c r="E1816" i="5"/>
  <c r="G1815" i="5"/>
  <c r="E1815" i="5"/>
  <c r="G1814" i="5"/>
  <c r="E1814" i="5"/>
  <c r="G1813" i="5"/>
  <c r="E1813" i="5"/>
  <c r="G1812" i="5"/>
  <c r="E1812" i="5"/>
  <c r="G1811" i="5"/>
  <c r="E1811" i="5"/>
  <c r="G1810" i="5"/>
  <c r="E1810" i="5"/>
  <c r="G1809" i="5"/>
  <c r="E1809" i="5"/>
  <c r="G1808" i="5"/>
  <c r="E1808" i="5"/>
  <c r="G1807" i="5"/>
  <c r="E1807" i="5"/>
  <c r="G1806" i="5"/>
  <c r="E1806" i="5"/>
  <c r="G1805" i="5"/>
  <c r="E1805" i="5"/>
  <c r="G1804" i="5"/>
  <c r="E1804" i="5"/>
  <c r="G1803" i="5"/>
  <c r="E1803" i="5"/>
  <c r="G1802" i="5"/>
  <c r="E1802" i="5"/>
  <c r="G1801" i="5"/>
  <c r="E1801" i="5"/>
  <c r="G1800" i="5"/>
  <c r="E1800" i="5"/>
  <c r="G1799" i="5"/>
  <c r="E1799" i="5"/>
  <c r="G1798" i="5"/>
  <c r="E1798" i="5"/>
  <c r="G1797" i="5"/>
  <c r="E1797" i="5"/>
  <c r="G1796" i="5"/>
  <c r="E1796" i="5"/>
  <c r="G1795" i="5"/>
  <c r="E1795" i="5"/>
  <c r="G1794" i="5"/>
  <c r="E1794" i="5"/>
  <c r="G1793" i="5"/>
  <c r="E1793" i="5"/>
  <c r="G1792" i="5"/>
  <c r="E1792" i="5"/>
  <c r="G1791" i="5"/>
  <c r="E1791" i="5"/>
  <c r="G1790" i="5"/>
  <c r="E1790" i="5"/>
  <c r="G1789" i="5"/>
  <c r="E1789" i="5"/>
  <c r="G1788" i="5"/>
  <c r="E1788" i="5"/>
  <c r="G1787" i="5"/>
  <c r="E1787" i="5"/>
  <c r="G1786" i="5"/>
  <c r="E1786" i="5"/>
  <c r="G1785" i="5"/>
  <c r="E1785" i="5"/>
  <c r="G1784" i="5"/>
  <c r="E1784" i="5"/>
  <c r="G1783" i="5"/>
  <c r="E1783" i="5"/>
  <c r="G1782" i="5"/>
  <c r="E1782" i="5"/>
  <c r="G1781" i="5"/>
  <c r="E1781" i="5"/>
  <c r="G1780" i="5"/>
  <c r="E1780" i="5"/>
  <c r="G1779" i="5"/>
  <c r="E1779" i="5"/>
  <c r="G1778" i="5"/>
  <c r="E1778" i="5"/>
  <c r="G1777" i="5"/>
  <c r="E1777" i="5"/>
  <c r="G1776" i="5"/>
  <c r="E1776" i="5"/>
  <c r="G1775" i="5"/>
  <c r="E1775" i="5"/>
  <c r="G1774" i="5"/>
  <c r="E1774" i="5"/>
  <c r="G1773" i="5"/>
  <c r="E1773" i="5"/>
  <c r="G1772" i="5"/>
  <c r="E1772" i="5"/>
  <c r="G1771" i="5"/>
  <c r="E1771" i="5"/>
  <c r="G1770" i="5"/>
  <c r="E1770" i="5"/>
  <c r="G1769" i="5"/>
  <c r="E1769" i="5"/>
  <c r="G1768" i="5"/>
  <c r="E1768" i="5"/>
  <c r="G1767" i="5"/>
  <c r="E1767" i="5"/>
  <c r="G1766" i="5"/>
  <c r="E1766" i="5"/>
  <c r="G1765" i="5"/>
  <c r="E1765" i="5"/>
  <c r="G1764" i="5"/>
  <c r="E1764" i="5"/>
  <c r="G1763" i="5"/>
  <c r="E1763" i="5"/>
  <c r="G1762" i="5"/>
  <c r="E1762" i="5"/>
  <c r="G1761" i="5"/>
  <c r="E1761" i="5"/>
  <c r="G1760" i="5"/>
  <c r="E1760" i="5"/>
  <c r="G1759" i="5"/>
  <c r="E1759" i="5"/>
  <c r="G1758" i="5"/>
  <c r="E1758" i="5"/>
  <c r="G1757" i="5"/>
  <c r="E1757" i="5"/>
  <c r="G1756" i="5"/>
  <c r="E1756" i="5"/>
  <c r="G1755" i="5"/>
  <c r="E1755" i="5"/>
  <c r="G1754" i="5"/>
  <c r="E1754" i="5"/>
  <c r="G1753" i="5"/>
  <c r="E1753" i="5"/>
  <c r="G1752" i="5"/>
  <c r="E1752" i="5"/>
  <c r="G1751" i="5"/>
  <c r="E1751" i="5"/>
  <c r="G1750" i="5"/>
  <c r="E1750" i="5"/>
  <c r="G1749" i="5"/>
  <c r="E1749" i="5"/>
  <c r="G1748" i="5"/>
  <c r="E1748" i="5"/>
  <c r="G1747" i="5"/>
  <c r="E1747" i="5"/>
  <c r="G1746" i="5"/>
  <c r="E1746" i="5"/>
  <c r="G1745" i="5"/>
  <c r="E1745" i="5"/>
  <c r="G1744" i="5"/>
  <c r="E1744" i="5"/>
  <c r="G1743" i="5"/>
  <c r="E1743" i="5"/>
  <c r="G1742" i="5"/>
  <c r="E1742" i="5"/>
  <c r="G1741" i="5"/>
  <c r="E1741" i="5"/>
  <c r="G1740" i="5"/>
  <c r="E1740" i="5"/>
  <c r="G1739" i="5"/>
  <c r="E1739" i="5"/>
  <c r="G1738" i="5"/>
  <c r="E1738" i="5"/>
  <c r="G1737" i="5"/>
  <c r="E1737" i="5"/>
  <c r="G1736" i="5"/>
  <c r="E1736" i="5"/>
  <c r="G1735" i="5"/>
  <c r="E1735" i="5"/>
  <c r="G1734" i="5"/>
  <c r="E1734" i="5"/>
  <c r="G1733" i="5"/>
  <c r="E1733" i="5"/>
  <c r="G1732" i="5"/>
  <c r="E1732" i="5"/>
  <c r="G1731" i="5"/>
  <c r="E1731" i="5"/>
  <c r="G1730" i="5"/>
  <c r="E1730" i="5"/>
  <c r="G1729" i="5"/>
  <c r="E1729" i="5"/>
  <c r="G1728" i="5"/>
  <c r="E1728" i="5"/>
  <c r="G1727" i="5"/>
  <c r="E1727" i="5"/>
  <c r="G1726" i="5"/>
  <c r="E1726" i="5"/>
  <c r="G1725" i="5"/>
  <c r="E1725" i="5"/>
  <c r="G1724" i="5"/>
  <c r="E1724" i="5"/>
  <c r="G1723" i="5"/>
  <c r="E1723" i="5"/>
  <c r="G1722" i="5"/>
  <c r="E1722" i="5"/>
  <c r="G1721" i="5"/>
  <c r="E1721" i="5"/>
  <c r="G1720" i="5"/>
  <c r="E1720" i="5"/>
  <c r="G1719" i="5"/>
  <c r="E1719" i="5"/>
  <c r="G1718" i="5"/>
  <c r="E1718" i="5"/>
  <c r="G1717" i="5"/>
  <c r="E1717" i="5"/>
  <c r="G1716" i="5"/>
  <c r="E1716" i="5"/>
  <c r="G1715" i="5"/>
  <c r="E1715" i="5"/>
  <c r="G1714" i="5"/>
  <c r="E1714" i="5"/>
  <c r="G1713" i="5"/>
  <c r="E1713" i="5"/>
  <c r="G1712" i="5"/>
  <c r="E1712" i="5"/>
  <c r="G1711" i="5"/>
  <c r="E1711" i="5"/>
  <c r="G1710" i="5"/>
  <c r="E1710" i="5"/>
  <c r="G1709" i="5"/>
  <c r="E1709" i="5"/>
  <c r="G1708" i="5"/>
  <c r="E1708" i="5"/>
  <c r="G1707" i="5"/>
  <c r="E1707" i="5"/>
  <c r="G1706" i="5"/>
  <c r="E1706" i="5"/>
  <c r="G1705" i="5"/>
  <c r="E1705" i="5"/>
  <c r="G1704" i="5"/>
  <c r="E1704" i="5"/>
  <c r="G1703" i="5"/>
  <c r="E1703" i="5"/>
  <c r="G1702" i="5"/>
  <c r="E1702" i="5"/>
  <c r="G1701" i="5"/>
  <c r="E1701" i="5"/>
  <c r="G1700" i="5"/>
  <c r="E1700" i="5"/>
  <c r="G1699" i="5"/>
  <c r="E1699" i="5"/>
  <c r="G1698" i="5"/>
  <c r="E1698" i="5"/>
  <c r="G1697" i="5"/>
  <c r="E1697" i="5"/>
  <c r="G1696" i="5"/>
  <c r="E1696" i="5"/>
  <c r="G1695" i="5"/>
  <c r="E1695" i="5"/>
  <c r="G1694" i="5"/>
  <c r="E1694" i="5"/>
  <c r="G1693" i="5"/>
  <c r="E1693" i="5"/>
  <c r="G1692" i="5"/>
  <c r="E1692" i="5"/>
  <c r="G1691" i="5"/>
  <c r="E1691" i="5"/>
  <c r="G1690" i="5"/>
  <c r="E1690" i="5"/>
  <c r="G1689" i="5"/>
  <c r="E1689" i="5"/>
  <c r="G1688" i="5"/>
  <c r="E1688" i="5"/>
  <c r="G1687" i="5"/>
  <c r="E1687" i="5"/>
  <c r="G1686" i="5"/>
  <c r="E1686" i="5"/>
  <c r="G1685" i="5"/>
  <c r="E1685" i="5"/>
  <c r="G1684" i="5"/>
  <c r="E1684" i="5"/>
  <c r="G1683" i="5"/>
  <c r="E1683" i="5"/>
  <c r="G1682" i="5"/>
  <c r="E1682" i="5"/>
  <c r="G1681" i="5"/>
  <c r="E1681" i="5"/>
  <c r="G1680" i="5"/>
  <c r="E1680" i="5"/>
  <c r="G1679" i="5"/>
  <c r="E1679" i="5"/>
  <c r="G1678" i="5"/>
  <c r="E1678" i="5"/>
  <c r="G1677" i="5"/>
  <c r="E1677" i="5"/>
  <c r="G1676" i="5"/>
  <c r="E1676" i="5"/>
  <c r="G1675" i="5"/>
  <c r="E1675" i="5"/>
  <c r="G1674" i="5"/>
  <c r="E1674" i="5"/>
  <c r="G1673" i="5"/>
  <c r="E1673" i="5"/>
  <c r="G1672" i="5"/>
  <c r="E1672" i="5"/>
  <c r="G1671" i="5"/>
  <c r="E1671" i="5"/>
  <c r="G1670" i="5"/>
  <c r="E1670" i="5"/>
  <c r="G1669" i="5"/>
  <c r="E1669" i="5"/>
  <c r="G1668" i="5"/>
  <c r="E1668" i="5"/>
  <c r="G1667" i="5"/>
  <c r="E1667" i="5"/>
  <c r="G1666" i="5"/>
  <c r="E1666" i="5"/>
  <c r="G1665" i="5"/>
  <c r="E1665" i="5"/>
  <c r="G1664" i="5"/>
  <c r="E1664" i="5"/>
  <c r="G1663" i="5"/>
  <c r="E1663" i="5"/>
  <c r="G1662" i="5"/>
  <c r="E1662" i="5"/>
  <c r="G1661" i="5"/>
  <c r="E1661" i="5"/>
  <c r="G1660" i="5"/>
  <c r="E1660" i="5"/>
  <c r="G1659" i="5"/>
  <c r="E1659" i="5"/>
  <c r="G1658" i="5"/>
  <c r="E1658" i="5"/>
  <c r="G1657" i="5"/>
  <c r="E1657" i="5"/>
  <c r="G1656" i="5"/>
  <c r="E1656" i="5"/>
  <c r="G1655" i="5"/>
  <c r="E1655" i="5"/>
  <c r="G1654" i="5"/>
  <c r="E1654" i="5"/>
  <c r="G1653" i="5"/>
  <c r="E1653" i="5"/>
  <c r="G1652" i="5"/>
  <c r="E1652" i="5"/>
  <c r="G1651" i="5"/>
  <c r="E1651" i="5"/>
  <c r="G1650" i="5"/>
  <c r="E1650" i="5"/>
  <c r="G1649" i="5"/>
  <c r="E1649" i="5"/>
  <c r="G1648" i="5"/>
  <c r="E1648" i="5"/>
  <c r="G1647" i="5"/>
  <c r="E1647" i="5"/>
  <c r="G1646" i="5"/>
  <c r="E1646" i="5"/>
  <c r="G1645" i="5"/>
  <c r="E1645" i="5"/>
  <c r="G1644" i="5"/>
  <c r="E1644" i="5"/>
  <c r="G1643" i="5"/>
  <c r="E1643" i="5"/>
  <c r="G1642" i="5"/>
  <c r="E1642" i="5"/>
  <c r="G1641" i="5"/>
  <c r="E1641" i="5"/>
  <c r="G1640" i="5"/>
  <c r="E1640" i="5"/>
  <c r="G1639" i="5"/>
  <c r="E1639" i="5"/>
  <c r="G1638" i="5"/>
  <c r="E1638" i="5"/>
  <c r="G1637" i="5"/>
  <c r="E1637" i="5"/>
  <c r="G1636" i="5"/>
  <c r="E1636" i="5"/>
  <c r="G1635" i="5"/>
  <c r="E1635" i="5"/>
  <c r="G1634" i="5"/>
  <c r="E1634" i="5"/>
  <c r="G1633" i="5"/>
  <c r="E1633" i="5"/>
  <c r="G1632" i="5"/>
  <c r="E1632" i="5"/>
  <c r="G1631" i="5"/>
  <c r="E1631" i="5"/>
  <c r="G1630" i="5"/>
  <c r="E1630" i="5"/>
  <c r="G1629" i="5"/>
  <c r="E1629" i="5"/>
  <c r="G1628" i="5"/>
  <c r="E1628" i="5"/>
  <c r="G1627" i="5"/>
  <c r="E1627" i="5"/>
  <c r="G1626" i="5"/>
  <c r="E1626" i="5"/>
  <c r="G1625" i="5"/>
  <c r="E1625" i="5"/>
  <c r="G1624" i="5"/>
  <c r="E1624" i="5"/>
  <c r="G1623" i="5"/>
  <c r="E1623" i="5"/>
  <c r="G1622" i="5"/>
  <c r="E1622" i="5"/>
  <c r="G1621" i="5"/>
  <c r="E1621" i="5"/>
  <c r="G1620" i="5"/>
  <c r="E1620" i="5"/>
  <c r="G1619" i="5"/>
  <c r="E1619" i="5"/>
  <c r="G1618" i="5"/>
  <c r="E1618" i="5"/>
  <c r="G1617" i="5"/>
  <c r="E1617" i="5"/>
  <c r="G1616" i="5"/>
  <c r="E1616" i="5"/>
  <c r="G1615" i="5"/>
  <c r="E1615" i="5"/>
  <c r="G1614" i="5"/>
  <c r="E1614" i="5"/>
  <c r="G1613" i="5"/>
  <c r="E1613" i="5"/>
  <c r="G1612" i="5"/>
  <c r="E1612" i="5"/>
  <c r="G1611" i="5"/>
  <c r="E1611" i="5"/>
  <c r="G1610" i="5"/>
  <c r="E1610" i="5"/>
  <c r="G1609" i="5"/>
  <c r="E1609" i="5"/>
  <c r="G1608" i="5"/>
  <c r="E1608" i="5"/>
  <c r="G1607" i="5"/>
  <c r="E1607" i="5"/>
  <c r="G1606" i="5"/>
  <c r="E1606" i="5"/>
  <c r="G1605" i="5"/>
  <c r="E1605" i="5"/>
  <c r="G1604" i="5"/>
  <c r="E1604" i="5"/>
  <c r="G1603" i="5"/>
  <c r="E1603" i="5"/>
  <c r="G1602" i="5"/>
  <c r="E1602" i="5"/>
  <c r="G1601" i="5"/>
  <c r="E1601" i="5"/>
  <c r="G1600" i="5"/>
  <c r="E1600" i="5"/>
  <c r="G1599" i="5"/>
  <c r="E1599" i="5"/>
  <c r="G1598" i="5"/>
  <c r="E1598" i="5"/>
  <c r="G1597" i="5"/>
  <c r="E1597" i="5"/>
  <c r="G1596" i="5"/>
  <c r="E1596" i="5"/>
  <c r="G1595" i="5"/>
  <c r="E1595" i="5"/>
  <c r="G1594" i="5"/>
  <c r="E1594" i="5"/>
  <c r="G1593" i="5"/>
  <c r="E1593" i="5"/>
  <c r="G1592" i="5"/>
  <c r="E1592" i="5"/>
  <c r="G1591" i="5"/>
  <c r="E1591" i="5"/>
  <c r="G1590" i="5"/>
  <c r="E1590" i="5"/>
  <c r="G1589" i="5"/>
  <c r="E1589" i="5"/>
  <c r="G1588" i="5"/>
  <c r="E1588" i="5"/>
  <c r="G1587" i="5"/>
  <c r="E1587" i="5"/>
  <c r="G1586" i="5"/>
  <c r="E1586" i="5"/>
  <c r="G1585" i="5"/>
  <c r="E1585" i="5"/>
  <c r="G1584" i="5"/>
  <c r="E1584" i="5"/>
  <c r="G1583" i="5"/>
  <c r="E1583" i="5"/>
  <c r="G1582" i="5"/>
  <c r="E1582" i="5"/>
  <c r="G1581" i="5"/>
  <c r="E1581" i="5"/>
  <c r="G1580" i="5"/>
  <c r="E1580" i="5"/>
  <c r="G1579" i="5"/>
  <c r="E1579" i="5"/>
  <c r="G1578" i="5"/>
  <c r="E1578" i="5"/>
  <c r="G1577" i="5"/>
  <c r="E1577" i="5"/>
  <c r="G1576" i="5"/>
  <c r="E1576" i="5"/>
  <c r="G1575" i="5"/>
  <c r="E1575" i="5"/>
  <c r="G1574" i="5"/>
  <c r="E1574" i="5"/>
  <c r="G1573" i="5"/>
  <c r="E1573" i="5"/>
  <c r="G1572" i="5"/>
  <c r="E1572" i="5"/>
  <c r="G1571" i="5"/>
  <c r="E1571" i="5"/>
  <c r="G1570" i="5"/>
  <c r="E1570" i="5"/>
  <c r="G1569" i="5"/>
  <c r="E1569" i="5"/>
  <c r="G1568" i="5"/>
  <c r="E1568" i="5"/>
  <c r="G1567" i="5"/>
  <c r="E1567" i="5"/>
  <c r="G1566" i="5"/>
  <c r="E1566" i="5"/>
  <c r="G1565" i="5"/>
  <c r="E1565" i="5"/>
  <c r="G1564" i="5"/>
  <c r="E1564" i="5"/>
  <c r="G1563" i="5"/>
  <c r="E1563" i="5"/>
  <c r="G1562" i="5"/>
  <c r="E1562" i="5"/>
  <c r="G1561" i="5"/>
  <c r="E1561" i="5"/>
  <c r="G1560" i="5"/>
  <c r="E1560" i="5"/>
  <c r="G1559" i="5"/>
  <c r="E1559" i="5"/>
  <c r="G1558" i="5"/>
  <c r="E1558" i="5"/>
  <c r="G1557" i="5"/>
  <c r="E1557" i="5"/>
  <c r="G1556" i="5"/>
  <c r="E1556" i="5"/>
  <c r="G1555" i="5"/>
  <c r="E1555" i="5"/>
  <c r="G1554" i="5"/>
  <c r="E1554" i="5"/>
  <c r="G1553" i="5"/>
  <c r="E1553" i="5"/>
  <c r="G1552" i="5"/>
  <c r="E1552" i="5"/>
  <c r="G1551" i="5"/>
  <c r="E1551" i="5"/>
  <c r="G1550" i="5"/>
  <c r="E1550" i="5"/>
  <c r="G1549" i="5"/>
  <c r="E1549" i="5"/>
  <c r="G1548" i="5"/>
  <c r="E1548" i="5"/>
  <c r="G1547" i="5"/>
  <c r="E1547" i="5"/>
  <c r="G1546" i="5"/>
  <c r="E1546" i="5"/>
  <c r="G1545" i="5"/>
  <c r="E1545" i="5"/>
  <c r="G1544" i="5"/>
  <c r="E1544" i="5"/>
  <c r="G1543" i="5"/>
  <c r="E1543" i="5"/>
  <c r="G1542" i="5"/>
  <c r="E1542" i="5"/>
  <c r="G1541" i="5"/>
  <c r="E1541" i="5"/>
  <c r="G1540" i="5"/>
  <c r="E1540" i="5"/>
  <c r="G1539" i="5"/>
  <c r="E1539" i="5"/>
  <c r="G1538" i="5"/>
  <c r="E1538" i="5"/>
  <c r="G1537" i="5"/>
  <c r="E1537" i="5"/>
  <c r="G1536" i="5"/>
  <c r="E1536" i="5"/>
  <c r="G1535" i="5"/>
  <c r="E1535" i="5"/>
  <c r="G1534" i="5"/>
  <c r="E1534" i="5"/>
  <c r="G1533" i="5"/>
  <c r="E1533" i="5"/>
  <c r="G1532" i="5"/>
  <c r="E1532" i="5"/>
  <c r="G1531" i="5"/>
  <c r="E1531" i="5"/>
  <c r="G1530" i="5"/>
  <c r="E1530" i="5"/>
  <c r="G1529" i="5"/>
  <c r="E1529" i="5"/>
  <c r="G1528" i="5"/>
  <c r="E1528" i="5"/>
  <c r="G1527" i="5"/>
  <c r="E1527" i="5"/>
  <c r="G1526" i="5"/>
  <c r="E1526" i="5"/>
  <c r="G1525" i="5"/>
  <c r="E1525" i="5"/>
  <c r="G1524" i="5"/>
  <c r="E1524" i="5"/>
  <c r="G1523" i="5"/>
  <c r="E1523" i="5"/>
  <c r="G1522" i="5"/>
  <c r="E1522" i="5"/>
  <c r="G1521" i="5"/>
  <c r="E1521" i="5"/>
  <c r="G1520" i="5"/>
  <c r="E1520" i="5"/>
  <c r="G1519" i="5"/>
  <c r="E1519" i="5"/>
  <c r="G1518" i="5"/>
  <c r="E1518" i="5"/>
  <c r="G1517" i="5"/>
  <c r="E1517" i="5"/>
  <c r="G1516" i="5"/>
  <c r="E1516" i="5"/>
  <c r="G1515" i="5"/>
  <c r="E1515" i="5"/>
  <c r="G1514" i="5"/>
  <c r="E1514" i="5"/>
  <c r="G1513" i="5"/>
  <c r="E1513" i="5"/>
  <c r="G1512" i="5"/>
  <c r="E1512" i="5"/>
  <c r="G1511" i="5"/>
  <c r="E1511" i="5"/>
  <c r="G1510" i="5"/>
  <c r="E1510" i="5"/>
  <c r="G1509" i="5"/>
  <c r="E1509" i="5"/>
  <c r="G1508" i="5"/>
  <c r="E1508" i="5"/>
  <c r="G1507" i="5"/>
  <c r="E1507" i="5"/>
  <c r="G1506" i="5"/>
  <c r="E1506" i="5"/>
  <c r="G1505" i="5"/>
  <c r="E1505" i="5"/>
  <c r="G1504" i="5"/>
  <c r="E1504" i="5"/>
  <c r="G1503" i="5"/>
  <c r="E1503" i="5"/>
  <c r="G1502" i="5"/>
  <c r="E1502" i="5"/>
  <c r="G1501" i="5"/>
  <c r="E1501" i="5"/>
  <c r="G1500" i="5"/>
  <c r="E1500" i="5"/>
  <c r="G1499" i="5"/>
  <c r="E1499" i="5"/>
  <c r="G1498" i="5"/>
  <c r="E1498" i="5"/>
  <c r="G1497" i="5"/>
  <c r="E1497" i="5"/>
  <c r="G1496" i="5"/>
  <c r="E1496" i="5"/>
  <c r="G1495" i="5"/>
  <c r="E1495" i="5"/>
  <c r="G1494" i="5"/>
  <c r="E1494" i="5"/>
  <c r="G1493" i="5"/>
  <c r="E1493" i="5"/>
  <c r="G1492" i="5"/>
  <c r="E1492" i="5"/>
  <c r="G1491" i="5"/>
  <c r="E1491" i="5"/>
  <c r="G1490" i="5"/>
  <c r="E1490" i="5"/>
  <c r="G1489" i="5"/>
  <c r="E1489" i="5"/>
  <c r="G1488" i="5"/>
  <c r="E1488" i="5"/>
  <c r="G1487" i="5"/>
  <c r="E1487" i="5"/>
  <c r="G1486" i="5"/>
  <c r="E1486" i="5"/>
  <c r="G1485" i="5"/>
  <c r="E1485" i="5"/>
  <c r="G1484" i="5"/>
  <c r="E1484" i="5"/>
  <c r="G1483" i="5"/>
  <c r="E1483" i="5"/>
  <c r="G1482" i="5"/>
  <c r="E1482" i="5"/>
  <c r="G1481" i="5"/>
  <c r="E1481" i="5"/>
  <c r="G1480" i="5"/>
  <c r="E1480" i="5"/>
  <c r="G1479" i="5"/>
  <c r="E1479" i="5"/>
  <c r="G1478" i="5"/>
  <c r="E1478" i="5"/>
  <c r="G1477" i="5"/>
  <c r="E1477" i="5"/>
  <c r="G1476" i="5"/>
  <c r="E1476" i="5"/>
  <c r="G1475" i="5"/>
  <c r="E1475" i="5"/>
  <c r="G1474" i="5"/>
  <c r="E1474" i="5"/>
  <c r="G1473" i="5"/>
  <c r="E1473" i="5"/>
  <c r="G1472" i="5"/>
  <c r="E1472" i="5"/>
  <c r="G1471" i="5"/>
  <c r="E1471" i="5"/>
  <c r="G1470" i="5"/>
  <c r="E1470" i="5"/>
  <c r="G1469" i="5"/>
  <c r="E1469" i="5"/>
  <c r="G1468" i="5"/>
  <c r="E1468" i="5"/>
  <c r="G1467" i="5"/>
  <c r="E1467" i="5"/>
  <c r="G1466" i="5"/>
  <c r="E1466" i="5"/>
  <c r="G1465" i="5"/>
  <c r="E1465" i="5"/>
  <c r="G1464" i="5"/>
  <c r="E1464" i="5"/>
  <c r="G1463" i="5"/>
  <c r="E1463" i="5"/>
  <c r="G1462" i="5"/>
  <c r="E1462" i="5"/>
  <c r="G1461" i="5"/>
  <c r="E1461" i="5"/>
  <c r="G1460" i="5"/>
  <c r="E1460" i="5"/>
  <c r="G1459" i="5"/>
  <c r="E1459" i="5"/>
  <c r="G1458" i="5"/>
  <c r="E1458" i="5"/>
  <c r="G1457" i="5"/>
  <c r="E1457" i="5"/>
  <c r="G1456" i="5"/>
  <c r="E1456" i="5"/>
  <c r="G1455" i="5"/>
  <c r="E1455" i="5"/>
  <c r="G1454" i="5"/>
  <c r="E1454" i="5"/>
  <c r="G1453" i="5"/>
  <c r="E1453" i="5"/>
  <c r="G1452" i="5"/>
  <c r="E1452" i="5"/>
  <c r="G1451" i="5"/>
  <c r="E1451" i="5"/>
  <c r="G1450" i="5"/>
  <c r="E1450" i="5"/>
  <c r="G1449" i="5"/>
  <c r="E1449" i="5"/>
  <c r="G1448" i="5"/>
  <c r="E1448" i="5"/>
  <c r="G1447" i="5"/>
  <c r="E1447" i="5"/>
  <c r="G1446" i="5"/>
  <c r="E1446" i="5"/>
  <c r="G1445" i="5"/>
  <c r="E1445" i="5"/>
  <c r="G1444" i="5"/>
  <c r="E1444" i="5"/>
  <c r="G1443" i="5"/>
  <c r="E1443" i="5"/>
  <c r="G1442" i="5"/>
  <c r="E1442" i="5"/>
  <c r="G1441" i="5"/>
  <c r="E1441" i="5"/>
  <c r="G1440" i="5"/>
  <c r="E1440" i="5"/>
  <c r="G1439" i="5"/>
  <c r="E1439" i="5"/>
  <c r="G1438" i="5"/>
  <c r="E1438" i="5"/>
  <c r="G1437" i="5"/>
  <c r="E1437" i="5"/>
  <c r="G1436" i="5"/>
  <c r="E1436" i="5"/>
  <c r="G1435" i="5"/>
  <c r="E1435" i="5"/>
  <c r="G1434" i="5"/>
  <c r="E1434" i="5"/>
  <c r="G1433" i="5"/>
  <c r="E1433" i="5"/>
  <c r="G1432" i="5"/>
  <c r="E1432" i="5"/>
  <c r="G1431" i="5"/>
  <c r="E1431" i="5"/>
  <c r="G1430" i="5"/>
  <c r="E1430" i="5"/>
  <c r="G1429" i="5"/>
  <c r="E1429" i="5"/>
  <c r="G1428" i="5"/>
  <c r="E1428" i="5"/>
  <c r="G1427" i="5"/>
  <c r="E1427" i="5"/>
  <c r="G1426" i="5"/>
  <c r="E1426" i="5"/>
  <c r="G1425" i="5"/>
  <c r="E1425" i="5"/>
  <c r="G1424" i="5"/>
  <c r="E1424" i="5"/>
  <c r="G1423" i="5"/>
  <c r="E1423" i="5"/>
  <c r="G1422" i="5"/>
  <c r="E1422" i="5"/>
  <c r="G1421" i="5"/>
  <c r="E1421" i="5"/>
  <c r="G1420" i="5"/>
  <c r="E1420" i="5"/>
  <c r="G1419" i="5"/>
  <c r="E1419" i="5"/>
  <c r="G1418" i="5"/>
  <c r="E1418" i="5"/>
  <c r="G1417" i="5"/>
  <c r="E1417" i="5"/>
  <c r="G1416" i="5"/>
  <c r="E1416" i="5"/>
  <c r="G1415" i="5"/>
  <c r="E1415" i="5"/>
  <c r="G1414" i="5"/>
  <c r="E1414" i="5"/>
  <c r="G1413" i="5"/>
  <c r="E1413" i="5"/>
  <c r="G1412" i="5"/>
  <c r="E1412" i="5"/>
  <c r="G1411" i="5"/>
  <c r="E1411" i="5"/>
  <c r="G1410" i="5"/>
  <c r="E1410" i="5"/>
  <c r="G1409" i="5"/>
  <c r="E1409" i="5"/>
  <c r="G1408" i="5"/>
  <c r="E1408" i="5"/>
  <c r="G1407" i="5"/>
  <c r="E1407" i="5"/>
  <c r="G1406" i="5"/>
  <c r="E1406" i="5"/>
  <c r="G1405" i="5"/>
  <c r="E1405" i="5"/>
  <c r="G1404" i="5"/>
  <c r="E1404" i="5"/>
  <c r="G1403" i="5"/>
  <c r="E1403" i="5"/>
  <c r="G1402" i="5"/>
  <c r="E1402" i="5"/>
  <c r="G1401" i="5"/>
  <c r="E1401" i="5"/>
  <c r="G1400" i="5"/>
  <c r="E1400" i="5"/>
  <c r="G1399" i="5"/>
  <c r="E1399" i="5"/>
  <c r="G1398" i="5"/>
  <c r="E1398" i="5"/>
  <c r="G1397" i="5"/>
  <c r="E1397" i="5"/>
  <c r="G1396" i="5"/>
  <c r="E1396" i="5"/>
  <c r="G1395" i="5"/>
  <c r="E1395" i="5"/>
  <c r="G1394" i="5"/>
  <c r="E1394" i="5"/>
  <c r="G1393" i="5"/>
  <c r="E1393" i="5"/>
  <c r="G1392" i="5"/>
  <c r="E1392" i="5"/>
  <c r="G1391" i="5"/>
  <c r="E1391" i="5"/>
  <c r="G1390" i="5"/>
  <c r="E1390" i="5"/>
  <c r="G1389" i="5"/>
  <c r="E1389" i="5"/>
  <c r="G1388" i="5"/>
  <c r="E1388" i="5"/>
  <c r="G1387" i="5"/>
  <c r="E1387" i="5"/>
  <c r="G1386" i="5"/>
  <c r="E1386" i="5"/>
  <c r="G1385" i="5"/>
  <c r="E1385" i="5"/>
  <c r="G1384" i="5"/>
  <c r="E1384" i="5"/>
  <c r="G1383" i="5"/>
  <c r="E1383" i="5"/>
  <c r="G1382" i="5"/>
  <c r="E1382" i="5"/>
  <c r="G1381" i="5"/>
  <c r="E1381" i="5"/>
  <c r="G1380" i="5"/>
  <c r="E1380" i="5"/>
  <c r="G1379" i="5"/>
  <c r="E1379" i="5"/>
  <c r="G1378" i="5"/>
  <c r="E1378" i="5"/>
  <c r="G1377" i="5"/>
  <c r="E1377" i="5"/>
  <c r="G1376" i="5"/>
  <c r="E1376" i="5"/>
  <c r="G1375" i="5"/>
  <c r="E1375" i="5"/>
  <c r="G1374" i="5"/>
  <c r="E1374" i="5"/>
  <c r="G1373" i="5"/>
  <c r="E1373" i="5"/>
  <c r="G1372" i="5"/>
  <c r="E1372" i="5"/>
  <c r="G1371" i="5"/>
  <c r="E1371" i="5"/>
  <c r="G1370" i="5"/>
  <c r="E1370" i="5"/>
  <c r="G1369" i="5"/>
  <c r="E1369" i="5"/>
  <c r="G1368" i="5"/>
  <c r="E1368" i="5"/>
  <c r="G1367" i="5"/>
  <c r="E1367" i="5"/>
  <c r="G1366" i="5"/>
  <c r="E1366" i="5"/>
  <c r="G1365" i="5"/>
  <c r="E1365" i="5"/>
  <c r="G1364" i="5"/>
  <c r="E1364" i="5"/>
  <c r="G1363" i="5"/>
  <c r="E1363" i="5"/>
  <c r="G1362" i="5"/>
  <c r="E1362" i="5"/>
  <c r="G1361" i="5"/>
  <c r="E1361" i="5"/>
  <c r="G1360" i="5"/>
  <c r="E1360" i="5"/>
  <c r="G1359" i="5"/>
  <c r="E1359" i="5"/>
  <c r="G1358" i="5"/>
  <c r="E1358" i="5"/>
  <c r="G1357" i="5"/>
  <c r="E1357" i="5"/>
  <c r="G1356" i="5"/>
  <c r="E1356" i="5"/>
  <c r="G1355" i="5"/>
  <c r="E1355" i="5"/>
  <c r="G1354" i="5"/>
  <c r="E1354" i="5"/>
  <c r="G1353" i="5"/>
  <c r="E1353" i="5"/>
  <c r="G1352" i="5"/>
  <c r="E1352" i="5"/>
  <c r="G1351" i="5"/>
  <c r="E1351" i="5"/>
  <c r="G1350" i="5"/>
  <c r="E1350" i="5"/>
  <c r="G1349" i="5"/>
  <c r="E1349" i="5"/>
  <c r="G1348" i="5"/>
  <c r="E1348" i="5"/>
  <c r="G1347" i="5"/>
  <c r="E1347" i="5"/>
  <c r="G1346" i="5"/>
  <c r="E1346" i="5"/>
  <c r="G1345" i="5"/>
  <c r="E1345" i="5"/>
  <c r="G1344" i="5"/>
  <c r="E1344" i="5"/>
  <c r="G1343" i="5"/>
  <c r="E1343" i="5"/>
  <c r="G1342" i="5"/>
  <c r="E1342" i="5"/>
  <c r="G1341" i="5"/>
  <c r="E1341" i="5"/>
  <c r="G1340" i="5"/>
  <c r="E1340" i="5"/>
  <c r="G1339" i="5"/>
  <c r="E1339" i="5"/>
  <c r="G1338" i="5"/>
  <c r="E1338" i="5"/>
  <c r="G1337" i="5"/>
  <c r="E1337" i="5"/>
  <c r="G1336" i="5"/>
  <c r="E1336" i="5"/>
  <c r="G1335" i="5"/>
  <c r="E1335" i="5"/>
  <c r="G1334" i="5"/>
  <c r="E1334" i="5"/>
  <c r="G1333" i="5"/>
  <c r="E1333" i="5"/>
  <c r="G1332" i="5"/>
  <c r="E1332" i="5"/>
  <c r="G1331" i="5"/>
  <c r="E1331" i="5"/>
  <c r="G1330" i="5"/>
  <c r="E1330" i="5"/>
  <c r="G1329" i="5"/>
  <c r="E1329" i="5"/>
  <c r="G1328" i="5"/>
  <c r="E1328" i="5"/>
  <c r="G1327" i="5"/>
  <c r="E1327" i="5"/>
  <c r="G1326" i="5"/>
  <c r="E1326" i="5"/>
  <c r="G1325" i="5"/>
  <c r="E1325" i="5"/>
  <c r="G1324" i="5"/>
  <c r="E1324" i="5"/>
  <c r="G1323" i="5"/>
  <c r="E1323" i="5"/>
  <c r="G1322" i="5"/>
  <c r="E1322" i="5"/>
  <c r="G1321" i="5"/>
  <c r="E1321" i="5"/>
  <c r="G1320" i="5"/>
  <c r="E1320" i="5"/>
  <c r="G1319" i="5"/>
  <c r="E1319" i="5"/>
  <c r="G1318" i="5"/>
  <c r="E1318" i="5"/>
  <c r="G1317" i="5"/>
  <c r="E1317" i="5"/>
  <c r="G1316" i="5"/>
  <c r="E1316" i="5"/>
  <c r="G1315" i="5"/>
  <c r="E1315" i="5"/>
  <c r="G1314" i="5"/>
  <c r="E1314" i="5"/>
  <c r="G1313" i="5"/>
  <c r="E1313" i="5"/>
  <c r="G1312" i="5"/>
  <c r="E1312" i="5"/>
  <c r="G1311" i="5"/>
  <c r="E1311" i="5"/>
  <c r="G1310" i="5"/>
  <c r="E1310" i="5"/>
  <c r="G1309" i="5"/>
  <c r="E1309" i="5"/>
  <c r="G1308" i="5"/>
  <c r="E1308" i="5"/>
  <c r="G1307" i="5"/>
  <c r="E1307" i="5"/>
  <c r="G1306" i="5"/>
  <c r="E1306" i="5"/>
  <c r="G1305" i="5"/>
  <c r="E1305" i="5"/>
  <c r="G1304" i="5"/>
  <c r="E1304" i="5"/>
  <c r="G1303" i="5"/>
  <c r="E1303" i="5"/>
  <c r="G1302" i="5"/>
  <c r="E1302" i="5"/>
  <c r="G1301" i="5"/>
  <c r="E1301" i="5"/>
  <c r="G1300" i="5"/>
  <c r="E1300" i="5"/>
  <c r="G1299" i="5"/>
  <c r="E1299" i="5"/>
  <c r="G1298" i="5"/>
  <c r="E1298" i="5"/>
  <c r="G1297" i="5"/>
  <c r="E1297" i="5"/>
  <c r="G1296" i="5"/>
  <c r="E1296" i="5"/>
  <c r="G1295" i="5"/>
  <c r="E1295" i="5"/>
  <c r="G1294" i="5"/>
  <c r="E1294" i="5"/>
  <c r="G1293" i="5"/>
  <c r="E1293" i="5"/>
  <c r="G1292" i="5"/>
  <c r="E1292" i="5"/>
  <c r="G1291" i="5"/>
  <c r="E1291" i="5"/>
  <c r="G1290" i="5"/>
  <c r="E1290" i="5"/>
  <c r="G1289" i="5"/>
  <c r="E1289" i="5"/>
  <c r="G1288" i="5"/>
  <c r="E1288" i="5"/>
  <c r="G1287" i="5"/>
  <c r="E1287" i="5"/>
  <c r="G1286" i="5"/>
  <c r="E1286" i="5"/>
  <c r="G1285" i="5"/>
  <c r="E1285" i="5"/>
  <c r="G1284" i="5"/>
  <c r="E1284" i="5"/>
  <c r="G1283" i="5"/>
  <c r="E1283" i="5"/>
  <c r="G1282" i="5"/>
  <c r="E1282" i="5"/>
  <c r="G1281" i="5"/>
  <c r="E1281" i="5"/>
  <c r="G1280" i="5"/>
  <c r="E1280" i="5"/>
  <c r="G1279" i="5"/>
  <c r="E1279" i="5"/>
  <c r="G1278" i="5"/>
  <c r="E1278" i="5"/>
  <c r="G1277" i="5"/>
  <c r="E1277" i="5"/>
  <c r="G1276" i="5"/>
  <c r="E1276" i="5"/>
  <c r="G1275" i="5"/>
  <c r="E1275" i="5"/>
  <c r="G1274" i="5"/>
  <c r="E1274" i="5"/>
  <c r="G1273" i="5"/>
  <c r="E1273" i="5"/>
  <c r="G1272" i="5"/>
  <c r="E1272" i="5"/>
  <c r="G1271" i="5"/>
  <c r="E1271" i="5"/>
  <c r="G1270" i="5"/>
  <c r="E1270" i="5"/>
  <c r="G1269" i="5"/>
  <c r="E1269" i="5"/>
  <c r="G1268" i="5"/>
  <c r="E1268" i="5"/>
  <c r="G1267" i="5"/>
  <c r="E1267" i="5"/>
  <c r="G1266" i="5"/>
  <c r="E1266" i="5"/>
  <c r="G1265" i="5"/>
  <c r="E1265" i="5"/>
  <c r="G1264" i="5"/>
  <c r="E1264" i="5"/>
  <c r="G1263" i="5"/>
  <c r="E1263" i="5"/>
  <c r="G1262" i="5"/>
  <c r="E1262" i="5"/>
  <c r="G1261" i="5"/>
  <c r="E1261" i="5"/>
  <c r="G1260" i="5"/>
  <c r="E1260" i="5"/>
  <c r="G1259" i="5"/>
  <c r="E1259" i="5"/>
  <c r="G1258" i="5"/>
  <c r="E1258" i="5"/>
  <c r="G1257" i="5"/>
  <c r="E1257" i="5"/>
  <c r="G1256" i="5"/>
  <c r="E1256" i="5"/>
  <c r="G1255" i="5"/>
  <c r="E1255" i="5"/>
  <c r="G1254" i="5"/>
  <c r="E1254" i="5"/>
  <c r="G1253" i="5"/>
  <c r="E1253" i="5"/>
  <c r="G1252" i="5"/>
  <c r="E1252" i="5"/>
  <c r="G1251" i="5"/>
  <c r="E1251" i="5"/>
  <c r="G1250" i="5"/>
  <c r="E1250" i="5"/>
  <c r="G1249" i="5"/>
  <c r="E1249" i="5"/>
  <c r="G1248" i="5"/>
  <c r="E1248" i="5"/>
  <c r="G1247" i="5"/>
  <c r="E1247" i="5"/>
  <c r="G1246" i="5"/>
  <c r="E1246" i="5"/>
  <c r="G1245" i="5"/>
  <c r="E1245" i="5"/>
  <c r="G1244" i="5"/>
  <c r="E1244" i="5"/>
  <c r="G1243" i="5"/>
  <c r="E1243" i="5"/>
  <c r="G1242" i="5"/>
  <c r="E1242" i="5"/>
  <c r="G1241" i="5"/>
  <c r="E1241" i="5"/>
  <c r="G1240" i="5"/>
  <c r="E1240" i="5"/>
  <c r="G1239" i="5"/>
  <c r="E1239" i="5"/>
  <c r="G1238" i="5"/>
  <c r="E1238" i="5"/>
  <c r="G1237" i="5"/>
  <c r="E1237" i="5"/>
  <c r="G1236" i="5"/>
  <c r="E1236" i="5"/>
  <c r="G1235" i="5"/>
  <c r="E1235" i="5"/>
  <c r="G1234" i="5"/>
  <c r="E1234" i="5"/>
  <c r="G1233" i="5"/>
  <c r="E1233" i="5"/>
  <c r="G1232" i="5"/>
  <c r="E1232" i="5"/>
  <c r="G1231" i="5"/>
  <c r="E1231" i="5"/>
  <c r="G1230" i="5"/>
  <c r="E1230" i="5"/>
  <c r="G1229" i="5"/>
  <c r="E1229" i="5"/>
  <c r="G1228" i="5"/>
  <c r="E1228" i="5"/>
  <c r="G1227" i="5"/>
  <c r="E1227" i="5"/>
  <c r="G1226" i="5"/>
  <c r="E1226" i="5"/>
  <c r="G1225" i="5"/>
  <c r="E1225" i="5"/>
  <c r="G1224" i="5"/>
  <c r="E1224" i="5"/>
  <c r="G1223" i="5"/>
  <c r="E1223" i="5"/>
  <c r="G1222" i="5"/>
  <c r="E1222" i="5"/>
  <c r="G1221" i="5"/>
  <c r="E1221" i="5"/>
  <c r="G1220" i="5"/>
  <c r="E1220" i="5"/>
  <c r="G1219" i="5"/>
  <c r="E1219" i="5"/>
  <c r="G1218" i="5"/>
  <c r="E1218" i="5"/>
  <c r="G1217" i="5"/>
  <c r="E1217" i="5"/>
  <c r="G1216" i="5"/>
  <c r="E1216" i="5"/>
  <c r="G1215" i="5"/>
  <c r="E1215" i="5"/>
  <c r="G1214" i="5"/>
  <c r="E1214" i="5"/>
  <c r="G1213" i="5"/>
  <c r="E1213" i="5"/>
  <c r="G1212" i="5"/>
  <c r="E1212" i="5"/>
  <c r="G1211" i="5"/>
  <c r="E1211" i="5"/>
  <c r="G1210" i="5"/>
  <c r="E1210" i="5"/>
  <c r="G1209" i="5"/>
  <c r="E1209" i="5"/>
  <c r="G1208" i="5"/>
  <c r="E1208" i="5"/>
  <c r="G1207" i="5"/>
  <c r="E1207" i="5"/>
  <c r="G1206" i="5"/>
  <c r="E1206" i="5"/>
  <c r="G1205" i="5"/>
  <c r="E1205" i="5"/>
  <c r="G1204" i="5"/>
  <c r="E1204" i="5"/>
  <c r="G1203" i="5"/>
  <c r="E1203" i="5"/>
  <c r="G1202" i="5"/>
  <c r="E1202" i="5"/>
  <c r="G1201" i="5"/>
  <c r="E1201" i="5"/>
  <c r="G1200" i="5"/>
  <c r="E1200" i="5"/>
  <c r="G1199" i="5"/>
  <c r="E1199" i="5"/>
  <c r="G1198" i="5"/>
  <c r="E1198" i="5"/>
  <c r="G1197" i="5"/>
  <c r="E1197" i="5"/>
  <c r="G1196" i="5"/>
  <c r="E1196" i="5"/>
  <c r="G1195" i="5"/>
  <c r="E1195" i="5"/>
  <c r="G1194" i="5"/>
  <c r="E1194" i="5"/>
  <c r="G1193" i="5"/>
  <c r="E1193" i="5"/>
  <c r="G1192" i="5"/>
  <c r="E1192" i="5"/>
  <c r="G1191" i="5"/>
  <c r="E1191" i="5"/>
  <c r="G1190" i="5"/>
  <c r="E1190" i="5"/>
  <c r="G1189" i="5"/>
  <c r="E1189" i="5"/>
  <c r="G1188" i="5"/>
  <c r="E1188" i="5"/>
  <c r="G1187" i="5"/>
  <c r="E1187" i="5"/>
  <c r="G1186" i="5"/>
  <c r="E1186" i="5"/>
  <c r="G1185" i="5"/>
  <c r="E1185" i="5"/>
  <c r="G1184" i="5"/>
  <c r="E1184" i="5"/>
  <c r="G1183" i="5"/>
  <c r="E1183" i="5"/>
  <c r="G1182" i="5"/>
  <c r="E1182" i="5"/>
  <c r="G1181" i="5"/>
  <c r="E1181" i="5"/>
  <c r="G1180" i="5"/>
  <c r="E1180" i="5"/>
  <c r="G1179" i="5"/>
  <c r="E1179" i="5"/>
  <c r="G1178" i="5"/>
  <c r="E1178" i="5"/>
  <c r="G1177" i="5"/>
  <c r="E1177" i="5"/>
  <c r="G1176" i="5"/>
  <c r="E1176" i="5"/>
  <c r="G1175" i="5"/>
  <c r="E1175" i="5"/>
  <c r="G1174" i="5"/>
  <c r="E1174" i="5"/>
  <c r="G1173" i="5"/>
  <c r="E1173" i="5"/>
  <c r="G1172" i="5"/>
  <c r="E1172" i="5"/>
  <c r="G1171" i="5"/>
  <c r="E1171" i="5"/>
  <c r="G1170" i="5"/>
  <c r="E1170" i="5"/>
  <c r="G1169" i="5"/>
  <c r="E1169" i="5"/>
  <c r="G1168" i="5"/>
  <c r="E1168" i="5"/>
  <c r="G1167" i="5"/>
  <c r="E1167" i="5"/>
  <c r="G1166" i="5"/>
  <c r="E1166" i="5"/>
  <c r="G1165" i="5"/>
  <c r="E1165" i="5"/>
  <c r="G1164" i="5"/>
  <c r="E1164" i="5"/>
  <c r="G1163" i="5"/>
  <c r="E1163" i="5"/>
  <c r="G1162" i="5"/>
  <c r="E1162" i="5"/>
  <c r="G1161" i="5"/>
  <c r="E1161" i="5"/>
  <c r="G1160" i="5"/>
  <c r="E1160" i="5"/>
  <c r="G1159" i="5"/>
  <c r="E1159" i="5"/>
  <c r="G1158" i="5"/>
  <c r="E1158" i="5"/>
  <c r="G1157" i="5"/>
  <c r="E1157" i="5"/>
  <c r="G1156" i="5"/>
  <c r="E1156" i="5"/>
  <c r="G1155" i="5"/>
  <c r="E1155" i="5"/>
  <c r="G1154" i="5"/>
  <c r="E1154" i="5"/>
  <c r="G1153" i="5"/>
  <c r="E1153" i="5"/>
  <c r="G1152" i="5"/>
  <c r="E1152" i="5"/>
  <c r="G1151" i="5"/>
  <c r="E1151" i="5"/>
  <c r="G1150" i="5"/>
  <c r="E1150" i="5"/>
  <c r="G1149" i="5"/>
  <c r="E1149" i="5"/>
  <c r="G1148" i="5"/>
  <c r="E1148" i="5"/>
  <c r="G1147" i="5"/>
  <c r="E1147" i="5"/>
  <c r="G1146" i="5"/>
  <c r="E1146" i="5"/>
  <c r="G1145" i="5"/>
  <c r="E1145" i="5"/>
  <c r="G1144" i="5"/>
  <c r="E1144" i="5"/>
  <c r="G1143" i="5"/>
  <c r="E1143" i="5"/>
  <c r="G1142" i="5"/>
  <c r="E1142" i="5"/>
  <c r="G1141" i="5"/>
  <c r="E1141" i="5"/>
  <c r="G1140" i="5"/>
  <c r="E1140" i="5"/>
  <c r="G1139" i="5"/>
  <c r="E1139" i="5"/>
  <c r="G1138" i="5"/>
  <c r="E1138" i="5"/>
  <c r="G1137" i="5"/>
  <c r="E1137" i="5"/>
  <c r="G1136" i="5"/>
  <c r="E1136" i="5"/>
  <c r="G1135" i="5"/>
  <c r="E1135" i="5"/>
  <c r="G1134" i="5"/>
  <c r="E1134" i="5"/>
  <c r="G1133" i="5"/>
  <c r="E1133" i="5"/>
  <c r="G1132" i="5"/>
  <c r="E1132" i="5"/>
  <c r="G1131" i="5"/>
  <c r="E1131" i="5"/>
  <c r="G1130" i="5"/>
  <c r="E1130" i="5"/>
  <c r="G1129" i="5"/>
  <c r="E1129" i="5"/>
  <c r="G1128" i="5"/>
  <c r="E1128" i="5"/>
  <c r="G1127" i="5"/>
  <c r="E1127" i="5"/>
  <c r="G1126" i="5"/>
  <c r="E1126" i="5"/>
  <c r="G1125" i="5"/>
  <c r="E1125" i="5"/>
  <c r="G1124" i="5"/>
  <c r="E1124" i="5"/>
  <c r="G1123" i="5"/>
  <c r="E1123" i="5"/>
  <c r="G1122" i="5"/>
  <c r="E1122" i="5"/>
  <c r="G1121" i="5"/>
  <c r="E1121" i="5"/>
  <c r="G1120" i="5"/>
  <c r="E1120" i="5"/>
  <c r="G1119" i="5"/>
  <c r="E1119" i="5"/>
  <c r="G1118" i="5"/>
  <c r="E1118" i="5"/>
  <c r="G1117" i="5"/>
  <c r="E1117" i="5"/>
  <c r="G1116" i="5"/>
  <c r="E1116" i="5"/>
  <c r="G1115" i="5"/>
  <c r="E1115" i="5"/>
  <c r="G1114" i="5"/>
  <c r="E1114" i="5"/>
  <c r="G1113" i="5"/>
  <c r="E1113" i="5"/>
  <c r="G1112" i="5"/>
  <c r="E1112" i="5"/>
  <c r="G1111" i="5"/>
  <c r="E1111" i="5"/>
  <c r="G1110" i="5"/>
  <c r="E1110" i="5"/>
  <c r="G1109" i="5"/>
  <c r="E1109" i="5"/>
  <c r="G1108" i="5"/>
  <c r="E1108" i="5"/>
  <c r="G1107" i="5"/>
  <c r="E1107" i="5"/>
  <c r="G1106" i="5"/>
  <c r="E1106" i="5"/>
  <c r="G1105" i="5"/>
  <c r="E1105" i="5"/>
  <c r="G1104" i="5"/>
  <c r="E1104" i="5"/>
  <c r="G1103" i="5"/>
  <c r="E1103" i="5"/>
  <c r="G1102" i="5"/>
  <c r="E1102" i="5"/>
  <c r="G1101" i="5"/>
  <c r="E1101" i="5"/>
  <c r="G1100" i="5"/>
  <c r="E1100" i="5"/>
  <c r="G1099" i="5"/>
  <c r="E1099" i="5"/>
  <c r="G1098" i="5"/>
  <c r="E1098" i="5"/>
  <c r="G1097" i="5"/>
  <c r="E1097" i="5"/>
  <c r="G1096" i="5"/>
  <c r="E1096" i="5"/>
  <c r="G1095" i="5"/>
  <c r="E1095" i="5"/>
  <c r="G1094" i="5"/>
  <c r="E1094" i="5"/>
  <c r="G1093" i="5"/>
  <c r="E1093" i="5"/>
  <c r="G1092" i="5"/>
  <c r="E1092" i="5"/>
  <c r="G1091" i="5"/>
  <c r="E1091" i="5"/>
  <c r="G1090" i="5"/>
  <c r="E1090" i="5"/>
  <c r="G1089" i="5"/>
  <c r="E1089" i="5"/>
  <c r="G1088" i="5"/>
  <c r="E1088" i="5"/>
  <c r="G1087" i="5"/>
  <c r="E1087" i="5"/>
  <c r="G1086" i="5"/>
  <c r="E1086" i="5"/>
  <c r="G1085" i="5"/>
  <c r="E1085" i="5"/>
  <c r="G1084" i="5"/>
  <c r="E1084" i="5"/>
  <c r="G1083" i="5"/>
  <c r="E1083" i="5"/>
  <c r="G1082" i="5"/>
  <c r="E1082" i="5"/>
  <c r="G1081" i="5"/>
  <c r="E1081" i="5"/>
  <c r="G1080" i="5"/>
  <c r="E1080" i="5"/>
  <c r="G1079" i="5"/>
  <c r="E1079" i="5"/>
  <c r="G1078" i="5"/>
  <c r="E1078" i="5"/>
  <c r="G1077" i="5"/>
  <c r="E1077" i="5"/>
  <c r="G1076" i="5"/>
  <c r="E1076" i="5"/>
  <c r="G1075" i="5"/>
  <c r="E1075" i="5"/>
  <c r="G1074" i="5"/>
  <c r="E1074" i="5"/>
  <c r="G1073" i="5"/>
  <c r="E1073" i="5"/>
  <c r="G1072" i="5"/>
  <c r="E1072" i="5"/>
  <c r="G1071" i="5"/>
  <c r="E1071" i="5"/>
  <c r="G1070" i="5"/>
  <c r="E1070" i="5"/>
  <c r="G1069" i="5"/>
  <c r="E1069" i="5"/>
  <c r="G1068" i="5"/>
  <c r="E1068" i="5"/>
  <c r="G1067" i="5"/>
  <c r="E1067" i="5"/>
  <c r="G1066" i="5"/>
  <c r="E1066" i="5"/>
  <c r="G1065" i="5"/>
  <c r="E1065" i="5"/>
  <c r="G1064" i="5"/>
  <c r="E1064" i="5"/>
  <c r="G1063" i="5"/>
  <c r="E1063" i="5"/>
  <c r="G1062" i="5"/>
  <c r="E1062" i="5"/>
  <c r="G1061" i="5"/>
  <c r="E1061" i="5"/>
  <c r="G1060" i="5"/>
  <c r="E1060" i="5"/>
  <c r="G1059" i="5"/>
  <c r="E1059" i="5"/>
  <c r="G1058" i="5"/>
  <c r="E1058" i="5"/>
  <c r="G1057" i="5"/>
  <c r="E1057" i="5"/>
  <c r="G1056" i="5"/>
  <c r="E1056" i="5"/>
  <c r="G1055" i="5"/>
  <c r="E1055" i="5"/>
  <c r="G1054" i="5"/>
  <c r="E1054" i="5"/>
  <c r="G1053" i="5"/>
  <c r="E1053" i="5"/>
  <c r="G1052" i="5"/>
  <c r="E1052" i="5"/>
  <c r="G1051" i="5"/>
  <c r="E1051" i="5"/>
  <c r="G1050" i="5"/>
  <c r="E1050" i="5"/>
  <c r="G1049" i="5"/>
  <c r="E1049" i="5"/>
  <c r="G1048" i="5"/>
  <c r="E1048" i="5"/>
  <c r="G1047" i="5"/>
  <c r="E1047" i="5"/>
  <c r="G1046" i="5"/>
  <c r="E1046" i="5"/>
  <c r="G1045" i="5"/>
  <c r="E1045" i="5"/>
  <c r="G1044" i="5"/>
  <c r="E1044" i="5"/>
  <c r="G1043" i="5"/>
  <c r="E1043" i="5"/>
  <c r="G1042" i="5"/>
  <c r="E1042" i="5"/>
  <c r="G1041" i="5"/>
  <c r="E1041" i="5"/>
  <c r="G1040" i="5"/>
  <c r="E1040" i="5"/>
  <c r="G1039" i="5"/>
  <c r="E1039" i="5"/>
  <c r="G1038" i="5"/>
  <c r="E1038" i="5"/>
  <c r="G1037" i="5"/>
  <c r="E1037" i="5"/>
  <c r="G1036" i="5"/>
  <c r="E1036" i="5"/>
  <c r="G1035" i="5"/>
  <c r="E1035" i="5"/>
  <c r="G1034" i="5"/>
  <c r="E1034" i="5"/>
  <c r="G1033" i="5"/>
  <c r="E1033" i="5"/>
  <c r="G1032" i="5"/>
  <c r="E1032" i="5"/>
  <c r="G1031" i="5"/>
  <c r="E1031" i="5"/>
  <c r="G1030" i="5"/>
  <c r="E1030" i="5"/>
  <c r="G1029" i="5"/>
  <c r="E1029" i="5"/>
  <c r="G1028" i="5"/>
  <c r="E1028" i="5"/>
  <c r="G1027" i="5"/>
  <c r="E1027" i="5"/>
  <c r="G1026" i="5"/>
  <c r="E1026" i="5"/>
  <c r="G1025" i="5"/>
  <c r="E1025" i="5"/>
  <c r="G1024" i="5"/>
  <c r="E1024" i="5"/>
  <c r="G1023" i="5"/>
  <c r="E1023" i="5"/>
  <c r="G1022" i="5"/>
  <c r="E1022" i="5"/>
  <c r="G1021" i="5"/>
  <c r="E1021" i="5"/>
  <c r="G1020" i="5"/>
  <c r="E1020" i="5"/>
  <c r="G1019" i="5"/>
  <c r="E1019" i="5"/>
  <c r="G1018" i="5"/>
  <c r="E1018" i="5"/>
  <c r="G1017" i="5"/>
  <c r="E1017" i="5"/>
  <c r="G1016" i="5"/>
  <c r="E1016" i="5"/>
  <c r="G1015" i="5"/>
  <c r="E1015" i="5"/>
  <c r="G1014" i="5"/>
  <c r="E1014" i="5"/>
  <c r="G1013" i="5"/>
  <c r="E1013" i="5"/>
  <c r="G1012" i="5"/>
  <c r="E1012" i="5"/>
  <c r="G1011" i="5"/>
  <c r="E1011" i="5"/>
  <c r="G1010" i="5"/>
  <c r="E1010" i="5"/>
  <c r="G1009" i="5"/>
  <c r="E1009" i="5"/>
  <c r="G1008" i="5"/>
  <c r="E1008" i="5"/>
  <c r="G1007" i="5"/>
  <c r="E1007" i="5"/>
  <c r="G1006" i="5"/>
  <c r="E1006" i="5"/>
  <c r="G1005" i="5"/>
  <c r="E1005" i="5"/>
  <c r="G1004" i="5"/>
  <c r="E1004" i="5"/>
  <c r="G1003" i="5"/>
  <c r="E1003" i="5"/>
  <c r="G1002" i="5"/>
  <c r="E1002" i="5"/>
  <c r="G1001" i="5"/>
  <c r="E1001" i="5"/>
  <c r="G1000" i="5"/>
  <c r="E1000" i="5"/>
  <c r="G999" i="5"/>
  <c r="E999" i="5"/>
  <c r="G998" i="5"/>
  <c r="E998" i="5"/>
  <c r="G997" i="5"/>
  <c r="E997" i="5"/>
  <c r="G996" i="5"/>
  <c r="E996" i="5"/>
  <c r="G995" i="5"/>
  <c r="E995" i="5"/>
  <c r="G994" i="5"/>
  <c r="E994" i="5"/>
  <c r="G993" i="5"/>
  <c r="E993" i="5"/>
  <c r="G992" i="5"/>
  <c r="E992" i="5"/>
  <c r="G991" i="5"/>
  <c r="E991" i="5"/>
  <c r="G990" i="5"/>
  <c r="E990" i="5"/>
  <c r="G989" i="5"/>
  <c r="E989" i="5"/>
  <c r="G988" i="5"/>
  <c r="E988" i="5"/>
  <c r="G987" i="5"/>
  <c r="E987" i="5"/>
  <c r="G986" i="5"/>
  <c r="E986" i="5"/>
  <c r="G985" i="5"/>
  <c r="E985" i="5"/>
  <c r="G984" i="5"/>
  <c r="E984" i="5"/>
  <c r="G983" i="5"/>
  <c r="E983" i="5"/>
  <c r="G982" i="5"/>
  <c r="E982" i="5"/>
  <c r="G981" i="5"/>
  <c r="E981" i="5"/>
  <c r="G980" i="5"/>
  <c r="E980" i="5"/>
  <c r="G979" i="5"/>
  <c r="E979" i="5"/>
  <c r="G978" i="5"/>
  <c r="E978" i="5"/>
  <c r="G977" i="5"/>
  <c r="E977" i="5"/>
  <c r="G976" i="5"/>
  <c r="E976" i="5"/>
  <c r="G975" i="5"/>
  <c r="E975" i="5"/>
  <c r="G974" i="5"/>
  <c r="E974" i="5"/>
  <c r="G973" i="5"/>
  <c r="E973" i="5"/>
  <c r="G972" i="5"/>
  <c r="E972" i="5"/>
  <c r="G971" i="5"/>
  <c r="E971" i="5"/>
  <c r="G970" i="5"/>
  <c r="E970" i="5"/>
  <c r="G969" i="5"/>
  <c r="E969" i="5"/>
  <c r="G968" i="5"/>
  <c r="E968" i="5"/>
  <c r="G967" i="5"/>
  <c r="E967" i="5"/>
  <c r="G966" i="5"/>
  <c r="E966" i="5"/>
  <c r="G965" i="5"/>
  <c r="E965" i="5"/>
  <c r="G964" i="5"/>
  <c r="E964" i="5"/>
  <c r="G963" i="5"/>
  <c r="E963" i="5"/>
  <c r="G962" i="5"/>
  <c r="E962" i="5"/>
  <c r="G961" i="5"/>
  <c r="E961" i="5"/>
  <c r="G960" i="5"/>
  <c r="E960" i="5"/>
  <c r="G959" i="5"/>
  <c r="E959" i="5"/>
  <c r="G958" i="5"/>
  <c r="E958" i="5"/>
  <c r="G957" i="5"/>
  <c r="E957" i="5"/>
  <c r="G956" i="5"/>
  <c r="E956" i="5"/>
  <c r="G955" i="5"/>
  <c r="E955" i="5"/>
  <c r="G954" i="5"/>
  <c r="E954" i="5"/>
  <c r="G953" i="5"/>
  <c r="E953" i="5"/>
  <c r="G952" i="5"/>
  <c r="E952" i="5"/>
  <c r="G951" i="5"/>
  <c r="E951" i="5"/>
  <c r="G950" i="5"/>
  <c r="E950" i="5"/>
  <c r="G949" i="5"/>
  <c r="E949" i="5"/>
  <c r="G948" i="5"/>
  <c r="E948" i="5"/>
  <c r="G947" i="5"/>
  <c r="E947" i="5"/>
  <c r="G946" i="5"/>
  <c r="E946" i="5"/>
  <c r="G945" i="5"/>
  <c r="E945" i="5"/>
  <c r="G944" i="5"/>
  <c r="E944" i="5"/>
  <c r="G943" i="5"/>
  <c r="E943" i="5"/>
  <c r="G942" i="5"/>
  <c r="E942" i="5"/>
  <c r="G941" i="5"/>
  <c r="E941" i="5"/>
  <c r="G940" i="5"/>
  <c r="E940" i="5"/>
  <c r="G939" i="5"/>
  <c r="E939" i="5"/>
  <c r="G938" i="5"/>
  <c r="E938" i="5"/>
  <c r="G937" i="5"/>
  <c r="E937" i="5"/>
  <c r="G936" i="5"/>
  <c r="E936" i="5"/>
  <c r="G935" i="5"/>
  <c r="E935" i="5"/>
  <c r="G934" i="5"/>
  <c r="E934" i="5"/>
  <c r="G933" i="5"/>
  <c r="E933" i="5"/>
  <c r="G932" i="5"/>
  <c r="E932" i="5"/>
  <c r="G931" i="5"/>
  <c r="E931" i="5"/>
  <c r="G930" i="5"/>
  <c r="E930" i="5"/>
  <c r="G929" i="5"/>
  <c r="E929" i="5"/>
  <c r="G928" i="5"/>
  <c r="E928" i="5"/>
  <c r="G927" i="5"/>
  <c r="E927" i="5"/>
  <c r="G926" i="5"/>
  <c r="E926" i="5"/>
  <c r="G925" i="5"/>
  <c r="E925" i="5"/>
  <c r="G924" i="5"/>
  <c r="E924" i="5"/>
  <c r="G923" i="5"/>
  <c r="E923" i="5"/>
  <c r="G922" i="5"/>
  <c r="E922" i="5"/>
  <c r="G921" i="5"/>
  <c r="E921" i="5"/>
  <c r="G920" i="5"/>
  <c r="E920" i="5"/>
  <c r="G919" i="5"/>
  <c r="E919" i="5"/>
  <c r="G918" i="5"/>
  <c r="E918" i="5"/>
  <c r="G917" i="5"/>
  <c r="E917" i="5"/>
  <c r="G916" i="5"/>
  <c r="E916" i="5"/>
  <c r="G915" i="5"/>
  <c r="E915" i="5"/>
  <c r="G914" i="5"/>
  <c r="E914" i="5"/>
  <c r="G913" i="5"/>
  <c r="E913" i="5"/>
  <c r="G912" i="5"/>
  <c r="E912" i="5"/>
  <c r="G911" i="5"/>
  <c r="E911" i="5"/>
  <c r="G910" i="5"/>
  <c r="E910" i="5"/>
  <c r="G909" i="5"/>
  <c r="E909" i="5"/>
  <c r="G908" i="5"/>
  <c r="E908" i="5"/>
  <c r="G907" i="5"/>
  <c r="E907" i="5"/>
  <c r="G906" i="5"/>
  <c r="E906" i="5"/>
  <c r="G905" i="5"/>
  <c r="E905" i="5"/>
  <c r="G904" i="5"/>
  <c r="E904" i="5"/>
  <c r="G903" i="5"/>
  <c r="E903" i="5"/>
  <c r="G902" i="5"/>
  <c r="E902" i="5"/>
  <c r="G901" i="5"/>
  <c r="E901" i="5"/>
  <c r="G900" i="5"/>
  <c r="E900" i="5"/>
  <c r="G899" i="5"/>
  <c r="E899" i="5"/>
  <c r="G898" i="5"/>
  <c r="E898" i="5"/>
  <c r="G897" i="5"/>
  <c r="E897" i="5"/>
  <c r="G896" i="5"/>
  <c r="E896" i="5"/>
  <c r="G895" i="5"/>
  <c r="E895" i="5"/>
  <c r="G894" i="5"/>
  <c r="E894" i="5"/>
  <c r="G893" i="5"/>
  <c r="E893" i="5"/>
  <c r="G892" i="5"/>
  <c r="E892" i="5"/>
  <c r="G891" i="5"/>
  <c r="E891" i="5"/>
  <c r="G890" i="5"/>
  <c r="E890" i="5"/>
  <c r="G889" i="5"/>
  <c r="E889" i="5"/>
  <c r="G888" i="5"/>
  <c r="E888" i="5"/>
  <c r="G887" i="5"/>
  <c r="E887" i="5"/>
  <c r="G886" i="5"/>
  <c r="E886" i="5"/>
  <c r="G885" i="5"/>
  <c r="E885" i="5"/>
  <c r="G884" i="5"/>
  <c r="E884" i="5"/>
  <c r="G883" i="5"/>
  <c r="E883" i="5"/>
  <c r="G882" i="5"/>
  <c r="E882" i="5"/>
  <c r="G881" i="5"/>
  <c r="E881" i="5"/>
  <c r="G880" i="5"/>
  <c r="E880" i="5"/>
  <c r="G879" i="5"/>
  <c r="E879" i="5"/>
  <c r="G878" i="5"/>
  <c r="E878" i="5"/>
  <c r="G877" i="5"/>
  <c r="E877" i="5"/>
  <c r="G876" i="5"/>
  <c r="E876" i="5"/>
  <c r="G875" i="5"/>
  <c r="E875" i="5"/>
  <c r="G874" i="5"/>
  <c r="E874" i="5"/>
  <c r="G873" i="5"/>
  <c r="E873" i="5"/>
  <c r="G872" i="5"/>
  <c r="E872" i="5"/>
  <c r="G871" i="5"/>
  <c r="E871" i="5"/>
  <c r="G870" i="5"/>
  <c r="E870" i="5"/>
  <c r="G869" i="5"/>
  <c r="E869" i="5"/>
  <c r="G868" i="5"/>
  <c r="E868" i="5"/>
  <c r="G867" i="5"/>
  <c r="E867" i="5"/>
  <c r="G866" i="5"/>
  <c r="E866" i="5"/>
  <c r="G865" i="5"/>
  <c r="E865" i="5"/>
  <c r="G864" i="5"/>
  <c r="E864" i="5"/>
  <c r="G863" i="5"/>
  <c r="E863" i="5"/>
  <c r="G862" i="5"/>
  <c r="E862" i="5"/>
  <c r="G861" i="5"/>
  <c r="E861" i="5"/>
  <c r="G860" i="5"/>
  <c r="E860" i="5"/>
  <c r="G859" i="5"/>
  <c r="E859" i="5"/>
  <c r="G858" i="5"/>
  <c r="E858" i="5"/>
  <c r="G857" i="5"/>
  <c r="E857" i="5"/>
  <c r="G856" i="5"/>
  <c r="E856" i="5"/>
  <c r="G855" i="5"/>
  <c r="E855" i="5"/>
  <c r="G854" i="5"/>
  <c r="E854" i="5"/>
  <c r="G853" i="5"/>
  <c r="E853" i="5"/>
  <c r="G852" i="5"/>
  <c r="E852" i="5"/>
  <c r="G851" i="5"/>
  <c r="E851" i="5"/>
  <c r="G850" i="5"/>
  <c r="E850" i="5"/>
  <c r="G849" i="5"/>
  <c r="E849" i="5"/>
  <c r="G848" i="5"/>
  <c r="E848" i="5"/>
  <c r="G847" i="5"/>
  <c r="E847" i="5"/>
  <c r="G846" i="5"/>
  <c r="E846" i="5"/>
  <c r="G845" i="5"/>
  <c r="E845" i="5"/>
  <c r="G844" i="5"/>
  <c r="E844" i="5"/>
  <c r="G843" i="5"/>
  <c r="E843" i="5"/>
  <c r="G842" i="5"/>
  <c r="E842" i="5"/>
  <c r="G841" i="5"/>
  <c r="E841" i="5"/>
  <c r="G840" i="5"/>
  <c r="E840" i="5"/>
  <c r="G839" i="5"/>
  <c r="E839" i="5"/>
  <c r="G838" i="5"/>
  <c r="E838" i="5"/>
  <c r="G837" i="5"/>
  <c r="E837" i="5"/>
  <c r="G836" i="5"/>
  <c r="E836" i="5"/>
  <c r="G835" i="5"/>
  <c r="E835" i="5"/>
  <c r="G834" i="5"/>
  <c r="E834" i="5"/>
  <c r="G833" i="5"/>
  <c r="E833" i="5"/>
  <c r="G832" i="5"/>
  <c r="E832" i="5"/>
  <c r="G831" i="5"/>
  <c r="E831" i="5"/>
  <c r="G830" i="5"/>
  <c r="E830" i="5"/>
  <c r="G829" i="5"/>
  <c r="E829" i="5"/>
  <c r="G828" i="5"/>
  <c r="E828" i="5"/>
  <c r="G827" i="5"/>
  <c r="E827" i="5"/>
  <c r="G826" i="5"/>
  <c r="E826" i="5"/>
  <c r="G825" i="5"/>
  <c r="E825" i="5"/>
  <c r="G824" i="5"/>
  <c r="E824" i="5"/>
  <c r="G823" i="5"/>
  <c r="E823" i="5"/>
  <c r="G822" i="5"/>
  <c r="E822" i="5"/>
  <c r="G821" i="5"/>
  <c r="E821" i="5"/>
  <c r="G820" i="5"/>
  <c r="E820" i="5"/>
  <c r="G819" i="5"/>
  <c r="E819" i="5"/>
  <c r="G818" i="5"/>
  <c r="E818" i="5"/>
  <c r="G817" i="5"/>
  <c r="E817" i="5"/>
  <c r="G816" i="5"/>
  <c r="E816" i="5"/>
  <c r="G815" i="5"/>
  <c r="E815" i="5"/>
  <c r="G814" i="5"/>
  <c r="E814" i="5"/>
  <c r="G813" i="5"/>
  <c r="E813" i="5"/>
  <c r="G812" i="5"/>
  <c r="E812" i="5"/>
  <c r="G811" i="5"/>
  <c r="E811" i="5"/>
  <c r="G810" i="5"/>
  <c r="E810" i="5"/>
  <c r="G809" i="5"/>
  <c r="E809" i="5"/>
  <c r="G808" i="5"/>
  <c r="E808" i="5"/>
  <c r="G807" i="5"/>
  <c r="E807" i="5"/>
  <c r="G806" i="5"/>
  <c r="E806" i="5"/>
  <c r="G805" i="5"/>
  <c r="E805" i="5"/>
  <c r="G804" i="5"/>
  <c r="E804" i="5"/>
  <c r="G803" i="5"/>
  <c r="E803" i="5"/>
  <c r="G802" i="5"/>
  <c r="E802" i="5"/>
  <c r="G801" i="5"/>
  <c r="E801" i="5"/>
  <c r="G800" i="5"/>
  <c r="E800" i="5"/>
  <c r="G799" i="5"/>
  <c r="E799" i="5"/>
  <c r="G798" i="5"/>
  <c r="E798" i="5"/>
  <c r="G797" i="5"/>
  <c r="E797" i="5"/>
  <c r="G796" i="5"/>
  <c r="E796" i="5"/>
  <c r="G795" i="5"/>
  <c r="E795" i="5"/>
  <c r="G794" i="5"/>
  <c r="E794" i="5"/>
  <c r="G793" i="5"/>
  <c r="E793" i="5"/>
  <c r="G792" i="5"/>
  <c r="E792" i="5"/>
  <c r="G791" i="5"/>
  <c r="E791" i="5"/>
  <c r="G790" i="5"/>
  <c r="E790" i="5"/>
  <c r="G789" i="5"/>
  <c r="E789" i="5"/>
  <c r="G788" i="5"/>
  <c r="E788" i="5"/>
  <c r="G787" i="5"/>
  <c r="E787" i="5"/>
  <c r="G786" i="5"/>
  <c r="E786" i="5"/>
  <c r="G785" i="5"/>
  <c r="E785" i="5"/>
  <c r="G784" i="5"/>
  <c r="E784" i="5"/>
  <c r="G783" i="5"/>
  <c r="E783" i="5"/>
  <c r="G782" i="5"/>
  <c r="E782" i="5"/>
  <c r="G781" i="5"/>
  <c r="E781" i="5"/>
  <c r="G780" i="5"/>
  <c r="E780" i="5"/>
  <c r="G779" i="5"/>
  <c r="E779" i="5"/>
  <c r="G778" i="5"/>
  <c r="E778" i="5"/>
  <c r="G777" i="5"/>
  <c r="E777" i="5"/>
  <c r="G776" i="5"/>
  <c r="E776" i="5"/>
  <c r="G775" i="5"/>
  <c r="E775" i="5"/>
  <c r="G774" i="5"/>
  <c r="E774" i="5"/>
  <c r="G773" i="5"/>
  <c r="E773" i="5"/>
  <c r="G772" i="5"/>
  <c r="E772" i="5"/>
  <c r="G771" i="5"/>
  <c r="E771" i="5"/>
  <c r="G770" i="5"/>
  <c r="E770" i="5"/>
  <c r="G769" i="5"/>
  <c r="E769" i="5"/>
  <c r="G768" i="5"/>
  <c r="E768" i="5"/>
  <c r="G767" i="5"/>
  <c r="E767" i="5"/>
  <c r="G766" i="5"/>
  <c r="E766" i="5"/>
  <c r="G765" i="5"/>
  <c r="E765" i="5"/>
  <c r="G764" i="5"/>
  <c r="E764" i="5"/>
  <c r="G763" i="5"/>
  <c r="E763" i="5"/>
  <c r="G762" i="5"/>
  <c r="E762" i="5"/>
  <c r="G761" i="5"/>
  <c r="E761" i="5"/>
  <c r="G760" i="5"/>
  <c r="E760" i="5"/>
  <c r="G759" i="5"/>
  <c r="E759" i="5"/>
  <c r="G758" i="5"/>
  <c r="E758" i="5"/>
  <c r="G757" i="5"/>
  <c r="E757" i="5"/>
  <c r="G756" i="5"/>
  <c r="E756" i="5"/>
  <c r="G755" i="5"/>
  <c r="E755" i="5"/>
  <c r="G754" i="5"/>
  <c r="E754" i="5"/>
  <c r="G753" i="5"/>
  <c r="E753" i="5"/>
  <c r="G752" i="5"/>
  <c r="E752" i="5"/>
  <c r="G751" i="5"/>
  <c r="E751" i="5"/>
  <c r="G750" i="5"/>
  <c r="E750" i="5"/>
  <c r="G749" i="5"/>
  <c r="E749" i="5"/>
  <c r="G748" i="5"/>
  <c r="E748" i="5"/>
  <c r="G747" i="5"/>
  <c r="E747" i="5"/>
  <c r="G746" i="5"/>
  <c r="E746" i="5"/>
  <c r="G745" i="5"/>
  <c r="E745" i="5"/>
  <c r="G744" i="5"/>
  <c r="E744" i="5"/>
  <c r="G743" i="5"/>
  <c r="E743" i="5"/>
  <c r="G742" i="5"/>
  <c r="E742" i="5"/>
  <c r="G741" i="5"/>
  <c r="E741" i="5"/>
  <c r="G740" i="5"/>
  <c r="E740" i="5"/>
  <c r="G739" i="5"/>
  <c r="E739" i="5"/>
  <c r="G738" i="5"/>
  <c r="E738" i="5"/>
  <c r="G737" i="5"/>
  <c r="E737" i="5"/>
  <c r="G736" i="5"/>
  <c r="E736" i="5"/>
  <c r="G735" i="5"/>
  <c r="E735" i="5"/>
  <c r="G734" i="5"/>
  <c r="E734" i="5"/>
  <c r="G733" i="5"/>
  <c r="E733" i="5"/>
  <c r="G732" i="5"/>
  <c r="E732" i="5"/>
  <c r="G731" i="5"/>
  <c r="E731" i="5"/>
  <c r="G730" i="5"/>
  <c r="E730" i="5"/>
  <c r="G729" i="5"/>
  <c r="E729" i="5"/>
  <c r="G728" i="5"/>
  <c r="E728" i="5"/>
  <c r="G727" i="5"/>
  <c r="E727" i="5"/>
  <c r="G726" i="5"/>
  <c r="E726" i="5"/>
  <c r="G725" i="5"/>
  <c r="E725" i="5"/>
  <c r="G724" i="5"/>
  <c r="E724" i="5"/>
  <c r="G723" i="5"/>
  <c r="E723" i="5"/>
  <c r="G722" i="5"/>
  <c r="E722" i="5"/>
  <c r="G721" i="5"/>
  <c r="E721" i="5"/>
  <c r="G720" i="5"/>
  <c r="E720" i="5"/>
  <c r="G719" i="5"/>
  <c r="E719" i="5"/>
  <c r="G718" i="5"/>
  <c r="E718" i="5"/>
  <c r="G717" i="5"/>
  <c r="E717" i="5"/>
  <c r="G716" i="5"/>
  <c r="E716" i="5"/>
  <c r="G715" i="5"/>
  <c r="E715" i="5"/>
  <c r="G714" i="5"/>
  <c r="E714" i="5"/>
  <c r="G713" i="5"/>
  <c r="E713" i="5"/>
  <c r="G712" i="5"/>
  <c r="E712" i="5"/>
  <c r="G711" i="5"/>
  <c r="E711" i="5"/>
  <c r="G710" i="5"/>
  <c r="E710" i="5"/>
  <c r="G709" i="5"/>
  <c r="E709" i="5"/>
  <c r="G708" i="5"/>
  <c r="E708" i="5"/>
  <c r="G707" i="5"/>
  <c r="E707" i="5"/>
  <c r="G706" i="5"/>
  <c r="E706" i="5"/>
  <c r="G705" i="5"/>
  <c r="E705" i="5"/>
  <c r="G704" i="5"/>
  <c r="E704" i="5"/>
  <c r="G703" i="5"/>
  <c r="E703" i="5"/>
  <c r="G702" i="5"/>
  <c r="E702" i="5"/>
  <c r="G701" i="5"/>
  <c r="E701" i="5"/>
  <c r="G700" i="5"/>
  <c r="E700" i="5"/>
  <c r="G699" i="5"/>
  <c r="E699" i="5"/>
  <c r="G698" i="5"/>
  <c r="E698" i="5"/>
  <c r="G697" i="5"/>
  <c r="E697" i="5"/>
  <c r="G696" i="5"/>
  <c r="E696" i="5"/>
  <c r="G695" i="5"/>
  <c r="E695" i="5"/>
  <c r="G694" i="5"/>
  <c r="E694" i="5"/>
  <c r="G693" i="5"/>
  <c r="E693" i="5"/>
  <c r="G692" i="5"/>
  <c r="E692" i="5"/>
  <c r="G691" i="5"/>
  <c r="E691" i="5"/>
  <c r="G690" i="5"/>
  <c r="E690" i="5"/>
  <c r="G689" i="5"/>
  <c r="E689" i="5"/>
  <c r="G688" i="5"/>
  <c r="E688" i="5"/>
  <c r="G687" i="5"/>
  <c r="E687" i="5"/>
  <c r="G686" i="5"/>
  <c r="E686" i="5"/>
  <c r="G685" i="5"/>
  <c r="E685" i="5"/>
  <c r="G684" i="5"/>
  <c r="E684" i="5"/>
  <c r="G683" i="5"/>
  <c r="E683" i="5"/>
  <c r="G682" i="5"/>
  <c r="E682" i="5"/>
  <c r="G681" i="5"/>
  <c r="E681" i="5"/>
  <c r="G680" i="5"/>
  <c r="E680" i="5"/>
  <c r="G679" i="5"/>
  <c r="E679" i="5"/>
  <c r="G678" i="5"/>
  <c r="E678" i="5"/>
  <c r="G677" i="5"/>
  <c r="E677" i="5"/>
  <c r="G676" i="5"/>
  <c r="E676" i="5"/>
  <c r="G675" i="5"/>
  <c r="E675" i="5"/>
  <c r="G674" i="5"/>
  <c r="E674" i="5"/>
  <c r="G673" i="5"/>
  <c r="E673" i="5"/>
  <c r="G672" i="5"/>
  <c r="E672" i="5"/>
  <c r="G671" i="5"/>
  <c r="E671" i="5"/>
  <c r="G670" i="5"/>
  <c r="E670" i="5"/>
  <c r="G669" i="5"/>
  <c r="E669" i="5"/>
  <c r="G668" i="5"/>
  <c r="E668" i="5"/>
  <c r="G667" i="5"/>
  <c r="E667" i="5"/>
  <c r="G666" i="5"/>
  <c r="E666" i="5"/>
  <c r="G665" i="5"/>
  <c r="E665" i="5"/>
  <c r="G664" i="5"/>
  <c r="E664" i="5"/>
  <c r="G663" i="5"/>
  <c r="E663" i="5"/>
  <c r="G662" i="5"/>
  <c r="E662" i="5"/>
  <c r="G661" i="5"/>
  <c r="E661" i="5"/>
  <c r="G660" i="5"/>
  <c r="E660" i="5"/>
  <c r="G659" i="5"/>
  <c r="E659" i="5"/>
  <c r="G658" i="5"/>
  <c r="E658" i="5"/>
  <c r="G657" i="5"/>
  <c r="E657" i="5"/>
  <c r="G656" i="5"/>
  <c r="E656" i="5"/>
  <c r="G655" i="5"/>
  <c r="E655" i="5"/>
  <c r="G654" i="5"/>
  <c r="E654" i="5"/>
  <c r="G653" i="5"/>
  <c r="E653" i="5"/>
  <c r="G652" i="5"/>
  <c r="E652" i="5"/>
  <c r="G651" i="5"/>
  <c r="E651" i="5"/>
  <c r="G650" i="5"/>
  <c r="E650" i="5"/>
  <c r="G649" i="5"/>
  <c r="E649" i="5"/>
  <c r="G648" i="5"/>
  <c r="E648" i="5"/>
  <c r="G647" i="5"/>
  <c r="E647" i="5"/>
  <c r="G646" i="5"/>
  <c r="E646" i="5"/>
  <c r="G645" i="5"/>
  <c r="E645" i="5"/>
  <c r="G644" i="5"/>
  <c r="E644" i="5"/>
  <c r="G643" i="5"/>
  <c r="E643" i="5"/>
  <c r="G642" i="5"/>
  <c r="E642" i="5"/>
  <c r="G641" i="5"/>
  <c r="E641" i="5"/>
  <c r="G640" i="5"/>
  <c r="E640" i="5"/>
  <c r="G639" i="5"/>
  <c r="E639" i="5"/>
  <c r="G638" i="5"/>
  <c r="E638" i="5"/>
  <c r="G637" i="5"/>
  <c r="E637" i="5"/>
  <c r="G636" i="5"/>
  <c r="E636" i="5"/>
  <c r="G635" i="5"/>
  <c r="E635" i="5"/>
  <c r="G634" i="5"/>
  <c r="E634" i="5"/>
  <c r="G633" i="5"/>
  <c r="E633" i="5"/>
  <c r="G632" i="5"/>
  <c r="E632" i="5"/>
  <c r="G631" i="5"/>
  <c r="E631" i="5"/>
  <c r="G630" i="5"/>
  <c r="E630" i="5"/>
  <c r="G629" i="5"/>
  <c r="E629" i="5"/>
  <c r="G628" i="5"/>
  <c r="E628" i="5"/>
  <c r="G627" i="5"/>
  <c r="E627" i="5"/>
  <c r="G626" i="5"/>
  <c r="E626" i="5"/>
  <c r="G625" i="5"/>
  <c r="E625" i="5"/>
  <c r="G624" i="5"/>
  <c r="E624" i="5"/>
  <c r="G623" i="5"/>
  <c r="E623" i="5"/>
  <c r="G622" i="5"/>
  <c r="E622" i="5"/>
  <c r="G621" i="5"/>
  <c r="E621" i="5"/>
  <c r="G620" i="5"/>
  <c r="E620" i="5"/>
  <c r="G619" i="5"/>
  <c r="E619" i="5"/>
  <c r="G618" i="5"/>
  <c r="E618" i="5"/>
  <c r="G617" i="5"/>
  <c r="E617" i="5"/>
  <c r="G616" i="5"/>
  <c r="E616" i="5"/>
  <c r="G615" i="5"/>
  <c r="E615" i="5"/>
  <c r="G614" i="5"/>
  <c r="E614" i="5"/>
  <c r="G613" i="5"/>
  <c r="E613" i="5"/>
  <c r="G612" i="5"/>
  <c r="E612" i="5"/>
  <c r="G611" i="5"/>
  <c r="E611" i="5"/>
  <c r="G610" i="5"/>
  <c r="E610" i="5"/>
  <c r="G609" i="5"/>
  <c r="E609" i="5"/>
  <c r="G608" i="5"/>
  <c r="E608" i="5"/>
  <c r="G607" i="5"/>
  <c r="E607" i="5"/>
  <c r="G606" i="5"/>
  <c r="E606" i="5"/>
  <c r="G605" i="5"/>
  <c r="E605" i="5"/>
  <c r="G604" i="5"/>
  <c r="E604" i="5"/>
  <c r="G603" i="5"/>
  <c r="E603" i="5"/>
  <c r="G602" i="5"/>
  <c r="E602" i="5"/>
  <c r="G601" i="5"/>
  <c r="E601" i="5"/>
  <c r="G600" i="5"/>
  <c r="E600" i="5"/>
  <c r="G599" i="5"/>
  <c r="E599" i="5"/>
  <c r="G598" i="5"/>
  <c r="E598" i="5"/>
  <c r="G597" i="5"/>
  <c r="E597" i="5"/>
  <c r="G596" i="5"/>
  <c r="E596" i="5"/>
  <c r="G595" i="5"/>
  <c r="E595" i="5"/>
  <c r="G594" i="5"/>
  <c r="E594" i="5"/>
  <c r="G593" i="5"/>
  <c r="E593" i="5"/>
  <c r="G592" i="5"/>
  <c r="E592" i="5"/>
  <c r="G591" i="5"/>
  <c r="E591" i="5"/>
  <c r="G590" i="5"/>
  <c r="E590" i="5"/>
  <c r="G589" i="5"/>
  <c r="E589" i="5"/>
  <c r="G588" i="5"/>
  <c r="E588" i="5"/>
  <c r="G587" i="5"/>
  <c r="E587" i="5"/>
  <c r="G586" i="5"/>
  <c r="E586" i="5"/>
  <c r="G585" i="5"/>
  <c r="E585" i="5"/>
  <c r="G584" i="5"/>
  <c r="E584" i="5"/>
  <c r="G583" i="5"/>
  <c r="E583" i="5"/>
  <c r="G582" i="5"/>
  <c r="E582" i="5"/>
  <c r="G581" i="5"/>
  <c r="E581" i="5"/>
  <c r="G580" i="5"/>
  <c r="E580" i="5"/>
  <c r="G579" i="5"/>
  <c r="E579" i="5"/>
  <c r="G578" i="5"/>
  <c r="E578" i="5"/>
  <c r="G577" i="5"/>
  <c r="E577" i="5"/>
  <c r="G576" i="5"/>
  <c r="E576" i="5"/>
  <c r="G575" i="5"/>
  <c r="E575" i="5"/>
  <c r="G574" i="5"/>
  <c r="E574" i="5"/>
  <c r="G573" i="5"/>
  <c r="E573" i="5"/>
  <c r="G572" i="5"/>
  <c r="E572" i="5"/>
  <c r="G571" i="5"/>
  <c r="E571" i="5"/>
  <c r="G570" i="5"/>
  <c r="E570" i="5"/>
  <c r="G569" i="5"/>
  <c r="E569" i="5"/>
  <c r="G568" i="5"/>
  <c r="E568" i="5"/>
  <c r="G567" i="5"/>
  <c r="E567" i="5"/>
  <c r="G566" i="5"/>
  <c r="E566" i="5"/>
  <c r="G565" i="5"/>
  <c r="E565" i="5"/>
  <c r="G564" i="5"/>
  <c r="E564" i="5"/>
  <c r="G563" i="5"/>
  <c r="E563" i="5"/>
  <c r="G562" i="5"/>
  <c r="E562" i="5"/>
  <c r="G561" i="5"/>
  <c r="E561" i="5"/>
  <c r="G560" i="5"/>
  <c r="E560" i="5"/>
  <c r="G559" i="5"/>
  <c r="E559" i="5"/>
  <c r="G558" i="5"/>
  <c r="E558" i="5"/>
  <c r="G557" i="5"/>
  <c r="E557" i="5"/>
  <c r="G556" i="5"/>
  <c r="E556" i="5"/>
  <c r="G555" i="5"/>
  <c r="E555" i="5"/>
  <c r="G554" i="5"/>
  <c r="E554" i="5"/>
  <c r="G553" i="5"/>
  <c r="E553" i="5"/>
  <c r="G552" i="5"/>
  <c r="E552" i="5"/>
  <c r="G551" i="5"/>
  <c r="E551" i="5"/>
  <c r="G550" i="5"/>
  <c r="E550" i="5"/>
  <c r="G549" i="5"/>
  <c r="E549" i="5"/>
  <c r="G548" i="5"/>
  <c r="E548" i="5"/>
  <c r="G547" i="5"/>
  <c r="E547" i="5"/>
  <c r="G546" i="5"/>
  <c r="E546" i="5"/>
  <c r="G545" i="5"/>
  <c r="E545" i="5"/>
  <c r="G544" i="5"/>
  <c r="E544" i="5"/>
  <c r="G543" i="5"/>
  <c r="E543" i="5"/>
  <c r="G542" i="5"/>
  <c r="E542" i="5"/>
  <c r="G541" i="5"/>
  <c r="E541" i="5"/>
  <c r="G540" i="5"/>
  <c r="E540" i="5"/>
  <c r="G539" i="5"/>
  <c r="E539" i="5"/>
  <c r="G538" i="5"/>
  <c r="E538" i="5"/>
  <c r="G537" i="5"/>
  <c r="E537" i="5"/>
  <c r="G536" i="5"/>
  <c r="E536" i="5"/>
  <c r="G535" i="5"/>
  <c r="E535" i="5"/>
  <c r="G534" i="5"/>
  <c r="E534" i="5"/>
  <c r="G533" i="5"/>
  <c r="E533" i="5"/>
  <c r="G532" i="5"/>
  <c r="E532" i="5"/>
  <c r="G531" i="5"/>
  <c r="E531" i="5"/>
  <c r="G530" i="5"/>
  <c r="E530" i="5"/>
  <c r="G529" i="5"/>
  <c r="E529" i="5"/>
  <c r="G528" i="5"/>
  <c r="E528" i="5"/>
  <c r="G527" i="5"/>
  <c r="E527" i="5"/>
  <c r="G526" i="5"/>
  <c r="E526" i="5"/>
  <c r="G525" i="5"/>
  <c r="E525" i="5"/>
  <c r="G524" i="5"/>
  <c r="E524" i="5"/>
  <c r="G523" i="5"/>
  <c r="E523" i="5"/>
  <c r="G522" i="5"/>
  <c r="E522" i="5"/>
  <c r="G521" i="5"/>
  <c r="E521" i="5"/>
  <c r="G520" i="5"/>
  <c r="E520" i="5"/>
  <c r="G519" i="5"/>
  <c r="E519" i="5"/>
  <c r="G518" i="5"/>
  <c r="E518" i="5"/>
  <c r="G517" i="5"/>
  <c r="E517" i="5"/>
  <c r="G516" i="5"/>
  <c r="E516" i="5"/>
  <c r="G515" i="5"/>
  <c r="E515" i="5"/>
  <c r="G514" i="5"/>
  <c r="E514" i="5"/>
  <c r="G513" i="5"/>
  <c r="E513" i="5"/>
  <c r="G512" i="5"/>
  <c r="E512" i="5"/>
  <c r="G511" i="5"/>
  <c r="E511" i="5"/>
  <c r="G510" i="5"/>
  <c r="E510" i="5"/>
  <c r="G509" i="5"/>
  <c r="E509" i="5"/>
  <c r="G508" i="5"/>
  <c r="E508" i="5"/>
  <c r="G507" i="5"/>
  <c r="E507" i="5"/>
  <c r="G506" i="5"/>
  <c r="E506" i="5"/>
  <c r="G505" i="5"/>
  <c r="E505" i="5"/>
  <c r="G504" i="5"/>
  <c r="E504" i="5"/>
  <c r="G503" i="5"/>
  <c r="E503" i="5"/>
  <c r="G502" i="5"/>
  <c r="E502" i="5"/>
  <c r="G501" i="5"/>
  <c r="E501" i="5"/>
  <c r="G500" i="5"/>
  <c r="E500" i="5"/>
  <c r="G499" i="5"/>
  <c r="E499" i="5"/>
  <c r="G498" i="5"/>
  <c r="E498" i="5"/>
  <c r="G497" i="5"/>
  <c r="E497" i="5"/>
  <c r="G496" i="5"/>
  <c r="E496" i="5"/>
  <c r="G495" i="5"/>
  <c r="E495" i="5"/>
  <c r="G494" i="5"/>
  <c r="E494" i="5"/>
  <c r="G493" i="5"/>
  <c r="E493" i="5"/>
  <c r="G492" i="5"/>
  <c r="E492" i="5"/>
  <c r="G491" i="5"/>
  <c r="E491" i="5"/>
  <c r="G490" i="5"/>
  <c r="E490" i="5"/>
  <c r="G489" i="5"/>
  <c r="E489" i="5"/>
  <c r="G488" i="5"/>
  <c r="E488" i="5"/>
  <c r="G487" i="5"/>
  <c r="E487" i="5"/>
  <c r="G486" i="5"/>
  <c r="E486" i="5"/>
  <c r="G485" i="5"/>
  <c r="E485" i="5"/>
  <c r="G484" i="5"/>
  <c r="E484" i="5"/>
  <c r="G483" i="5"/>
  <c r="E483" i="5"/>
  <c r="G482" i="5"/>
  <c r="E482" i="5"/>
  <c r="G481" i="5"/>
  <c r="E481" i="5"/>
  <c r="G480" i="5"/>
  <c r="E480" i="5"/>
  <c r="G479" i="5"/>
  <c r="E479" i="5"/>
  <c r="G478" i="5"/>
  <c r="E478" i="5"/>
  <c r="G477" i="5"/>
  <c r="E477" i="5"/>
  <c r="G476" i="5"/>
  <c r="E476" i="5"/>
  <c r="G475" i="5"/>
  <c r="E475" i="5"/>
  <c r="G474" i="5"/>
  <c r="E474" i="5"/>
  <c r="G473" i="5"/>
  <c r="E473" i="5"/>
  <c r="G472" i="5"/>
  <c r="E472" i="5"/>
  <c r="G471" i="5"/>
  <c r="E471" i="5"/>
  <c r="G470" i="5"/>
  <c r="E470" i="5"/>
  <c r="G469" i="5"/>
  <c r="E469" i="5"/>
  <c r="G468" i="5"/>
  <c r="E468" i="5"/>
  <c r="G467" i="5"/>
  <c r="E467" i="5"/>
  <c r="G466" i="5"/>
  <c r="E466" i="5"/>
  <c r="G465" i="5"/>
  <c r="E465" i="5"/>
  <c r="G464" i="5"/>
  <c r="E464" i="5"/>
  <c r="G463" i="5"/>
  <c r="E463" i="5"/>
  <c r="G462" i="5"/>
  <c r="E462" i="5"/>
  <c r="G461" i="5"/>
  <c r="E461" i="5"/>
  <c r="G460" i="5"/>
  <c r="E460" i="5"/>
  <c r="G459" i="5"/>
  <c r="E459" i="5"/>
  <c r="G458" i="5"/>
  <c r="E458" i="5"/>
  <c r="G457" i="5"/>
  <c r="E457" i="5"/>
  <c r="G456" i="5"/>
  <c r="E456" i="5"/>
  <c r="G455" i="5"/>
  <c r="E455" i="5"/>
  <c r="G454" i="5"/>
  <c r="E454" i="5"/>
  <c r="G453" i="5"/>
  <c r="E453" i="5"/>
  <c r="G452" i="5"/>
  <c r="E452" i="5"/>
  <c r="G451" i="5"/>
  <c r="E451" i="5"/>
  <c r="G450" i="5"/>
  <c r="E450" i="5"/>
  <c r="G449" i="5"/>
  <c r="E449" i="5"/>
  <c r="G448" i="5"/>
  <c r="E448" i="5"/>
  <c r="G447" i="5"/>
  <c r="E447" i="5"/>
  <c r="G446" i="5"/>
  <c r="E446" i="5"/>
  <c r="G445" i="5"/>
  <c r="E445" i="5"/>
  <c r="G444" i="5"/>
  <c r="E444" i="5"/>
  <c r="G443" i="5"/>
  <c r="E443" i="5"/>
  <c r="G442" i="5"/>
  <c r="E442" i="5"/>
  <c r="G441" i="5"/>
  <c r="E441" i="5"/>
  <c r="G440" i="5"/>
  <c r="E440" i="5"/>
  <c r="G439" i="5"/>
  <c r="E439" i="5"/>
  <c r="G438" i="5"/>
  <c r="E438" i="5"/>
  <c r="G437" i="5"/>
  <c r="E437" i="5"/>
  <c r="G436" i="5"/>
  <c r="E436" i="5"/>
  <c r="G435" i="5"/>
  <c r="E435" i="5"/>
  <c r="G434" i="5"/>
  <c r="E434" i="5"/>
  <c r="G433" i="5"/>
  <c r="E433" i="5"/>
  <c r="G432" i="5"/>
  <c r="E432" i="5"/>
  <c r="G431" i="5"/>
  <c r="E431" i="5"/>
  <c r="G430" i="5"/>
  <c r="E430" i="5"/>
  <c r="G429" i="5"/>
  <c r="E429" i="5"/>
  <c r="G428" i="5"/>
  <c r="E428" i="5"/>
  <c r="G427" i="5"/>
  <c r="E427" i="5"/>
  <c r="G426" i="5"/>
  <c r="E426" i="5"/>
  <c r="G425" i="5"/>
  <c r="E425" i="5"/>
  <c r="G424" i="5"/>
  <c r="E424" i="5"/>
  <c r="G423" i="5"/>
  <c r="E423" i="5"/>
  <c r="G422" i="5"/>
  <c r="E422" i="5"/>
  <c r="G421" i="5"/>
  <c r="E421" i="5"/>
  <c r="G420" i="5"/>
  <c r="E420" i="5"/>
  <c r="G419" i="5"/>
  <c r="E419" i="5"/>
  <c r="G418" i="5"/>
  <c r="E418" i="5"/>
  <c r="G417" i="5"/>
  <c r="E417" i="5"/>
  <c r="G416" i="5"/>
  <c r="E416" i="5"/>
  <c r="G415" i="5"/>
  <c r="E415" i="5"/>
  <c r="G414" i="5"/>
  <c r="E414" i="5"/>
  <c r="G413" i="5"/>
  <c r="E413" i="5"/>
  <c r="G412" i="5"/>
  <c r="E412" i="5"/>
  <c r="G411" i="5"/>
  <c r="E411" i="5"/>
  <c r="G410" i="5"/>
  <c r="E410" i="5"/>
  <c r="G409" i="5"/>
  <c r="E409" i="5"/>
  <c r="G408" i="5"/>
  <c r="E408" i="5"/>
  <c r="G407" i="5"/>
  <c r="E407" i="5"/>
  <c r="G406" i="5"/>
  <c r="E406" i="5"/>
  <c r="G405" i="5"/>
  <c r="E405" i="5"/>
  <c r="G404" i="5"/>
  <c r="E404" i="5"/>
  <c r="G403" i="5"/>
  <c r="E403" i="5"/>
  <c r="G402" i="5"/>
  <c r="E402" i="5"/>
  <c r="G401" i="5"/>
  <c r="E401" i="5"/>
  <c r="G400" i="5"/>
  <c r="E400" i="5"/>
  <c r="G399" i="5"/>
  <c r="E399" i="5"/>
  <c r="G398" i="5"/>
  <c r="E398" i="5"/>
  <c r="G397" i="5"/>
  <c r="E397" i="5"/>
  <c r="G396" i="5"/>
  <c r="E396" i="5"/>
  <c r="G395" i="5"/>
  <c r="E395" i="5"/>
  <c r="G394" i="5"/>
  <c r="E394" i="5"/>
  <c r="G393" i="5"/>
  <c r="E393" i="5"/>
  <c r="G392" i="5"/>
  <c r="E392" i="5"/>
  <c r="G391" i="5"/>
  <c r="E391" i="5"/>
  <c r="G390" i="5"/>
  <c r="E390" i="5"/>
  <c r="G389" i="5"/>
  <c r="E389" i="5"/>
  <c r="G388" i="5"/>
  <c r="E388" i="5"/>
  <c r="G387" i="5"/>
  <c r="E387" i="5"/>
  <c r="G386" i="5"/>
  <c r="E386" i="5"/>
  <c r="G385" i="5"/>
  <c r="E385" i="5"/>
  <c r="G384" i="5"/>
  <c r="E384" i="5"/>
  <c r="G383" i="5"/>
  <c r="E383" i="5"/>
  <c r="G382" i="5"/>
  <c r="E382" i="5"/>
  <c r="G381" i="5"/>
  <c r="E381" i="5"/>
  <c r="G380" i="5"/>
  <c r="E380" i="5"/>
  <c r="G379" i="5"/>
  <c r="E379" i="5"/>
  <c r="G378" i="5"/>
  <c r="E378" i="5"/>
  <c r="G377" i="5"/>
  <c r="E377" i="5"/>
  <c r="G376" i="5"/>
  <c r="E376" i="5"/>
  <c r="G375" i="5"/>
  <c r="E375" i="5"/>
  <c r="G374" i="5"/>
  <c r="E374" i="5"/>
  <c r="G373" i="5"/>
  <c r="E373" i="5"/>
  <c r="G372" i="5"/>
  <c r="E372" i="5"/>
  <c r="G371" i="5"/>
  <c r="E371" i="5"/>
  <c r="G370" i="5"/>
  <c r="E370" i="5"/>
  <c r="G369" i="5"/>
  <c r="E369" i="5"/>
  <c r="G368" i="5"/>
  <c r="E368" i="5"/>
  <c r="G367" i="5"/>
  <c r="E367" i="5"/>
  <c r="G366" i="5"/>
  <c r="E366" i="5"/>
  <c r="G365" i="5"/>
  <c r="E365" i="5"/>
  <c r="G364" i="5"/>
  <c r="E364" i="5"/>
  <c r="G363" i="5"/>
  <c r="E363" i="5"/>
  <c r="G362" i="5"/>
  <c r="E362" i="5"/>
  <c r="G361" i="5"/>
  <c r="E361" i="5"/>
  <c r="G360" i="5"/>
  <c r="E360" i="5"/>
  <c r="G359" i="5"/>
  <c r="E359" i="5"/>
  <c r="G358" i="5"/>
  <c r="E358" i="5"/>
  <c r="G357" i="5"/>
  <c r="E357" i="5"/>
  <c r="G356" i="5"/>
  <c r="E356" i="5"/>
  <c r="G355" i="5"/>
  <c r="E355" i="5"/>
  <c r="G354" i="5"/>
  <c r="E354" i="5"/>
  <c r="G353" i="5"/>
  <c r="E353" i="5"/>
  <c r="G352" i="5"/>
  <c r="E352" i="5"/>
  <c r="G351" i="5"/>
  <c r="E351" i="5"/>
  <c r="G350" i="5"/>
  <c r="E350" i="5"/>
  <c r="G349" i="5"/>
  <c r="E349" i="5"/>
  <c r="G348" i="5"/>
  <c r="E348" i="5"/>
  <c r="G347" i="5"/>
  <c r="E347" i="5"/>
  <c r="G346" i="5"/>
  <c r="E346" i="5"/>
  <c r="G345" i="5"/>
  <c r="E345" i="5"/>
  <c r="G344" i="5"/>
  <c r="E344" i="5"/>
  <c r="G343" i="5"/>
  <c r="E343" i="5"/>
  <c r="G342" i="5"/>
  <c r="E342" i="5"/>
  <c r="G341" i="5"/>
  <c r="E341" i="5"/>
  <c r="G340" i="5"/>
  <c r="E340" i="5"/>
  <c r="G339" i="5"/>
  <c r="E339" i="5"/>
  <c r="G338" i="5"/>
  <c r="E338" i="5"/>
  <c r="G337" i="5"/>
  <c r="E337" i="5"/>
  <c r="G336" i="5"/>
  <c r="E336" i="5"/>
  <c r="G335" i="5"/>
  <c r="E335" i="5"/>
  <c r="G334" i="5"/>
  <c r="E334" i="5"/>
  <c r="G333" i="5"/>
  <c r="E333" i="5"/>
  <c r="G332" i="5"/>
  <c r="E332" i="5"/>
  <c r="G331" i="5"/>
  <c r="E331" i="5"/>
  <c r="G330" i="5"/>
  <c r="E330" i="5"/>
  <c r="G329" i="5"/>
  <c r="E329" i="5"/>
  <c r="G328" i="5"/>
  <c r="E328" i="5"/>
  <c r="G327" i="5"/>
  <c r="E327" i="5"/>
  <c r="G326" i="5"/>
  <c r="E326" i="5"/>
  <c r="G325" i="5"/>
  <c r="E325" i="5"/>
  <c r="G324" i="5"/>
  <c r="E324" i="5"/>
  <c r="G323" i="5"/>
  <c r="E323" i="5"/>
  <c r="G322" i="5"/>
  <c r="E322" i="5"/>
  <c r="G321" i="5"/>
  <c r="E321" i="5"/>
  <c r="G320" i="5"/>
  <c r="E320" i="5"/>
  <c r="G319" i="5"/>
  <c r="E319" i="5"/>
  <c r="G318" i="5"/>
  <c r="E318" i="5"/>
  <c r="G317" i="5"/>
  <c r="E317" i="5"/>
  <c r="G316" i="5"/>
  <c r="E316" i="5"/>
  <c r="G315" i="5"/>
  <c r="E315" i="5"/>
  <c r="G314" i="5"/>
  <c r="E314" i="5"/>
  <c r="G313" i="5"/>
  <c r="E313" i="5"/>
  <c r="G312" i="5"/>
  <c r="E312" i="5"/>
  <c r="G311" i="5"/>
  <c r="E311" i="5"/>
  <c r="G310" i="5"/>
  <c r="E310" i="5"/>
  <c r="G309" i="5"/>
  <c r="E309" i="5"/>
  <c r="G308" i="5"/>
  <c r="E308" i="5"/>
  <c r="G307" i="5"/>
  <c r="E307" i="5"/>
  <c r="G306" i="5"/>
  <c r="E306" i="5"/>
  <c r="G305" i="5"/>
  <c r="E305" i="5"/>
  <c r="G304" i="5"/>
  <c r="E304" i="5"/>
  <c r="G303" i="5"/>
  <c r="E303" i="5"/>
  <c r="G302" i="5"/>
  <c r="E302" i="5"/>
  <c r="G301" i="5"/>
  <c r="E301" i="5"/>
  <c r="G300" i="5"/>
  <c r="E300" i="5"/>
  <c r="G299" i="5"/>
  <c r="E299" i="5"/>
  <c r="G298" i="5"/>
  <c r="E298" i="5"/>
  <c r="G297" i="5"/>
  <c r="E297" i="5"/>
  <c r="G296" i="5"/>
  <c r="E296" i="5"/>
  <c r="G295" i="5"/>
  <c r="E295" i="5"/>
  <c r="G294" i="5"/>
  <c r="E294" i="5"/>
  <c r="G293" i="5"/>
  <c r="E293" i="5"/>
  <c r="G292" i="5"/>
  <c r="E292" i="5"/>
  <c r="G291" i="5"/>
  <c r="E291" i="5"/>
  <c r="G290" i="5"/>
  <c r="E290" i="5"/>
  <c r="G289" i="5"/>
  <c r="E289" i="5"/>
  <c r="G288" i="5"/>
  <c r="E288" i="5"/>
  <c r="G287" i="5"/>
  <c r="E287" i="5"/>
  <c r="G286" i="5"/>
  <c r="E286" i="5"/>
  <c r="G285" i="5"/>
  <c r="E285" i="5"/>
  <c r="G284" i="5"/>
  <c r="E284" i="5"/>
  <c r="G283" i="5"/>
  <c r="E283" i="5"/>
  <c r="G282" i="5"/>
  <c r="E282" i="5"/>
  <c r="G281" i="5"/>
  <c r="E281" i="5"/>
  <c r="G280" i="5"/>
  <c r="E280" i="5"/>
  <c r="G279" i="5"/>
  <c r="E279" i="5"/>
  <c r="G278" i="5"/>
  <c r="E278" i="5"/>
  <c r="G277" i="5"/>
  <c r="E277" i="5"/>
  <c r="G276" i="5"/>
  <c r="E276" i="5"/>
  <c r="G275" i="5"/>
  <c r="E275" i="5"/>
  <c r="G274" i="5"/>
  <c r="E274" i="5"/>
  <c r="G273" i="5"/>
  <c r="E273" i="5"/>
  <c r="G272" i="5"/>
  <c r="E272" i="5"/>
  <c r="G271" i="5"/>
  <c r="E271" i="5"/>
  <c r="G270" i="5"/>
  <c r="E270" i="5"/>
  <c r="G269" i="5"/>
  <c r="E269" i="5"/>
  <c r="G268" i="5"/>
  <c r="E268" i="5"/>
  <c r="G267" i="5"/>
  <c r="E267" i="5"/>
  <c r="G266" i="5"/>
  <c r="E266" i="5"/>
  <c r="G265" i="5"/>
  <c r="E265" i="5"/>
  <c r="G264" i="5"/>
  <c r="E264" i="5"/>
  <c r="G263" i="5"/>
  <c r="E263" i="5"/>
  <c r="G262" i="5"/>
  <c r="E262" i="5"/>
  <c r="G261" i="5"/>
  <c r="E261" i="5"/>
  <c r="G260" i="5"/>
  <c r="E260" i="5"/>
  <c r="G259" i="5"/>
  <c r="E259" i="5"/>
  <c r="G258" i="5"/>
  <c r="E258" i="5"/>
  <c r="G257" i="5"/>
  <c r="E257" i="5"/>
  <c r="G256" i="5"/>
  <c r="E256" i="5"/>
  <c r="G255" i="5"/>
  <c r="E255" i="5"/>
  <c r="G254" i="5"/>
  <c r="E254" i="5"/>
  <c r="G253" i="5"/>
  <c r="E253" i="5"/>
  <c r="G252" i="5"/>
  <c r="E252" i="5"/>
  <c r="G251" i="5"/>
  <c r="E251" i="5"/>
  <c r="G250" i="5"/>
  <c r="E250" i="5"/>
  <c r="G249" i="5"/>
  <c r="E249" i="5"/>
  <c r="G248" i="5"/>
  <c r="E248" i="5"/>
  <c r="G247" i="5"/>
  <c r="E247" i="5"/>
  <c r="G246" i="5"/>
  <c r="E246" i="5"/>
  <c r="G245" i="5"/>
  <c r="E245" i="5"/>
  <c r="G244" i="5"/>
  <c r="E244" i="5"/>
  <c r="G243" i="5"/>
  <c r="E243" i="5"/>
  <c r="G242" i="5"/>
  <c r="E242" i="5"/>
  <c r="G241" i="5"/>
  <c r="E241" i="5"/>
  <c r="G240" i="5"/>
  <c r="E240" i="5"/>
  <c r="G239" i="5"/>
  <c r="E239" i="5"/>
  <c r="G238" i="5"/>
  <c r="E238" i="5"/>
  <c r="G237" i="5"/>
  <c r="E237" i="5"/>
  <c r="G236" i="5"/>
  <c r="E236" i="5"/>
  <c r="G235" i="5"/>
  <c r="E235" i="5"/>
  <c r="G234" i="5"/>
  <c r="E234" i="5"/>
  <c r="G233" i="5"/>
  <c r="E233" i="5"/>
  <c r="G232" i="5"/>
  <c r="E232" i="5"/>
  <c r="G231" i="5"/>
  <c r="E231" i="5"/>
  <c r="G230" i="5"/>
  <c r="E230" i="5"/>
  <c r="G229" i="5"/>
  <c r="E229" i="5"/>
  <c r="G228" i="5"/>
  <c r="E228" i="5"/>
  <c r="G227" i="5"/>
  <c r="E227" i="5"/>
  <c r="G226" i="5"/>
  <c r="E226" i="5"/>
  <c r="G225" i="5"/>
  <c r="E225" i="5"/>
  <c r="G224" i="5"/>
  <c r="E224" i="5"/>
  <c r="G223" i="5"/>
  <c r="E223" i="5"/>
  <c r="G222" i="5"/>
  <c r="E222" i="5"/>
  <c r="G221" i="5"/>
  <c r="E221" i="5"/>
  <c r="G220" i="5"/>
  <c r="E220" i="5"/>
  <c r="G219" i="5"/>
  <c r="E219" i="5"/>
  <c r="G218" i="5"/>
  <c r="E218" i="5"/>
  <c r="G217" i="5"/>
  <c r="E217" i="5"/>
  <c r="G216" i="5"/>
  <c r="E216" i="5"/>
  <c r="G215" i="5"/>
  <c r="E215" i="5"/>
  <c r="G214" i="5"/>
  <c r="E214" i="5"/>
  <c r="G213" i="5"/>
  <c r="E213" i="5"/>
  <c r="G212" i="5"/>
  <c r="E212" i="5"/>
  <c r="G211" i="5"/>
  <c r="E211" i="5"/>
  <c r="G210" i="5"/>
  <c r="E210" i="5"/>
  <c r="G209" i="5"/>
  <c r="E209" i="5"/>
  <c r="G208" i="5"/>
  <c r="E208" i="5"/>
  <c r="G207" i="5"/>
  <c r="E207" i="5"/>
  <c r="G206" i="5"/>
  <c r="E206" i="5"/>
  <c r="G205" i="5"/>
  <c r="E205" i="5"/>
  <c r="G204" i="5"/>
  <c r="E204" i="5"/>
  <c r="G203" i="5"/>
  <c r="E203" i="5"/>
  <c r="G202" i="5"/>
  <c r="E202" i="5"/>
  <c r="G201" i="5"/>
  <c r="E201" i="5"/>
  <c r="G200" i="5"/>
  <c r="E200" i="5"/>
  <c r="G199" i="5"/>
  <c r="E199" i="5"/>
  <c r="G198" i="5"/>
  <c r="E198" i="5"/>
  <c r="G197" i="5"/>
  <c r="E197" i="5"/>
  <c r="G196" i="5"/>
  <c r="E196" i="5"/>
  <c r="G195" i="5"/>
  <c r="E195" i="5"/>
  <c r="G194" i="5"/>
  <c r="E194" i="5"/>
  <c r="G193" i="5"/>
  <c r="E193" i="5"/>
  <c r="G192" i="5"/>
  <c r="E192" i="5"/>
  <c r="G191" i="5"/>
  <c r="E191" i="5"/>
  <c r="G190" i="5"/>
  <c r="E190" i="5"/>
  <c r="G189" i="5"/>
  <c r="E189" i="5"/>
  <c r="G188" i="5"/>
  <c r="E188" i="5"/>
  <c r="G187" i="5"/>
  <c r="E187" i="5"/>
  <c r="G186" i="5"/>
  <c r="E186" i="5"/>
  <c r="G185" i="5"/>
  <c r="E185" i="5"/>
  <c r="G184" i="5"/>
  <c r="E184" i="5"/>
  <c r="G183" i="5"/>
  <c r="E183" i="5"/>
  <c r="G182" i="5"/>
  <c r="E182" i="5"/>
  <c r="G181" i="5"/>
  <c r="E181" i="5"/>
  <c r="G180" i="5"/>
  <c r="E180" i="5"/>
  <c r="G179" i="5"/>
  <c r="E179" i="5"/>
  <c r="G178" i="5"/>
  <c r="E178" i="5"/>
  <c r="G177" i="5"/>
  <c r="E177" i="5"/>
  <c r="G176" i="5"/>
  <c r="E176" i="5"/>
  <c r="G175" i="5"/>
  <c r="E175" i="5"/>
  <c r="G174" i="5"/>
  <c r="E174" i="5"/>
  <c r="G173" i="5"/>
  <c r="E173" i="5"/>
  <c r="G172" i="5"/>
  <c r="E172" i="5"/>
  <c r="G171" i="5"/>
  <c r="E171" i="5"/>
  <c r="G170" i="5"/>
  <c r="E170" i="5"/>
  <c r="G169" i="5"/>
  <c r="E169" i="5"/>
  <c r="G168" i="5"/>
  <c r="E168" i="5"/>
  <c r="G167" i="5"/>
  <c r="E167" i="5"/>
  <c r="G166" i="5"/>
  <c r="E166" i="5"/>
  <c r="G165" i="5"/>
  <c r="E165" i="5"/>
  <c r="G164" i="5"/>
  <c r="E164" i="5"/>
  <c r="G163" i="5"/>
  <c r="E163" i="5"/>
  <c r="G162" i="5"/>
  <c r="E162" i="5"/>
  <c r="G161" i="5"/>
  <c r="E161" i="5"/>
  <c r="G160" i="5"/>
  <c r="E160" i="5"/>
  <c r="G159" i="5"/>
  <c r="E159" i="5"/>
  <c r="G158" i="5"/>
  <c r="E158" i="5"/>
  <c r="G157" i="5"/>
  <c r="E157" i="5"/>
  <c r="G156" i="5"/>
  <c r="E156" i="5"/>
  <c r="G155" i="5"/>
  <c r="E155" i="5"/>
  <c r="G154" i="5"/>
  <c r="E154" i="5"/>
  <c r="G153" i="5"/>
  <c r="E153" i="5"/>
  <c r="G152" i="5"/>
  <c r="E152" i="5"/>
  <c r="G151" i="5"/>
  <c r="E151" i="5"/>
  <c r="G150" i="5"/>
  <c r="E150" i="5"/>
  <c r="G149" i="5"/>
  <c r="E149" i="5"/>
  <c r="G148" i="5"/>
  <c r="E148" i="5"/>
  <c r="G147" i="5"/>
  <c r="E147" i="5"/>
  <c r="G146" i="5"/>
  <c r="E146" i="5"/>
  <c r="G145" i="5"/>
  <c r="E145" i="5"/>
  <c r="G144" i="5"/>
  <c r="E144" i="5"/>
  <c r="G143" i="5"/>
  <c r="E143" i="5"/>
  <c r="G142" i="5"/>
  <c r="E142" i="5"/>
  <c r="G141" i="5"/>
  <c r="E141" i="5"/>
  <c r="G140" i="5"/>
  <c r="E140" i="5"/>
  <c r="G139" i="5"/>
  <c r="E139" i="5"/>
  <c r="G138" i="5"/>
  <c r="E138" i="5"/>
  <c r="G137" i="5"/>
  <c r="E137" i="5"/>
  <c r="G136" i="5"/>
  <c r="E136" i="5"/>
  <c r="G135" i="5"/>
  <c r="E135" i="5"/>
  <c r="G134" i="5"/>
  <c r="E134" i="5"/>
  <c r="G133" i="5"/>
  <c r="E133" i="5"/>
  <c r="G132" i="5"/>
  <c r="E132" i="5"/>
  <c r="G131" i="5"/>
  <c r="E131" i="5"/>
  <c r="G130" i="5"/>
  <c r="E130" i="5"/>
  <c r="G129" i="5"/>
  <c r="E129" i="5"/>
  <c r="G128" i="5"/>
  <c r="E128" i="5"/>
  <c r="G127" i="5"/>
  <c r="E127" i="5"/>
  <c r="G126" i="5"/>
  <c r="E126" i="5"/>
  <c r="G125" i="5"/>
  <c r="E125" i="5"/>
  <c r="G124" i="5"/>
  <c r="E124" i="5"/>
  <c r="G123" i="5"/>
  <c r="E123" i="5"/>
  <c r="G122" i="5"/>
  <c r="E122" i="5"/>
  <c r="G121" i="5"/>
  <c r="E121" i="5"/>
  <c r="G120" i="5"/>
  <c r="E120" i="5"/>
  <c r="G119" i="5"/>
  <c r="E119" i="5"/>
  <c r="G118" i="5"/>
  <c r="E118" i="5"/>
  <c r="G117" i="5"/>
  <c r="E117" i="5"/>
  <c r="G116" i="5"/>
  <c r="E116" i="5"/>
  <c r="G115" i="5"/>
  <c r="E115" i="5"/>
  <c r="G114" i="5"/>
  <c r="E114" i="5"/>
  <c r="G113" i="5"/>
  <c r="E113" i="5"/>
  <c r="G112" i="5"/>
  <c r="E112" i="5"/>
  <c r="G111" i="5"/>
  <c r="E111" i="5"/>
  <c r="G110" i="5"/>
  <c r="E110" i="5"/>
  <c r="G109" i="5"/>
  <c r="E109" i="5"/>
  <c r="G108" i="5"/>
  <c r="E108" i="5"/>
  <c r="G107" i="5"/>
  <c r="E107" i="5"/>
  <c r="G106" i="5"/>
  <c r="E106" i="5"/>
  <c r="G105" i="5"/>
  <c r="E105" i="5"/>
  <c r="G104" i="5"/>
  <c r="E104" i="5"/>
  <c r="G103" i="5"/>
  <c r="E103" i="5"/>
  <c r="G102" i="5"/>
  <c r="E102" i="5"/>
  <c r="G101" i="5"/>
  <c r="E101" i="5"/>
  <c r="G100" i="5"/>
  <c r="E100" i="5"/>
  <c r="G99" i="5"/>
  <c r="E99" i="5"/>
  <c r="G98" i="5"/>
  <c r="E98" i="5"/>
  <c r="G97" i="5"/>
  <c r="E97" i="5"/>
  <c r="G96" i="5"/>
  <c r="E96" i="5"/>
  <c r="G95" i="5"/>
  <c r="E95" i="5"/>
  <c r="G94" i="5"/>
  <c r="E94" i="5"/>
  <c r="G93" i="5"/>
  <c r="E93" i="5"/>
  <c r="G92" i="5"/>
  <c r="E92" i="5"/>
  <c r="G91" i="5"/>
  <c r="E91" i="5"/>
  <c r="G90" i="5"/>
  <c r="E90" i="5"/>
  <c r="G89" i="5"/>
  <c r="E89" i="5"/>
  <c r="G88" i="5"/>
  <c r="E88" i="5"/>
  <c r="G87" i="5"/>
  <c r="E87" i="5"/>
  <c r="G86" i="5"/>
  <c r="E86" i="5"/>
  <c r="G85" i="5"/>
  <c r="E85" i="5"/>
  <c r="G84" i="5"/>
  <c r="E84" i="5"/>
  <c r="G83" i="5"/>
  <c r="E83" i="5"/>
  <c r="G82" i="5"/>
  <c r="E82" i="5"/>
  <c r="G81" i="5"/>
  <c r="E81" i="5"/>
  <c r="G80" i="5"/>
  <c r="E80" i="5"/>
  <c r="G79" i="5"/>
  <c r="E79" i="5"/>
  <c r="G78" i="5"/>
  <c r="E78" i="5"/>
  <c r="G77" i="5"/>
  <c r="E77" i="5"/>
  <c r="G76" i="5"/>
  <c r="E76" i="5"/>
  <c r="G75" i="5"/>
  <c r="E75" i="5"/>
  <c r="G74" i="5"/>
  <c r="E74" i="5"/>
  <c r="G73" i="5"/>
  <c r="E73" i="5"/>
  <c r="G72" i="5"/>
  <c r="E72" i="5"/>
  <c r="G71" i="5"/>
  <c r="E71" i="5"/>
  <c r="G70" i="5"/>
  <c r="E70" i="5"/>
  <c r="G69" i="5"/>
  <c r="E69" i="5"/>
  <c r="G68" i="5"/>
  <c r="E68" i="5"/>
  <c r="G67" i="5"/>
  <c r="E67" i="5"/>
  <c r="G66" i="5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2" i="5"/>
  <c r="E52" i="5"/>
  <c r="G51" i="5"/>
  <c r="E51" i="5"/>
  <c r="G50" i="5"/>
  <c r="E50" i="5"/>
  <c r="G49" i="5"/>
  <c r="E49" i="5"/>
  <c r="G48" i="5"/>
  <c r="E48" i="5"/>
  <c r="G47" i="5"/>
  <c r="E47" i="5"/>
  <c r="G46" i="5"/>
  <c r="E46" i="5"/>
  <c r="G45" i="5"/>
  <c r="E45" i="5"/>
  <c r="G44" i="5"/>
  <c r="E44" i="5"/>
  <c r="G43" i="5"/>
  <c r="E43" i="5"/>
  <c r="G42" i="5"/>
  <c r="E42" i="5"/>
  <c r="G41" i="5"/>
  <c r="E41" i="5"/>
  <c r="G40" i="5"/>
  <c r="E40" i="5"/>
  <c r="G39" i="5"/>
  <c r="E39" i="5"/>
  <c r="G38" i="5"/>
  <c r="E38" i="5"/>
  <c r="G37" i="5"/>
  <c r="E37" i="5"/>
  <c r="G36" i="5"/>
  <c r="E36" i="5"/>
  <c r="G35" i="5"/>
  <c r="E35" i="5"/>
  <c r="G34" i="5"/>
  <c r="E34" i="5"/>
  <c r="G33" i="5"/>
  <c r="E33" i="5"/>
  <c r="G32" i="5"/>
  <c r="E32" i="5"/>
  <c r="G31" i="5"/>
  <c r="E31" i="5"/>
  <c r="G30" i="5"/>
  <c r="E30" i="5"/>
  <c r="G29" i="5"/>
  <c r="E29" i="5"/>
  <c r="G28" i="5"/>
  <c r="E28" i="5"/>
  <c r="G27" i="5"/>
  <c r="E27" i="5"/>
  <c r="G26" i="5"/>
  <c r="E26" i="5"/>
  <c r="G25" i="5"/>
  <c r="E25" i="5"/>
  <c r="G24" i="5"/>
  <c r="E24" i="5"/>
  <c r="G23" i="5"/>
  <c r="E23" i="5"/>
  <c r="G22" i="5"/>
  <c r="E22" i="5"/>
  <c r="G21" i="5"/>
  <c r="E21" i="5"/>
  <c r="G20" i="5"/>
  <c r="E20" i="5"/>
  <c r="G19" i="5"/>
  <c r="E19" i="5"/>
  <c r="G18" i="5"/>
  <c r="E18" i="5"/>
  <c r="G17" i="5"/>
  <c r="E17" i="5"/>
  <c r="G16" i="5"/>
  <c r="E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G4" i="5"/>
  <c r="M44" i="4"/>
  <c r="G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C2" i="4"/>
  <c r="F2002" i="3"/>
  <c r="G2000" i="3"/>
  <c r="E2000" i="3"/>
  <c r="G1999" i="3"/>
  <c r="E1999" i="3"/>
  <c r="G1998" i="3"/>
  <c r="E1998" i="3"/>
  <c r="G1997" i="3"/>
  <c r="E1997" i="3"/>
  <c r="G1996" i="3"/>
  <c r="E1996" i="3"/>
  <c r="G1995" i="3"/>
  <c r="E1995" i="3"/>
  <c r="G1994" i="3"/>
  <c r="E1994" i="3"/>
  <c r="G1993" i="3"/>
  <c r="E1993" i="3"/>
  <c r="G1992" i="3"/>
  <c r="E1992" i="3"/>
  <c r="G1991" i="3"/>
  <c r="E1991" i="3"/>
  <c r="G1990" i="3"/>
  <c r="E1990" i="3"/>
  <c r="G1989" i="3"/>
  <c r="E1989" i="3"/>
  <c r="G1988" i="3"/>
  <c r="E1988" i="3"/>
  <c r="G1987" i="3"/>
  <c r="E1987" i="3"/>
  <c r="G1986" i="3"/>
  <c r="E1986" i="3"/>
  <c r="G1985" i="3"/>
  <c r="E1985" i="3"/>
  <c r="G1984" i="3"/>
  <c r="E1984" i="3"/>
  <c r="G1983" i="3"/>
  <c r="E1983" i="3"/>
  <c r="G1982" i="3"/>
  <c r="E1982" i="3"/>
  <c r="G1981" i="3"/>
  <c r="E1981" i="3"/>
  <c r="G1980" i="3"/>
  <c r="E1980" i="3"/>
  <c r="G1979" i="3"/>
  <c r="E1979" i="3"/>
  <c r="G1978" i="3"/>
  <c r="E1978" i="3"/>
  <c r="G1977" i="3"/>
  <c r="E1977" i="3"/>
  <c r="G1976" i="3"/>
  <c r="E1976" i="3"/>
  <c r="G1975" i="3"/>
  <c r="E1975" i="3"/>
  <c r="G1974" i="3"/>
  <c r="E1974" i="3"/>
  <c r="G1973" i="3"/>
  <c r="E1973" i="3"/>
  <c r="G1972" i="3"/>
  <c r="E1972" i="3"/>
  <c r="G1971" i="3"/>
  <c r="E1971" i="3"/>
  <c r="G1970" i="3"/>
  <c r="E1970" i="3"/>
  <c r="G1969" i="3"/>
  <c r="E1969" i="3"/>
  <c r="G1968" i="3"/>
  <c r="E1968" i="3"/>
  <c r="G1967" i="3"/>
  <c r="E1967" i="3"/>
  <c r="G1966" i="3"/>
  <c r="E1966" i="3"/>
  <c r="G1965" i="3"/>
  <c r="E1965" i="3"/>
  <c r="G1964" i="3"/>
  <c r="E1964" i="3"/>
  <c r="G1963" i="3"/>
  <c r="E1963" i="3"/>
  <c r="G1962" i="3"/>
  <c r="E1962" i="3"/>
  <c r="G1961" i="3"/>
  <c r="E1961" i="3"/>
  <c r="G1960" i="3"/>
  <c r="E1960" i="3"/>
  <c r="G1959" i="3"/>
  <c r="E1959" i="3"/>
  <c r="G1958" i="3"/>
  <c r="E1958" i="3"/>
  <c r="G1957" i="3"/>
  <c r="E1957" i="3"/>
  <c r="G1956" i="3"/>
  <c r="E1956" i="3"/>
  <c r="G1955" i="3"/>
  <c r="E1955" i="3"/>
  <c r="G1954" i="3"/>
  <c r="E1954" i="3"/>
  <c r="G1953" i="3"/>
  <c r="E1953" i="3"/>
  <c r="G1952" i="3"/>
  <c r="E1952" i="3"/>
  <c r="G1951" i="3"/>
  <c r="E1951" i="3"/>
  <c r="G1950" i="3"/>
  <c r="E1950" i="3"/>
  <c r="G1949" i="3"/>
  <c r="E1949" i="3"/>
  <c r="G1948" i="3"/>
  <c r="E1948" i="3"/>
  <c r="G1947" i="3"/>
  <c r="E1947" i="3"/>
  <c r="G1946" i="3"/>
  <c r="E1946" i="3"/>
  <c r="G1945" i="3"/>
  <c r="E1945" i="3"/>
  <c r="G1944" i="3"/>
  <c r="E1944" i="3"/>
  <c r="G1943" i="3"/>
  <c r="E1943" i="3"/>
  <c r="G1942" i="3"/>
  <c r="E1942" i="3"/>
  <c r="G1941" i="3"/>
  <c r="E1941" i="3"/>
  <c r="G1940" i="3"/>
  <c r="E1940" i="3"/>
  <c r="G1939" i="3"/>
  <c r="E1939" i="3"/>
  <c r="G1938" i="3"/>
  <c r="E1938" i="3"/>
  <c r="G1937" i="3"/>
  <c r="E1937" i="3"/>
  <c r="G1936" i="3"/>
  <c r="E1936" i="3"/>
  <c r="G1935" i="3"/>
  <c r="E1935" i="3"/>
  <c r="G1934" i="3"/>
  <c r="E1934" i="3"/>
  <c r="G1933" i="3"/>
  <c r="E1933" i="3"/>
  <c r="G1932" i="3"/>
  <c r="E1932" i="3"/>
  <c r="G1931" i="3"/>
  <c r="E1931" i="3"/>
  <c r="G1930" i="3"/>
  <c r="E1930" i="3"/>
  <c r="G1929" i="3"/>
  <c r="E1929" i="3"/>
  <c r="G1928" i="3"/>
  <c r="E1928" i="3"/>
  <c r="G1927" i="3"/>
  <c r="E1927" i="3"/>
  <c r="G1926" i="3"/>
  <c r="E1926" i="3"/>
  <c r="G1925" i="3"/>
  <c r="E1925" i="3"/>
  <c r="G1924" i="3"/>
  <c r="E1924" i="3"/>
  <c r="G1923" i="3"/>
  <c r="E1923" i="3"/>
  <c r="G1922" i="3"/>
  <c r="E1922" i="3"/>
  <c r="G1921" i="3"/>
  <c r="E1921" i="3"/>
  <c r="G1920" i="3"/>
  <c r="E1920" i="3"/>
  <c r="G1919" i="3"/>
  <c r="E1919" i="3"/>
  <c r="G1918" i="3"/>
  <c r="E1918" i="3"/>
  <c r="G1917" i="3"/>
  <c r="E1917" i="3"/>
  <c r="G1916" i="3"/>
  <c r="E1916" i="3"/>
  <c r="G1915" i="3"/>
  <c r="E1915" i="3"/>
  <c r="G1914" i="3"/>
  <c r="E1914" i="3"/>
  <c r="G1913" i="3"/>
  <c r="E1913" i="3"/>
  <c r="G1912" i="3"/>
  <c r="E1912" i="3"/>
  <c r="G1911" i="3"/>
  <c r="E1911" i="3"/>
  <c r="G1910" i="3"/>
  <c r="E1910" i="3"/>
  <c r="G1909" i="3"/>
  <c r="E1909" i="3"/>
  <c r="G1908" i="3"/>
  <c r="E1908" i="3"/>
  <c r="G1907" i="3"/>
  <c r="E1907" i="3"/>
  <c r="G1906" i="3"/>
  <c r="E1906" i="3"/>
  <c r="G1905" i="3"/>
  <c r="E1905" i="3"/>
  <c r="G1904" i="3"/>
  <c r="E1904" i="3"/>
  <c r="G1903" i="3"/>
  <c r="E1903" i="3"/>
  <c r="G1902" i="3"/>
  <c r="E1902" i="3"/>
  <c r="G1901" i="3"/>
  <c r="E1901" i="3"/>
  <c r="G1900" i="3"/>
  <c r="E1900" i="3"/>
  <c r="G1899" i="3"/>
  <c r="E1899" i="3"/>
  <c r="G1898" i="3"/>
  <c r="E1898" i="3"/>
  <c r="G1897" i="3"/>
  <c r="E1897" i="3"/>
  <c r="G1896" i="3"/>
  <c r="E1896" i="3"/>
  <c r="G1895" i="3"/>
  <c r="E1895" i="3"/>
  <c r="G1894" i="3"/>
  <c r="E1894" i="3"/>
  <c r="G1893" i="3"/>
  <c r="E1893" i="3"/>
  <c r="G1892" i="3"/>
  <c r="E1892" i="3"/>
  <c r="G1891" i="3"/>
  <c r="E1891" i="3"/>
  <c r="G1890" i="3"/>
  <c r="E1890" i="3"/>
  <c r="G1889" i="3"/>
  <c r="E1889" i="3"/>
  <c r="G1888" i="3"/>
  <c r="E1888" i="3"/>
  <c r="G1887" i="3"/>
  <c r="E1887" i="3"/>
  <c r="G1886" i="3"/>
  <c r="E1886" i="3"/>
  <c r="G1885" i="3"/>
  <c r="E1885" i="3"/>
  <c r="G1884" i="3"/>
  <c r="E1884" i="3"/>
  <c r="G1883" i="3"/>
  <c r="E1883" i="3"/>
  <c r="G1882" i="3"/>
  <c r="E1882" i="3"/>
  <c r="G1881" i="3"/>
  <c r="E1881" i="3"/>
  <c r="G1880" i="3"/>
  <c r="E1880" i="3"/>
  <c r="G1879" i="3"/>
  <c r="E1879" i="3"/>
  <c r="G1878" i="3"/>
  <c r="E1878" i="3"/>
  <c r="G1877" i="3"/>
  <c r="E1877" i="3"/>
  <c r="G1876" i="3"/>
  <c r="E1876" i="3"/>
  <c r="G1875" i="3"/>
  <c r="E1875" i="3"/>
  <c r="G1874" i="3"/>
  <c r="E1874" i="3"/>
  <c r="G1873" i="3"/>
  <c r="E1873" i="3"/>
  <c r="G1872" i="3"/>
  <c r="E1872" i="3"/>
  <c r="G1871" i="3"/>
  <c r="E1871" i="3"/>
  <c r="G1870" i="3"/>
  <c r="E1870" i="3"/>
  <c r="G1869" i="3"/>
  <c r="E1869" i="3"/>
  <c r="G1868" i="3"/>
  <c r="E1868" i="3"/>
  <c r="G1867" i="3"/>
  <c r="E1867" i="3"/>
  <c r="G1866" i="3"/>
  <c r="E1866" i="3"/>
  <c r="G1865" i="3"/>
  <c r="E1865" i="3"/>
  <c r="G1864" i="3"/>
  <c r="E1864" i="3"/>
  <c r="G1863" i="3"/>
  <c r="E1863" i="3"/>
  <c r="G1862" i="3"/>
  <c r="E1862" i="3"/>
  <c r="G1861" i="3"/>
  <c r="E1861" i="3"/>
  <c r="G1860" i="3"/>
  <c r="E1860" i="3"/>
  <c r="G1859" i="3"/>
  <c r="E1859" i="3"/>
  <c r="G1858" i="3"/>
  <c r="E1858" i="3"/>
  <c r="G1857" i="3"/>
  <c r="E1857" i="3"/>
  <c r="G1856" i="3"/>
  <c r="E1856" i="3"/>
  <c r="G1855" i="3"/>
  <c r="E1855" i="3"/>
  <c r="G1854" i="3"/>
  <c r="E1854" i="3"/>
  <c r="G1853" i="3"/>
  <c r="E1853" i="3"/>
  <c r="G1852" i="3"/>
  <c r="E1852" i="3"/>
  <c r="G1851" i="3"/>
  <c r="E1851" i="3"/>
  <c r="G1850" i="3"/>
  <c r="E1850" i="3"/>
  <c r="G1849" i="3"/>
  <c r="E1849" i="3"/>
  <c r="G1848" i="3"/>
  <c r="E1848" i="3"/>
  <c r="G1847" i="3"/>
  <c r="E1847" i="3"/>
  <c r="G1846" i="3"/>
  <c r="E1846" i="3"/>
  <c r="G1845" i="3"/>
  <c r="E1845" i="3"/>
  <c r="G1844" i="3"/>
  <c r="E1844" i="3"/>
  <c r="G1843" i="3"/>
  <c r="E1843" i="3"/>
  <c r="G1842" i="3"/>
  <c r="E1842" i="3"/>
  <c r="G1841" i="3"/>
  <c r="E1841" i="3"/>
  <c r="G1840" i="3"/>
  <c r="E1840" i="3"/>
  <c r="G1839" i="3"/>
  <c r="E1839" i="3"/>
  <c r="G1838" i="3"/>
  <c r="E1838" i="3"/>
  <c r="G1837" i="3"/>
  <c r="E1837" i="3"/>
  <c r="G1836" i="3"/>
  <c r="E1836" i="3"/>
  <c r="G1835" i="3"/>
  <c r="E1835" i="3"/>
  <c r="G1834" i="3"/>
  <c r="E1834" i="3"/>
  <c r="G1833" i="3"/>
  <c r="E1833" i="3"/>
  <c r="G1832" i="3"/>
  <c r="E1832" i="3"/>
  <c r="G1831" i="3"/>
  <c r="E1831" i="3"/>
  <c r="G1830" i="3"/>
  <c r="E1830" i="3"/>
  <c r="G1829" i="3"/>
  <c r="E1829" i="3"/>
  <c r="G1828" i="3"/>
  <c r="E1828" i="3"/>
  <c r="G1827" i="3"/>
  <c r="E1827" i="3"/>
  <c r="G1826" i="3"/>
  <c r="E1826" i="3"/>
  <c r="G1825" i="3"/>
  <c r="E1825" i="3"/>
  <c r="G1824" i="3"/>
  <c r="E1824" i="3"/>
  <c r="G1823" i="3"/>
  <c r="E1823" i="3"/>
  <c r="G1822" i="3"/>
  <c r="E1822" i="3"/>
  <c r="G1821" i="3"/>
  <c r="E1821" i="3"/>
  <c r="G1820" i="3"/>
  <c r="E1820" i="3"/>
  <c r="G1819" i="3"/>
  <c r="E1819" i="3"/>
  <c r="G1818" i="3"/>
  <c r="E1818" i="3"/>
  <c r="G1817" i="3"/>
  <c r="E1817" i="3"/>
  <c r="G1816" i="3"/>
  <c r="E1816" i="3"/>
  <c r="G1815" i="3"/>
  <c r="E1815" i="3"/>
  <c r="G1814" i="3"/>
  <c r="E1814" i="3"/>
  <c r="G1813" i="3"/>
  <c r="E1813" i="3"/>
  <c r="G1812" i="3"/>
  <c r="E1812" i="3"/>
  <c r="G1811" i="3"/>
  <c r="E1811" i="3"/>
  <c r="G1810" i="3"/>
  <c r="E1810" i="3"/>
  <c r="G1809" i="3"/>
  <c r="E1809" i="3"/>
  <c r="G1808" i="3"/>
  <c r="E1808" i="3"/>
  <c r="G1807" i="3"/>
  <c r="E1807" i="3"/>
  <c r="G1806" i="3"/>
  <c r="E1806" i="3"/>
  <c r="G1805" i="3"/>
  <c r="E1805" i="3"/>
  <c r="G1804" i="3"/>
  <c r="E1804" i="3"/>
  <c r="G1803" i="3"/>
  <c r="E1803" i="3"/>
  <c r="G1802" i="3"/>
  <c r="E1802" i="3"/>
  <c r="G1801" i="3"/>
  <c r="E1801" i="3"/>
  <c r="G1800" i="3"/>
  <c r="E1800" i="3"/>
  <c r="G1799" i="3"/>
  <c r="E1799" i="3"/>
  <c r="G1798" i="3"/>
  <c r="E1798" i="3"/>
  <c r="G1797" i="3"/>
  <c r="E1797" i="3"/>
  <c r="G1796" i="3"/>
  <c r="E1796" i="3"/>
  <c r="G1795" i="3"/>
  <c r="E1795" i="3"/>
  <c r="G1794" i="3"/>
  <c r="E1794" i="3"/>
  <c r="G1793" i="3"/>
  <c r="E1793" i="3"/>
  <c r="G1792" i="3"/>
  <c r="E1792" i="3"/>
  <c r="G1791" i="3"/>
  <c r="E1791" i="3"/>
  <c r="G1790" i="3"/>
  <c r="E1790" i="3"/>
  <c r="G1789" i="3"/>
  <c r="E1789" i="3"/>
  <c r="G1788" i="3"/>
  <c r="E1788" i="3"/>
  <c r="G1787" i="3"/>
  <c r="E1787" i="3"/>
  <c r="G1786" i="3"/>
  <c r="E1786" i="3"/>
  <c r="G1785" i="3"/>
  <c r="E1785" i="3"/>
  <c r="G1784" i="3"/>
  <c r="E1784" i="3"/>
  <c r="G1783" i="3"/>
  <c r="E1783" i="3"/>
  <c r="G1782" i="3"/>
  <c r="E1782" i="3"/>
  <c r="G1781" i="3"/>
  <c r="E1781" i="3"/>
  <c r="G1780" i="3"/>
  <c r="E1780" i="3"/>
  <c r="G1779" i="3"/>
  <c r="E1779" i="3"/>
  <c r="G1778" i="3"/>
  <c r="E1778" i="3"/>
  <c r="G1777" i="3"/>
  <c r="E1777" i="3"/>
  <c r="G1776" i="3"/>
  <c r="E1776" i="3"/>
  <c r="G1775" i="3"/>
  <c r="E1775" i="3"/>
  <c r="G1774" i="3"/>
  <c r="E1774" i="3"/>
  <c r="G1773" i="3"/>
  <c r="E1773" i="3"/>
  <c r="G1772" i="3"/>
  <c r="E1772" i="3"/>
  <c r="G1771" i="3"/>
  <c r="E1771" i="3"/>
  <c r="G1770" i="3"/>
  <c r="E1770" i="3"/>
  <c r="G1769" i="3"/>
  <c r="E1769" i="3"/>
  <c r="G1768" i="3"/>
  <c r="E1768" i="3"/>
  <c r="G1767" i="3"/>
  <c r="E1767" i="3"/>
  <c r="G1766" i="3"/>
  <c r="E1766" i="3"/>
  <c r="G1765" i="3"/>
  <c r="E1765" i="3"/>
  <c r="G1764" i="3"/>
  <c r="E1764" i="3"/>
  <c r="G1763" i="3"/>
  <c r="E1763" i="3"/>
  <c r="G1762" i="3"/>
  <c r="E1762" i="3"/>
  <c r="G1761" i="3"/>
  <c r="E1761" i="3"/>
  <c r="G1760" i="3"/>
  <c r="E1760" i="3"/>
  <c r="G1759" i="3"/>
  <c r="E1759" i="3"/>
  <c r="G1758" i="3"/>
  <c r="E1758" i="3"/>
  <c r="G1757" i="3"/>
  <c r="E1757" i="3"/>
  <c r="G1756" i="3"/>
  <c r="E1756" i="3"/>
  <c r="G1755" i="3"/>
  <c r="E1755" i="3"/>
  <c r="G1754" i="3"/>
  <c r="E1754" i="3"/>
  <c r="G1753" i="3"/>
  <c r="E1753" i="3"/>
  <c r="G1752" i="3"/>
  <c r="E1752" i="3"/>
  <c r="G1751" i="3"/>
  <c r="E1751" i="3"/>
  <c r="G1750" i="3"/>
  <c r="E1750" i="3"/>
  <c r="G1749" i="3"/>
  <c r="E1749" i="3"/>
  <c r="G1748" i="3"/>
  <c r="E1748" i="3"/>
  <c r="G1747" i="3"/>
  <c r="E1747" i="3"/>
  <c r="G1746" i="3"/>
  <c r="E1746" i="3"/>
  <c r="G1745" i="3"/>
  <c r="E1745" i="3"/>
  <c r="G1744" i="3"/>
  <c r="E1744" i="3"/>
  <c r="G1743" i="3"/>
  <c r="E1743" i="3"/>
  <c r="G1742" i="3"/>
  <c r="E1742" i="3"/>
  <c r="G1741" i="3"/>
  <c r="E1741" i="3"/>
  <c r="G1740" i="3"/>
  <c r="E1740" i="3"/>
  <c r="G1739" i="3"/>
  <c r="E1739" i="3"/>
  <c r="G1738" i="3"/>
  <c r="E1738" i="3"/>
  <c r="G1737" i="3"/>
  <c r="E1737" i="3"/>
  <c r="G1736" i="3"/>
  <c r="E1736" i="3"/>
  <c r="G1735" i="3"/>
  <c r="E1735" i="3"/>
  <c r="G1734" i="3"/>
  <c r="E1734" i="3"/>
  <c r="G1733" i="3"/>
  <c r="E1733" i="3"/>
  <c r="G1732" i="3"/>
  <c r="E1732" i="3"/>
  <c r="G1731" i="3"/>
  <c r="E1731" i="3"/>
  <c r="G1730" i="3"/>
  <c r="E1730" i="3"/>
  <c r="G1729" i="3"/>
  <c r="E1729" i="3"/>
  <c r="G1728" i="3"/>
  <c r="E1728" i="3"/>
  <c r="G1727" i="3"/>
  <c r="E1727" i="3"/>
  <c r="G1726" i="3"/>
  <c r="E1726" i="3"/>
  <c r="G1725" i="3"/>
  <c r="E1725" i="3"/>
  <c r="G1724" i="3"/>
  <c r="E1724" i="3"/>
  <c r="G1723" i="3"/>
  <c r="E1723" i="3"/>
  <c r="G1722" i="3"/>
  <c r="E1722" i="3"/>
  <c r="G1721" i="3"/>
  <c r="E1721" i="3"/>
  <c r="G1720" i="3"/>
  <c r="E1720" i="3"/>
  <c r="G1719" i="3"/>
  <c r="E1719" i="3"/>
  <c r="G1718" i="3"/>
  <c r="E1718" i="3"/>
  <c r="G1717" i="3"/>
  <c r="E1717" i="3"/>
  <c r="G1716" i="3"/>
  <c r="E1716" i="3"/>
  <c r="G1715" i="3"/>
  <c r="E1715" i="3"/>
  <c r="G1714" i="3"/>
  <c r="E1714" i="3"/>
  <c r="G1713" i="3"/>
  <c r="E1713" i="3"/>
  <c r="G1712" i="3"/>
  <c r="E1712" i="3"/>
  <c r="G1711" i="3"/>
  <c r="E1711" i="3"/>
  <c r="G1710" i="3"/>
  <c r="E1710" i="3"/>
  <c r="G1709" i="3"/>
  <c r="E1709" i="3"/>
  <c r="G1708" i="3"/>
  <c r="E1708" i="3"/>
  <c r="G1707" i="3"/>
  <c r="E1707" i="3"/>
  <c r="G1706" i="3"/>
  <c r="E1706" i="3"/>
  <c r="G1705" i="3"/>
  <c r="E1705" i="3"/>
  <c r="G1704" i="3"/>
  <c r="E1704" i="3"/>
  <c r="G1703" i="3"/>
  <c r="E1703" i="3"/>
  <c r="G1702" i="3"/>
  <c r="E1702" i="3"/>
  <c r="G1701" i="3"/>
  <c r="E1701" i="3"/>
  <c r="G1700" i="3"/>
  <c r="E1700" i="3"/>
  <c r="G1699" i="3"/>
  <c r="E1699" i="3"/>
  <c r="G1698" i="3"/>
  <c r="E1698" i="3"/>
  <c r="G1697" i="3"/>
  <c r="E1697" i="3"/>
  <c r="G1696" i="3"/>
  <c r="E1696" i="3"/>
  <c r="G1695" i="3"/>
  <c r="E1695" i="3"/>
  <c r="G1694" i="3"/>
  <c r="E1694" i="3"/>
  <c r="G1693" i="3"/>
  <c r="E1693" i="3"/>
  <c r="G1692" i="3"/>
  <c r="E1692" i="3"/>
  <c r="G1691" i="3"/>
  <c r="E1691" i="3"/>
  <c r="G1690" i="3"/>
  <c r="E1690" i="3"/>
  <c r="G1689" i="3"/>
  <c r="E1689" i="3"/>
  <c r="G1688" i="3"/>
  <c r="E1688" i="3"/>
  <c r="G1687" i="3"/>
  <c r="E1687" i="3"/>
  <c r="G1686" i="3"/>
  <c r="E1686" i="3"/>
  <c r="G1685" i="3"/>
  <c r="E1685" i="3"/>
  <c r="G1684" i="3"/>
  <c r="E1684" i="3"/>
  <c r="G1683" i="3"/>
  <c r="E1683" i="3"/>
  <c r="G1682" i="3"/>
  <c r="E1682" i="3"/>
  <c r="G1681" i="3"/>
  <c r="E1681" i="3"/>
  <c r="G1680" i="3"/>
  <c r="E1680" i="3"/>
  <c r="G1679" i="3"/>
  <c r="E1679" i="3"/>
  <c r="G1678" i="3"/>
  <c r="E1678" i="3"/>
  <c r="G1677" i="3"/>
  <c r="E1677" i="3"/>
  <c r="G1676" i="3"/>
  <c r="E1676" i="3"/>
  <c r="G1675" i="3"/>
  <c r="E1675" i="3"/>
  <c r="G1674" i="3"/>
  <c r="E1674" i="3"/>
  <c r="G1673" i="3"/>
  <c r="E1673" i="3"/>
  <c r="G1672" i="3"/>
  <c r="E1672" i="3"/>
  <c r="G1671" i="3"/>
  <c r="E1671" i="3"/>
  <c r="G1670" i="3"/>
  <c r="E1670" i="3"/>
  <c r="G1669" i="3"/>
  <c r="E1669" i="3"/>
  <c r="G1668" i="3"/>
  <c r="E1668" i="3"/>
  <c r="G1667" i="3"/>
  <c r="E1667" i="3"/>
  <c r="G1666" i="3"/>
  <c r="E1666" i="3"/>
  <c r="G1665" i="3"/>
  <c r="E1665" i="3"/>
  <c r="G1664" i="3"/>
  <c r="E1664" i="3"/>
  <c r="G1663" i="3"/>
  <c r="E1663" i="3"/>
  <c r="G1662" i="3"/>
  <c r="E1662" i="3"/>
  <c r="G1661" i="3"/>
  <c r="E1661" i="3"/>
  <c r="G1660" i="3"/>
  <c r="E1660" i="3"/>
  <c r="G1659" i="3"/>
  <c r="E1659" i="3"/>
  <c r="G1658" i="3"/>
  <c r="E1658" i="3"/>
  <c r="G1657" i="3"/>
  <c r="E1657" i="3"/>
  <c r="G1656" i="3"/>
  <c r="E1656" i="3"/>
  <c r="G1655" i="3"/>
  <c r="E1655" i="3"/>
  <c r="G1654" i="3"/>
  <c r="E1654" i="3"/>
  <c r="G1653" i="3"/>
  <c r="E1653" i="3"/>
  <c r="G1652" i="3"/>
  <c r="E1652" i="3"/>
  <c r="G1651" i="3"/>
  <c r="E1651" i="3"/>
  <c r="G1650" i="3"/>
  <c r="E1650" i="3"/>
  <c r="G1649" i="3"/>
  <c r="E1649" i="3"/>
  <c r="G1648" i="3"/>
  <c r="E1648" i="3"/>
  <c r="G1647" i="3"/>
  <c r="E1647" i="3"/>
  <c r="G1646" i="3"/>
  <c r="E1646" i="3"/>
  <c r="G1645" i="3"/>
  <c r="E1645" i="3"/>
  <c r="G1644" i="3"/>
  <c r="E1644" i="3"/>
  <c r="G1643" i="3"/>
  <c r="E1643" i="3"/>
  <c r="G1642" i="3"/>
  <c r="E1642" i="3"/>
  <c r="G1641" i="3"/>
  <c r="E1641" i="3"/>
  <c r="G1640" i="3"/>
  <c r="E1640" i="3"/>
  <c r="G1639" i="3"/>
  <c r="E1639" i="3"/>
  <c r="G1638" i="3"/>
  <c r="E1638" i="3"/>
  <c r="G1637" i="3"/>
  <c r="E1637" i="3"/>
  <c r="G1636" i="3"/>
  <c r="E1636" i="3"/>
  <c r="G1635" i="3"/>
  <c r="E1635" i="3"/>
  <c r="G1634" i="3"/>
  <c r="E1634" i="3"/>
  <c r="G1633" i="3"/>
  <c r="E1633" i="3"/>
  <c r="G1632" i="3"/>
  <c r="E1632" i="3"/>
  <c r="G1631" i="3"/>
  <c r="E1631" i="3"/>
  <c r="G1630" i="3"/>
  <c r="E1630" i="3"/>
  <c r="G1629" i="3"/>
  <c r="E1629" i="3"/>
  <c r="G1628" i="3"/>
  <c r="E1628" i="3"/>
  <c r="G1627" i="3"/>
  <c r="E1627" i="3"/>
  <c r="G1626" i="3"/>
  <c r="E1626" i="3"/>
  <c r="G1625" i="3"/>
  <c r="E1625" i="3"/>
  <c r="G1624" i="3"/>
  <c r="E1624" i="3"/>
  <c r="G1623" i="3"/>
  <c r="E1623" i="3"/>
  <c r="G1622" i="3"/>
  <c r="E1622" i="3"/>
  <c r="G1621" i="3"/>
  <c r="E1621" i="3"/>
  <c r="G1620" i="3"/>
  <c r="E1620" i="3"/>
  <c r="G1619" i="3"/>
  <c r="E1619" i="3"/>
  <c r="G1618" i="3"/>
  <c r="E1618" i="3"/>
  <c r="G1617" i="3"/>
  <c r="E1617" i="3"/>
  <c r="G1616" i="3"/>
  <c r="E1616" i="3"/>
  <c r="G1615" i="3"/>
  <c r="E1615" i="3"/>
  <c r="G1614" i="3"/>
  <c r="E1614" i="3"/>
  <c r="G1613" i="3"/>
  <c r="E1613" i="3"/>
  <c r="G1612" i="3"/>
  <c r="E1612" i="3"/>
  <c r="G1611" i="3"/>
  <c r="E1611" i="3"/>
  <c r="G1610" i="3"/>
  <c r="E1610" i="3"/>
  <c r="G1609" i="3"/>
  <c r="E1609" i="3"/>
  <c r="G1608" i="3"/>
  <c r="E1608" i="3"/>
  <c r="G1607" i="3"/>
  <c r="E1607" i="3"/>
  <c r="G1606" i="3"/>
  <c r="E1606" i="3"/>
  <c r="G1605" i="3"/>
  <c r="E1605" i="3"/>
  <c r="G1604" i="3"/>
  <c r="E1604" i="3"/>
  <c r="G1603" i="3"/>
  <c r="E1603" i="3"/>
  <c r="G1602" i="3"/>
  <c r="E1602" i="3"/>
  <c r="G1601" i="3"/>
  <c r="E1601" i="3"/>
  <c r="G1600" i="3"/>
  <c r="E1600" i="3"/>
  <c r="G1599" i="3"/>
  <c r="E1599" i="3"/>
  <c r="G1598" i="3"/>
  <c r="E1598" i="3"/>
  <c r="G1597" i="3"/>
  <c r="E1597" i="3"/>
  <c r="G1596" i="3"/>
  <c r="E1596" i="3"/>
  <c r="G1595" i="3"/>
  <c r="E1595" i="3"/>
  <c r="G1594" i="3"/>
  <c r="E1594" i="3"/>
  <c r="G1593" i="3"/>
  <c r="E1593" i="3"/>
  <c r="G1592" i="3"/>
  <c r="E1592" i="3"/>
  <c r="G1591" i="3"/>
  <c r="E1591" i="3"/>
  <c r="G1590" i="3"/>
  <c r="E1590" i="3"/>
  <c r="G1589" i="3"/>
  <c r="E1589" i="3"/>
  <c r="G1588" i="3"/>
  <c r="E1588" i="3"/>
  <c r="G1587" i="3"/>
  <c r="E1587" i="3"/>
  <c r="G1586" i="3"/>
  <c r="E1586" i="3"/>
  <c r="G1585" i="3"/>
  <c r="E1585" i="3"/>
  <c r="G1584" i="3"/>
  <c r="E1584" i="3"/>
  <c r="G1583" i="3"/>
  <c r="E1583" i="3"/>
  <c r="G1582" i="3"/>
  <c r="E1582" i="3"/>
  <c r="G1581" i="3"/>
  <c r="E1581" i="3"/>
  <c r="G1580" i="3"/>
  <c r="E1580" i="3"/>
  <c r="G1579" i="3"/>
  <c r="E1579" i="3"/>
  <c r="G1578" i="3"/>
  <c r="E1578" i="3"/>
  <c r="G1577" i="3"/>
  <c r="E1577" i="3"/>
  <c r="G1576" i="3"/>
  <c r="E1576" i="3"/>
  <c r="G1575" i="3"/>
  <c r="E1575" i="3"/>
  <c r="G1574" i="3"/>
  <c r="E1574" i="3"/>
  <c r="G1573" i="3"/>
  <c r="E1573" i="3"/>
  <c r="G1572" i="3"/>
  <c r="E1572" i="3"/>
  <c r="G1571" i="3"/>
  <c r="E1571" i="3"/>
  <c r="G1570" i="3"/>
  <c r="E1570" i="3"/>
  <c r="G1569" i="3"/>
  <c r="E1569" i="3"/>
  <c r="G1568" i="3"/>
  <c r="E1568" i="3"/>
  <c r="G1567" i="3"/>
  <c r="E1567" i="3"/>
  <c r="G1566" i="3"/>
  <c r="E1566" i="3"/>
  <c r="G1565" i="3"/>
  <c r="E1565" i="3"/>
  <c r="G1564" i="3"/>
  <c r="E1564" i="3"/>
  <c r="G1563" i="3"/>
  <c r="E1563" i="3"/>
  <c r="G1562" i="3"/>
  <c r="E1562" i="3"/>
  <c r="G1561" i="3"/>
  <c r="E1561" i="3"/>
  <c r="G1560" i="3"/>
  <c r="E1560" i="3"/>
  <c r="G1559" i="3"/>
  <c r="E1559" i="3"/>
  <c r="G1558" i="3"/>
  <c r="E1558" i="3"/>
  <c r="G1557" i="3"/>
  <c r="E1557" i="3"/>
  <c r="G1556" i="3"/>
  <c r="E1556" i="3"/>
  <c r="G1555" i="3"/>
  <c r="E1555" i="3"/>
  <c r="G1554" i="3"/>
  <c r="E1554" i="3"/>
  <c r="G1553" i="3"/>
  <c r="E1553" i="3"/>
  <c r="G1552" i="3"/>
  <c r="E1552" i="3"/>
  <c r="G1551" i="3"/>
  <c r="E1551" i="3"/>
  <c r="G1550" i="3"/>
  <c r="E1550" i="3"/>
  <c r="G1549" i="3"/>
  <c r="E1549" i="3"/>
  <c r="G1548" i="3"/>
  <c r="E1548" i="3"/>
  <c r="G1547" i="3"/>
  <c r="E1547" i="3"/>
  <c r="G1546" i="3"/>
  <c r="E1546" i="3"/>
  <c r="G1545" i="3"/>
  <c r="E1545" i="3"/>
  <c r="G1544" i="3"/>
  <c r="E1544" i="3"/>
  <c r="G1543" i="3"/>
  <c r="E1543" i="3"/>
  <c r="G1542" i="3"/>
  <c r="E1542" i="3"/>
  <c r="G1541" i="3"/>
  <c r="E1541" i="3"/>
  <c r="G1540" i="3"/>
  <c r="E1540" i="3"/>
  <c r="G1539" i="3"/>
  <c r="E1539" i="3"/>
  <c r="G1538" i="3"/>
  <c r="E1538" i="3"/>
  <c r="G1537" i="3"/>
  <c r="E1537" i="3"/>
  <c r="G1536" i="3"/>
  <c r="E1536" i="3"/>
  <c r="G1535" i="3"/>
  <c r="E1535" i="3"/>
  <c r="G1534" i="3"/>
  <c r="E1534" i="3"/>
  <c r="G1533" i="3"/>
  <c r="E1533" i="3"/>
  <c r="G1532" i="3"/>
  <c r="E1532" i="3"/>
  <c r="G1531" i="3"/>
  <c r="E1531" i="3"/>
  <c r="G1530" i="3"/>
  <c r="E1530" i="3"/>
  <c r="G1529" i="3"/>
  <c r="E1529" i="3"/>
  <c r="G1528" i="3"/>
  <c r="E1528" i="3"/>
  <c r="G1527" i="3"/>
  <c r="E1527" i="3"/>
  <c r="G1526" i="3"/>
  <c r="E1526" i="3"/>
  <c r="G1525" i="3"/>
  <c r="E1525" i="3"/>
  <c r="G1524" i="3"/>
  <c r="E1524" i="3"/>
  <c r="G1523" i="3"/>
  <c r="E1523" i="3"/>
  <c r="G1522" i="3"/>
  <c r="E1522" i="3"/>
  <c r="G1521" i="3"/>
  <c r="E1521" i="3"/>
  <c r="G1520" i="3"/>
  <c r="E1520" i="3"/>
  <c r="G1519" i="3"/>
  <c r="E1519" i="3"/>
  <c r="G1518" i="3"/>
  <c r="E1518" i="3"/>
  <c r="G1517" i="3"/>
  <c r="E1517" i="3"/>
  <c r="G1516" i="3"/>
  <c r="E1516" i="3"/>
  <c r="G1515" i="3"/>
  <c r="E1515" i="3"/>
  <c r="G1514" i="3"/>
  <c r="E1514" i="3"/>
  <c r="G1513" i="3"/>
  <c r="E1513" i="3"/>
  <c r="G1512" i="3"/>
  <c r="E1512" i="3"/>
  <c r="G1511" i="3"/>
  <c r="E1511" i="3"/>
  <c r="G1510" i="3"/>
  <c r="E1510" i="3"/>
  <c r="G1509" i="3"/>
  <c r="E1509" i="3"/>
  <c r="G1508" i="3"/>
  <c r="E1508" i="3"/>
  <c r="G1507" i="3"/>
  <c r="E1507" i="3"/>
  <c r="G1506" i="3"/>
  <c r="E1506" i="3"/>
  <c r="G1505" i="3"/>
  <c r="E1505" i="3"/>
  <c r="G1504" i="3"/>
  <c r="E1504" i="3"/>
  <c r="G1503" i="3"/>
  <c r="E1503" i="3"/>
  <c r="G1502" i="3"/>
  <c r="E1502" i="3"/>
  <c r="G1501" i="3"/>
  <c r="E1501" i="3"/>
  <c r="G1500" i="3"/>
  <c r="E1500" i="3"/>
  <c r="G1499" i="3"/>
  <c r="E1499" i="3"/>
  <c r="G1498" i="3"/>
  <c r="E1498" i="3"/>
  <c r="G1497" i="3"/>
  <c r="E1497" i="3"/>
  <c r="G1496" i="3"/>
  <c r="E1496" i="3"/>
  <c r="G1495" i="3"/>
  <c r="E1495" i="3"/>
  <c r="G1494" i="3"/>
  <c r="E1494" i="3"/>
  <c r="G1493" i="3"/>
  <c r="E1493" i="3"/>
  <c r="G1492" i="3"/>
  <c r="E1492" i="3"/>
  <c r="G1491" i="3"/>
  <c r="E1491" i="3"/>
  <c r="G1490" i="3"/>
  <c r="E1490" i="3"/>
  <c r="G1489" i="3"/>
  <c r="E1489" i="3"/>
  <c r="G1488" i="3"/>
  <c r="E1488" i="3"/>
  <c r="G1487" i="3"/>
  <c r="E1487" i="3"/>
  <c r="G1486" i="3"/>
  <c r="E1486" i="3"/>
  <c r="G1485" i="3"/>
  <c r="E1485" i="3"/>
  <c r="G1484" i="3"/>
  <c r="E1484" i="3"/>
  <c r="G1483" i="3"/>
  <c r="E1483" i="3"/>
  <c r="G1482" i="3"/>
  <c r="E1482" i="3"/>
  <c r="G1481" i="3"/>
  <c r="E1481" i="3"/>
  <c r="G1480" i="3"/>
  <c r="E1480" i="3"/>
  <c r="G1479" i="3"/>
  <c r="E1479" i="3"/>
  <c r="G1478" i="3"/>
  <c r="E1478" i="3"/>
  <c r="G1477" i="3"/>
  <c r="E1477" i="3"/>
  <c r="G1476" i="3"/>
  <c r="E1476" i="3"/>
  <c r="G1475" i="3"/>
  <c r="E1475" i="3"/>
  <c r="G1474" i="3"/>
  <c r="E1474" i="3"/>
  <c r="G1473" i="3"/>
  <c r="E1473" i="3"/>
  <c r="G1472" i="3"/>
  <c r="E1472" i="3"/>
  <c r="G1471" i="3"/>
  <c r="E1471" i="3"/>
  <c r="G1470" i="3"/>
  <c r="E1470" i="3"/>
  <c r="G1469" i="3"/>
  <c r="E1469" i="3"/>
  <c r="G1468" i="3"/>
  <c r="E1468" i="3"/>
  <c r="G1467" i="3"/>
  <c r="E1467" i="3"/>
  <c r="G1466" i="3"/>
  <c r="E1466" i="3"/>
  <c r="G1465" i="3"/>
  <c r="E1465" i="3"/>
  <c r="G1464" i="3"/>
  <c r="E1464" i="3"/>
  <c r="G1463" i="3"/>
  <c r="E1463" i="3"/>
  <c r="G1462" i="3"/>
  <c r="E1462" i="3"/>
  <c r="G1461" i="3"/>
  <c r="E1461" i="3"/>
  <c r="G1460" i="3"/>
  <c r="E1460" i="3"/>
  <c r="G1459" i="3"/>
  <c r="E1459" i="3"/>
  <c r="G1458" i="3"/>
  <c r="E1458" i="3"/>
  <c r="G1457" i="3"/>
  <c r="E1457" i="3"/>
  <c r="G1456" i="3"/>
  <c r="E1456" i="3"/>
  <c r="G1455" i="3"/>
  <c r="E1455" i="3"/>
  <c r="G1454" i="3"/>
  <c r="E1454" i="3"/>
  <c r="G1453" i="3"/>
  <c r="E1453" i="3"/>
  <c r="G1452" i="3"/>
  <c r="E1452" i="3"/>
  <c r="G1451" i="3"/>
  <c r="E1451" i="3"/>
  <c r="G1450" i="3"/>
  <c r="E1450" i="3"/>
  <c r="G1449" i="3"/>
  <c r="E1449" i="3"/>
  <c r="G1448" i="3"/>
  <c r="E1448" i="3"/>
  <c r="G1447" i="3"/>
  <c r="E1447" i="3"/>
  <c r="G1446" i="3"/>
  <c r="E1446" i="3"/>
  <c r="G1445" i="3"/>
  <c r="E1445" i="3"/>
  <c r="G1444" i="3"/>
  <c r="E1444" i="3"/>
  <c r="G1443" i="3"/>
  <c r="E1443" i="3"/>
  <c r="G1442" i="3"/>
  <c r="E1442" i="3"/>
  <c r="G1441" i="3"/>
  <c r="E1441" i="3"/>
  <c r="G1440" i="3"/>
  <c r="E1440" i="3"/>
  <c r="G1439" i="3"/>
  <c r="E1439" i="3"/>
  <c r="G1438" i="3"/>
  <c r="E1438" i="3"/>
  <c r="G1437" i="3"/>
  <c r="E1437" i="3"/>
  <c r="G1436" i="3"/>
  <c r="E1436" i="3"/>
  <c r="G1435" i="3"/>
  <c r="E1435" i="3"/>
  <c r="G1434" i="3"/>
  <c r="E1434" i="3"/>
  <c r="G1433" i="3"/>
  <c r="E1433" i="3"/>
  <c r="G1432" i="3"/>
  <c r="E1432" i="3"/>
  <c r="G1431" i="3"/>
  <c r="E1431" i="3"/>
  <c r="G1430" i="3"/>
  <c r="E1430" i="3"/>
  <c r="G1429" i="3"/>
  <c r="E1429" i="3"/>
  <c r="G1428" i="3"/>
  <c r="E1428" i="3"/>
  <c r="G1427" i="3"/>
  <c r="E1427" i="3"/>
  <c r="G1426" i="3"/>
  <c r="E1426" i="3"/>
  <c r="G1425" i="3"/>
  <c r="E1425" i="3"/>
  <c r="G1424" i="3"/>
  <c r="E1424" i="3"/>
  <c r="G1423" i="3"/>
  <c r="E1423" i="3"/>
  <c r="G1422" i="3"/>
  <c r="E1422" i="3"/>
  <c r="G1421" i="3"/>
  <c r="E1421" i="3"/>
  <c r="G1420" i="3"/>
  <c r="E1420" i="3"/>
  <c r="G1419" i="3"/>
  <c r="E1419" i="3"/>
  <c r="G1418" i="3"/>
  <c r="E1418" i="3"/>
  <c r="G1417" i="3"/>
  <c r="E1417" i="3"/>
  <c r="G1416" i="3"/>
  <c r="E1416" i="3"/>
  <c r="G1415" i="3"/>
  <c r="E1415" i="3"/>
  <c r="G1414" i="3"/>
  <c r="E1414" i="3"/>
  <c r="G1413" i="3"/>
  <c r="E1413" i="3"/>
  <c r="G1412" i="3"/>
  <c r="E1412" i="3"/>
  <c r="G1411" i="3"/>
  <c r="E1411" i="3"/>
  <c r="G1410" i="3"/>
  <c r="E1410" i="3"/>
  <c r="G1409" i="3"/>
  <c r="E1409" i="3"/>
  <c r="G1408" i="3"/>
  <c r="E1408" i="3"/>
  <c r="G1407" i="3"/>
  <c r="E1407" i="3"/>
  <c r="G1406" i="3"/>
  <c r="E1406" i="3"/>
  <c r="G1405" i="3"/>
  <c r="E1405" i="3"/>
  <c r="G1404" i="3"/>
  <c r="E1404" i="3"/>
  <c r="G1403" i="3"/>
  <c r="E1403" i="3"/>
  <c r="G1402" i="3"/>
  <c r="E1402" i="3"/>
  <c r="G1401" i="3"/>
  <c r="E1401" i="3"/>
  <c r="G1400" i="3"/>
  <c r="E1400" i="3"/>
  <c r="G1399" i="3"/>
  <c r="E1399" i="3"/>
  <c r="G1398" i="3"/>
  <c r="E1398" i="3"/>
  <c r="G1397" i="3"/>
  <c r="E1397" i="3"/>
  <c r="G1396" i="3"/>
  <c r="E1396" i="3"/>
  <c r="G1395" i="3"/>
  <c r="E1395" i="3"/>
  <c r="G1394" i="3"/>
  <c r="E1394" i="3"/>
  <c r="G1393" i="3"/>
  <c r="E1393" i="3"/>
  <c r="G1392" i="3"/>
  <c r="E1392" i="3"/>
  <c r="G1391" i="3"/>
  <c r="E1391" i="3"/>
  <c r="G1390" i="3"/>
  <c r="E1390" i="3"/>
  <c r="G1389" i="3"/>
  <c r="E1389" i="3"/>
  <c r="G1388" i="3"/>
  <c r="E1388" i="3"/>
  <c r="G1387" i="3"/>
  <c r="E1387" i="3"/>
  <c r="G1386" i="3"/>
  <c r="E1386" i="3"/>
  <c r="G1385" i="3"/>
  <c r="E1385" i="3"/>
  <c r="G1384" i="3"/>
  <c r="E1384" i="3"/>
  <c r="G1383" i="3"/>
  <c r="E1383" i="3"/>
  <c r="G1382" i="3"/>
  <c r="E1382" i="3"/>
  <c r="G1381" i="3"/>
  <c r="E1381" i="3"/>
  <c r="G1380" i="3"/>
  <c r="E1380" i="3"/>
  <c r="G1379" i="3"/>
  <c r="E1379" i="3"/>
  <c r="G1378" i="3"/>
  <c r="E1378" i="3"/>
  <c r="G1377" i="3"/>
  <c r="E1377" i="3"/>
  <c r="G1376" i="3"/>
  <c r="E1376" i="3"/>
  <c r="G1375" i="3"/>
  <c r="E1375" i="3"/>
  <c r="G1374" i="3"/>
  <c r="E1374" i="3"/>
  <c r="G1373" i="3"/>
  <c r="E1373" i="3"/>
  <c r="G1372" i="3"/>
  <c r="E1372" i="3"/>
  <c r="G1371" i="3"/>
  <c r="E1371" i="3"/>
  <c r="G1370" i="3"/>
  <c r="E1370" i="3"/>
  <c r="G1369" i="3"/>
  <c r="E1369" i="3"/>
  <c r="G1368" i="3"/>
  <c r="E1368" i="3"/>
  <c r="G1367" i="3"/>
  <c r="E1367" i="3"/>
  <c r="G1366" i="3"/>
  <c r="E1366" i="3"/>
  <c r="G1365" i="3"/>
  <c r="E1365" i="3"/>
  <c r="G1364" i="3"/>
  <c r="E1364" i="3"/>
  <c r="G1363" i="3"/>
  <c r="E1363" i="3"/>
  <c r="G1362" i="3"/>
  <c r="E1362" i="3"/>
  <c r="G1361" i="3"/>
  <c r="E1361" i="3"/>
  <c r="G1360" i="3"/>
  <c r="E1360" i="3"/>
  <c r="G1359" i="3"/>
  <c r="E1359" i="3"/>
  <c r="G1358" i="3"/>
  <c r="E1358" i="3"/>
  <c r="G1357" i="3"/>
  <c r="E1357" i="3"/>
  <c r="G1356" i="3"/>
  <c r="E1356" i="3"/>
  <c r="G1355" i="3"/>
  <c r="E1355" i="3"/>
  <c r="G1354" i="3"/>
  <c r="E1354" i="3"/>
  <c r="G1353" i="3"/>
  <c r="E1353" i="3"/>
  <c r="G1352" i="3"/>
  <c r="E1352" i="3"/>
  <c r="G1351" i="3"/>
  <c r="E1351" i="3"/>
  <c r="G1350" i="3"/>
  <c r="E1350" i="3"/>
  <c r="G1349" i="3"/>
  <c r="E1349" i="3"/>
  <c r="G1348" i="3"/>
  <c r="E1348" i="3"/>
  <c r="G1347" i="3"/>
  <c r="E1347" i="3"/>
  <c r="G1346" i="3"/>
  <c r="E1346" i="3"/>
  <c r="G1345" i="3"/>
  <c r="E1345" i="3"/>
  <c r="G1344" i="3"/>
  <c r="E1344" i="3"/>
  <c r="G1343" i="3"/>
  <c r="E1343" i="3"/>
  <c r="G1342" i="3"/>
  <c r="E1342" i="3"/>
  <c r="G1341" i="3"/>
  <c r="E1341" i="3"/>
  <c r="G1340" i="3"/>
  <c r="E1340" i="3"/>
  <c r="G1339" i="3"/>
  <c r="E1339" i="3"/>
  <c r="G1338" i="3"/>
  <c r="E1338" i="3"/>
  <c r="G1337" i="3"/>
  <c r="E1337" i="3"/>
  <c r="G1336" i="3"/>
  <c r="E1336" i="3"/>
  <c r="G1335" i="3"/>
  <c r="E1335" i="3"/>
  <c r="G1334" i="3"/>
  <c r="E1334" i="3"/>
  <c r="G1333" i="3"/>
  <c r="E1333" i="3"/>
  <c r="G1332" i="3"/>
  <c r="E1332" i="3"/>
  <c r="G1331" i="3"/>
  <c r="E1331" i="3"/>
  <c r="G1330" i="3"/>
  <c r="E1330" i="3"/>
  <c r="G1329" i="3"/>
  <c r="E1329" i="3"/>
  <c r="G1328" i="3"/>
  <c r="E1328" i="3"/>
  <c r="G1327" i="3"/>
  <c r="E1327" i="3"/>
  <c r="G1326" i="3"/>
  <c r="E1326" i="3"/>
  <c r="G1325" i="3"/>
  <c r="E1325" i="3"/>
  <c r="G1324" i="3"/>
  <c r="E1324" i="3"/>
  <c r="G1323" i="3"/>
  <c r="E1323" i="3"/>
  <c r="G1322" i="3"/>
  <c r="E1322" i="3"/>
  <c r="G1321" i="3"/>
  <c r="E1321" i="3"/>
  <c r="G1320" i="3"/>
  <c r="E1320" i="3"/>
  <c r="G1319" i="3"/>
  <c r="E1319" i="3"/>
  <c r="G1318" i="3"/>
  <c r="E1318" i="3"/>
  <c r="G1317" i="3"/>
  <c r="E1317" i="3"/>
  <c r="G1316" i="3"/>
  <c r="E1316" i="3"/>
  <c r="G1315" i="3"/>
  <c r="E1315" i="3"/>
  <c r="G1314" i="3"/>
  <c r="E1314" i="3"/>
  <c r="G1313" i="3"/>
  <c r="E1313" i="3"/>
  <c r="G1312" i="3"/>
  <c r="E1312" i="3"/>
  <c r="G1311" i="3"/>
  <c r="E1311" i="3"/>
  <c r="G1310" i="3"/>
  <c r="E1310" i="3"/>
  <c r="G1309" i="3"/>
  <c r="E1309" i="3"/>
  <c r="G1308" i="3"/>
  <c r="E1308" i="3"/>
  <c r="G1307" i="3"/>
  <c r="E1307" i="3"/>
  <c r="G1306" i="3"/>
  <c r="E1306" i="3"/>
  <c r="G1305" i="3"/>
  <c r="E1305" i="3"/>
  <c r="G1304" i="3"/>
  <c r="E1304" i="3"/>
  <c r="G1303" i="3"/>
  <c r="E1303" i="3"/>
  <c r="G1302" i="3"/>
  <c r="E1302" i="3"/>
  <c r="G1301" i="3"/>
  <c r="E1301" i="3"/>
  <c r="G1300" i="3"/>
  <c r="E1300" i="3"/>
  <c r="G1299" i="3"/>
  <c r="E1299" i="3"/>
  <c r="G1298" i="3"/>
  <c r="E1298" i="3"/>
  <c r="G1297" i="3"/>
  <c r="E1297" i="3"/>
  <c r="G1296" i="3"/>
  <c r="E1296" i="3"/>
  <c r="G1295" i="3"/>
  <c r="E1295" i="3"/>
  <c r="G1294" i="3"/>
  <c r="E1294" i="3"/>
  <c r="G1293" i="3"/>
  <c r="E1293" i="3"/>
  <c r="G1292" i="3"/>
  <c r="E1292" i="3"/>
  <c r="G1291" i="3"/>
  <c r="E1291" i="3"/>
  <c r="G1290" i="3"/>
  <c r="E1290" i="3"/>
  <c r="G1289" i="3"/>
  <c r="E1289" i="3"/>
  <c r="G1288" i="3"/>
  <c r="E1288" i="3"/>
  <c r="G1287" i="3"/>
  <c r="E1287" i="3"/>
  <c r="G1286" i="3"/>
  <c r="E1286" i="3"/>
  <c r="G1285" i="3"/>
  <c r="E1285" i="3"/>
  <c r="G1284" i="3"/>
  <c r="E1284" i="3"/>
  <c r="G1283" i="3"/>
  <c r="E1283" i="3"/>
  <c r="G1282" i="3"/>
  <c r="E1282" i="3"/>
  <c r="G1281" i="3"/>
  <c r="E1281" i="3"/>
  <c r="G1280" i="3"/>
  <c r="E1280" i="3"/>
  <c r="G1279" i="3"/>
  <c r="E1279" i="3"/>
  <c r="G1278" i="3"/>
  <c r="E1278" i="3"/>
  <c r="G1277" i="3"/>
  <c r="E1277" i="3"/>
  <c r="G1276" i="3"/>
  <c r="E1276" i="3"/>
  <c r="G1275" i="3"/>
  <c r="E1275" i="3"/>
  <c r="G1274" i="3"/>
  <c r="E1274" i="3"/>
  <c r="G1273" i="3"/>
  <c r="E1273" i="3"/>
  <c r="G1272" i="3"/>
  <c r="E1272" i="3"/>
  <c r="G1271" i="3"/>
  <c r="E1271" i="3"/>
  <c r="G1270" i="3"/>
  <c r="E1270" i="3"/>
  <c r="G1269" i="3"/>
  <c r="E1269" i="3"/>
  <c r="G1268" i="3"/>
  <c r="E1268" i="3"/>
  <c r="G1267" i="3"/>
  <c r="E1267" i="3"/>
  <c r="G1266" i="3"/>
  <c r="E1266" i="3"/>
  <c r="G1265" i="3"/>
  <c r="E1265" i="3"/>
  <c r="G1264" i="3"/>
  <c r="E1264" i="3"/>
  <c r="G1263" i="3"/>
  <c r="E1263" i="3"/>
  <c r="G1262" i="3"/>
  <c r="E1262" i="3"/>
  <c r="G1261" i="3"/>
  <c r="E1261" i="3"/>
  <c r="G1260" i="3"/>
  <c r="E1260" i="3"/>
  <c r="G1259" i="3"/>
  <c r="E1259" i="3"/>
  <c r="G1258" i="3"/>
  <c r="E1258" i="3"/>
  <c r="G1257" i="3"/>
  <c r="E1257" i="3"/>
  <c r="G1256" i="3"/>
  <c r="E1256" i="3"/>
  <c r="G1255" i="3"/>
  <c r="E1255" i="3"/>
  <c r="G1254" i="3"/>
  <c r="E1254" i="3"/>
  <c r="G1253" i="3"/>
  <c r="E1253" i="3"/>
  <c r="G1252" i="3"/>
  <c r="E1252" i="3"/>
  <c r="G1251" i="3"/>
  <c r="E1251" i="3"/>
  <c r="G1250" i="3"/>
  <c r="E1250" i="3"/>
  <c r="G1249" i="3"/>
  <c r="E1249" i="3"/>
  <c r="G1248" i="3"/>
  <c r="E1248" i="3"/>
  <c r="G1247" i="3"/>
  <c r="E1247" i="3"/>
  <c r="G1246" i="3"/>
  <c r="E1246" i="3"/>
  <c r="G1245" i="3"/>
  <c r="E1245" i="3"/>
  <c r="G1244" i="3"/>
  <c r="E1244" i="3"/>
  <c r="G1243" i="3"/>
  <c r="E1243" i="3"/>
  <c r="G1242" i="3"/>
  <c r="E1242" i="3"/>
  <c r="G1241" i="3"/>
  <c r="E1241" i="3"/>
  <c r="G1240" i="3"/>
  <c r="E1240" i="3"/>
  <c r="G1239" i="3"/>
  <c r="E1239" i="3"/>
  <c r="G1238" i="3"/>
  <c r="E1238" i="3"/>
  <c r="G1237" i="3"/>
  <c r="E1237" i="3"/>
  <c r="G1236" i="3"/>
  <c r="E1236" i="3"/>
  <c r="G1235" i="3"/>
  <c r="E1235" i="3"/>
  <c r="G1234" i="3"/>
  <c r="E1234" i="3"/>
  <c r="G1233" i="3"/>
  <c r="E1233" i="3"/>
  <c r="G1232" i="3"/>
  <c r="E1232" i="3"/>
  <c r="G1231" i="3"/>
  <c r="E1231" i="3"/>
  <c r="G1230" i="3"/>
  <c r="E1230" i="3"/>
  <c r="G1229" i="3"/>
  <c r="E1229" i="3"/>
  <c r="G1228" i="3"/>
  <c r="E1228" i="3"/>
  <c r="G1227" i="3"/>
  <c r="E1227" i="3"/>
  <c r="G1226" i="3"/>
  <c r="E1226" i="3"/>
  <c r="G1225" i="3"/>
  <c r="E1225" i="3"/>
  <c r="G1224" i="3"/>
  <c r="E1224" i="3"/>
  <c r="G1223" i="3"/>
  <c r="E1223" i="3"/>
  <c r="G1222" i="3"/>
  <c r="E1222" i="3"/>
  <c r="G1221" i="3"/>
  <c r="E1221" i="3"/>
  <c r="G1220" i="3"/>
  <c r="E1220" i="3"/>
  <c r="G1219" i="3"/>
  <c r="E1219" i="3"/>
  <c r="G1218" i="3"/>
  <c r="E1218" i="3"/>
  <c r="G1217" i="3"/>
  <c r="E1217" i="3"/>
  <c r="G1216" i="3"/>
  <c r="E1216" i="3"/>
  <c r="G1215" i="3"/>
  <c r="E1215" i="3"/>
  <c r="G1214" i="3"/>
  <c r="E1214" i="3"/>
  <c r="G1213" i="3"/>
  <c r="E1213" i="3"/>
  <c r="G1212" i="3"/>
  <c r="E1212" i="3"/>
  <c r="G1211" i="3"/>
  <c r="E1211" i="3"/>
  <c r="G1210" i="3"/>
  <c r="E1210" i="3"/>
  <c r="G1209" i="3"/>
  <c r="E1209" i="3"/>
  <c r="G1208" i="3"/>
  <c r="E1208" i="3"/>
  <c r="G1207" i="3"/>
  <c r="E1207" i="3"/>
  <c r="G1206" i="3"/>
  <c r="E1206" i="3"/>
  <c r="G1205" i="3"/>
  <c r="E1205" i="3"/>
  <c r="G1204" i="3"/>
  <c r="E1204" i="3"/>
  <c r="G1203" i="3"/>
  <c r="E1203" i="3"/>
  <c r="G1202" i="3"/>
  <c r="E1202" i="3"/>
  <c r="G1201" i="3"/>
  <c r="E1201" i="3"/>
  <c r="G1200" i="3"/>
  <c r="E1200" i="3"/>
  <c r="G1199" i="3"/>
  <c r="E1199" i="3"/>
  <c r="G1198" i="3"/>
  <c r="E1198" i="3"/>
  <c r="G1197" i="3"/>
  <c r="E1197" i="3"/>
  <c r="G1196" i="3"/>
  <c r="E1196" i="3"/>
  <c r="G1195" i="3"/>
  <c r="E1195" i="3"/>
  <c r="G1194" i="3"/>
  <c r="E1194" i="3"/>
  <c r="G1193" i="3"/>
  <c r="E1193" i="3"/>
  <c r="G1192" i="3"/>
  <c r="E1192" i="3"/>
  <c r="G1191" i="3"/>
  <c r="E1191" i="3"/>
  <c r="G1190" i="3"/>
  <c r="E1190" i="3"/>
  <c r="G1189" i="3"/>
  <c r="E1189" i="3"/>
  <c r="G1188" i="3"/>
  <c r="E1188" i="3"/>
  <c r="G1187" i="3"/>
  <c r="E1187" i="3"/>
  <c r="G1186" i="3"/>
  <c r="E1186" i="3"/>
  <c r="G1185" i="3"/>
  <c r="E1185" i="3"/>
  <c r="G1184" i="3"/>
  <c r="E1184" i="3"/>
  <c r="G1183" i="3"/>
  <c r="E1183" i="3"/>
  <c r="G1182" i="3"/>
  <c r="E1182" i="3"/>
  <c r="G1181" i="3"/>
  <c r="E1181" i="3"/>
  <c r="G1180" i="3"/>
  <c r="E1180" i="3"/>
  <c r="G1179" i="3"/>
  <c r="E1179" i="3"/>
  <c r="G1178" i="3"/>
  <c r="E1178" i="3"/>
  <c r="G1177" i="3"/>
  <c r="E1177" i="3"/>
  <c r="G1176" i="3"/>
  <c r="E1176" i="3"/>
  <c r="G1175" i="3"/>
  <c r="E1175" i="3"/>
  <c r="G1174" i="3"/>
  <c r="E1174" i="3"/>
  <c r="G1173" i="3"/>
  <c r="E1173" i="3"/>
  <c r="G1172" i="3"/>
  <c r="E1172" i="3"/>
  <c r="G1171" i="3"/>
  <c r="E1171" i="3"/>
  <c r="G1170" i="3"/>
  <c r="E1170" i="3"/>
  <c r="G1169" i="3"/>
  <c r="E1169" i="3"/>
  <c r="G1168" i="3"/>
  <c r="E1168" i="3"/>
  <c r="G1167" i="3"/>
  <c r="E1167" i="3"/>
  <c r="G1166" i="3"/>
  <c r="E1166" i="3"/>
  <c r="G1165" i="3"/>
  <c r="E1165" i="3"/>
  <c r="G1164" i="3"/>
  <c r="E1164" i="3"/>
  <c r="G1163" i="3"/>
  <c r="E1163" i="3"/>
  <c r="G1162" i="3"/>
  <c r="E1162" i="3"/>
  <c r="G1161" i="3"/>
  <c r="E1161" i="3"/>
  <c r="G1160" i="3"/>
  <c r="E1160" i="3"/>
  <c r="G1159" i="3"/>
  <c r="E1159" i="3"/>
  <c r="G1158" i="3"/>
  <c r="E1158" i="3"/>
  <c r="G1157" i="3"/>
  <c r="E1157" i="3"/>
  <c r="G1156" i="3"/>
  <c r="E1156" i="3"/>
  <c r="G1155" i="3"/>
  <c r="E1155" i="3"/>
  <c r="G1154" i="3"/>
  <c r="E1154" i="3"/>
  <c r="G1153" i="3"/>
  <c r="E1153" i="3"/>
  <c r="G1152" i="3"/>
  <c r="E1152" i="3"/>
  <c r="G1151" i="3"/>
  <c r="E1151" i="3"/>
  <c r="G1150" i="3"/>
  <c r="E1150" i="3"/>
  <c r="G1149" i="3"/>
  <c r="E1149" i="3"/>
  <c r="G1148" i="3"/>
  <c r="E1148" i="3"/>
  <c r="G1147" i="3"/>
  <c r="E1147" i="3"/>
  <c r="G1146" i="3"/>
  <c r="E1146" i="3"/>
  <c r="G1145" i="3"/>
  <c r="E1145" i="3"/>
  <c r="G1144" i="3"/>
  <c r="E1144" i="3"/>
  <c r="G1143" i="3"/>
  <c r="E1143" i="3"/>
  <c r="G1142" i="3"/>
  <c r="E1142" i="3"/>
  <c r="G1141" i="3"/>
  <c r="E1141" i="3"/>
  <c r="G1140" i="3"/>
  <c r="E1140" i="3"/>
  <c r="G1139" i="3"/>
  <c r="E1139" i="3"/>
  <c r="G1138" i="3"/>
  <c r="E1138" i="3"/>
  <c r="G1137" i="3"/>
  <c r="E1137" i="3"/>
  <c r="G1136" i="3"/>
  <c r="E1136" i="3"/>
  <c r="G1135" i="3"/>
  <c r="E1135" i="3"/>
  <c r="G1134" i="3"/>
  <c r="E1134" i="3"/>
  <c r="G1133" i="3"/>
  <c r="E1133" i="3"/>
  <c r="G1132" i="3"/>
  <c r="E1132" i="3"/>
  <c r="G1131" i="3"/>
  <c r="E1131" i="3"/>
  <c r="G1130" i="3"/>
  <c r="E1130" i="3"/>
  <c r="G1129" i="3"/>
  <c r="E1129" i="3"/>
  <c r="G1128" i="3"/>
  <c r="E1128" i="3"/>
  <c r="G1127" i="3"/>
  <c r="E1127" i="3"/>
  <c r="G1126" i="3"/>
  <c r="E1126" i="3"/>
  <c r="G1125" i="3"/>
  <c r="E1125" i="3"/>
  <c r="G1124" i="3"/>
  <c r="E1124" i="3"/>
  <c r="G1123" i="3"/>
  <c r="E1123" i="3"/>
  <c r="G1122" i="3"/>
  <c r="E1122" i="3"/>
  <c r="G1121" i="3"/>
  <c r="E1121" i="3"/>
  <c r="G1120" i="3"/>
  <c r="E1120" i="3"/>
  <c r="G1119" i="3"/>
  <c r="E1119" i="3"/>
  <c r="G1118" i="3"/>
  <c r="E1118" i="3"/>
  <c r="G1117" i="3"/>
  <c r="E1117" i="3"/>
  <c r="G1116" i="3"/>
  <c r="E1116" i="3"/>
  <c r="G1115" i="3"/>
  <c r="E1115" i="3"/>
  <c r="G1114" i="3"/>
  <c r="E1114" i="3"/>
  <c r="G1113" i="3"/>
  <c r="E1113" i="3"/>
  <c r="G1112" i="3"/>
  <c r="E1112" i="3"/>
  <c r="G1111" i="3"/>
  <c r="E1111" i="3"/>
  <c r="G1110" i="3"/>
  <c r="E1110" i="3"/>
  <c r="G1109" i="3"/>
  <c r="E1109" i="3"/>
  <c r="G1108" i="3"/>
  <c r="E1108" i="3"/>
  <c r="G1107" i="3"/>
  <c r="E1107" i="3"/>
  <c r="G1106" i="3"/>
  <c r="E1106" i="3"/>
  <c r="G1105" i="3"/>
  <c r="E1105" i="3"/>
  <c r="G1104" i="3"/>
  <c r="E1104" i="3"/>
  <c r="G1103" i="3"/>
  <c r="E1103" i="3"/>
  <c r="G1102" i="3"/>
  <c r="E1102" i="3"/>
  <c r="G1101" i="3"/>
  <c r="E1101" i="3"/>
  <c r="G1100" i="3"/>
  <c r="E1100" i="3"/>
  <c r="G1099" i="3"/>
  <c r="E1099" i="3"/>
  <c r="G1098" i="3"/>
  <c r="E1098" i="3"/>
  <c r="G1097" i="3"/>
  <c r="E1097" i="3"/>
  <c r="G1096" i="3"/>
  <c r="E1096" i="3"/>
  <c r="G1095" i="3"/>
  <c r="E1095" i="3"/>
  <c r="G1094" i="3"/>
  <c r="E1094" i="3"/>
  <c r="G1093" i="3"/>
  <c r="E1093" i="3"/>
  <c r="G1092" i="3"/>
  <c r="E1092" i="3"/>
  <c r="G1091" i="3"/>
  <c r="E1091" i="3"/>
  <c r="G1090" i="3"/>
  <c r="E1090" i="3"/>
  <c r="G1089" i="3"/>
  <c r="E1089" i="3"/>
  <c r="G1088" i="3"/>
  <c r="E1088" i="3"/>
  <c r="G1087" i="3"/>
  <c r="E1087" i="3"/>
  <c r="G1086" i="3"/>
  <c r="E1086" i="3"/>
  <c r="G1085" i="3"/>
  <c r="E1085" i="3"/>
  <c r="G1084" i="3"/>
  <c r="E1084" i="3"/>
  <c r="G1083" i="3"/>
  <c r="E1083" i="3"/>
  <c r="G1082" i="3"/>
  <c r="E1082" i="3"/>
  <c r="G1081" i="3"/>
  <c r="E1081" i="3"/>
  <c r="G1080" i="3"/>
  <c r="E1080" i="3"/>
  <c r="G1079" i="3"/>
  <c r="E1079" i="3"/>
  <c r="G1078" i="3"/>
  <c r="E1078" i="3"/>
  <c r="G1077" i="3"/>
  <c r="E1077" i="3"/>
  <c r="G1076" i="3"/>
  <c r="E1076" i="3"/>
  <c r="G1075" i="3"/>
  <c r="E1075" i="3"/>
  <c r="G1074" i="3"/>
  <c r="E1074" i="3"/>
  <c r="G1073" i="3"/>
  <c r="E1073" i="3"/>
  <c r="G1072" i="3"/>
  <c r="E1072" i="3"/>
  <c r="G1071" i="3"/>
  <c r="E1071" i="3"/>
  <c r="G1070" i="3"/>
  <c r="E1070" i="3"/>
  <c r="G1069" i="3"/>
  <c r="E1069" i="3"/>
  <c r="G1068" i="3"/>
  <c r="E1068" i="3"/>
  <c r="G1067" i="3"/>
  <c r="E1067" i="3"/>
  <c r="G1066" i="3"/>
  <c r="E1066" i="3"/>
  <c r="G1065" i="3"/>
  <c r="E1065" i="3"/>
  <c r="G1064" i="3"/>
  <c r="E1064" i="3"/>
  <c r="G1063" i="3"/>
  <c r="E1063" i="3"/>
  <c r="G1062" i="3"/>
  <c r="E1062" i="3"/>
  <c r="G1061" i="3"/>
  <c r="E1061" i="3"/>
  <c r="G1060" i="3"/>
  <c r="E1060" i="3"/>
  <c r="G1059" i="3"/>
  <c r="E1059" i="3"/>
  <c r="G1058" i="3"/>
  <c r="E1058" i="3"/>
  <c r="G1057" i="3"/>
  <c r="E1057" i="3"/>
  <c r="G1056" i="3"/>
  <c r="E1056" i="3"/>
  <c r="G1055" i="3"/>
  <c r="E1055" i="3"/>
  <c r="G1054" i="3"/>
  <c r="E1054" i="3"/>
  <c r="G1053" i="3"/>
  <c r="E1053" i="3"/>
  <c r="G1052" i="3"/>
  <c r="E1052" i="3"/>
  <c r="G1051" i="3"/>
  <c r="E1051" i="3"/>
  <c r="G1050" i="3"/>
  <c r="E1050" i="3"/>
  <c r="G1049" i="3"/>
  <c r="E1049" i="3"/>
  <c r="G1048" i="3"/>
  <c r="E1048" i="3"/>
  <c r="G1047" i="3"/>
  <c r="E1047" i="3"/>
  <c r="G1046" i="3"/>
  <c r="E1046" i="3"/>
  <c r="G1045" i="3"/>
  <c r="E1045" i="3"/>
  <c r="G1044" i="3"/>
  <c r="E1044" i="3"/>
  <c r="G1043" i="3"/>
  <c r="E1043" i="3"/>
  <c r="G1042" i="3"/>
  <c r="E1042" i="3"/>
  <c r="G1041" i="3"/>
  <c r="E1041" i="3"/>
  <c r="G1040" i="3"/>
  <c r="E1040" i="3"/>
  <c r="G1039" i="3"/>
  <c r="E1039" i="3"/>
  <c r="G1038" i="3"/>
  <c r="E1038" i="3"/>
  <c r="G1037" i="3"/>
  <c r="E1037" i="3"/>
  <c r="G1036" i="3"/>
  <c r="E1036" i="3"/>
  <c r="G1035" i="3"/>
  <c r="E1035" i="3"/>
  <c r="G1034" i="3"/>
  <c r="E1034" i="3"/>
  <c r="G1033" i="3"/>
  <c r="E1033" i="3"/>
  <c r="G1032" i="3"/>
  <c r="E1032" i="3"/>
  <c r="G1031" i="3"/>
  <c r="E1031" i="3"/>
  <c r="G1030" i="3"/>
  <c r="E1030" i="3"/>
  <c r="G1029" i="3"/>
  <c r="E1029" i="3"/>
  <c r="G1028" i="3"/>
  <c r="E1028" i="3"/>
  <c r="G1027" i="3"/>
  <c r="E1027" i="3"/>
  <c r="G1026" i="3"/>
  <c r="E1026" i="3"/>
  <c r="G1025" i="3"/>
  <c r="E1025" i="3"/>
  <c r="G1024" i="3"/>
  <c r="E1024" i="3"/>
  <c r="G1023" i="3"/>
  <c r="E1023" i="3"/>
  <c r="G1022" i="3"/>
  <c r="E1022" i="3"/>
  <c r="G1021" i="3"/>
  <c r="E1021" i="3"/>
  <c r="G1020" i="3"/>
  <c r="E1020" i="3"/>
  <c r="G1019" i="3"/>
  <c r="E1019" i="3"/>
  <c r="G1018" i="3"/>
  <c r="E1018" i="3"/>
  <c r="G1017" i="3"/>
  <c r="E1017" i="3"/>
  <c r="G1016" i="3"/>
  <c r="E1016" i="3"/>
  <c r="G1015" i="3"/>
  <c r="E1015" i="3"/>
  <c r="G1014" i="3"/>
  <c r="E1014" i="3"/>
  <c r="G1013" i="3"/>
  <c r="E1013" i="3"/>
  <c r="G1012" i="3"/>
  <c r="E1012" i="3"/>
  <c r="G1011" i="3"/>
  <c r="E1011" i="3"/>
  <c r="G1010" i="3"/>
  <c r="E1010" i="3"/>
  <c r="G1009" i="3"/>
  <c r="E1009" i="3"/>
  <c r="G1008" i="3"/>
  <c r="E1008" i="3"/>
  <c r="G1007" i="3"/>
  <c r="E1007" i="3"/>
  <c r="G1006" i="3"/>
  <c r="E1006" i="3"/>
  <c r="G1005" i="3"/>
  <c r="E1005" i="3"/>
  <c r="G1004" i="3"/>
  <c r="E1004" i="3"/>
  <c r="G1003" i="3"/>
  <c r="E1003" i="3"/>
  <c r="G1002" i="3"/>
  <c r="E1002" i="3"/>
  <c r="G1001" i="3"/>
  <c r="E1001" i="3"/>
  <c r="G1000" i="3"/>
  <c r="E1000" i="3"/>
  <c r="G999" i="3"/>
  <c r="E999" i="3"/>
  <c r="G998" i="3"/>
  <c r="E998" i="3"/>
  <c r="G997" i="3"/>
  <c r="E997" i="3"/>
  <c r="G996" i="3"/>
  <c r="E996" i="3"/>
  <c r="G995" i="3"/>
  <c r="E995" i="3"/>
  <c r="G994" i="3"/>
  <c r="E994" i="3"/>
  <c r="G993" i="3"/>
  <c r="E993" i="3"/>
  <c r="G992" i="3"/>
  <c r="E992" i="3"/>
  <c r="G991" i="3"/>
  <c r="E991" i="3"/>
  <c r="G990" i="3"/>
  <c r="E990" i="3"/>
  <c r="G989" i="3"/>
  <c r="E989" i="3"/>
  <c r="G988" i="3"/>
  <c r="E988" i="3"/>
  <c r="G987" i="3"/>
  <c r="E987" i="3"/>
  <c r="G986" i="3"/>
  <c r="E986" i="3"/>
  <c r="G985" i="3"/>
  <c r="E985" i="3"/>
  <c r="G984" i="3"/>
  <c r="E984" i="3"/>
  <c r="G983" i="3"/>
  <c r="E983" i="3"/>
  <c r="G982" i="3"/>
  <c r="E982" i="3"/>
  <c r="G981" i="3"/>
  <c r="E981" i="3"/>
  <c r="G980" i="3"/>
  <c r="E980" i="3"/>
  <c r="G979" i="3"/>
  <c r="E979" i="3"/>
  <c r="G978" i="3"/>
  <c r="E978" i="3"/>
  <c r="G977" i="3"/>
  <c r="E977" i="3"/>
  <c r="G976" i="3"/>
  <c r="E976" i="3"/>
  <c r="G975" i="3"/>
  <c r="E975" i="3"/>
  <c r="G974" i="3"/>
  <c r="E974" i="3"/>
  <c r="G973" i="3"/>
  <c r="E973" i="3"/>
  <c r="G972" i="3"/>
  <c r="E972" i="3"/>
  <c r="G971" i="3"/>
  <c r="E971" i="3"/>
  <c r="G970" i="3"/>
  <c r="E970" i="3"/>
  <c r="G969" i="3"/>
  <c r="E969" i="3"/>
  <c r="G968" i="3"/>
  <c r="E968" i="3"/>
  <c r="G967" i="3"/>
  <c r="E967" i="3"/>
  <c r="G966" i="3"/>
  <c r="E966" i="3"/>
  <c r="G965" i="3"/>
  <c r="E965" i="3"/>
  <c r="G964" i="3"/>
  <c r="E964" i="3"/>
  <c r="G963" i="3"/>
  <c r="E963" i="3"/>
  <c r="G962" i="3"/>
  <c r="E962" i="3"/>
  <c r="G961" i="3"/>
  <c r="E961" i="3"/>
  <c r="G960" i="3"/>
  <c r="E960" i="3"/>
  <c r="G959" i="3"/>
  <c r="E959" i="3"/>
  <c r="G958" i="3"/>
  <c r="E958" i="3"/>
  <c r="G957" i="3"/>
  <c r="E957" i="3"/>
  <c r="G956" i="3"/>
  <c r="E956" i="3"/>
  <c r="G955" i="3"/>
  <c r="E955" i="3"/>
  <c r="G954" i="3"/>
  <c r="E954" i="3"/>
  <c r="G953" i="3"/>
  <c r="E953" i="3"/>
  <c r="G952" i="3"/>
  <c r="E952" i="3"/>
  <c r="G951" i="3"/>
  <c r="E951" i="3"/>
  <c r="G950" i="3"/>
  <c r="E950" i="3"/>
  <c r="G949" i="3"/>
  <c r="E949" i="3"/>
  <c r="G948" i="3"/>
  <c r="E948" i="3"/>
  <c r="G947" i="3"/>
  <c r="E947" i="3"/>
  <c r="G946" i="3"/>
  <c r="E946" i="3"/>
  <c r="G945" i="3"/>
  <c r="E945" i="3"/>
  <c r="G944" i="3"/>
  <c r="E944" i="3"/>
  <c r="G943" i="3"/>
  <c r="E943" i="3"/>
  <c r="G942" i="3"/>
  <c r="E942" i="3"/>
  <c r="G941" i="3"/>
  <c r="E941" i="3"/>
  <c r="G940" i="3"/>
  <c r="E940" i="3"/>
  <c r="G939" i="3"/>
  <c r="E939" i="3"/>
  <c r="G938" i="3"/>
  <c r="E938" i="3"/>
  <c r="G937" i="3"/>
  <c r="E937" i="3"/>
  <c r="G936" i="3"/>
  <c r="E936" i="3"/>
  <c r="G935" i="3"/>
  <c r="E935" i="3"/>
  <c r="G934" i="3"/>
  <c r="E934" i="3"/>
  <c r="G933" i="3"/>
  <c r="E933" i="3"/>
  <c r="G932" i="3"/>
  <c r="E932" i="3"/>
  <c r="G931" i="3"/>
  <c r="E931" i="3"/>
  <c r="G930" i="3"/>
  <c r="E930" i="3"/>
  <c r="G929" i="3"/>
  <c r="E929" i="3"/>
  <c r="G928" i="3"/>
  <c r="E928" i="3"/>
  <c r="G927" i="3"/>
  <c r="E927" i="3"/>
  <c r="G926" i="3"/>
  <c r="E926" i="3"/>
  <c r="G925" i="3"/>
  <c r="E925" i="3"/>
  <c r="G924" i="3"/>
  <c r="E924" i="3"/>
  <c r="G923" i="3"/>
  <c r="E923" i="3"/>
  <c r="G922" i="3"/>
  <c r="E922" i="3"/>
  <c r="G921" i="3"/>
  <c r="E921" i="3"/>
  <c r="G920" i="3"/>
  <c r="E920" i="3"/>
  <c r="G919" i="3"/>
  <c r="E919" i="3"/>
  <c r="G918" i="3"/>
  <c r="E918" i="3"/>
  <c r="G917" i="3"/>
  <c r="E917" i="3"/>
  <c r="G916" i="3"/>
  <c r="E916" i="3"/>
  <c r="G915" i="3"/>
  <c r="E915" i="3"/>
  <c r="G914" i="3"/>
  <c r="E914" i="3"/>
  <c r="G913" i="3"/>
  <c r="E913" i="3"/>
  <c r="G912" i="3"/>
  <c r="E912" i="3"/>
  <c r="G911" i="3"/>
  <c r="E911" i="3"/>
  <c r="G910" i="3"/>
  <c r="E910" i="3"/>
  <c r="G909" i="3"/>
  <c r="E909" i="3"/>
  <c r="G908" i="3"/>
  <c r="E908" i="3"/>
  <c r="G907" i="3"/>
  <c r="E907" i="3"/>
  <c r="G906" i="3"/>
  <c r="E906" i="3"/>
  <c r="G905" i="3"/>
  <c r="E905" i="3"/>
  <c r="G904" i="3"/>
  <c r="E904" i="3"/>
  <c r="G903" i="3"/>
  <c r="E903" i="3"/>
  <c r="G902" i="3"/>
  <c r="E902" i="3"/>
  <c r="G901" i="3"/>
  <c r="E901" i="3"/>
  <c r="G900" i="3"/>
  <c r="E900" i="3"/>
  <c r="G899" i="3"/>
  <c r="E899" i="3"/>
  <c r="G898" i="3"/>
  <c r="E898" i="3"/>
  <c r="G897" i="3"/>
  <c r="E897" i="3"/>
  <c r="G896" i="3"/>
  <c r="E896" i="3"/>
  <c r="G895" i="3"/>
  <c r="E895" i="3"/>
  <c r="G894" i="3"/>
  <c r="E894" i="3"/>
  <c r="G893" i="3"/>
  <c r="E893" i="3"/>
  <c r="G892" i="3"/>
  <c r="E892" i="3"/>
  <c r="G891" i="3"/>
  <c r="E891" i="3"/>
  <c r="G890" i="3"/>
  <c r="E890" i="3"/>
  <c r="G889" i="3"/>
  <c r="E889" i="3"/>
  <c r="G888" i="3"/>
  <c r="E888" i="3"/>
  <c r="G887" i="3"/>
  <c r="E887" i="3"/>
  <c r="G886" i="3"/>
  <c r="E886" i="3"/>
  <c r="G885" i="3"/>
  <c r="E885" i="3"/>
  <c r="G884" i="3"/>
  <c r="E884" i="3"/>
  <c r="G883" i="3"/>
  <c r="E883" i="3"/>
  <c r="G882" i="3"/>
  <c r="E882" i="3"/>
  <c r="G881" i="3"/>
  <c r="E881" i="3"/>
  <c r="G880" i="3"/>
  <c r="E880" i="3"/>
  <c r="G879" i="3"/>
  <c r="E879" i="3"/>
  <c r="G878" i="3"/>
  <c r="E878" i="3"/>
  <c r="G877" i="3"/>
  <c r="E877" i="3"/>
  <c r="G876" i="3"/>
  <c r="E876" i="3"/>
  <c r="G875" i="3"/>
  <c r="E875" i="3"/>
  <c r="G874" i="3"/>
  <c r="E874" i="3"/>
  <c r="G873" i="3"/>
  <c r="E873" i="3"/>
  <c r="G872" i="3"/>
  <c r="E872" i="3"/>
  <c r="G871" i="3"/>
  <c r="E871" i="3"/>
  <c r="G870" i="3"/>
  <c r="E870" i="3"/>
  <c r="G869" i="3"/>
  <c r="E869" i="3"/>
  <c r="G868" i="3"/>
  <c r="E868" i="3"/>
  <c r="G867" i="3"/>
  <c r="E867" i="3"/>
  <c r="G866" i="3"/>
  <c r="E866" i="3"/>
  <c r="G865" i="3"/>
  <c r="E865" i="3"/>
  <c r="G864" i="3"/>
  <c r="E864" i="3"/>
  <c r="G863" i="3"/>
  <c r="E863" i="3"/>
  <c r="G862" i="3"/>
  <c r="E862" i="3"/>
  <c r="G861" i="3"/>
  <c r="E861" i="3"/>
  <c r="G860" i="3"/>
  <c r="E860" i="3"/>
  <c r="G859" i="3"/>
  <c r="E859" i="3"/>
  <c r="G858" i="3"/>
  <c r="E858" i="3"/>
  <c r="G857" i="3"/>
  <c r="E857" i="3"/>
  <c r="G856" i="3"/>
  <c r="E856" i="3"/>
  <c r="G855" i="3"/>
  <c r="E855" i="3"/>
  <c r="G854" i="3"/>
  <c r="E854" i="3"/>
  <c r="G853" i="3"/>
  <c r="E853" i="3"/>
  <c r="G852" i="3"/>
  <c r="E852" i="3"/>
  <c r="G851" i="3"/>
  <c r="E851" i="3"/>
  <c r="G850" i="3"/>
  <c r="E850" i="3"/>
  <c r="G849" i="3"/>
  <c r="E849" i="3"/>
  <c r="G848" i="3"/>
  <c r="E848" i="3"/>
  <c r="G847" i="3"/>
  <c r="E847" i="3"/>
  <c r="G846" i="3"/>
  <c r="E846" i="3"/>
  <c r="G845" i="3"/>
  <c r="E845" i="3"/>
  <c r="G844" i="3"/>
  <c r="E844" i="3"/>
  <c r="G843" i="3"/>
  <c r="E843" i="3"/>
  <c r="G842" i="3"/>
  <c r="E842" i="3"/>
  <c r="G841" i="3"/>
  <c r="E841" i="3"/>
  <c r="G840" i="3"/>
  <c r="E840" i="3"/>
  <c r="G839" i="3"/>
  <c r="E839" i="3"/>
  <c r="G838" i="3"/>
  <c r="E838" i="3"/>
  <c r="G837" i="3"/>
  <c r="E837" i="3"/>
  <c r="G836" i="3"/>
  <c r="E836" i="3"/>
  <c r="G835" i="3"/>
  <c r="E835" i="3"/>
  <c r="G834" i="3"/>
  <c r="E834" i="3"/>
  <c r="G833" i="3"/>
  <c r="E833" i="3"/>
  <c r="G832" i="3"/>
  <c r="E832" i="3"/>
  <c r="G831" i="3"/>
  <c r="E831" i="3"/>
  <c r="G830" i="3"/>
  <c r="E830" i="3"/>
  <c r="G829" i="3"/>
  <c r="E829" i="3"/>
  <c r="G828" i="3"/>
  <c r="E828" i="3"/>
  <c r="G827" i="3"/>
  <c r="E827" i="3"/>
  <c r="G826" i="3"/>
  <c r="E826" i="3"/>
  <c r="G825" i="3"/>
  <c r="E825" i="3"/>
  <c r="G824" i="3"/>
  <c r="E824" i="3"/>
  <c r="G823" i="3"/>
  <c r="E823" i="3"/>
  <c r="G822" i="3"/>
  <c r="E822" i="3"/>
  <c r="G821" i="3"/>
  <c r="E821" i="3"/>
  <c r="G820" i="3"/>
  <c r="E820" i="3"/>
  <c r="G819" i="3"/>
  <c r="E819" i="3"/>
  <c r="G818" i="3"/>
  <c r="E818" i="3"/>
  <c r="G817" i="3"/>
  <c r="E817" i="3"/>
  <c r="G816" i="3"/>
  <c r="E816" i="3"/>
  <c r="G815" i="3"/>
  <c r="E815" i="3"/>
  <c r="G814" i="3"/>
  <c r="E814" i="3"/>
  <c r="G813" i="3"/>
  <c r="E813" i="3"/>
  <c r="G812" i="3"/>
  <c r="E812" i="3"/>
  <c r="G811" i="3"/>
  <c r="E811" i="3"/>
  <c r="G810" i="3"/>
  <c r="E810" i="3"/>
  <c r="G809" i="3"/>
  <c r="E809" i="3"/>
  <c r="G808" i="3"/>
  <c r="E808" i="3"/>
  <c r="G807" i="3"/>
  <c r="E807" i="3"/>
  <c r="G806" i="3"/>
  <c r="E806" i="3"/>
  <c r="G805" i="3"/>
  <c r="E805" i="3"/>
  <c r="G804" i="3"/>
  <c r="E804" i="3"/>
  <c r="G803" i="3"/>
  <c r="E803" i="3"/>
  <c r="G802" i="3"/>
  <c r="E802" i="3"/>
  <c r="G801" i="3"/>
  <c r="E801" i="3"/>
  <c r="G800" i="3"/>
  <c r="E800" i="3"/>
  <c r="G799" i="3"/>
  <c r="E799" i="3"/>
  <c r="G798" i="3"/>
  <c r="E798" i="3"/>
  <c r="G797" i="3"/>
  <c r="E797" i="3"/>
  <c r="G796" i="3"/>
  <c r="E796" i="3"/>
  <c r="G795" i="3"/>
  <c r="E795" i="3"/>
  <c r="G794" i="3"/>
  <c r="E794" i="3"/>
  <c r="G793" i="3"/>
  <c r="E793" i="3"/>
  <c r="G792" i="3"/>
  <c r="E792" i="3"/>
  <c r="G791" i="3"/>
  <c r="E791" i="3"/>
  <c r="G790" i="3"/>
  <c r="E790" i="3"/>
  <c r="G789" i="3"/>
  <c r="E789" i="3"/>
  <c r="G788" i="3"/>
  <c r="E788" i="3"/>
  <c r="G787" i="3"/>
  <c r="E787" i="3"/>
  <c r="G786" i="3"/>
  <c r="E786" i="3"/>
  <c r="G785" i="3"/>
  <c r="E785" i="3"/>
  <c r="G784" i="3"/>
  <c r="E784" i="3"/>
  <c r="G783" i="3"/>
  <c r="E783" i="3"/>
  <c r="G782" i="3"/>
  <c r="E782" i="3"/>
  <c r="G781" i="3"/>
  <c r="E781" i="3"/>
  <c r="G780" i="3"/>
  <c r="E780" i="3"/>
  <c r="G779" i="3"/>
  <c r="E779" i="3"/>
  <c r="G778" i="3"/>
  <c r="E778" i="3"/>
  <c r="G777" i="3"/>
  <c r="E777" i="3"/>
  <c r="G776" i="3"/>
  <c r="E776" i="3"/>
  <c r="G775" i="3"/>
  <c r="E775" i="3"/>
  <c r="G774" i="3"/>
  <c r="E774" i="3"/>
  <c r="G773" i="3"/>
  <c r="E773" i="3"/>
  <c r="G772" i="3"/>
  <c r="E772" i="3"/>
  <c r="G771" i="3"/>
  <c r="E771" i="3"/>
  <c r="G770" i="3"/>
  <c r="E770" i="3"/>
  <c r="G769" i="3"/>
  <c r="E769" i="3"/>
  <c r="G768" i="3"/>
  <c r="E768" i="3"/>
  <c r="G767" i="3"/>
  <c r="E767" i="3"/>
  <c r="G766" i="3"/>
  <c r="E766" i="3"/>
  <c r="G765" i="3"/>
  <c r="E765" i="3"/>
  <c r="G764" i="3"/>
  <c r="E764" i="3"/>
  <c r="G763" i="3"/>
  <c r="E763" i="3"/>
  <c r="G762" i="3"/>
  <c r="E762" i="3"/>
  <c r="G761" i="3"/>
  <c r="E761" i="3"/>
  <c r="G760" i="3"/>
  <c r="E760" i="3"/>
  <c r="G759" i="3"/>
  <c r="E759" i="3"/>
  <c r="G758" i="3"/>
  <c r="E758" i="3"/>
  <c r="G757" i="3"/>
  <c r="E757" i="3"/>
  <c r="G756" i="3"/>
  <c r="E756" i="3"/>
  <c r="G755" i="3"/>
  <c r="E755" i="3"/>
  <c r="G754" i="3"/>
  <c r="E754" i="3"/>
  <c r="G753" i="3"/>
  <c r="E753" i="3"/>
  <c r="G752" i="3"/>
  <c r="E752" i="3"/>
  <c r="G751" i="3"/>
  <c r="E751" i="3"/>
  <c r="G750" i="3"/>
  <c r="E750" i="3"/>
  <c r="G749" i="3"/>
  <c r="E749" i="3"/>
  <c r="G748" i="3"/>
  <c r="E748" i="3"/>
  <c r="G747" i="3"/>
  <c r="E747" i="3"/>
  <c r="G746" i="3"/>
  <c r="E746" i="3"/>
  <c r="G745" i="3"/>
  <c r="E745" i="3"/>
  <c r="G744" i="3"/>
  <c r="E744" i="3"/>
  <c r="G743" i="3"/>
  <c r="E743" i="3"/>
  <c r="G742" i="3"/>
  <c r="E742" i="3"/>
  <c r="G741" i="3"/>
  <c r="E741" i="3"/>
  <c r="G740" i="3"/>
  <c r="E740" i="3"/>
  <c r="G739" i="3"/>
  <c r="E739" i="3"/>
  <c r="G738" i="3"/>
  <c r="E738" i="3"/>
  <c r="G737" i="3"/>
  <c r="E737" i="3"/>
  <c r="G736" i="3"/>
  <c r="E736" i="3"/>
  <c r="G735" i="3"/>
  <c r="E735" i="3"/>
  <c r="G734" i="3"/>
  <c r="E734" i="3"/>
  <c r="G733" i="3"/>
  <c r="E733" i="3"/>
  <c r="G732" i="3"/>
  <c r="E732" i="3"/>
  <c r="G731" i="3"/>
  <c r="E731" i="3"/>
  <c r="G730" i="3"/>
  <c r="E730" i="3"/>
  <c r="G729" i="3"/>
  <c r="E729" i="3"/>
  <c r="G728" i="3"/>
  <c r="E728" i="3"/>
  <c r="G727" i="3"/>
  <c r="E727" i="3"/>
  <c r="G726" i="3"/>
  <c r="E726" i="3"/>
  <c r="G725" i="3"/>
  <c r="E725" i="3"/>
  <c r="G724" i="3"/>
  <c r="E724" i="3"/>
  <c r="G723" i="3"/>
  <c r="E723" i="3"/>
  <c r="G722" i="3"/>
  <c r="E722" i="3"/>
  <c r="G721" i="3"/>
  <c r="E721" i="3"/>
  <c r="G720" i="3"/>
  <c r="E720" i="3"/>
  <c r="G719" i="3"/>
  <c r="E719" i="3"/>
  <c r="G718" i="3"/>
  <c r="E718" i="3"/>
  <c r="G717" i="3"/>
  <c r="E717" i="3"/>
  <c r="G716" i="3"/>
  <c r="E716" i="3"/>
  <c r="G715" i="3"/>
  <c r="E715" i="3"/>
  <c r="G714" i="3"/>
  <c r="E714" i="3"/>
  <c r="G713" i="3"/>
  <c r="E713" i="3"/>
  <c r="G712" i="3"/>
  <c r="E712" i="3"/>
  <c r="G711" i="3"/>
  <c r="E711" i="3"/>
  <c r="G710" i="3"/>
  <c r="E710" i="3"/>
  <c r="G709" i="3"/>
  <c r="E709" i="3"/>
  <c r="G708" i="3"/>
  <c r="E708" i="3"/>
  <c r="G707" i="3"/>
  <c r="E707" i="3"/>
  <c r="G706" i="3"/>
  <c r="E706" i="3"/>
  <c r="G705" i="3"/>
  <c r="E705" i="3"/>
  <c r="G704" i="3"/>
  <c r="E704" i="3"/>
  <c r="G703" i="3"/>
  <c r="E703" i="3"/>
  <c r="G702" i="3"/>
  <c r="E702" i="3"/>
  <c r="G701" i="3"/>
  <c r="E701" i="3"/>
  <c r="G700" i="3"/>
  <c r="E700" i="3"/>
  <c r="G699" i="3"/>
  <c r="E699" i="3"/>
  <c r="G698" i="3"/>
  <c r="E698" i="3"/>
  <c r="G697" i="3"/>
  <c r="E697" i="3"/>
  <c r="G696" i="3"/>
  <c r="E696" i="3"/>
  <c r="G695" i="3"/>
  <c r="E695" i="3"/>
  <c r="G694" i="3"/>
  <c r="E694" i="3"/>
  <c r="G693" i="3"/>
  <c r="E693" i="3"/>
  <c r="G692" i="3"/>
  <c r="E692" i="3"/>
  <c r="G691" i="3"/>
  <c r="E691" i="3"/>
  <c r="G690" i="3"/>
  <c r="E690" i="3"/>
  <c r="G689" i="3"/>
  <c r="E689" i="3"/>
  <c r="G688" i="3"/>
  <c r="E688" i="3"/>
  <c r="G687" i="3"/>
  <c r="E687" i="3"/>
  <c r="G686" i="3"/>
  <c r="E686" i="3"/>
  <c r="G685" i="3"/>
  <c r="E685" i="3"/>
  <c r="G684" i="3"/>
  <c r="E684" i="3"/>
  <c r="G683" i="3"/>
  <c r="E683" i="3"/>
  <c r="G682" i="3"/>
  <c r="E682" i="3"/>
  <c r="G681" i="3"/>
  <c r="E681" i="3"/>
  <c r="G680" i="3"/>
  <c r="E680" i="3"/>
  <c r="G679" i="3"/>
  <c r="E679" i="3"/>
  <c r="G678" i="3"/>
  <c r="E678" i="3"/>
  <c r="G677" i="3"/>
  <c r="E677" i="3"/>
  <c r="G676" i="3"/>
  <c r="E676" i="3"/>
  <c r="G675" i="3"/>
  <c r="E675" i="3"/>
  <c r="G674" i="3"/>
  <c r="E674" i="3"/>
  <c r="G673" i="3"/>
  <c r="E673" i="3"/>
  <c r="G672" i="3"/>
  <c r="E672" i="3"/>
  <c r="G671" i="3"/>
  <c r="E671" i="3"/>
  <c r="G670" i="3"/>
  <c r="E670" i="3"/>
  <c r="G669" i="3"/>
  <c r="E669" i="3"/>
  <c r="G668" i="3"/>
  <c r="E668" i="3"/>
  <c r="G667" i="3"/>
  <c r="E667" i="3"/>
  <c r="G666" i="3"/>
  <c r="E666" i="3"/>
  <c r="G665" i="3"/>
  <c r="E665" i="3"/>
  <c r="G664" i="3"/>
  <c r="E664" i="3"/>
  <c r="G663" i="3"/>
  <c r="E663" i="3"/>
  <c r="G662" i="3"/>
  <c r="E662" i="3"/>
  <c r="G661" i="3"/>
  <c r="E661" i="3"/>
  <c r="G660" i="3"/>
  <c r="E660" i="3"/>
  <c r="G659" i="3"/>
  <c r="E659" i="3"/>
  <c r="G658" i="3"/>
  <c r="E658" i="3"/>
  <c r="G657" i="3"/>
  <c r="E657" i="3"/>
  <c r="G656" i="3"/>
  <c r="E656" i="3"/>
  <c r="G655" i="3"/>
  <c r="E655" i="3"/>
  <c r="G654" i="3"/>
  <c r="E654" i="3"/>
  <c r="G653" i="3"/>
  <c r="E653" i="3"/>
  <c r="G652" i="3"/>
  <c r="E652" i="3"/>
  <c r="G651" i="3"/>
  <c r="E651" i="3"/>
  <c r="G650" i="3"/>
  <c r="E650" i="3"/>
  <c r="G649" i="3"/>
  <c r="E649" i="3"/>
  <c r="G648" i="3"/>
  <c r="E648" i="3"/>
  <c r="G647" i="3"/>
  <c r="E647" i="3"/>
  <c r="G646" i="3"/>
  <c r="E646" i="3"/>
  <c r="G645" i="3"/>
  <c r="E645" i="3"/>
  <c r="G644" i="3"/>
  <c r="E644" i="3"/>
  <c r="G643" i="3"/>
  <c r="E643" i="3"/>
  <c r="G642" i="3"/>
  <c r="E642" i="3"/>
  <c r="G641" i="3"/>
  <c r="E641" i="3"/>
  <c r="G640" i="3"/>
  <c r="E640" i="3"/>
  <c r="G639" i="3"/>
  <c r="E639" i="3"/>
  <c r="G638" i="3"/>
  <c r="E638" i="3"/>
  <c r="G637" i="3"/>
  <c r="E637" i="3"/>
  <c r="G636" i="3"/>
  <c r="E636" i="3"/>
  <c r="G635" i="3"/>
  <c r="E635" i="3"/>
  <c r="G634" i="3"/>
  <c r="E634" i="3"/>
  <c r="G633" i="3"/>
  <c r="E633" i="3"/>
  <c r="G632" i="3"/>
  <c r="E632" i="3"/>
  <c r="G631" i="3"/>
  <c r="E631" i="3"/>
  <c r="G630" i="3"/>
  <c r="E630" i="3"/>
  <c r="G629" i="3"/>
  <c r="E629" i="3"/>
  <c r="G628" i="3"/>
  <c r="E628" i="3"/>
  <c r="G627" i="3"/>
  <c r="E627" i="3"/>
  <c r="G626" i="3"/>
  <c r="E626" i="3"/>
  <c r="G625" i="3"/>
  <c r="E625" i="3"/>
  <c r="G624" i="3"/>
  <c r="E624" i="3"/>
  <c r="G623" i="3"/>
  <c r="E623" i="3"/>
  <c r="G622" i="3"/>
  <c r="E622" i="3"/>
  <c r="G621" i="3"/>
  <c r="E621" i="3"/>
  <c r="G620" i="3"/>
  <c r="E620" i="3"/>
  <c r="G619" i="3"/>
  <c r="E619" i="3"/>
  <c r="G618" i="3"/>
  <c r="E618" i="3"/>
  <c r="G617" i="3"/>
  <c r="E617" i="3"/>
  <c r="G616" i="3"/>
  <c r="E616" i="3"/>
  <c r="G615" i="3"/>
  <c r="E615" i="3"/>
  <c r="G614" i="3"/>
  <c r="E614" i="3"/>
  <c r="G613" i="3"/>
  <c r="E613" i="3"/>
  <c r="G612" i="3"/>
  <c r="E612" i="3"/>
  <c r="G611" i="3"/>
  <c r="E611" i="3"/>
  <c r="G610" i="3"/>
  <c r="E610" i="3"/>
  <c r="G609" i="3"/>
  <c r="E609" i="3"/>
  <c r="G608" i="3"/>
  <c r="E608" i="3"/>
  <c r="G607" i="3"/>
  <c r="E607" i="3"/>
  <c r="G606" i="3"/>
  <c r="E606" i="3"/>
  <c r="G605" i="3"/>
  <c r="E605" i="3"/>
  <c r="G604" i="3"/>
  <c r="E604" i="3"/>
  <c r="G603" i="3"/>
  <c r="E603" i="3"/>
  <c r="G602" i="3"/>
  <c r="E602" i="3"/>
  <c r="G601" i="3"/>
  <c r="E601" i="3"/>
  <c r="G600" i="3"/>
  <c r="E600" i="3"/>
  <c r="G599" i="3"/>
  <c r="E599" i="3"/>
  <c r="G598" i="3"/>
  <c r="E598" i="3"/>
  <c r="G597" i="3"/>
  <c r="E597" i="3"/>
  <c r="G596" i="3"/>
  <c r="E596" i="3"/>
  <c r="G595" i="3"/>
  <c r="E595" i="3"/>
  <c r="G594" i="3"/>
  <c r="E594" i="3"/>
  <c r="G593" i="3"/>
  <c r="E593" i="3"/>
  <c r="G592" i="3"/>
  <c r="E592" i="3"/>
  <c r="G591" i="3"/>
  <c r="E591" i="3"/>
  <c r="G590" i="3"/>
  <c r="E590" i="3"/>
  <c r="G589" i="3"/>
  <c r="E589" i="3"/>
  <c r="G588" i="3"/>
  <c r="E588" i="3"/>
  <c r="G587" i="3"/>
  <c r="E587" i="3"/>
  <c r="G586" i="3"/>
  <c r="E586" i="3"/>
  <c r="G585" i="3"/>
  <c r="E585" i="3"/>
  <c r="G584" i="3"/>
  <c r="E584" i="3"/>
  <c r="G583" i="3"/>
  <c r="E583" i="3"/>
  <c r="G582" i="3"/>
  <c r="E582" i="3"/>
  <c r="G581" i="3"/>
  <c r="E581" i="3"/>
  <c r="G580" i="3"/>
  <c r="E580" i="3"/>
  <c r="G579" i="3"/>
  <c r="E579" i="3"/>
  <c r="G578" i="3"/>
  <c r="E578" i="3"/>
  <c r="G577" i="3"/>
  <c r="E577" i="3"/>
  <c r="G576" i="3"/>
  <c r="E576" i="3"/>
  <c r="G575" i="3"/>
  <c r="E575" i="3"/>
  <c r="G574" i="3"/>
  <c r="E574" i="3"/>
  <c r="G573" i="3"/>
  <c r="E573" i="3"/>
  <c r="G572" i="3"/>
  <c r="E572" i="3"/>
  <c r="G571" i="3"/>
  <c r="E571" i="3"/>
  <c r="G570" i="3"/>
  <c r="E570" i="3"/>
  <c r="G569" i="3"/>
  <c r="E569" i="3"/>
  <c r="G568" i="3"/>
  <c r="E568" i="3"/>
  <c r="G567" i="3"/>
  <c r="E567" i="3"/>
  <c r="G566" i="3"/>
  <c r="E566" i="3"/>
  <c r="G565" i="3"/>
  <c r="E565" i="3"/>
  <c r="G564" i="3"/>
  <c r="E564" i="3"/>
  <c r="G563" i="3"/>
  <c r="E563" i="3"/>
  <c r="G562" i="3"/>
  <c r="E562" i="3"/>
  <c r="G561" i="3"/>
  <c r="E561" i="3"/>
  <c r="G560" i="3"/>
  <c r="E560" i="3"/>
  <c r="G559" i="3"/>
  <c r="E559" i="3"/>
  <c r="G558" i="3"/>
  <c r="E558" i="3"/>
  <c r="G557" i="3"/>
  <c r="E557" i="3"/>
  <c r="G556" i="3"/>
  <c r="E556" i="3"/>
  <c r="G555" i="3"/>
  <c r="E555" i="3"/>
  <c r="G554" i="3"/>
  <c r="E554" i="3"/>
  <c r="G553" i="3"/>
  <c r="E553" i="3"/>
  <c r="G552" i="3"/>
  <c r="E552" i="3"/>
  <c r="G551" i="3"/>
  <c r="E551" i="3"/>
  <c r="G550" i="3"/>
  <c r="E550" i="3"/>
  <c r="G549" i="3"/>
  <c r="E549" i="3"/>
  <c r="G548" i="3"/>
  <c r="E548" i="3"/>
  <c r="G547" i="3"/>
  <c r="E547" i="3"/>
  <c r="G546" i="3"/>
  <c r="E546" i="3"/>
  <c r="G545" i="3"/>
  <c r="E545" i="3"/>
  <c r="G544" i="3"/>
  <c r="E544" i="3"/>
  <c r="G543" i="3"/>
  <c r="E543" i="3"/>
  <c r="G542" i="3"/>
  <c r="E542" i="3"/>
  <c r="G541" i="3"/>
  <c r="E541" i="3"/>
  <c r="G540" i="3"/>
  <c r="E540" i="3"/>
  <c r="G539" i="3"/>
  <c r="E539" i="3"/>
  <c r="G538" i="3"/>
  <c r="E538" i="3"/>
  <c r="G537" i="3"/>
  <c r="E537" i="3"/>
  <c r="G536" i="3"/>
  <c r="E536" i="3"/>
  <c r="G535" i="3"/>
  <c r="E535" i="3"/>
  <c r="G534" i="3"/>
  <c r="E534" i="3"/>
  <c r="G533" i="3"/>
  <c r="E533" i="3"/>
  <c r="G532" i="3"/>
  <c r="E532" i="3"/>
  <c r="G531" i="3"/>
  <c r="E531" i="3"/>
  <c r="G530" i="3"/>
  <c r="E530" i="3"/>
  <c r="G529" i="3"/>
  <c r="E529" i="3"/>
  <c r="G528" i="3"/>
  <c r="E528" i="3"/>
  <c r="G527" i="3"/>
  <c r="E527" i="3"/>
  <c r="G526" i="3"/>
  <c r="E526" i="3"/>
  <c r="G525" i="3"/>
  <c r="E525" i="3"/>
  <c r="G524" i="3"/>
  <c r="E524" i="3"/>
  <c r="G523" i="3"/>
  <c r="E523" i="3"/>
  <c r="G522" i="3"/>
  <c r="E522" i="3"/>
  <c r="G521" i="3"/>
  <c r="E521" i="3"/>
  <c r="G520" i="3"/>
  <c r="E520" i="3"/>
  <c r="G519" i="3"/>
  <c r="E519" i="3"/>
  <c r="G518" i="3"/>
  <c r="E518" i="3"/>
  <c r="G517" i="3"/>
  <c r="E517" i="3"/>
  <c r="G516" i="3"/>
  <c r="E516" i="3"/>
  <c r="G515" i="3"/>
  <c r="E515" i="3"/>
  <c r="G514" i="3"/>
  <c r="E514" i="3"/>
  <c r="G513" i="3"/>
  <c r="E513" i="3"/>
  <c r="G512" i="3"/>
  <c r="E512" i="3"/>
  <c r="G511" i="3"/>
  <c r="E511" i="3"/>
  <c r="G510" i="3"/>
  <c r="E510" i="3"/>
  <c r="G509" i="3"/>
  <c r="E509" i="3"/>
  <c r="G508" i="3"/>
  <c r="E508" i="3"/>
  <c r="G507" i="3"/>
  <c r="E507" i="3"/>
  <c r="G506" i="3"/>
  <c r="E506" i="3"/>
  <c r="G505" i="3"/>
  <c r="E505" i="3"/>
  <c r="G504" i="3"/>
  <c r="E504" i="3"/>
  <c r="G503" i="3"/>
  <c r="E503" i="3"/>
  <c r="G502" i="3"/>
  <c r="E502" i="3"/>
  <c r="G501" i="3"/>
  <c r="E501" i="3"/>
  <c r="G500" i="3"/>
  <c r="E500" i="3"/>
  <c r="G499" i="3"/>
  <c r="E499" i="3"/>
  <c r="G498" i="3"/>
  <c r="E498" i="3"/>
  <c r="G497" i="3"/>
  <c r="E497" i="3"/>
  <c r="G496" i="3"/>
  <c r="E496" i="3"/>
  <c r="G495" i="3"/>
  <c r="E495" i="3"/>
  <c r="G494" i="3"/>
  <c r="E494" i="3"/>
  <c r="G493" i="3"/>
  <c r="E493" i="3"/>
  <c r="G492" i="3"/>
  <c r="E492" i="3"/>
  <c r="G491" i="3"/>
  <c r="E491" i="3"/>
  <c r="G490" i="3"/>
  <c r="E490" i="3"/>
  <c r="G489" i="3"/>
  <c r="E489" i="3"/>
  <c r="G488" i="3"/>
  <c r="E488" i="3"/>
  <c r="G487" i="3"/>
  <c r="E487" i="3"/>
  <c r="G486" i="3"/>
  <c r="E486" i="3"/>
  <c r="G485" i="3"/>
  <c r="E485" i="3"/>
  <c r="G484" i="3"/>
  <c r="E484" i="3"/>
  <c r="G483" i="3"/>
  <c r="E483" i="3"/>
  <c r="G482" i="3"/>
  <c r="E482" i="3"/>
  <c r="G481" i="3"/>
  <c r="E481" i="3"/>
  <c r="G480" i="3"/>
  <c r="E480" i="3"/>
  <c r="G479" i="3"/>
  <c r="E479" i="3"/>
  <c r="G478" i="3"/>
  <c r="E478" i="3"/>
  <c r="G477" i="3"/>
  <c r="E477" i="3"/>
  <c r="G476" i="3"/>
  <c r="E476" i="3"/>
  <c r="G475" i="3"/>
  <c r="E475" i="3"/>
  <c r="G474" i="3"/>
  <c r="E474" i="3"/>
  <c r="G473" i="3"/>
  <c r="E473" i="3"/>
  <c r="G472" i="3"/>
  <c r="E472" i="3"/>
  <c r="G471" i="3"/>
  <c r="E471" i="3"/>
  <c r="G470" i="3"/>
  <c r="E470" i="3"/>
  <c r="G469" i="3"/>
  <c r="E469" i="3"/>
  <c r="G468" i="3"/>
  <c r="E468" i="3"/>
  <c r="G467" i="3"/>
  <c r="E467" i="3"/>
  <c r="G466" i="3"/>
  <c r="E466" i="3"/>
  <c r="G465" i="3"/>
  <c r="E465" i="3"/>
  <c r="G464" i="3"/>
  <c r="E464" i="3"/>
  <c r="G463" i="3"/>
  <c r="E463" i="3"/>
  <c r="G462" i="3"/>
  <c r="E462" i="3"/>
  <c r="G461" i="3"/>
  <c r="E461" i="3"/>
  <c r="G460" i="3"/>
  <c r="E460" i="3"/>
  <c r="G459" i="3"/>
  <c r="E459" i="3"/>
  <c r="G458" i="3"/>
  <c r="E458" i="3"/>
  <c r="G457" i="3"/>
  <c r="E457" i="3"/>
  <c r="G456" i="3"/>
  <c r="E456" i="3"/>
  <c r="G455" i="3"/>
  <c r="E455" i="3"/>
  <c r="G454" i="3"/>
  <c r="E454" i="3"/>
  <c r="G453" i="3"/>
  <c r="E453" i="3"/>
  <c r="G452" i="3"/>
  <c r="E452" i="3"/>
  <c r="G451" i="3"/>
  <c r="E451" i="3"/>
  <c r="G450" i="3"/>
  <c r="E450" i="3"/>
  <c r="G449" i="3"/>
  <c r="E449" i="3"/>
  <c r="G448" i="3"/>
  <c r="E448" i="3"/>
  <c r="G447" i="3"/>
  <c r="E447" i="3"/>
  <c r="G446" i="3"/>
  <c r="E446" i="3"/>
  <c r="G445" i="3"/>
  <c r="E445" i="3"/>
  <c r="G444" i="3"/>
  <c r="E444" i="3"/>
  <c r="G443" i="3"/>
  <c r="E443" i="3"/>
  <c r="G442" i="3"/>
  <c r="E442" i="3"/>
  <c r="G441" i="3"/>
  <c r="E441" i="3"/>
  <c r="G440" i="3"/>
  <c r="E440" i="3"/>
  <c r="G439" i="3"/>
  <c r="E439" i="3"/>
  <c r="G438" i="3"/>
  <c r="E438" i="3"/>
  <c r="G437" i="3"/>
  <c r="E437" i="3"/>
  <c r="G436" i="3"/>
  <c r="E436" i="3"/>
  <c r="G435" i="3"/>
  <c r="E435" i="3"/>
  <c r="G434" i="3"/>
  <c r="E434" i="3"/>
  <c r="G433" i="3"/>
  <c r="E433" i="3"/>
  <c r="G432" i="3"/>
  <c r="E432" i="3"/>
  <c r="G431" i="3"/>
  <c r="E431" i="3"/>
  <c r="G430" i="3"/>
  <c r="E430" i="3"/>
  <c r="G429" i="3"/>
  <c r="E429" i="3"/>
  <c r="G428" i="3"/>
  <c r="E428" i="3"/>
  <c r="G427" i="3"/>
  <c r="E427" i="3"/>
  <c r="G426" i="3"/>
  <c r="E426" i="3"/>
  <c r="G425" i="3"/>
  <c r="E425" i="3"/>
  <c r="G424" i="3"/>
  <c r="E424" i="3"/>
  <c r="G423" i="3"/>
  <c r="E423" i="3"/>
  <c r="G422" i="3"/>
  <c r="E422" i="3"/>
  <c r="G421" i="3"/>
  <c r="E421" i="3"/>
  <c r="G420" i="3"/>
  <c r="E420" i="3"/>
  <c r="G419" i="3"/>
  <c r="E419" i="3"/>
  <c r="G418" i="3"/>
  <c r="E418" i="3"/>
  <c r="G417" i="3"/>
  <c r="E417" i="3"/>
  <c r="G416" i="3"/>
  <c r="E416" i="3"/>
  <c r="G415" i="3"/>
  <c r="E415" i="3"/>
  <c r="G414" i="3"/>
  <c r="E414" i="3"/>
  <c r="G413" i="3"/>
  <c r="E413" i="3"/>
  <c r="G412" i="3"/>
  <c r="E412" i="3"/>
  <c r="G411" i="3"/>
  <c r="E411" i="3"/>
  <c r="G410" i="3"/>
  <c r="E410" i="3"/>
  <c r="G409" i="3"/>
  <c r="E409" i="3"/>
  <c r="G408" i="3"/>
  <c r="E408" i="3"/>
  <c r="G407" i="3"/>
  <c r="E407" i="3"/>
  <c r="G406" i="3"/>
  <c r="E406" i="3"/>
  <c r="G405" i="3"/>
  <c r="E405" i="3"/>
  <c r="G404" i="3"/>
  <c r="E404" i="3"/>
  <c r="G403" i="3"/>
  <c r="E403" i="3"/>
  <c r="G402" i="3"/>
  <c r="E402" i="3"/>
  <c r="G401" i="3"/>
  <c r="E401" i="3"/>
  <c r="G400" i="3"/>
  <c r="E400" i="3"/>
  <c r="G399" i="3"/>
  <c r="E399" i="3"/>
  <c r="G398" i="3"/>
  <c r="E398" i="3"/>
  <c r="G397" i="3"/>
  <c r="E397" i="3"/>
  <c r="G396" i="3"/>
  <c r="E396" i="3"/>
  <c r="G395" i="3"/>
  <c r="E395" i="3"/>
  <c r="G394" i="3"/>
  <c r="E394" i="3"/>
  <c r="G393" i="3"/>
  <c r="E393" i="3"/>
  <c r="G392" i="3"/>
  <c r="E392" i="3"/>
  <c r="G391" i="3"/>
  <c r="E391" i="3"/>
  <c r="G390" i="3"/>
  <c r="E390" i="3"/>
  <c r="G389" i="3"/>
  <c r="E389" i="3"/>
  <c r="G388" i="3"/>
  <c r="E388" i="3"/>
  <c r="G387" i="3"/>
  <c r="E387" i="3"/>
  <c r="G386" i="3"/>
  <c r="E386" i="3"/>
  <c r="G385" i="3"/>
  <c r="E385" i="3"/>
  <c r="G384" i="3"/>
  <c r="E384" i="3"/>
  <c r="G383" i="3"/>
  <c r="E383" i="3"/>
  <c r="G382" i="3"/>
  <c r="E382" i="3"/>
  <c r="G381" i="3"/>
  <c r="E381" i="3"/>
  <c r="G380" i="3"/>
  <c r="E380" i="3"/>
  <c r="G379" i="3"/>
  <c r="E379" i="3"/>
  <c r="G378" i="3"/>
  <c r="E378" i="3"/>
  <c r="G377" i="3"/>
  <c r="E377" i="3"/>
  <c r="G376" i="3"/>
  <c r="E376" i="3"/>
  <c r="G375" i="3"/>
  <c r="E375" i="3"/>
  <c r="G374" i="3"/>
  <c r="E374" i="3"/>
  <c r="G373" i="3"/>
  <c r="E373" i="3"/>
  <c r="G372" i="3"/>
  <c r="E372" i="3"/>
  <c r="G371" i="3"/>
  <c r="E371" i="3"/>
  <c r="G370" i="3"/>
  <c r="E370" i="3"/>
  <c r="G369" i="3"/>
  <c r="E369" i="3"/>
  <c r="G368" i="3"/>
  <c r="E368" i="3"/>
  <c r="G367" i="3"/>
  <c r="E367" i="3"/>
  <c r="G366" i="3"/>
  <c r="E366" i="3"/>
  <c r="G365" i="3"/>
  <c r="E365" i="3"/>
  <c r="G364" i="3"/>
  <c r="E364" i="3"/>
  <c r="G363" i="3"/>
  <c r="E363" i="3"/>
  <c r="G362" i="3"/>
  <c r="E362" i="3"/>
  <c r="G361" i="3"/>
  <c r="E361" i="3"/>
  <c r="G360" i="3"/>
  <c r="E360" i="3"/>
  <c r="G359" i="3"/>
  <c r="E359" i="3"/>
  <c r="G358" i="3"/>
  <c r="E358" i="3"/>
  <c r="G357" i="3"/>
  <c r="E357" i="3"/>
  <c r="G356" i="3"/>
  <c r="E356" i="3"/>
  <c r="G355" i="3"/>
  <c r="E355" i="3"/>
  <c r="G354" i="3"/>
  <c r="E354" i="3"/>
  <c r="G353" i="3"/>
  <c r="E353" i="3"/>
  <c r="G352" i="3"/>
  <c r="E352" i="3"/>
  <c r="G351" i="3"/>
  <c r="E351" i="3"/>
  <c r="G350" i="3"/>
  <c r="E350" i="3"/>
  <c r="G349" i="3"/>
  <c r="E349" i="3"/>
  <c r="G348" i="3"/>
  <c r="E348" i="3"/>
  <c r="G347" i="3"/>
  <c r="E347" i="3"/>
  <c r="G346" i="3"/>
  <c r="E346" i="3"/>
  <c r="G345" i="3"/>
  <c r="E345" i="3"/>
  <c r="G344" i="3"/>
  <c r="E344" i="3"/>
  <c r="G343" i="3"/>
  <c r="E343" i="3"/>
  <c r="G342" i="3"/>
  <c r="E342" i="3"/>
  <c r="G341" i="3"/>
  <c r="E341" i="3"/>
  <c r="G340" i="3"/>
  <c r="E340" i="3"/>
  <c r="G339" i="3"/>
  <c r="E339" i="3"/>
  <c r="G338" i="3"/>
  <c r="E338" i="3"/>
  <c r="G337" i="3"/>
  <c r="E337" i="3"/>
  <c r="G336" i="3"/>
  <c r="E336" i="3"/>
  <c r="G335" i="3"/>
  <c r="E335" i="3"/>
  <c r="G334" i="3"/>
  <c r="E334" i="3"/>
  <c r="G333" i="3"/>
  <c r="E333" i="3"/>
  <c r="G332" i="3"/>
  <c r="E332" i="3"/>
  <c r="G331" i="3"/>
  <c r="E331" i="3"/>
  <c r="G330" i="3"/>
  <c r="E330" i="3"/>
  <c r="G329" i="3"/>
  <c r="E329" i="3"/>
  <c r="G328" i="3"/>
  <c r="E328" i="3"/>
  <c r="G327" i="3"/>
  <c r="E327" i="3"/>
  <c r="G326" i="3"/>
  <c r="E326" i="3"/>
  <c r="G325" i="3"/>
  <c r="E325" i="3"/>
  <c r="G324" i="3"/>
  <c r="E324" i="3"/>
  <c r="G323" i="3"/>
  <c r="E323" i="3"/>
  <c r="G322" i="3"/>
  <c r="E322" i="3"/>
  <c r="G321" i="3"/>
  <c r="E321" i="3"/>
  <c r="G320" i="3"/>
  <c r="E320" i="3"/>
  <c r="G319" i="3"/>
  <c r="E319" i="3"/>
  <c r="G318" i="3"/>
  <c r="E318" i="3"/>
  <c r="G317" i="3"/>
  <c r="E317" i="3"/>
  <c r="G316" i="3"/>
  <c r="E316" i="3"/>
  <c r="G315" i="3"/>
  <c r="E315" i="3"/>
  <c r="G314" i="3"/>
  <c r="E314" i="3"/>
  <c r="G313" i="3"/>
  <c r="E313" i="3"/>
  <c r="G312" i="3"/>
  <c r="E312" i="3"/>
  <c r="G311" i="3"/>
  <c r="E311" i="3"/>
  <c r="G310" i="3"/>
  <c r="E310" i="3"/>
  <c r="G309" i="3"/>
  <c r="E309" i="3"/>
  <c r="G308" i="3"/>
  <c r="E308" i="3"/>
  <c r="G307" i="3"/>
  <c r="E307" i="3"/>
  <c r="G306" i="3"/>
  <c r="E306" i="3"/>
  <c r="G305" i="3"/>
  <c r="E305" i="3"/>
  <c r="G304" i="3"/>
  <c r="E304" i="3"/>
  <c r="G303" i="3"/>
  <c r="E303" i="3"/>
  <c r="G302" i="3"/>
  <c r="E302" i="3"/>
  <c r="G301" i="3"/>
  <c r="E301" i="3"/>
  <c r="G300" i="3"/>
  <c r="E300" i="3"/>
  <c r="G299" i="3"/>
  <c r="E299" i="3"/>
  <c r="G298" i="3"/>
  <c r="E298" i="3"/>
  <c r="G297" i="3"/>
  <c r="E297" i="3"/>
  <c r="G296" i="3"/>
  <c r="E296" i="3"/>
  <c r="G295" i="3"/>
  <c r="E295" i="3"/>
  <c r="G294" i="3"/>
  <c r="E294" i="3"/>
  <c r="G293" i="3"/>
  <c r="E293" i="3"/>
  <c r="G292" i="3"/>
  <c r="E292" i="3"/>
  <c r="G291" i="3"/>
  <c r="E291" i="3"/>
  <c r="G290" i="3"/>
  <c r="E290" i="3"/>
  <c r="G289" i="3"/>
  <c r="E289" i="3"/>
  <c r="G288" i="3"/>
  <c r="E288" i="3"/>
  <c r="G287" i="3"/>
  <c r="E287" i="3"/>
  <c r="G286" i="3"/>
  <c r="E286" i="3"/>
  <c r="G285" i="3"/>
  <c r="E285" i="3"/>
  <c r="G284" i="3"/>
  <c r="E284" i="3"/>
  <c r="G283" i="3"/>
  <c r="E283" i="3"/>
  <c r="G282" i="3"/>
  <c r="E282" i="3"/>
  <c r="G281" i="3"/>
  <c r="E281" i="3"/>
  <c r="G280" i="3"/>
  <c r="E280" i="3"/>
  <c r="G279" i="3"/>
  <c r="E279" i="3"/>
  <c r="G278" i="3"/>
  <c r="E278" i="3"/>
  <c r="G277" i="3"/>
  <c r="E277" i="3"/>
  <c r="G276" i="3"/>
  <c r="E276" i="3"/>
  <c r="G275" i="3"/>
  <c r="E275" i="3"/>
  <c r="G274" i="3"/>
  <c r="E274" i="3"/>
  <c r="G273" i="3"/>
  <c r="E273" i="3"/>
  <c r="G272" i="3"/>
  <c r="E272" i="3"/>
  <c r="G271" i="3"/>
  <c r="E271" i="3"/>
  <c r="G270" i="3"/>
  <c r="E270" i="3"/>
  <c r="G269" i="3"/>
  <c r="E269" i="3"/>
  <c r="G268" i="3"/>
  <c r="E268" i="3"/>
  <c r="G267" i="3"/>
  <c r="E267" i="3"/>
  <c r="G266" i="3"/>
  <c r="E266" i="3"/>
  <c r="G265" i="3"/>
  <c r="E265" i="3"/>
  <c r="G264" i="3"/>
  <c r="E264" i="3"/>
  <c r="G263" i="3"/>
  <c r="E263" i="3"/>
  <c r="G262" i="3"/>
  <c r="E262" i="3"/>
  <c r="G261" i="3"/>
  <c r="E261" i="3"/>
  <c r="G260" i="3"/>
  <c r="E260" i="3"/>
  <c r="G259" i="3"/>
  <c r="E259" i="3"/>
  <c r="G258" i="3"/>
  <c r="E258" i="3"/>
  <c r="G257" i="3"/>
  <c r="E257" i="3"/>
  <c r="G256" i="3"/>
  <c r="E256" i="3"/>
  <c r="G255" i="3"/>
  <c r="E255" i="3"/>
  <c r="G254" i="3"/>
  <c r="E254" i="3"/>
  <c r="G253" i="3"/>
  <c r="E253" i="3"/>
  <c r="G252" i="3"/>
  <c r="E252" i="3"/>
  <c r="G251" i="3"/>
  <c r="E251" i="3"/>
  <c r="G250" i="3"/>
  <c r="E250" i="3"/>
  <c r="G249" i="3"/>
  <c r="E249" i="3"/>
  <c r="G248" i="3"/>
  <c r="E248" i="3"/>
  <c r="G247" i="3"/>
  <c r="E247" i="3"/>
  <c r="G246" i="3"/>
  <c r="E246" i="3"/>
  <c r="G245" i="3"/>
  <c r="E245" i="3"/>
  <c r="G244" i="3"/>
  <c r="E244" i="3"/>
  <c r="G243" i="3"/>
  <c r="E243" i="3"/>
  <c r="G242" i="3"/>
  <c r="E242" i="3"/>
  <c r="G241" i="3"/>
  <c r="E241" i="3"/>
  <c r="G240" i="3"/>
  <c r="E240" i="3"/>
  <c r="G239" i="3"/>
  <c r="E239" i="3"/>
  <c r="G238" i="3"/>
  <c r="E238" i="3"/>
  <c r="G237" i="3"/>
  <c r="E237" i="3"/>
  <c r="G236" i="3"/>
  <c r="E236" i="3"/>
  <c r="G235" i="3"/>
  <c r="E235" i="3"/>
  <c r="G234" i="3"/>
  <c r="E234" i="3"/>
  <c r="G233" i="3"/>
  <c r="E233" i="3"/>
  <c r="G232" i="3"/>
  <c r="E232" i="3"/>
  <c r="G231" i="3"/>
  <c r="E231" i="3"/>
  <c r="G230" i="3"/>
  <c r="E230" i="3"/>
  <c r="G229" i="3"/>
  <c r="E229" i="3"/>
  <c r="G228" i="3"/>
  <c r="E228" i="3"/>
  <c r="G227" i="3"/>
  <c r="E227" i="3"/>
  <c r="G226" i="3"/>
  <c r="E226" i="3"/>
  <c r="G225" i="3"/>
  <c r="E225" i="3"/>
  <c r="G224" i="3"/>
  <c r="E224" i="3"/>
  <c r="G223" i="3"/>
  <c r="E223" i="3"/>
  <c r="G222" i="3"/>
  <c r="E222" i="3"/>
  <c r="G221" i="3"/>
  <c r="E221" i="3"/>
  <c r="G220" i="3"/>
  <c r="E220" i="3"/>
  <c r="G219" i="3"/>
  <c r="E219" i="3"/>
  <c r="G218" i="3"/>
  <c r="E218" i="3"/>
  <c r="G217" i="3"/>
  <c r="E217" i="3"/>
  <c r="G216" i="3"/>
  <c r="E216" i="3"/>
  <c r="G215" i="3"/>
  <c r="E215" i="3"/>
  <c r="G214" i="3"/>
  <c r="E214" i="3"/>
  <c r="G213" i="3"/>
  <c r="E213" i="3"/>
  <c r="G212" i="3"/>
  <c r="E212" i="3"/>
  <c r="G211" i="3"/>
  <c r="E211" i="3"/>
  <c r="G210" i="3"/>
  <c r="E210" i="3"/>
  <c r="G209" i="3"/>
  <c r="E209" i="3"/>
  <c r="G208" i="3"/>
  <c r="E208" i="3"/>
  <c r="G207" i="3"/>
  <c r="E207" i="3"/>
  <c r="G206" i="3"/>
  <c r="E206" i="3"/>
  <c r="G205" i="3"/>
  <c r="E205" i="3"/>
  <c r="G204" i="3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M30" i="2"/>
  <c r="C6" i="1" s="1"/>
  <c r="C12" i="1" s="1"/>
  <c r="G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E10" i="2"/>
  <c r="H10" i="2" s="1"/>
  <c r="F9" i="2"/>
  <c r="E16" i="1" s="1"/>
  <c r="F8" i="2"/>
  <c r="F7" i="2"/>
  <c r="F6" i="2"/>
  <c r="F30" i="2" s="1"/>
  <c r="E6" i="1" s="1"/>
  <c r="F5" i="2"/>
  <c r="F4" i="2"/>
  <c r="C2" i="2"/>
  <c r="E15" i="2" s="1"/>
  <c r="C11" i="1"/>
  <c r="C10" i="1"/>
  <c r="C9" i="1"/>
  <c r="C7" i="1"/>
  <c r="E24" i="1" l="1"/>
  <c r="E26" i="1"/>
  <c r="F42" i="8"/>
  <c r="E9" i="1" s="1"/>
  <c r="E17" i="1"/>
  <c r="E21" i="1"/>
  <c r="E19" i="1"/>
  <c r="E18" i="1"/>
  <c r="E22" i="1"/>
  <c r="E20" i="1"/>
  <c r="E26" i="2"/>
  <c r="H26" i="2" s="1"/>
  <c r="E19" i="2"/>
  <c r="H19" i="2" s="1"/>
  <c r="E12" i="2"/>
  <c r="I12" i="2" s="1"/>
  <c r="E28" i="2"/>
  <c r="H28" i="2" s="1"/>
  <c r="E13" i="10"/>
  <c r="H13" i="10" s="1"/>
  <c r="E6" i="2"/>
  <c r="I6" i="2" s="1"/>
  <c r="E14" i="10"/>
  <c r="I14" i="10" s="1"/>
  <c r="E16" i="2"/>
  <c r="I16" i="2" s="1"/>
  <c r="E7" i="10"/>
  <c r="H7" i="10" s="1"/>
  <c r="E11" i="2"/>
  <c r="H11" i="2" s="1"/>
  <c r="E27" i="2"/>
  <c r="H27" i="2" s="1"/>
  <c r="E5" i="2"/>
  <c r="H5" i="2" s="1"/>
  <c r="E20" i="2"/>
  <c r="H20" i="2" s="1"/>
  <c r="E22" i="2"/>
  <c r="I22" i="2" s="1"/>
  <c r="E7" i="2"/>
  <c r="I7" i="2" s="1"/>
  <c r="E23" i="2"/>
  <c r="H23" i="2" s="1"/>
  <c r="E17" i="2"/>
  <c r="H17" i="2" s="1"/>
  <c r="E8" i="10"/>
  <c r="H8" i="10" s="1"/>
  <c r="I23" i="2"/>
  <c r="E29" i="2"/>
  <c r="E4" i="2"/>
  <c r="E8" i="2"/>
  <c r="H8" i="2" s="1"/>
  <c r="E13" i="2"/>
  <c r="I13" i="2" s="1"/>
  <c r="I19" i="2"/>
  <c r="E24" i="2"/>
  <c r="I24" i="2" s="1"/>
  <c r="E4" i="10"/>
  <c r="E10" i="10"/>
  <c r="H10" i="10" s="1"/>
  <c r="E16" i="10"/>
  <c r="H22" i="2"/>
  <c r="I13" i="10"/>
  <c r="E9" i="2"/>
  <c r="H9" i="2" s="1"/>
  <c r="E14" i="2"/>
  <c r="H14" i="2" s="1"/>
  <c r="E11" i="10"/>
  <c r="I11" i="10" s="1"/>
  <c r="E21" i="2"/>
  <c r="H21" i="2" s="1"/>
  <c r="E25" i="2"/>
  <c r="I25" i="2" s="1"/>
  <c r="E5" i="10"/>
  <c r="H5" i="10" s="1"/>
  <c r="H32" i="6"/>
  <c r="I32" i="6"/>
  <c r="H15" i="2"/>
  <c r="I15" i="2"/>
  <c r="F44" i="4"/>
  <c r="E7" i="1" s="1"/>
  <c r="E8" i="6"/>
  <c r="E18" i="6"/>
  <c r="H15" i="10"/>
  <c r="I15" i="10"/>
  <c r="E22" i="12"/>
  <c r="E19" i="12"/>
  <c r="E16" i="12"/>
  <c r="E13" i="12"/>
  <c r="E10" i="12"/>
  <c r="E7" i="12"/>
  <c r="E4" i="12"/>
  <c r="E21" i="12"/>
  <c r="E18" i="12"/>
  <c r="E15" i="12"/>
  <c r="E12" i="12"/>
  <c r="E9" i="12"/>
  <c r="E6" i="12"/>
  <c r="E23" i="12"/>
  <c r="E20" i="12"/>
  <c r="E17" i="12"/>
  <c r="E14" i="12"/>
  <c r="E11" i="12"/>
  <c r="E8" i="12"/>
  <c r="E5" i="12"/>
  <c r="H6" i="2"/>
  <c r="I9" i="2"/>
  <c r="I23" i="6"/>
  <c r="E29" i="6"/>
  <c r="F24" i="12"/>
  <c r="E11" i="1" s="1"/>
  <c r="E43" i="4"/>
  <c r="E40" i="4"/>
  <c r="E37" i="4"/>
  <c r="E34" i="4"/>
  <c r="E31" i="4"/>
  <c r="E28" i="4"/>
  <c r="E25" i="4"/>
  <c r="E22" i="4"/>
  <c r="E19" i="4"/>
  <c r="E16" i="4"/>
  <c r="E13" i="4"/>
  <c r="E10" i="4"/>
  <c r="E7" i="4"/>
  <c r="E4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E41" i="4"/>
  <c r="E38" i="4"/>
  <c r="E35" i="4"/>
  <c r="E32" i="4"/>
  <c r="E29" i="4"/>
  <c r="E26" i="4"/>
  <c r="E23" i="4"/>
  <c r="E20" i="4"/>
  <c r="E17" i="4"/>
  <c r="E14" i="4"/>
  <c r="E11" i="4"/>
  <c r="E8" i="4"/>
  <c r="E5" i="4"/>
  <c r="I14" i="6"/>
  <c r="E20" i="6"/>
  <c r="I24" i="6"/>
  <c r="E30" i="6"/>
  <c r="I10" i="2"/>
  <c r="E18" i="2"/>
  <c r="I21" i="2"/>
  <c r="I28" i="2"/>
  <c r="E5" i="6"/>
  <c r="E15" i="6"/>
  <c r="H7" i="2"/>
  <c r="I5" i="10"/>
  <c r="I17" i="2"/>
  <c r="E26" i="6"/>
  <c r="E11" i="6"/>
  <c r="E21" i="6"/>
  <c r="E9" i="6"/>
  <c r="E6" i="6"/>
  <c r="E31" i="6"/>
  <c r="E28" i="6"/>
  <c r="E25" i="6"/>
  <c r="E22" i="6"/>
  <c r="E19" i="6"/>
  <c r="E16" i="6"/>
  <c r="E13" i="6"/>
  <c r="E10" i="6"/>
  <c r="E7" i="6"/>
  <c r="E4" i="6"/>
  <c r="E40" i="8"/>
  <c r="E37" i="8"/>
  <c r="E34" i="8"/>
  <c r="E31" i="8"/>
  <c r="E28" i="8"/>
  <c r="E25" i="8"/>
  <c r="E22" i="8"/>
  <c r="E19" i="8"/>
  <c r="E16" i="8"/>
  <c r="E13" i="8"/>
  <c r="E10" i="8"/>
  <c r="E7" i="8"/>
  <c r="E4" i="8"/>
  <c r="E39" i="8"/>
  <c r="E36" i="8"/>
  <c r="E33" i="8"/>
  <c r="E30" i="8"/>
  <c r="E27" i="8"/>
  <c r="E24" i="8"/>
  <c r="E21" i="8"/>
  <c r="E18" i="8"/>
  <c r="E15" i="8"/>
  <c r="E12" i="8"/>
  <c r="E9" i="8"/>
  <c r="E6" i="8"/>
  <c r="E41" i="8"/>
  <c r="E38" i="8"/>
  <c r="E35" i="8"/>
  <c r="E32" i="8"/>
  <c r="E29" i="8"/>
  <c r="E26" i="8"/>
  <c r="E23" i="8"/>
  <c r="E20" i="8"/>
  <c r="E17" i="8"/>
  <c r="E14" i="8"/>
  <c r="E11" i="8"/>
  <c r="E8" i="8"/>
  <c r="E5" i="8"/>
  <c r="H12" i="2"/>
  <c r="E17" i="6"/>
  <c r="E27" i="6"/>
  <c r="I26" i="2"/>
  <c r="E12" i="6"/>
  <c r="E6" i="10"/>
  <c r="E9" i="10"/>
  <c r="E12" i="10"/>
  <c r="E28" i="1" l="1"/>
  <c r="I8" i="2"/>
  <c r="I27" i="2"/>
  <c r="I7" i="10"/>
  <c r="H11" i="10"/>
  <c r="I11" i="2"/>
  <c r="H13" i="2"/>
  <c r="I5" i="2"/>
  <c r="H14" i="10"/>
  <c r="I20" i="2"/>
  <c r="H16" i="2"/>
  <c r="I8" i="10"/>
  <c r="I14" i="2"/>
  <c r="H16" i="10"/>
  <c r="I16" i="10"/>
  <c r="H4" i="10"/>
  <c r="I4" i="10"/>
  <c r="I4" i="2"/>
  <c r="H4" i="2"/>
  <c r="E30" i="2"/>
  <c r="H30" i="2" s="1"/>
  <c r="H25" i="2"/>
  <c r="H24" i="2"/>
  <c r="I10" i="10"/>
  <c r="H29" i="2"/>
  <c r="I29" i="2"/>
  <c r="D16" i="1"/>
  <c r="F16" i="1" s="1"/>
  <c r="H18" i="6"/>
  <c r="I18" i="6"/>
  <c r="H18" i="12"/>
  <c r="D23" i="1"/>
  <c r="I18" i="12"/>
  <c r="H8" i="6"/>
  <c r="I8" i="6"/>
  <c r="H38" i="4"/>
  <c r="I38" i="4"/>
  <c r="H36" i="4"/>
  <c r="I36" i="4"/>
  <c r="I31" i="4"/>
  <c r="H31" i="4"/>
  <c r="H9" i="10"/>
  <c r="I9" i="10"/>
  <c r="H9" i="8"/>
  <c r="I9" i="8"/>
  <c r="I7" i="8"/>
  <c r="H7" i="8"/>
  <c r="H4" i="6"/>
  <c r="I4" i="6"/>
  <c r="E33" i="6"/>
  <c r="H6" i="6"/>
  <c r="I6" i="6"/>
  <c r="H21" i="12"/>
  <c r="I21" i="12"/>
  <c r="I23" i="8"/>
  <c r="H23" i="8"/>
  <c r="H21" i="8"/>
  <c r="I21" i="8"/>
  <c r="I19" i="8"/>
  <c r="H19" i="8"/>
  <c r="H16" i="6"/>
  <c r="I16" i="6"/>
  <c r="H26" i="6"/>
  <c r="I26" i="6"/>
  <c r="D19" i="1"/>
  <c r="H17" i="4"/>
  <c r="I17" i="4"/>
  <c r="H15" i="4"/>
  <c r="I15" i="4"/>
  <c r="I10" i="4"/>
  <c r="H10" i="4"/>
  <c r="D24" i="1"/>
  <c r="H8" i="12"/>
  <c r="I8" i="12"/>
  <c r="E24" i="12"/>
  <c r="D26" i="1"/>
  <c r="I4" i="12"/>
  <c r="H4" i="12"/>
  <c r="E12" i="1"/>
  <c r="H12" i="6"/>
  <c r="I12" i="6"/>
  <c r="H17" i="8"/>
  <c r="I17" i="8"/>
  <c r="H15" i="8"/>
  <c r="I15" i="8"/>
  <c r="H10" i="6"/>
  <c r="I10" i="6"/>
  <c r="H5" i="6"/>
  <c r="I5" i="6"/>
  <c r="I40" i="4"/>
  <c r="H40" i="4"/>
  <c r="H18" i="8"/>
  <c r="I18" i="8"/>
  <c r="H13" i="6"/>
  <c r="I13" i="6"/>
  <c r="H11" i="6"/>
  <c r="I11" i="6"/>
  <c r="H14" i="4"/>
  <c r="I14" i="4"/>
  <c r="H12" i="4"/>
  <c r="I12" i="4"/>
  <c r="D20" i="1"/>
  <c r="I43" i="4"/>
  <c r="H43" i="4"/>
  <c r="H24" i="8"/>
  <c r="I24" i="8"/>
  <c r="I22" i="8"/>
  <c r="H22" i="8"/>
  <c r="H19" i="6"/>
  <c r="I19" i="6"/>
  <c r="H18" i="2"/>
  <c r="I18" i="2"/>
  <c r="I20" i="4"/>
  <c r="H20" i="4"/>
  <c r="H18" i="4"/>
  <c r="I18" i="4"/>
  <c r="I13" i="4"/>
  <c r="H13" i="4"/>
  <c r="I11" i="12"/>
  <c r="H11" i="12"/>
  <c r="I7" i="12"/>
  <c r="H7" i="12"/>
  <c r="I35" i="8"/>
  <c r="H35" i="8"/>
  <c r="H33" i="8"/>
  <c r="I33" i="8"/>
  <c r="I31" i="8"/>
  <c r="H31" i="8"/>
  <c r="H28" i="6"/>
  <c r="I28" i="6"/>
  <c r="I29" i="4"/>
  <c r="H29" i="4"/>
  <c r="H27" i="4"/>
  <c r="E5" i="5" s="1"/>
  <c r="I27" i="4"/>
  <c r="I22" i="4"/>
  <c r="H22" i="4"/>
  <c r="I20" i="12"/>
  <c r="H20" i="12"/>
  <c r="H16" i="12"/>
  <c r="E4" i="13" s="1"/>
  <c r="I16" i="12"/>
  <c r="H12" i="10"/>
  <c r="I12" i="10"/>
  <c r="H8" i="8"/>
  <c r="I8" i="8"/>
  <c r="H6" i="8"/>
  <c r="I6" i="8"/>
  <c r="E42" i="8"/>
  <c r="I4" i="8"/>
  <c r="H4" i="8"/>
  <c r="I40" i="8"/>
  <c r="H40" i="8"/>
  <c r="I11" i="8"/>
  <c r="H11" i="8"/>
  <c r="I5" i="4"/>
  <c r="H5" i="4"/>
  <c r="I41" i="4"/>
  <c r="H41" i="4"/>
  <c r="H39" i="4"/>
  <c r="D18" i="1"/>
  <c r="I39" i="4"/>
  <c r="I34" i="4"/>
  <c r="H34" i="4"/>
  <c r="H12" i="12"/>
  <c r="I12" i="12"/>
  <c r="H6" i="10"/>
  <c r="I6" i="10"/>
  <c r="I14" i="8"/>
  <c r="H14" i="8"/>
  <c r="H12" i="8"/>
  <c r="I12" i="8"/>
  <c r="I10" i="8"/>
  <c r="H10" i="8"/>
  <c r="E4" i="9" s="1"/>
  <c r="H7" i="6"/>
  <c r="I7" i="6"/>
  <c r="H9" i="6"/>
  <c r="I9" i="6"/>
  <c r="H15" i="6"/>
  <c r="I15" i="6"/>
  <c r="I8" i="4"/>
  <c r="H8" i="4"/>
  <c r="H6" i="4"/>
  <c r="I6" i="4"/>
  <c r="H42" i="4"/>
  <c r="I42" i="4"/>
  <c r="I37" i="4"/>
  <c r="H37" i="4"/>
  <c r="H15" i="12"/>
  <c r="I15" i="12"/>
  <c r="D27" i="1"/>
  <c r="I13" i="8"/>
  <c r="H13" i="8"/>
  <c r="H21" i="6"/>
  <c r="I21" i="6"/>
  <c r="I11" i="4"/>
  <c r="H11" i="4"/>
  <c r="E4" i="5" s="1"/>
  <c r="H9" i="4"/>
  <c r="I9" i="4"/>
  <c r="E44" i="4"/>
  <c r="D22" i="1"/>
  <c r="I4" i="4"/>
  <c r="H4" i="4"/>
  <c r="I20" i="8"/>
  <c r="H20" i="8"/>
  <c r="I16" i="8"/>
  <c r="H16" i="8"/>
  <c r="I7" i="4"/>
  <c r="H7" i="4"/>
  <c r="I5" i="12"/>
  <c r="H5" i="12"/>
  <c r="I26" i="8"/>
  <c r="H26" i="8"/>
  <c r="H27" i="6"/>
  <c r="I27" i="6"/>
  <c r="H29" i="8"/>
  <c r="I29" i="8"/>
  <c r="H27" i="8"/>
  <c r="I27" i="8"/>
  <c r="I25" i="8"/>
  <c r="H25" i="8"/>
  <c r="E5" i="9" s="1"/>
  <c r="H22" i="6"/>
  <c r="I22" i="6"/>
  <c r="I23" i="4"/>
  <c r="H23" i="4"/>
  <c r="H21" i="4"/>
  <c r="I21" i="4"/>
  <c r="D21" i="1"/>
  <c r="I16" i="4"/>
  <c r="H16" i="4"/>
  <c r="I14" i="12"/>
  <c r="H14" i="12"/>
  <c r="D25" i="1"/>
  <c r="I10" i="12"/>
  <c r="H10" i="12"/>
  <c r="H17" i="6"/>
  <c r="I17" i="6"/>
  <c r="H32" i="8"/>
  <c r="I32" i="8"/>
  <c r="H30" i="8"/>
  <c r="I30" i="8"/>
  <c r="I28" i="8"/>
  <c r="H28" i="8"/>
  <c r="H25" i="6"/>
  <c r="I25" i="6"/>
  <c r="H30" i="6"/>
  <c r="I30" i="6"/>
  <c r="I26" i="4"/>
  <c r="H26" i="4"/>
  <c r="H24" i="4"/>
  <c r="I24" i="4"/>
  <c r="D17" i="1"/>
  <c r="I19" i="4"/>
  <c r="H19" i="4"/>
  <c r="I17" i="12"/>
  <c r="H17" i="12"/>
  <c r="I13" i="12"/>
  <c r="H13" i="12"/>
  <c r="I38" i="8"/>
  <c r="H38" i="8"/>
  <c r="H36" i="8"/>
  <c r="I36" i="8"/>
  <c r="I34" i="8"/>
  <c r="H34" i="8"/>
  <c r="H31" i="6"/>
  <c r="I31" i="6"/>
  <c r="H20" i="6"/>
  <c r="I20" i="6"/>
  <c r="I32" i="4"/>
  <c r="H32" i="4"/>
  <c r="H30" i="4"/>
  <c r="I30" i="4"/>
  <c r="I25" i="4"/>
  <c r="H25" i="4"/>
  <c r="H29" i="6"/>
  <c r="I29" i="6"/>
  <c r="I23" i="12"/>
  <c r="H23" i="12"/>
  <c r="H19" i="12"/>
  <c r="I19" i="12"/>
  <c r="I5" i="8"/>
  <c r="H5" i="8"/>
  <c r="I41" i="8"/>
  <c r="H41" i="8"/>
  <c r="H39" i="8"/>
  <c r="I39" i="8"/>
  <c r="I37" i="8"/>
  <c r="H37" i="8"/>
  <c r="E17" i="10"/>
  <c r="I35" i="4"/>
  <c r="H35" i="4"/>
  <c r="H33" i="4"/>
  <c r="I33" i="4"/>
  <c r="I28" i="4"/>
  <c r="H28" i="4"/>
  <c r="H6" i="12"/>
  <c r="I6" i="12"/>
  <c r="H22" i="12"/>
  <c r="I22" i="12"/>
  <c r="H9" i="12"/>
  <c r="I9" i="12"/>
  <c r="G16" i="1" l="1"/>
  <c r="I30" i="2"/>
  <c r="D6" i="1"/>
  <c r="F6" i="1" s="1"/>
  <c r="F24" i="1"/>
  <c r="G24" i="1"/>
  <c r="F27" i="1"/>
  <c r="G27" i="1"/>
  <c r="F22" i="1"/>
  <c r="G22" i="1"/>
  <c r="F19" i="1"/>
  <c r="G19" i="1"/>
  <c r="F20" i="1"/>
  <c r="G20" i="1"/>
  <c r="G6" i="1"/>
  <c r="F26" i="1"/>
  <c r="G26" i="1"/>
  <c r="I44" i="4"/>
  <c r="D7" i="1"/>
  <c r="H44" i="4"/>
  <c r="F23" i="1"/>
  <c r="G23" i="1"/>
  <c r="I17" i="10"/>
  <c r="H17" i="10"/>
  <c r="D10" i="1"/>
  <c r="I24" i="12"/>
  <c r="H24" i="12"/>
  <c r="D11" i="1"/>
  <c r="F25" i="1"/>
  <c r="G25" i="1"/>
  <c r="F18" i="1"/>
  <c r="G18" i="1"/>
  <c r="F17" i="1"/>
  <c r="G17" i="1"/>
  <c r="I42" i="8"/>
  <c r="D9" i="1"/>
  <c r="H42" i="8"/>
  <c r="F21" i="1"/>
  <c r="G21" i="1"/>
  <c r="I33" i="6"/>
  <c r="D8" i="1"/>
  <c r="H33" i="6"/>
  <c r="D28" i="1"/>
  <c r="D12" i="1" l="1"/>
  <c r="A30" i="1"/>
  <c r="F12" i="1"/>
  <c r="F9" i="1"/>
  <c r="G9" i="1"/>
  <c r="G12" i="1"/>
  <c r="F7" i="1"/>
  <c r="G7" i="1"/>
  <c r="F8" i="1"/>
  <c r="G8" i="1"/>
  <c r="F28" i="1"/>
  <c r="G28" i="1"/>
  <c r="F11" i="1"/>
  <c r="G11" i="1"/>
  <c r="F10" i="1"/>
  <c r="G10" i="1"/>
</calcChain>
</file>

<file path=xl/sharedStrings.xml><?xml version="1.0" encoding="utf-8"?>
<sst xmlns="http://schemas.openxmlformats.org/spreadsheetml/2006/main" count="739" uniqueCount="400">
  <si>
    <t>ACA / SAMA — IT Budget Summary  |  FY 2026-27  |  Live-Linked to Trackers  |  KWD</t>
  </si>
  <si>
    <t>▶  MASTER SCENARIO:</t>
  </si>
  <si>
    <t>Offline Optimized</t>
  </si>
  <si>
    <t>← one control drives every tracker. Approved 2025-26 = frozen prior-year.</t>
  </si>
  <si>
    <t xml:space="preserve">  ▶  SECTION 1 — BY ENTITY &amp; CATEGORY</t>
  </si>
  <si>
    <t>Entity / Category</t>
  </si>
  <si>
    <t>Approved
2025-26</t>
  </si>
  <si>
    <t>Budget
2026-27</t>
  </si>
  <si>
    <t>Utilized</t>
  </si>
  <si>
    <t>Available</t>
  </si>
  <si>
    <t>%
Used</t>
  </si>
  <si>
    <t>Notes</t>
  </si>
  <si>
    <t>ACA Hawally — Capital</t>
  </si>
  <si>
    <t>ACA Hawally — Consumables</t>
  </si>
  <si>
    <t>ACA Salmiya — Capital</t>
  </si>
  <si>
    <t>ACA Salmiya — Consumables</t>
  </si>
  <si>
    <t>SAMA — Capital</t>
  </si>
  <si>
    <t>SAMA — Consumables</t>
  </si>
  <si>
    <t>GRAND TOTAL — IT BUDGET</t>
  </si>
  <si>
    <t xml:space="preserve">  ▶  SECTION 2 — BY GL CODE  (all entities, current scenario)</t>
  </si>
  <si>
    <t>GL Code</t>
  </si>
  <si>
    <t>GL Description</t>
  </si>
  <si>
    <t>IT &amp; Computer Equipment (Capex)</t>
  </si>
  <si>
    <t>Communication / Bulk SMS Charges</t>
  </si>
  <si>
    <t>Toners, Cartridges &amp; Accessories</t>
  </si>
  <si>
    <t>Computer &amp; Server Maintenance</t>
  </si>
  <si>
    <t>Software Licensing &amp; Maintenance</t>
  </si>
  <si>
    <t>Subscriptions / Educational Software</t>
  </si>
  <si>
    <t>Internet &amp; ISDN Subscriptions</t>
  </si>
  <si>
    <t>IT Training &amp; PD - Admin (SAMA)</t>
  </si>
  <si>
    <t>Software Licenses - Admin (SAMA)</t>
  </si>
  <si>
    <t>Domain Name Registration - Admin (SAMA)</t>
  </si>
  <si>
    <t>Internet &amp; Communication - Admin (SAMA)</t>
  </si>
  <si>
    <t>Website Support - Admin (SAMA)</t>
  </si>
  <si>
    <t>GL CODE GRAND TOTAL</t>
  </si>
  <si>
    <t>ACA Hawally — IT Capital Budget Tracker  |  FY 2026-27  |  KWD</t>
  </si>
  <si>
    <t>▶  Budget scenario (set on Summary):</t>
  </si>
  <si>
    <t>Budget = Approved+Adjustments basis  |  Adjustments (G) transfer between lines  |  Available = Budget+Adj−Utilized  |  Utilization bar: green ≤50 / amber 50–75 / red &gt;75</t>
  </si>
  <si>
    <t>Unique Code</t>
  </si>
  <si>
    <t>Line</t>
  </si>
  <si>
    <t>Description</t>
  </si>
  <si>
    <t>Budget 2026-27
(scenario)</t>
  </si>
  <si>
    <t>Utilized
(SUMIF)</t>
  </si>
  <si>
    <t>Adjustments
(Transfer ±)</t>
  </si>
  <si>
    <t>Available
Balance</t>
  </si>
  <si>
    <t>Utilization</t>
  </si>
  <si>
    <t>ACAH-CAP-01</t>
  </si>
  <si>
    <t>Laptops - Teachers</t>
  </si>
  <si>
    <t>ACAH-CAP-02</t>
  </si>
  <si>
    <t>Laptops - Admin</t>
  </si>
  <si>
    <t>ACAH-CAP-03</t>
  </si>
  <si>
    <t>Desktops - Admin</t>
  </si>
  <si>
    <t>ACAH-CAP-04</t>
  </si>
  <si>
    <t>iPads / Tablets</t>
  </si>
  <si>
    <t>ACAH-CAP-05</t>
  </si>
  <si>
    <t>Interactive Projectors and Laser Projectors</t>
  </si>
  <si>
    <t>ACAH-CAP-06</t>
  </si>
  <si>
    <t>Digital Signage</t>
  </si>
  <si>
    <t>ACAH-CAP-07</t>
  </si>
  <si>
    <t>MacBook</t>
  </si>
  <si>
    <t>ACAH-CAP-08</t>
  </si>
  <si>
    <t>Carts for iPads / Tablets / Laptops / Virtual Reality</t>
  </si>
  <si>
    <t>ACAH-CAP-09</t>
  </si>
  <si>
    <t>Sync Station / Smart Locker</t>
  </si>
  <si>
    <t>ACAH-CAP-10</t>
  </si>
  <si>
    <t>Feeder Scanners / Flatbed Scanners</t>
  </si>
  <si>
    <t>ACAH-CAP-11</t>
  </si>
  <si>
    <t>Printers / Copiers</t>
  </si>
  <si>
    <t>ACAH-CAP-12</t>
  </si>
  <si>
    <t>Interactive Tables and Touch Screens</t>
  </si>
  <si>
    <t>ACAH-CAP-13</t>
  </si>
  <si>
    <t>Robotics - VR - XR - STEM - 3D - Design - Equipment</t>
  </si>
  <si>
    <t>ACAH-CAP-14</t>
  </si>
  <si>
    <t>POE Gigabit Switches</t>
  </si>
  <si>
    <t>ACAH-CAP-15</t>
  </si>
  <si>
    <t>Managed Wireless Solution</t>
  </si>
  <si>
    <t>ACAH-CAP-16</t>
  </si>
  <si>
    <t>Firewall / UTM / WIF</t>
  </si>
  <si>
    <t>ACAH-CAP-17</t>
  </si>
  <si>
    <t>Networking / Electrical / Cabling</t>
  </si>
  <si>
    <t>ACAH-CAP-18</t>
  </si>
  <si>
    <t>UPS / Server Room / Switches</t>
  </si>
  <si>
    <t>ACAH-CAP-19</t>
  </si>
  <si>
    <t>IP CCTV Solution</t>
  </si>
  <si>
    <t>ACAH-CAP-20</t>
  </si>
  <si>
    <t>PA, Bell System - Emergency System</t>
  </si>
  <si>
    <t>ACAH-CAP-21</t>
  </si>
  <si>
    <t>AR - Face Recognition + Temp + Cameras</t>
  </si>
  <si>
    <t>ACAH-CAP-22</t>
  </si>
  <si>
    <t>Access Control</t>
  </si>
  <si>
    <t>ACAH-CAP-23</t>
  </si>
  <si>
    <t>IP Phone System</t>
  </si>
  <si>
    <t>ACAH-CAP-24</t>
  </si>
  <si>
    <t>Visitor Management System</t>
  </si>
  <si>
    <t>ACAH-CAP-25</t>
  </si>
  <si>
    <t>Website</t>
  </si>
  <si>
    <t>ACAH-CAP-26</t>
  </si>
  <si>
    <t>Miscellaneous - Petty Cash</t>
  </si>
  <si>
    <t>TOTAL — ACA Hawally IT Capital</t>
  </si>
  <si>
    <t>ACA Hawally — IT Capital Expense / Commitment Log  |  FY 2026-27  |  KWD</t>
  </si>
  <si>
    <t>CODES</t>
  </si>
  <si>
    <t>Pick the Unique Code from the dropdown — Budget Available shows the remaining balance before you enter the amount.  Amounts feed the ACAH Capital Tracker automatically.</t>
  </si>
  <si>
    <t>Date</t>
  </si>
  <si>
    <t>Ref / PRQ No.</t>
  </si>
  <si>
    <t>Description / Vendor</t>
  </si>
  <si>
    <t>Unique Code
(Dropdown ▼)</t>
  </si>
  <si>
    <t>Budget
Available ★</t>
  </si>
  <si>
    <t>Amount
(KD)</t>
  </si>
  <si>
    <t>GL Code
(auto)</t>
  </si>
  <si>
    <t>Remarks</t>
  </si>
  <si>
    <t>TOTAL LOGGED</t>
  </si>
  <si>
    <t>ACA Hawally — IT Consumables Budget Tracker  |  FY 2026-27  |  KWD</t>
  </si>
  <si>
    <t>ACAH-CON-01</t>
  </si>
  <si>
    <t>01</t>
  </si>
  <si>
    <t>Internet Subscription - KEMS</t>
  </si>
  <si>
    <t>ACAH-CON-02</t>
  </si>
  <si>
    <t>02</t>
  </si>
  <si>
    <t>ISDN Annual Subscription - KEMS</t>
  </si>
  <si>
    <t>ACAH-CON-03</t>
  </si>
  <si>
    <t>03</t>
  </si>
  <si>
    <t>Data Link - Ministry Purpose (KEMS)</t>
  </si>
  <si>
    <t>ACAH-CON-04</t>
  </si>
  <si>
    <t>04</t>
  </si>
  <si>
    <t>Internet Subscription - Zain</t>
  </si>
  <si>
    <t>ACAH-CON-05</t>
  </si>
  <si>
    <t>05</t>
  </si>
  <si>
    <t>Internet Subscription - 5G (Principals / Buildings)</t>
  </si>
  <si>
    <t>ACAH-CON-06</t>
  </si>
  <si>
    <t>06</t>
  </si>
  <si>
    <t>Fiber Rental - MOT</t>
  </si>
  <si>
    <t>ACAH-CON-07</t>
  </si>
  <si>
    <t>07</t>
  </si>
  <si>
    <t>Fiber Rental - Boys to Girls Campus (MOT)</t>
  </si>
  <si>
    <t>ACAH-CON-08</t>
  </si>
  <si>
    <t>08</t>
  </si>
  <si>
    <t>Microsoft Licenses</t>
  </si>
  <si>
    <t>ACAH-CON-09</t>
  </si>
  <si>
    <t>09</t>
  </si>
  <si>
    <t>Firewall License - Fortigate</t>
  </si>
  <si>
    <t>ACAH-CON-10</t>
  </si>
  <si>
    <t>10</t>
  </si>
  <si>
    <t>Firewall License Sophos XGS4300 (Staff)</t>
  </si>
  <si>
    <t>ACAH-CON-11</t>
  </si>
  <si>
    <t>11</t>
  </si>
  <si>
    <t>Firewall License Sophos XGS5500 (Students)</t>
  </si>
  <si>
    <t>ACAH-CON-12</t>
  </si>
  <si>
    <t>12</t>
  </si>
  <si>
    <t>Surveillance Renewal Support and Maintenance</t>
  </si>
  <si>
    <t>ACAH-CON-13</t>
  </si>
  <si>
    <t>13</t>
  </si>
  <si>
    <t>Antivirus and Email Protection</t>
  </si>
  <si>
    <t>ACAH-CON-14</t>
  </si>
  <si>
    <t>14</t>
  </si>
  <si>
    <t>Projector Support and Maintenance</t>
  </si>
  <si>
    <t>ACAH-CON-15</t>
  </si>
  <si>
    <t>15</t>
  </si>
  <si>
    <t>Carts / Cabinets / Sync Stations Support and Maint.</t>
  </si>
  <si>
    <t>ACAH-CON-16</t>
  </si>
  <si>
    <t>16</t>
  </si>
  <si>
    <t>Website Support / New Modules + CRM</t>
  </si>
  <si>
    <t>ACAH-CON-17</t>
  </si>
  <si>
    <t>17</t>
  </si>
  <si>
    <t>AVAYA IP Office SLA + SIP Lic + Connectors</t>
  </si>
  <si>
    <t>ACAH-CON-18</t>
  </si>
  <si>
    <t>18</t>
  </si>
  <si>
    <t>Digital Signage Licenses</t>
  </si>
  <si>
    <t>ACAH-CON-19</t>
  </si>
  <si>
    <t>19</t>
  </si>
  <si>
    <t>Bell System / Emergency System Renewal and Maint.</t>
  </si>
  <si>
    <t>ACAH-CON-20</t>
  </si>
  <si>
    <t>20</t>
  </si>
  <si>
    <t>Mobile Device Management Server</t>
  </si>
  <si>
    <t>ACAH-CON-21</t>
  </si>
  <si>
    <t>21</t>
  </si>
  <si>
    <t>Communication SMS / WhatsApp / Chatbot</t>
  </si>
  <si>
    <t>ACAH-CON-22</t>
  </si>
  <si>
    <t>22</t>
  </si>
  <si>
    <t>AI Solutions</t>
  </si>
  <si>
    <t>ACAH-CON-23</t>
  </si>
  <si>
    <t>23</t>
  </si>
  <si>
    <t>SLA for Access Control and Face Stations</t>
  </si>
  <si>
    <t>ACAH-CON-24</t>
  </si>
  <si>
    <t>24</t>
  </si>
  <si>
    <t>EduPay</t>
  </si>
  <si>
    <t>ACAH-CON-25</t>
  </si>
  <si>
    <t>25</t>
  </si>
  <si>
    <t>Wireless Renewal / New Licenses</t>
  </si>
  <si>
    <t>ACAH-CON-26</t>
  </si>
  <si>
    <t>26</t>
  </si>
  <si>
    <t>School Management Software / VR and AR Subscriptions</t>
  </si>
  <si>
    <t>ACAH-CON-27</t>
  </si>
  <si>
    <t>27</t>
  </si>
  <si>
    <t>EduNation</t>
  </si>
  <si>
    <t>ACAH-CON-28</t>
  </si>
  <si>
    <t>28</t>
  </si>
  <si>
    <t>Redicker / Admin Plus / Teacher Plus / Parent Plus</t>
  </si>
  <si>
    <t>ACAH-CON-29</t>
  </si>
  <si>
    <t>29</t>
  </si>
  <si>
    <t>Follett</t>
  </si>
  <si>
    <t>ACAH-CON-30</t>
  </si>
  <si>
    <t>30</t>
  </si>
  <si>
    <t>EBSCO</t>
  </si>
  <si>
    <t>ACAH-CON-31</t>
  </si>
  <si>
    <t>31</t>
  </si>
  <si>
    <t>IXL - Raz Kids - Brain Pop</t>
  </si>
  <si>
    <t>ACAH-CON-32</t>
  </si>
  <si>
    <t>32</t>
  </si>
  <si>
    <t>NEO and MYU</t>
  </si>
  <si>
    <t>ACAH-CON-33</t>
  </si>
  <si>
    <t>33</t>
  </si>
  <si>
    <t>Magic School</t>
  </si>
  <si>
    <t>ACAH-CON-34</t>
  </si>
  <si>
    <t>34</t>
  </si>
  <si>
    <t>Little Thinkers (I Read Arabic) - Alf Ba Ta</t>
  </si>
  <si>
    <t>ACAH-CON-35</t>
  </si>
  <si>
    <t>35</t>
  </si>
  <si>
    <t>Manage Engine</t>
  </si>
  <si>
    <t>ACAH-CON-36</t>
  </si>
  <si>
    <t>36</t>
  </si>
  <si>
    <t>Toners, Cartridges</t>
  </si>
  <si>
    <t>ACAH-CON-37</t>
  </si>
  <si>
    <t>37</t>
  </si>
  <si>
    <t>Computer / Server Maintenance and Repair</t>
  </si>
  <si>
    <t>ACAH-CON-38</t>
  </si>
  <si>
    <t>38</t>
  </si>
  <si>
    <t>Projectors Spare Parts and Lamp Replacement</t>
  </si>
  <si>
    <t>ACAH-CON-39</t>
  </si>
  <si>
    <t>39</t>
  </si>
  <si>
    <t>Accessories for iPads / PCs / Tablets / Other</t>
  </si>
  <si>
    <t>ACAH-CON-40</t>
  </si>
  <si>
    <t>40</t>
  </si>
  <si>
    <t>Miscellaneous</t>
  </si>
  <si>
    <t>TOTAL — ACA Hawally IT Consumables</t>
  </si>
  <si>
    <t>ACA Hawally — IT Consumables Expense / Commitment Log  |  FY 2026-27  |  KWD</t>
  </si>
  <si>
    <t>Pick the Unique Code from the dropdown — Budget Available shows the remaining balance before you enter the amount.  Amounts feed the ACAH Consumables Tracker automatically.</t>
  </si>
  <si>
    <t>PO</t>
  </si>
  <si>
    <t>Microsift License</t>
  </si>
  <si>
    <t>ACA Salmiya — IT Capital Budget Tracker  |  FY 2026-27  |  KWD</t>
  </si>
  <si>
    <t>ACAS-CAP-01</t>
  </si>
  <si>
    <t>Laptop - Teachers</t>
  </si>
  <si>
    <t>ACAS-CAP-02</t>
  </si>
  <si>
    <t>ACAS-CAP-03</t>
  </si>
  <si>
    <t>ACAS-CAP-04</t>
  </si>
  <si>
    <t>ACAS-CAP-05</t>
  </si>
  <si>
    <t>ACAS-CAP-06</t>
  </si>
  <si>
    <t>ACAS-CAP-07</t>
  </si>
  <si>
    <t>MacBooks</t>
  </si>
  <si>
    <t>ACAS-CAP-08</t>
  </si>
  <si>
    <t>ACAS-CAP-09</t>
  </si>
  <si>
    <t>ACAS-CAP-10</t>
  </si>
  <si>
    <t>ACAS-CAP-11</t>
  </si>
  <si>
    <t>ACAS-CAP-12</t>
  </si>
  <si>
    <t>ID Card Printer</t>
  </si>
  <si>
    <t>ACAS-CAP-13</t>
  </si>
  <si>
    <t>ACAS-CAP-14</t>
  </si>
  <si>
    <t>TV Monitors</t>
  </si>
  <si>
    <t>ACAS-CAP-15</t>
  </si>
  <si>
    <t>ACAS-CAP-16</t>
  </si>
  <si>
    <t>POE Gigabit Switches - 48 Port CISCO</t>
  </si>
  <si>
    <t>ACAS-CAP-17</t>
  </si>
  <si>
    <t>ACAS-CAP-18</t>
  </si>
  <si>
    <t>Firewall - Upgrade</t>
  </si>
  <si>
    <t>ACAS-CAP-19</t>
  </si>
  <si>
    <t>Networking / Electrical Cabling</t>
  </si>
  <si>
    <t>ACAS-CAP-20</t>
  </si>
  <si>
    <t>ACAS-CAP-21</t>
  </si>
  <si>
    <t>IP CCTV - Upgrade</t>
  </si>
  <si>
    <t>ACAS-CAP-22</t>
  </si>
  <si>
    <t>ACAS-CAP-23</t>
  </si>
  <si>
    <t>ACAS-CAP-24</t>
  </si>
  <si>
    <t>Thermal Cameras + Sensors + Log Register + Tag</t>
  </si>
  <si>
    <t>ACAS-CAP-25</t>
  </si>
  <si>
    <t>ACAS-CAP-26</t>
  </si>
  <si>
    <t>ACAS-CAP-27</t>
  </si>
  <si>
    <t>ACAS-CAP-28</t>
  </si>
  <si>
    <t>ACAS-CAP-29</t>
  </si>
  <si>
    <t>Miscellaneous - Emergency</t>
  </si>
  <si>
    <t>TOTAL — ACA Salmiya IT Capital</t>
  </si>
  <si>
    <t>ACA Salmiya — IT Capital Expense / Commitment Log  |  FY 2026-27  |  KWD</t>
  </si>
  <si>
    <t>Pick the Unique Code from the dropdown — Budget Available shows the remaining balance before you enter the amount.  Amounts feed the ACAS Capital Tracker automatically.</t>
  </si>
  <si>
    <t>ACA Salmiya — IT Consumables Budget Tracker  |  FY 2026-27  |  KWD</t>
  </si>
  <si>
    <t>ACAS-CON-01</t>
  </si>
  <si>
    <t>ACAS-CON-02</t>
  </si>
  <si>
    <t>ACAS-CON-03</t>
  </si>
  <si>
    <t>ACAS-CON-04</t>
  </si>
  <si>
    <t>ACAS-CON-05</t>
  </si>
  <si>
    <t>Internet Subscription - 5G</t>
  </si>
  <si>
    <t>ACAS-CON-06</t>
  </si>
  <si>
    <t>ACAS-CON-07</t>
  </si>
  <si>
    <t>ACAS-CON-08</t>
  </si>
  <si>
    <t>Firewall License Sophos XGS3300 (Staff)</t>
  </si>
  <si>
    <t>ACAS-CON-09</t>
  </si>
  <si>
    <t>Firewall License Sophos XGS4300 (Students)</t>
  </si>
  <si>
    <t>ACAS-CON-10</t>
  </si>
  <si>
    <t>ACAS-CON-11</t>
  </si>
  <si>
    <t>ACAS-CON-12</t>
  </si>
  <si>
    <t>Carts Support and Maintenance</t>
  </si>
  <si>
    <t>ACAS-CON-13</t>
  </si>
  <si>
    <t>Projector Maintenance</t>
  </si>
  <si>
    <t>ACAS-CON-14</t>
  </si>
  <si>
    <t>Training for Educational Solutions</t>
  </si>
  <si>
    <t>ACAS-CON-15</t>
  </si>
  <si>
    <t>ACAS-CON-16</t>
  </si>
  <si>
    <t>ACAS-CON-17</t>
  </si>
  <si>
    <t>ACAS-CON-18</t>
  </si>
  <si>
    <t>ACAS-CON-19</t>
  </si>
  <si>
    <t>ACAS-CON-20</t>
  </si>
  <si>
    <t>ACAS-CON-21</t>
  </si>
  <si>
    <t>ACAS-CON-22</t>
  </si>
  <si>
    <t>ACAS-CON-23</t>
  </si>
  <si>
    <t>ACAS-CON-24</t>
  </si>
  <si>
    <t>ACAS-CON-25</t>
  </si>
  <si>
    <t>ACAS-CON-26</t>
  </si>
  <si>
    <t>ACAS-CON-27</t>
  </si>
  <si>
    <t>Follett / Follett Destiny / TextBook Manager</t>
  </si>
  <si>
    <t>ACAS-CON-28</t>
  </si>
  <si>
    <t>ACAS-CON-29</t>
  </si>
  <si>
    <t>IXL - Victory XR - Raz Kids - Brain Pop</t>
  </si>
  <si>
    <t>ACAS-CON-30</t>
  </si>
  <si>
    <t>ACAS-CON-31</t>
  </si>
  <si>
    <t>Magic School / AI Solutions</t>
  </si>
  <si>
    <t>ACAS-CON-32</t>
  </si>
  <si>
    <t>ACAS-CON-33</t>
  </si>
  <si>
    <t>ACAS-CON-34</t>
  </si>
  <si>
    <t>ACAS-CON-35</t>
  </si>
  <si>
    <t>Computer Maintenance and Repair</t>
  </si>
  <si>
    <t>ACAS-CON-36</t>
  </si>
  <si>
    <t>ACAS-CON-37</t>
  </si>
  <si>
    <t>ACAS-CON-38</t>
  </si>
  <si>
    <t>TOTAL — ACA Salmiya IT Consumables</t>
  </si>
  <si>
    <t>ACA Salmiya — IT Consumables Expense / Commitment Log  |  FY 2026-27  |  KWD</t>
  </si>
  <si>
    <t>Pick the Unique Code from the dropdown — Budget Available shows the remaining balance before you enter the amount.  Amounts feed the ACAS Consumables Tracker automatically.</t>
  </si>
  <si>
    <t>Microsoft Licence renewal</t>
  </si>
  <si>
    <t>SAMA — IT Capital Budget Tracker  |  FY 2026-27  |  KWD</t>
  </si>
  <si>
    <t>SAMA-CAP-01</t>
  </si>
  <si>
    <t>Desktops / Laptops</t>
  </si>
  <si>
    <t>SAMA-CAP-02</t>
  </si>
  <si>
    <t>Surface / AIO CFO/CCO</t>
  </si>
  <si>
    <t>SAMA-CAP-03</t>
  </si>
  <si>
    <t>Printers / Copier</t>
  </si>
  <si>
    <t>SAMA-CAP-04</t>
  </si>
  <si>
    <t>Network / Network Bridge</t>
  </si>
  <si>
    <t>SAMA-CAP-05</t>
  </si>
  <si>
    <t>Firewall - SMB</t>
  </si>
  <si>
    <t>SAMA-CAP-06</t>
  </si>
  <si>
    <t>Server for Dynamics AX / Hyperconversion Server</t>
  </si>
  <si>
    <t>SAMA-CAP-07</t>
  </si>
  <si>
    <t>Storage for Server / Hyperconversion Server</t>
  </si>
  <si>
    <t>SAMA-CAP-08</t>
  </si>
  <si>
    <t>IP Skype Phone - CEO Office</t>
  </si>
  <si>
    <t>SAMA-CAP-09</t>
  </si>
  <si>
    <t>Fingerprint Machines</t>
  </si>
  <si>
    <t>SAMA-CAP-10</t>
  </si>
  <si>
    <t>Social Media Software</t>
  </si>
  <si>
    <t>SAMA-CAP-11</t>
  </si>
  <si>
    <t>SIS System New or Upgrade</t>
  </si>
  <si>
    <t>SAMA-CAP-12</t>
  </si>
  <si>
    <t>Websites - Schools and SAMA</t>
  </si>
  <si>
    <t>SAMA-CAP-13</t>
  </si>
  <si>
    <t>TOTAL — SAMA IT Capital</t>
  </si>
  <si>
    <t>SAMA — IT Capital Expense / Commitment Log  |  FY 2026-27  |  KWD</t>
  </si>
  <si>
    <t>Pick the Unique Code from the dropdown — Budget Available shows the remaining balance before you enter the amount.  Amounts feed the SAMA Capital Tracker automatically.</t>
  </si>
  <si>
    <t>SAMA — IT Consumables Budget Tracker  |  FY 2026-27  |  KWD</t>
  </si>
  <si>
    <t>SAMA-CON-01</t>
  </si>
  <si>
    <t>Internet Subscription SAMA</t>
  </si>
  <si>
    <t>SAMA-CON-02</t>
  </si>
  <si>
    <t>DID Lines SAMA</t>
  </si>
  <si>
    <t>SAMA-CON-03</t>
  </si>
  <si>
    <t>Internet Subscription - 5G (SAMA/CEO/Principals)</t>
  </si>
  <si>
    <t>SAMA-CON-04</t>
  </si>
  <si>
    <t>ISDN Annual Subscription - Hawally 5</t>
  </si>
  <si>
    <t>SAMA-CON-05</t>
  </si>
  <si>
    <t>SAMA-CON-06</t>
  </si>
  <si>
    <t>SAMA-CON-07</t>
  </si>
  <si>
    <t>Domain Name Registration</t>
  </si>
  <si>
    <t>SAMA-CON-08</t>
  </si>
  <si>
    <t>Laserfiche</t>
  </si>
  <si>
    <t>SAMA-CON-09</t>
  </si>
  <si>
    <t>Dynamics and SIS SLA Agreements</t>
  </si>
  <si>
    <t>SAMA-CON-10</t>
  </si>
  <si>
    <t>Dynamics 365 New Users Licenses</t>
  </si>
  <si>
    <t>SAMA-CON-11</t>
  </si>
  <si>
    <t>Attendance Control Licenses</t>
  </si>
  <si>
    <t>SAMA-CON-12</t>
  </si>
  <si>
    <t>Website Support</t>
  </si>
  <si>
    <t>SAMA-CON-13</t>
  </si>
  <si>
    <t>SAMA-CON-14</t>
  </si>
  <si>
    <t>SAMA-CON-15</t>
  </si>
  <si>
    <t>Training &amp; Professional Development for IT</t>
  </si>
  <si>
    <t>SAMA-CON-16</t>
  </si>
  <si>
    <t>SAMA-CON-17</t>
  </si>
  <si>
    <t>SAMA-CON-18</t>
  </si>
  <si>
    <t>Computers' Maintenance</t>
  </si>
  <si>
    <t>SAMA-CON-19</t>
  </si>
  <si>
    <t>Computer Accessories</t>
  </si>
  <si>
    <t>SAMA-CON-20</t>
  </si>
  <si>
    <t>TOTAL — SAMA IT Consumables</t>
  </si>
  <si>
    <t>SAMA — IT Consumables Expense / Commitment Log  |  FY 2026-27  |  KWD</t>
  </si>
  <si>
    <t>Pick the Unique Code from the dropdown — Budget Available shows the remaining balance before you enter the amount.  Amounts feed the SAMA Consumables Tracker automatically.</t>
  </si>
  <si>
    <t>Nursery &amp;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</si>
</sst>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dd\-mmm\-yyyy"/>
  </numFmts>
  <fonts count="16">
    <font>
      <sz val="11"/>
      <color theme="1"/>
      <name val="Calibri"/>
      <family val="2"/>
      <charset val="1"/>
    </font>
    <font>
      <b/>
      <sz val="14"/>
      <color rgb="FF1F4E79"/>
      <name val="Cambria"/>
      <charset val="1"/>
    </font>
    <font>
      <b/>
      <sz val="10"/>
      <color rgb="FF1F4E79"/>
      <name val="Cambria"/>
      <charset val="1"/>
    </font>
    <font>
      <b/>
      <sz val="11"/>
      <color rgb="FFC00000"/>
      <name val="Cambria"/>
      <charset val="1"/>
    </font>
    <font>
      <i/>
      <sz val="9"/>
      <color rgb="FF5A6675"/>
      <name val="Cambria"/>
      <charset val="1"/>
    </font>
    <font>
      <b/>
      <sz val="9"/>
      <color rgb="FFFFFFFF"/>
      <name val="Calibri"/>
      <charset val="1"/>
    </font>
    <font>
      <sz val="9"/>
      <name val="Cambria"/>
      <charset val="1"/>
    </font>
    <font>
      <b/>
      <sz val="11"/>
      <color rgb="FFFFFFFF"/>
      <name val="Calibri"/>
      <charset val="1"/>
    </font>
    <font>
      <b/>
      <sz val="13"/>
      <color rgb="FF1F4E79"/>
      <name val="Cambria"/>
      <charset val="1"/>
    </font>
    <font>
      <b/>
      <sz val="9"/>
      <color rgb="FF1F4E79"/>
      <name val="Cambria"/>
      <charset val="1"/>
    </font>
    <font>
      <b/>
      <sz val="10"/>
      <color rgb="FFC00000"/>
      <name val="Cambria"/>
      <charset val="1"/>
    </font>
    <font>
      <i/>
      <sz val="8"/>
      <color rgb="FF5A6675"/>
      <name val="Cambria"/>
      <charset val="1"/>
    </font>
    <font>
      <sz val="9"/>
      <name val="Calibri"/>
      <charset val="1"/>
    </font>
    <font>
      <sz val="8"/>
      <color rgb="FFAAAAAA"/>
      <name val="Cambria"/>
      <charset val="1"/>
    </font>
    <font>
      <i/>
      <sz val="9"/>
      <color rgb="FF006100"/>
      <name val="Cambria"/>
      <charset val="1"/>
    </font>
    <font>
      <b/>
      <sz val="11"/>
      <color rgb="FF1F4E79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E6"/>
      </patternFill>
    </fill>
    <fill>
      <patternFill patternType="solid">
        <fgColor rgb="FFDCE6F1"/>
        <bgColor rgb="FFC7D2DD"/>
      </patternFill>
    </fill>
    <fill>
      <patternFill patternType="solid">
        <fgColor rgb="FF1F4E79"/>
        <bgColor rgb="FF0D4B5E"/>
      </patternFill>
    </fill>
    <fill>
      <patternFill patternType="solid">
        <fgColor rgb="FFF5F9FD"/>
        <bgColor rgb="FFFFFFFF"/>
      </patternFill>
    </fill>
    <fill>
      <patternFill patternType="solid">
        <fgColor rgb="FFFFF2E6"/>
        <bgColor rgb="FFFFF2CC"/>
      </patternFill>
    </fill>
    <fill>
      <patternFill patternType="solid">
        <fgColor rgb="FF0D4B5E"/>
        <bgColor rgb="FF1F4E79"/>
      </patternFill>
    </fill>
  </fills>
  <borders count="2">
    <border>
      <left/>
      <right/>
      <top/>
      <bottom/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thin">
        <color rgb="FFC7D2D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/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/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164" fontId="12" fillId="5" borderId="1" xfId="0" applyNumberFormat="1" applyFont="1" applyFill="1" applyBorder="1" applyAlignment="1">
      <alignment horizontal="right" vertical="center"/>
    </xf>
    <xf numFmtId="164" fontId="12" fillId="6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0" fontId="13" fillId="0" borderId="0" xfId="0" applyFont="1"/>
    <xf numFmtId="166" fontId="0" fillId="0" borderId="1" xfId="0" applyNumberFormat="1" applyBorder="1"/>
    <xf numFmtId="0" fontId="0" fillId="0" borderId="1" xfId="0" applyBorder="1"/>
    <xf numFmtId="164" fontId="14" fillId="0" borderId="1" xfId="0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15" fillId="0" borderId="0" xfId="0" applyFont="1"/>
    <xf numFmtId="164" fontId="15" fillId="0" borderId="0" xfId="0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8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18">
    <dxf>
      <font>
        <b/>
        <color rgb="FF00B050"/>
      </font>
    </dxf>
    <dxf>
      <font>
        <b/>
        <color rgb="FFFFC000"/>
      </font>
    </dxf>
    <dxf>
      <font>
        <b/>
        <color rgb="FFFF0000"/>
      </font>
    </dxf>
    <dxf>
      <font>
        <b/>
        <color rgb="FF00B050"/>
      </font>
    </dxf>
    <dxf>
      <font>
        <b/>
        <color rgb="FFFFC000"/>
      </font>
    </dxf>
    <dxf>
      <font>
        <b/>
        <color rgb="FFFF0000"/>
      </font>
    </dxf>
    <dxf>
      <font>
        <b/>
        <color rgb="FF00B050"/>
      </font>
    </dxf>
    <dxf>
      <font>
        <b/>
        <color rgb="FFFFC000"/>
      </font>
    </dxf>
    <dxf>
      <font>
        <b/>
        <color rgb="FFFF0000"/>
      </font>
    </dxf>
    <dxf>
      <font>
        <b/>
        <color rgb="FF00B050"/>
      </font>
    </dxf>
    <dxf>
      <font>
        <b/>
        <color rgb="FFFFC000"/>
      </font>
    </dxf>
    <dxf>
      <font>
        <b/>
        <color rgb="FFFF0000"/>
      </font>
    </dxf>
    <dxf>
      <font>
        <b/>
        <color rgb="FF00B050"/>
      </font>
    </dxf>
    <dxf>
      <font>
        <b/>
        <color rgb="FFFFC000"/>
      </font>
    </dxf>
    <dxf>
      <font>
        <b/>
        <color rgb="FFFF0000"/>
      </font>
    </dxf>
    <dxf>
      <font>
        <b/>
        <color rgb="FF00B050"/>
      </font>
    </dxf>
    <dxf>
      <font>
        <b/>
        <color rgb="FFFFC000"/>
      </font>
    </dxf>
    <dxf>
      <font>
        <b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7D2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D"/>
      <rgbColor rgb="FFCCFFCC"/>
      <rgbColor rgb="FFFFF2E6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A6675"/>
      <rgbColor rgb="FFAAAAAA"/>
      <rgbColor rgb="FF0D4B5E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pane ySplit="3" topLeftCell="A4" activePane="bottomLeft" state="frozen"/>
      <selection pane="bottomLeft" activeCell="E32" sqref="E32"/>
    </sheetView>
  </sheetViews>
  <sheetFormatPr defaultColWidth="8.7109375" defaultRowHeight="15"/>
  <cols>
    <col min="1" max="1" width="30" customWidth="1"/>
    <col min="2" max="2" width="40" customWidth="1"/>
    <col min="3" max="3" width="10" customWidth="1"/>
    <col min="4" max="6" width="13" customWidth="1"/>
    <col min="7" max="7" width="9" customWidth="1"/>
    <col min="8" max="8" width="22" customWidth="1"/>
  </cols>
  <sheetData>
    <row r="1" spans="1:8" ht="18">
      <c r="A1" s="33" t="s">
        <v>0</v>
      </c>
      <c r="B1" s="33"/>
      <c r="C1" s="33"/>
      <c r="D1" s="33"/>
      <c r="E1" s="33"/>
      <c r="F1" s="33"/>
      <c r="G1" s="33"/>
      <c r="H1" s="33"/>
    </row>
    <row r="2" spans="1:8" ht="15" customHeight="1">
      <c r="A2" s="1" t="s">
        <v>1</v>
      </c>
      <c r="C2" s="31" t="s">
        <v>2</v>
      </c>
      <c r="D2" s="31"/>
      <c r="E2" s="34" t="s">
        <v>3</v>
      </c>
      <c r="F2" s="34"/>
      <c r="G2" s="34"/>
      <c r="H2" s="34"/>
    </row>
    <row r="4" spans="1:8">
      <c r="A4" s="32" t="s">
        <v>4</v>
      </c>
      <c r="B4" s="32"/>
      <c r="C4" s="32"/>
      <c r="D4" s="32"/>
      <c r="E4" s="32"/>
      <c r="F4" s="32"/>
      <c r="G4" s="32"/>
      <c r="H4" s="32"/>
    </row>
    <row r="5" spans="1:8" ht="24">
      <c r="A5" s="2" t="s">
        <v>5</v>
      </c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</row>
    <row r="6" spans="1:8">
      <c r="A6" s="3" t="s">
        <v>12</v>
      </c>
      <c r="B6" s="4"/>
      <c r="C6" s="5">
        <f>'ACAH Capital Tracker'!M30</f>
        <v>74060</v>
      </c>
      <c r="D6" s="5">
        <f>'ACAH Capital Tracker'!E30</f>
        <v>54150</v>
      </c>
      <c r="E6" s="5">
        <f>'ACAH Capital Tracker'!F30</f>
        <v>0</v>
      </c>
      <c r="F6" s="5">
        <f t="shared" ref="F6:F12" si="0">D6-E6</f>
        <v>54150</v>
      </c>
      <c r="G6" s="6">
        <f t="shared" ref="G6:G12" si="1">IFERROR(E6/D6,0)</f>
        <v>0</v>
      </c>
      <c r="H6" s="4"/>
    </row>
    <row r="7" spans="1:8">
      <c r="A7" s="3" t="s">
        <v>13</v>
      </c>
      <c r="B7" s="4"/>
      <c r="C7" s="5">
        <f>'ACAH Consumables Tracker'!M44</f>
        <v>185940</v>
      </c>
      <c r="D7" s="5">
        <f>'ACAH Consumables Tracker'!E44</f>
        <v>197910</v>
      </c>
      <c r="E7" s="5">
        <f>'ACAH Consumables Tracker'!F44</f>
        <v>1776.818</v>
      </c>
      <c r="F7" s="5">
        <f t="shared" si="0"/>
        <v>196133.182</v>
      </c>
      <c r="G7" s="6">
        <f t="shared" si="1"/>
        <v>8.9779091506240211E-3</v>
      </c>
      <c r="H7" s="4"/>
    </row>
    <row r="8" spans="1:8">
      <c r="A8" s="3" t="s">
        <v>14</v>
      </c>
      <c r="B8" s="4"/>
      <c r="C8" s="5">
        <f>'ACAS Capital Tracker'!M33</f>
        <v>68190</v>
      </c>
      <c r="D8" s="5">
        <f>'ACAS Capital Tracker'!E33</f>
        <v>55625</v>
      </c>
      <c r="E8" s="5">
        <f>'ACAS Capital Tracker'!F33</f>
        <v>0</v>
      </c>
      <c r="F8" s="5">
        <f t="shared" si="0"/>
        <v>55625</v>
      </c>
      <c r="G8" s="6">
        <f t="shared" si="1"/>
        <v>0</v>
      </c>
      <c r="H8" s="4"/>
    </row>
    <row r="9" spans="1:8">
      <c r="A9" s="3" t="s">
        <v>15</v>
      </c>
      <c r="B9" s="4"/>
      <c r="C9" s="5">
        <f>'ACAS Consumables Tracker'!M42</f>
        <v>132220</v>
      </c>
      <c r="D9" s="5">
        <f>'ACAS Consumables Tracker'!E42</f>
        <v>146540</v>
      </c>
      <c r="E9" s="5">
        <f>'ACAS Consumables Tracker'!F42</f>
        <v>7361.2119999999995</v>
      </c>
      <c r="F9" s="5">
        <f t="shared" si="0"/>
        <v>139178.788</v>
      </c>
      <c r="G9" s="6">
        <f t="shared" si="1"/>
        <v>5.023346526545653E-2</v>
      </c>
      <c r="H9" s="4"/>
    </row>
    <row r="10" spans="1:8">
      <c r="A10" s="3" t="s">
        <v>16</v>
      </c>
      <c r="B10" s="4"/>
      <c r="C10" s="5">
        <f>'SAMA Capital Tracker'!M17</f>
        <v>6100</v>
      </c>
      <c r="D10" s="5">
        <f>'SAMA Capital Tracker'!E17</f>
        <v>4750</v>
      </c>
      <c r="E10" s="5">
        <f>'SAMA Capital Tracker'!F17</f>
        <v>0</v>
      </c>
      <c r="F10" s="5">
        <f t="shared" si="0"/>
        <v>4750</v>
      </c>
      <c r="G10" s="6">
        <f t="shared" si="1"/>
        <v>0</v>
      </c>
      <c r="H10" s="4"/>
    </row>
    <row r="11" spans="1:8">
      <c r="A11" s="3" t="s">
        <v>17</v>
      </c>
      <c r="B11" s="4"/>
      <c r="C11" s="5">
        <f>'SAMA Consumables Tracker'!M24</f>
        <v>38700</v>
      </c>
      <c r="D11" s="5">
        <f>'SAMA Consumables Tracker'!E24</f>
        <v>55900</v>
      </c>
      <c r="E11" s="5">
        <f>'SAMA Consumables Tracker'!F24</f>
        <v>750</v>
      </c>
      <c r="F11" s="5">
        <f t="shared" si="0"/>
        <v>55150</v>
      </c>
      <c r="G11" s="6">
        <f t="shared" si="1"/>
        <v>1.3416815742397137E-2</v>
      </c>
      <c r="H11" s="4"/>
    </row>
    <row r="12" spans="1:8">
      <c r="A12" s="7" t="s">
        <v>18</v>
      </c>
      <c r="B12" s="8"/>
      <c r="C12" s="9">
        <f>SUM(C6:C11)</f>
        <v>505210</v>
      </c>
      <c r="D12" s="9">
        <f>SUM(D6:D11)</f>
        <v>514875</v>
      </c>
      <c r="E12" s="9">
        <f>SUM(E6:E11)</f>
        <v>9888.0299999999988</v>
      </c>
      <c r="F12" s="9">
        <f t="shared" si="0"/>
        <v>504986.97</v>
      </c>
      <c r="G12" s="10">
        <f t="shared" si="1"/>
        <v>1.9204719592134011E-2</v>
      </c>
      <c r="H12" s="8"/>
    </row>
    <row r="14" spans="1:8">
      <c r="A14" s="32" t="s">
        <v>19</v>
      </c>
      <c r="B14" s="32"/>
      <c r="C14" s="32"/>
      <c r="D14" s="32"/>
      <c r="E14" s="32"/>
      <c r="F14" s="32"/>
      <c r="G14" s="32"/>
      <c r="H14" s="32"/>
    </row>
    <row r="15" spans="1:8" ht="24">
      <c r="A15" s="2" t="s">
        <v>20</v>
      </c>
      <c r="B15" s="2" t="s">
        <v>21</v>
      </c>
      <c r="C15" s="2"/>
      <c r="D15" s="2" t="s">
        <v>7</v>
      </c>
      <c r="E15" s="2" t="s">
        <v>8</v>
      </c>
      <c r="F15" s="2" t="s">
        <v>9</v>
      </c>
      <c r="G15" s="2" t="s">
        <v>10</v>
      </c>
      <c r="H15" s="2"/>
    </row>
    <row r="16" spans="1:8">
      <c r="A16" s="11">
        <v>1101010009</v>
      </c>
      <c r="B16" s="3" t="s">
        <v>22</v>
      </c>
      <c r="C16" s="4"/>
      <c r="D16" s="5">
        <f>SUMIF('ACAH Capital Tracker'!$D:$D,$A16,'ACAH Capital Tracker'!$E:$E)+SUMIF('ACAH Consumables Tracker'!$D:$D,$A16,'ACAH Consumables Tracker'!$E:$E)+SUMIF('ACAS Capital Tracker'!$D:$D,$A16,'ACAS Capital Tracker'!$E:$E)+SUMIF('ACAS Consumables Tracker'!$D:$D,$A16,'ACAS Consumables Tracker'!$E:$E)+SUMIF('SAMA Capital Tracker'!$D:$D,$A16,'SAMA Capital Tracker'!$E:$E)+SUMIF('SAMA Consumables Tracker'!$D:$D,$A16,'SAMA Consumables Tracker'!$E:$E)</f>
        <v>114525</v>
      </c>
      <c r="E16" s="5">
        <f>SUMIF('ACAH Capital Tracker'!$D:$D,$A16,'ACAH Capital Tracker'!$F:$F)+SUMIF('ACAH Consumables Tracker'!$D:$D,$A16,'ACAH Consumables Tracker'!$F:$F)+SUMIF('ACAS Capital Tracker'!$D:$D,$A16,'ACAS Capital Tracker'!$F:$F)+SUMIF('ACAS Consumables Tracker'!$D:$D,$A16,'ACAS Consumables Tracker'!$F:$F)+SUMIF('SAMA Capital Tracker'!$D:$D,$A16,'SAMA Capital Tracker'!$F:$F)+SUMIF('SAMA Consumables Tracker'!$D:$D,$A16,'SAMA Consumables Tracker'!$F:$F)</f>
        <v>0</v>
      </c>
      <c r="F16" s="5">
        <f t="shared" ref="F16:F28" si="2">D16-E16</f>
        <v>114525</v>
      </c>
      <c r="G16" s="6">
        <f t="shared" ref="G16:G28" si="3">IFERROR(E16/D16,0)</f>
        <v>0</v>
      </c>
      <c r="H16" s="4"/>
    </row>
    <row r="17" spans="1:8">
      <c r="A17" s="11">
        <v>5101030002</v>
      </c>
      <c r="B17" s="3" t="s">
        <v>23</v>
      </c>
      <c r="C17" s="4"/>
      <c r="D17" s="5">
        <f>SUMIF('ACAH Capital Tracker'!$D:$D,$A17,'ACAH Capital Tracker'!$E:$E)+SUMIF('ACAH Consumables Tracker'!$D:$D,$A17,'ACAH Consumables Tracker'!$E:$E)+SUMIF('ACAS Capital Tracker'!$D:$D,$A17,'ACAS Capital Tracker'!$E:$E)+SUMIF('ACAS Consumables Tracker'!$D:$D,$A17,'ACAS Consumables Tracker'!$E:$E)+SUMIF('SAMA Capital Tracker'!$D:$D,$A17,'SAMA Capital Tracker'!$E:$E)+SUMIF('SAMA Consumables Tracker'!$D:$D,$A17,'SAMA Consumables Tracker'!$E:$E)</f>
        <v>14500</v>
      </c>
      <c r="E17" s="5">
        <f>SUMIF('ACAH Capital Tracker'!$D:$D,$A17,'ACAH Capital Tracker'!$F:$F)+SUMIF('ACAH Consumables Tracker'!$D:$D,$A17,'ACAH Consumables Tracker'!$F:$F)+SUMIF('ACAS Capital Tracker'!$D:$D,$A17,'ACAS Capital Tracker'!$F:$F)+SUMIF('ACAS Consumables Tracker'!$D:$D,$A17,'ACAS Consumables Tracker'!$F:$F)+SUMIF('SAMA Capital Tracker'!$D:$D,$A17,'SAMA Capital Tracker'!$F:$F)+SUMIF('SAMA Consumables Tracker'!$D:$D,$A17,'SAMA Consumables Tracker'!$F:$F)</f>
        <v>0</v>
      </c>
      <c r="F17" s="5">
        <f t="shared" si="2"/>
        <v>14500</v>
      </c>
      <c r="G17" s="6">
        <f t="shared" si="3"/>
        <v>0</v>
      </c>
      <c r="H17" s="4"/>
    </row>
    <row r="18" spans="1:8">
      <c r="A18" s="11">
        <v>5101130003</v>
      </c>
      <c r="B18" s="3" t="s">
        <v>24</v>
      </c>
      <c r="C18" s="4"/>
      <c r="D18" s="5">
        <f>SUMIF('ACAH Capital Tracker'!$D:$D,$A18,'ACAH Capital Tracker'!$E:$E)+SUMIF('ACAH Consumables Tracker'!$D:$D,$A18,'ACAH Consumables Tracker'!$E:$E)+SUMIF('ACAS Capital Tracker'!$D:$D,$A18,'ACAS Capital Tracker'!$E:$E)+SUMIF('ACAS Consumables Tracker'!$D:$D,$A18,'ACAS Consumables Tracker'!$E:$E)+SUMIF('SAMA Capital Tracker'!$D:$D,$A18,'SAMA Capital Tracker'!$E:$E)+SUMIF('SAMA Consumables Tracker'!$D:$D,$A18,'SAMA Consumables Tracker'!$E:$E)</f>
        <v>36750</v>
      </c>
      <c r="E18" s="5">
        <f>SUMIF('ACAH Capital Tracker'!$D:$D,$A18,'ACAH Capital Tracker'!$F:$F)+SUMIF('ACAH Consumables Tracker'!$D:$D,$A18,'ACAH Consumables Tracker'!$F:$F)+SUMIF('ACAS Capital Tracker'!$D:$D,$A18,'ACAS Capital Tracker'!$F:$F)+SUMIF('ACAS Consumables Tracker'!$D:$D,$A18,'ACAS Consumables Tracker'!$F:$F)+SUMIF('SAMA Capital Tracker'!$D:$D,$A18,'SAMA Capital Tracker'!$F:$F)+SUMIF('SAMA Consumables Tracker'!$D:$D,$A18,'SAMA Consumables Tracker'!$F:$F)</f>
        <v>0</v>
      </c>
      <c r="F18" s="5">
        <f t="shared" si="2"/>
        <v>36750</v>
      </c>
      <c r="G18" s="6">
        <f t="shared" si="3"/>
        <v>0</v>
      </c>
      <c r="H18" s="4"/>
    </row>
    <row r="19" spans="1:8">
      <c r="A19" s="11">
        <v>5101160003</v>
      </c>
      <c r="B19" s="3" t="s">
        <v>25</v>
      </c>
      <c r="C19" s="4"/>
      <c r="D19" s="5">
        <f>SUMIF('ACAH Capital Tracker'!$D:$D,$A19,'ACAH Capital Tracker'!$E:$E)+SUMIF('ACAH Consumables Tracker'!$D:$D,$A19,'ACAH Consumables Tracker'!$E:$E)+SUMIF('ACAS Capital Tracker'!$D:$D,$A19,'ACAS Capital Tracker'!$E:$E)+SUMIF('ACAS Consumables Tracker'!$D:$D,$A19,'ACAS Consumables Tracker'!$E:$E)+SUMIF('SAMA Capital Tracker'!$D:$D,$A19,'SAMA Capital Tracker'!$E:$E)+SUMIF('SAMA Consumables Tracker'!$D:$D,$A19,'SAMA Consumables Tracker'!$E:$E)</f>
        <v>6750</v>
      </c>
      <c r="E19" s="5">
        <f>SUMIF('ACAH Capital Tracker'!$D:$D,$A19,'ACAH Capital Tracker'!$F:$F)+SUMIF('ACAH Consumables Tracker'!$D:$D,$A19,'ACAH Consumables Tracker'!$F:$F)+SUMIF('ACAS Capital Tracker'!$D:$D,$A19,'ACAS Capital Tracker'!$F:$F)+SUMIF('ACAS Consumables Tracker'!$D:$D,$A19,'ACAS Consumables Tracker'!$F:$F)+SUMIF('SAMA Capital Tracker'!$D:$D,$A19,'SAMA Capital Tracker'!$F:$F)+SUMIF('SAMA Consumables Tracker'!$D:$D,$A19,'SAMA Consumables Tracker'!$F:$F)</f>
        <v>0</v>
      </c>
      <c r="F19" s="5">
        <f t="shared" si="2"/>
        <v>6750</v>
      </c>
      <c r="G19" s="6">
        <f t="shared" si="3"/>
        <v>0</v>
      </c>
      <c r="H19" s="4"/>
    </row>
    <row r="20" spans="1:8">
      <c r="A20" s="11">
        <v>5101160010</v>
      </c>
      <c r="B20" s="3" t="s">
        <v>26</v>
      </c>
      <c r="C20" s="4"/>
      <c r="D20" s="5">
        <f>SUMIF('ACAH Capital Tracker'!$D:$D,$A20,'ACAH Capital Tracker'!$E:$E)+SUMIF('ACAH Consumables Tracker'!$D:$D,$A20,'ACAH Consumables Tracker'!$E:$E)+SUMIF('ACAS Capital Tracker'!$D:$D,$A20,'ACAS Capital Tracker'!$E:$E)+SUMIF('ACAS Consumables Tracker'!$D:$D,$A20,'ACAS Consumables Tracker'!$E:$E)+SUMIF('SAMA Capital Tracker'!$D:$D,$A20,'SAMA Capital Tracker'!$E:$E)+SUMIF('SAMA Consumables Tracker'!$D:$D,$A20,'SAMA Consumables Tracker'!$E:$E)</f>
        <v>65750</v>
      </c>
      <c r="E20" s="5">
        <f>SUMIF('ACAH Capital Tracker'!$D:$D,$A20,'ACAH Capital Tracker'!$F:$F)+SUMIF('ACAH Consumables Tracker'!$D:$D,$A20,'ACAH Consumables Tracker'!$F:$F)+SUMIF('ACAS Capital Tracker'!$D:$D,$A20,'ACAS Capital Tracker'!$F:$F)+SUMIF('ACAS Consumables Tracker'!$D:$D,$A20,'ACAS Consumables Tracker'!$F:$F)+SUMIF('SAMA Capital Tracker'!$D:$D,$A20,'SAMA Capital Tracker'!$F:$F)+SUMIF('SAMA Consumables Tracker'!$D:$D,$A20,'SAMA Consumables Tracker'!$F:$F)</f>
        <v>361.21199999999999</v>
      </c>
      <c r="F20" s="5">
        <f t="shared" si="2"/>
        <v>65388.788</v>
      </c>
      <c r="G20" s="6">
        <f t="shared" si="3"/>
        <v>5.4937186311787073E-3</v>
      </c>
      <c r="H20" s="4"/>
    </row>
    <row r="21" spans="1:8">
      <c r="A21" s="11">
        <v>5101170001</v>
      </c>
      <c r="B21" s="3" t="s">
        <v>27</v>
      </c>
      <c r="C21" s="4"/>
      <c r="D21" s="5">
        <f>SUMIF('ACAH Capital Tracker'!$D:$D,$A21,'ACAH Capital Tracker'!$E:$E)+SUMIF('ACAH Consumables Tracker'!$D:$D,$A21,'ACAH Consumables Tracker'!$E:$E)+SUMIF('ACAS Capital Tracker'!$D:$D,$A21,'ACAS Capital Tracker'!$E:$E)+SUMIF('ACAS Consumables Tracker'!$D:$D,$A21,'ACAS Consumables Tracker'!$E:$E)+SUMIF('SAMA Capital Tracker'!$D:$D,$A21,'SAMA Capital Tracker'!$E:$E)+SUMIF('SAMA Consumables Tracker'!$D:$D,$A21,'SAMA Consumables Tracker'!$E:$E)</f>
        <v>138650</v>
      </c>
      <c r="E21" s="5">
        <f>SUMIF('ACAH Capital Tracker'!$D:$D,$A21,'ACAH Capital Tracker'!$F:$F)+SUMIF('ACAH Consumables Tracker'!$D:$D,$A21,'ACAH Consumables Tracker'!$F:$F)+SUMIF('ACAS Capital Tracker'!$D:$D,$A21,'ACAS Capital Tracker'!$F:$F)+SUMIF('ACAS Consumables Tracker'!$D:$D,$A21,'ACAS Consumables Tracker'!$F:$F)+SUMIF('SAMA Capital Tracker'!$D:$D,$A21,'SAMA Capital Tracker'!$F:$F)+SUMIF('SAMA Consumables Tracker'!$D:$D,$A21,'SAMA Consumables Tracker'!$F:$F)</f>
        <v>541.81799999999998</v>
      </c>
      <c r="F21" s="5">
        <f t="shared" si="2"/>
        <v>138108.182</v>
      </c>
      <c r="G21" s="6">
        <f t="shared" si="3"/>
        <v>3.9078110349801661E-3</v>
      </c>
      <c r="H21" s="4"/>
    </row>
    <row r="22" spans="1:8">
      <c r="A22" s="11">
        <v>5101200002</v>
      </c>
      <c r="B22" s="3" t="s">
        <v>28</v>
      </c>
      <c r="C22" s="4"/>
      <c r="D22" s="5">
        <f>SUMIF('ACAH Capital Tracker'!$D:$D,$A22,'ACAH Capital Tracker'!$E:$E)+SUMIF('ACAH Consumables Tracker'!$D:$D,$A22,'ACAH Consumables Tracker'!$E:$E)+SUMIF('ACAS Capital Tracker'!$D:$D,$A22,'ACAS Capital Tracker'!$E:$E)+SUMIF('ACAS Consumables Tracker'!$D:$D,$A22,'ACAS Consumables Tracker'!$E:$E)+SUMIF('SAMA Capital Tracker'!$D:$D,$A22,'SAMA Capital Tracker'!$E:$E)+SUMIF('SAMA Consumables Tracker'!$D:$D,$A22,'SAMA Consumables Tracker'!$E:$E)</f>
        <v>92550</v>
      </c>
      <c r="E22" s="5">
        <f>SUMIF('ACAH Capital Tracker'!$D:$D,$A22,'ACAH Capital Tracker'!$F:$F)+SUMIF('ACAH Consumables Tracker'!$D:$D,$A22,'ACAH Consumables Tracker'!$F:$F)+SUMIF('ACAS Capital Tracker'!$D:$D,$A22,'ACAS Capital Tracker'!$F:$F)+SUMIF('ACAS Consumables Tracker'!$D:$D,$A22,'ACAS Consumables Tracker'!$F:$F)+SUMIF('SAMA Capital Tracker'!$D:$D,$A22,'SAMA Capital Tracker'!$F:$F)+SUMIF('SAMA Consumables Tracker'!$D:$D,$A22,'SAMA Consumables Tracker'!$F:$F)</f>
        <v>8235</v>
      </c>
      <c r="F22" s="5">
        <f t="shared" si="2"/>
        <v>84315</v>
      </c>
      <c r="G22" s="6">
        <f t="shared" si="3"/>
        <v>8.8978930307941656E-2</v>
      </c>
      <c r="H22" s="4"/>
    </row>
    <row r="23" spans="1:8">
      <c r="A23" s="11">
        <v>5202010022</v>
      </c>
      <c r="B23" s="3" t="s">
        <v>29</v>
      </c>
      <c r="C23" s="4"/>
      <c r="D23" s="5">
        <f>SUMIF('ACAH Capital Tracker'!$D:$D,$A23,'ACAH Capital Tracker'!$E:$E)+SUMIF('ACAH Consumables Tracker'!$D:$D,$A23,'ACAH Consumables Tracker'!$E:$E)+SUMIF('ACAS Capital Tracker'!$D:$D,$A23,'ACAS Capital Tracker'!$E:$E)+SUMIF('ACAS Consumables Tracker'!$D:$D,$A23,'ACAS Consumables Tracker'!$E:$E)+SUMIF('SAMA Capital Tracker'!$D:$D,$A23,'SAMA Capital Tracker'!$E:$E)+SUMIF('SAMA Consumables Tracker'!$D:$D,$A23,'SAMA Consumables Tracker'!$E:$E)</f>
        <v>3000</v>
      </c>
      <c r="E23" s="5">
        <f>SUMIF('ACAH Capital Tracker'!$D:$D,$A23,'ACAH Capital Tracker'!$F:$F)+SUMIF('ACAH Consumables Tracker'!$D:$D,$A23,'ACAH Consumables Tracker'!$F:$F)+SUMIF('ACAS Capital Tracker'!$D:$D,$A23,'ACAS Capital Tracker'!$F:$F)+SUMIF('ACAS Consumables Tracker'!$D:$D,$A23,'ACAS Consumables Tracker'!$F:$F)+SUMIF('SAMA Capital Tracker'!$D:$D,$A23,'SAMA Capital Tracker'!$F:$F)+SUMIF('SAMA Consumables Tracker'!$D:$D,$A23,'SAMA Consumables Tracker'!$F:$F)</f>
        <v>0</v>
      </c>
      <c r="F23" s="5">
        <f t="shared" si="2"/>
        <v>3000</v>
      </c>
      <c r="G23" s="6">
        <f t="shared" si="3"/>
        <v>0</v>
      </c>
      <c r="H23" s="4"/>
    </row>
    <row r="24" spans="1:8">
      <c r="A24" s="11">
        <v>5202180001</v>
      </c>
      <c r="B24" s="3" t="s">
        <v>30</v>
      </c>
      <c r="C24" s="4"/>
      <c r="D24" s="5">
        <f>SUMIF('ACAH Capital Tracker'!$D:$D,$A24,'ACAH Capital Tracker'!$E:$E)+SUMIF('ACAH Consumables Tracker'!$D:$D,$A24,'ACAH Consumables Tracker'!$E:$E)+SUMIF('ACAS Capital Tracker'!$D:$D,$A24,'ACAS Capital Tracker'!$E:$E)+SUMIF('ACAS Consumables Tracker'!$D:$D,$A24,'ACAS Consumables Tracker'!$E:$E)+SUMIF('SAMA Capital Tracker'!$D:$D,$A24,'SAMA Capital Tracker'!$E:$E)+SUMIF('SAMA Consumables Tracker'!$D:$D,$A24,'SAMA Consumables Tracker'!$E:$E)</f>
        <v>35000</v>
      </c>
      <c r="E24" s="5">
        <f>SUMIF('ACAH Capital Tracker'!$D:$D,$A24,'ACAH Capital Tracker'!$F:$F)+SUMIF('ACAH Consumables Tracker'!$D:$D,$A24,'ACAH Consumables Tracker'!$F:$F)+SUMIF('ACAS Capital Tracker'!$D:$D,$A24,'ACAS Capital Tracker'!$F:$F)+SUMIF('ACAS Consumables Tracker'!$D:$D,$A24,'ACAS Consumables Tracker'!$F:$F)+SUMIF('SAMA Capital Tracker'!$D:$D,$A24,'SAMA Capital Tracker'!$F:$F)+SUMIF('SAMA Consumables Tracker'!$D:$D,$A24,'SAMA Consumables Tracker'!$F:$F)</f>
        <v>750</v>
      </c>
      <c r="F24" s="5">
        <f t="shared" si="2"/>
        <v>34250</v>
      </c>
      <c r="G24" s="6">
        <f t="shared" si="3"/>
        <v>2.1428571428571429E-2</v>
      </c>
      <c r="H24" s="4"/>
    </row>
    <row r="25" spans="1:8">
      <c r="A25" s="11">
        <v>5202190005</v>
      </c>
      <c r="B25" s="3" t="s">
        <v>31</v>
      </c>
      <c r="C25" s="4"/>
      <c r="D25" s="5">
        <f>SUMIF('ACAH Capital Tracker'!$D:$D,$A25,'ACAH Capital Tracker'!$E:$E)+SUMIF('ACAH Consumables Tracker'!$D:$D,$A25,'ACAH Consumables Tracker'!$E:$E)+SUMIF('ACAS Capital Tracker'!$D:$D,$A25,'ACAS Capital Tracker'!$E:$E)+SUMIF('ACAS Consumables Tracker'!$D:$D,$A25,'ACAS Consumables Tracker'!$E:$E)+SUMIF('SAMA Capital Tracker'!$D:$D,$A25,'SAMA Capital Tracker'!$E:$E)+SUMIF('SAMA Consumables Tracker'!$D:$D,$A25,'SAMA Consumables Tracker'!$E:$E)</f>
        <v>250</v>
      </c>
      <c r="E25" s="5">
        <f>SUMIF('ACAH Capital Tracker'!$D:$D,$A25,'ACAH Capital Tracker'!$F:$F)+SUMIF('ACAH Consumables Tracker'!$D:$D,$A25,'ACAH Consumables Tracker'!$F:$F)+SUMIF('ACAS Capital Tracker'!$D:$D,$A25,'ACAS Capital Tracker'!$F:$F)+SUMIF('ACAS Consumables Tracker'!$D:$D,$A25,'ACAS Consumables Tracker'!$F:$F)+SUMIF('SAMA Capital Tracker'!$D:$D,$A25,'SAMA Capital Tracker'!$F:$F)+SUMIF('SAMA Consumables Tracker'!$D:$D,$A25,'SAMA Consumables Tracker'!$F:$F)</f>
        <v>0</v>
      </c>
      <c r="F25" s="5">
        <f t="shared" si="2"/>
        <v>250</v>
      </c>
      <c r="G25" s="6">
        <f t="shared" si="3"/>
        <v>0</v>
      </c>
      <c r="H25" s="4"/>
    </row>
    <row r="26" spans="1:8">
      <c r="A26" s="11">
        <v>5202200001</v>
      </c>
      <c r="B26" s="3" t="s">
        <v>32</v>
      </c>
      <c r="C26" s="4"/>
      <c r="D26" s="5">
        <f>SUMIF('ACAH Capital Tracker'!$D:$D,$A26,'ACAH Capital Tracker'!$E:$E)+SUMIF('ACAH Consumables Tracker'!$D:$D,$A26,'ACAH Consumables Tracker'!$E:$E)+SUMIF('ACAS Capital Tracker'!$D:$D,$A26,'ACAS Capital Tracker'!$E:$E)+SUMIF('ACAS Consumables Tracker'!$D:$D,$A26,'ACAS Consumables Tracker'!$E:$E)+SUMIF('SAMA Capital Tracker'!$D:$D,$A26,'SAMA Capital Tracker'!$E:$E)+SUMIF('SAMA Consumables Tracker'!$D:$D,$A26,'SAMA Consumables Tracker'!$E:$E)</f>
        <v>7150</v>
      </c>
      <c r="E26" s="5">
        <f>SUMIF('ACAH Capital Tracker'!$D:$D,$A26,'ACAH Capital Tracker'!$F:$F)+SUMIF('ACAH Consumables Tracker'!$D:$D,$A26,'ACAH Consumables Tracker'!$F:$F)+SUMIF('ACAS Capital Tracker'!$D:$D,$A26,'ACAS Capital Tracker'!$F:$F)+SUMIF('ACAS Consumables Tracker'!$D:$D,$A26,'ACAS Consumables Tracker'!$F:$F)+SUMIF('SAMA Capital Tracker'!$D:$D,$A26,'SAMA Capital Tracker'!$F:$F)+SUMIF('SAMA Consumables Tracker'!$D:$D,$A26,'SAMA Consumables Tracker'!$F:$F)</f>
        <v>0</v>
      </c>
      <c r="F26" s="5">
        <f t="shared" si="2"/>
        <v>7150</v>
      </c>
      <c r="G26" s="6">
        <f t="shared" si="3"/>
        <v>0</v>
      </c>
      <c r="H26" s="4"/>
    </row>
    <row r="27" spans="1:8">
      <c r="A27" s="11">
        <v>5202200005</v>
      </c>
      <c r="B27" s="3" t="s">
        <v>33</v>
      </c>
      <c r="C27" s="4"/>
      <c r="D27" s="5">
        <f>SUMIF('ACAH Capital Tracker'!$D:$D,$A27,'ACAH Capital Tracker'!$E:$E)+SUMIF('ACAH Consumables Tracker'!$D:$D,$A27,'ACAH Consumables Tracker'!$E:$E)+SUMIF('ACAS Capital Tracker'!$D:$D,$A27,'ACAS Capital Tracker'!$E:$E)+SUMIF('ACAS Consumables Tracker'!$D:$D,$A27,'ACAS Consumables Tracker'!$E:$E)+SUMIF('SAMA Capital Tracker'!$D:$D,$A27,'SAMA Capital Tracker'!$E:$E)+SUMIF('SAMA Consumables Tracker'!$D:$D,$A27,'SAMA Consumables Tracker'!$E:$E)</f>
        <v>0</v>
      </c>
      <c r="E27" s="5">
        <f>SUMIF('ACAH Capital Tracker'!$D:$D,$A27,'ACAH Capital Tracker'!$F:$F)+SUMIF('ACAH Consumables Tracker'!$D:$D,$A27,'ACAH Consumables Tracker'!$F:$F)+SUMIF('ACAS Capital Tracker'!$D:$D,$A27,'ACAS Capital Tracker'!$F:$F)+SUMIF('ACAS Consumables Tracker'!$D:$D,$A27,'ACAS Consumables Tracker'!$F:$F)+SUMIF('SAMA Capital Tracker'!$D:$D,$A27,'SAMA Capital Tracker'!$F:$F)+SUMIF('SAMA Consumables Tracker'!$D:$D,$A27,'SAMA Consumables Tracker'!$F:$F)</f>
        <v>0</v>
      </c>
      <c r="F27" s="5">
        <f t="shared" si="2"/>
        <v>0</v>
      </c>
      <c r="G27" s="6">
        <f t="shared" si="3"/>
        <v>0</v>
      </c>
      <c r="H27" s="4"/>
    </row>
    <row r="28" spans="1:8">
      <c r="A28" s="8"/>
      <c r="B28" s="7" t="s">
        <v>34</v>
      </c>
      <c r="C28" s="8"/>
      <c r="D28" s="9">
        <f>SUM(D16:D27)</f>
        <v>514875</v>
      </c>
      <c r="E28" s="9">
        <f>SUM(E16:E27)</f>
        <v>9888.0300000000007</v>
      </c>
      <c r="F28" s="9">
        <f t="shared" si="2"/>
        <v>504986.97</v>
      </c>
      <c r="G28" s="10">
        <f t="shared" si="3"/>
        <v>1.9204719592134014E-2</v>
      </c>
      <c r="H28" s="8"/>
    </row>
    <row r="30" spans="1:8">
      <c r="A30" s="35" t="str">
        <f>IF(ROUND(D12-D28,2)=0,"✅  Section 1 total = Section 2 (GL) total = KWD "&amp;TEXT(D12,"#,##0")&amp;"  — BALANCED","❌  MISMATCH: "&amp;TEXT(D12,"#,##0")&amp;" vs "&amp;TEXT(D28,"#,##0"))</f>
        <v>✅  Section 1 total = Section 2 (GL) total = KWD 514,875  — BALANCED</v>
      </c>
      <c r="B30" s="35"/>
      <c r="C30" s="35"/>
      <c r="D30" s="35"/>
      <c r="E30" s="35"/>
      <c r="F30" s="35"/>
      <c r="G30" s="35"/>
      <c r="H30" s="35"/>
    </row>
  </sheetData>
  <mergeCells count="6">
    <mergeCell ref="A30:H30"/>
    <mergeCell ref="A1:H1"/>
    <mergeCell ref="C2:D2"/>
    <mergeCell ref="E2:H2"/>
    <mergeCell ref="A4:H4"/>
    <mergeCell ref="A14:H14"/>
  </mergeCells>
  <dataValidations count="1">
    <dataValidation type="list" sqref="C2" xr:uid="{00000000-0002-0000-0000-000000000000}">
      <formula1>"Offline Optimized,Offline + Online Hybrid,Online Optimized"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M30"/>
  <sheetViews>
    <sheetView zoomScaleNormal="100" workbookViewId="0">
      <pane ySplit="3" topLeftCell="A4" activePane="bottomLeft" state="frozen"/>
      <selection pane="bottomLeft" activeCell="B38" sqref="B38"/>
    </sheetView>
  </sheetViews>
  <sheetFormatPr defaultColWidth="8.7109375" defaultRowHeight="15"/>
  <cols>
    <col min="1" max="1" width="14" customWidth="1"/>
    <col min="2" max="2" width="5" customWidth="1"/>
    <col min="3" max="3" width="40" customWidth="1"/>
    <col min="4" max="4" width="12" customWidth="1"/>
    <col min="5" max="5" width="13" customWidth="1"/>
    <col min="6" max="6" width="11" customWidth="1"/>
    <col min="7" max="8" width="12" customWidth="1"/>
    <col min="9" max="9" width="16" customWidth="1"/>
    <col min="10" max="13" width="13" hidden="1" customWidth="1"/>
  </cols>
  <sheetData>
    <row r="1" spans="1:13" ht="16.5">
      <c r="A1" s="36" t="s">
        <v>35</v>
      </c>
      <c r="B1" s="36"/>
      <c r="C1" s="36"/>
      <c r="D1" s="36"/>
      <c r="E1" s="36"/>
      <c r="F1" s="36"/>
      <c r="G1" s="36"/>
      <c r="H1" s="36"/>
      <c r="I1" s="36"/>
    </row>
    <row r="2" spans="1:13">
      <c r="A2" s="12" t="s">
        <v>36</v>
      </c>
      <c r="C2" s="13" t="str">
        <f>'IT Budget Summary'!$C$2</f>
        <v>Offline Optimized</v>
      </c>
      <c r="E2" s="37" t="s">
        <v>37</v>
      </c>
      <c r="F2" s="37"/>
      <c r="G2" s="37"/>
      <c r="H2" s="37"/>
      <c r="I2" s="37"/>
    </row>
    <row r="3" spans="1:13" ht="24">
      <c r="A3" s="2" t="s">
        <v>38</v>
      </c>
      <c r="B3" s="2" t="s">
        <v>39</v>
      </c>
      <c r="C3" s="2" t="s">
        <v>40</v>
      </c>
      <c r="D3" s="2" t="s">
        <v>20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1:13">
      <c r="A4" s="14" t="s">
        <v>46</v>
      </c>
      <c r="B4" s="14">
        <v>1</v>
      </c>
      <c r="C4" s="15" t="s">
        <v>47</v>
      </c>
      <c r="D4" s="14">
        <v>1101010009</v>
      </c>
      <c r="E4" s="16">
        <f>CHOOSE(MATCH($C$2,{"Offline Optimized","Offline + Online Hybrid","Online Optimized"},0),J4,K4,L4)</f>
        <v>7500</v>
      </c>
      <c r="F4" s="16">
        <f>SUMIF('ACAH Capital Log'!$D$4:$D$2000,A4,'ACAH Capital Log'!$F$4:$F$2000)</f>
        <v>0</v>
      </c>
      <c r="G4" s="17">
        <v>0</v>
      </c>
      <c r="H4" s="18">
        <f t="shared" ref="H4:H30" si="0">E4+G4-F4</f>
        <v>7500</v>
      </c>
      <c r="I4" s="15" t="str">
        <f t="shared" ref="I4:I30" si="1">IFERROR(IF(($E4+$G4)&lt;=0,"",REPT("█",MIN(20,ROUND($F4/($E4+$G4)*20,0)))),"")</f>
        <v/>
      </c>
      <c r="J4" s="19">
        <v>7500</v>
      </c>
      <c r="K4" s="19">
        <v>0</v>
      </c>
      <c r="L4" s="19">
        <v>0</v>
      </c>
      <c r="M4" s="19">
        <v>6400</v>
      </c>
    </row>
    <row r="5" spans="1:13">
      <c r="A5" s="14" t="s">
        <v>48</v>
      </c>
      <c r="B5" s="14">
        <v>2</v>
      </c>
      <c r="C5" s="15" t="s">
        <v>49</v>
      </c>
      <c r="D5" s="14">
        <v>1101010009</v>
      </c>
      <c r="E5" s="16">
        <f>CHOOSE(MATCH($C$2,{"Offline Optimized","Offline + Online Hybrid","Online Optimized"},0),J5,K5,L5)</f>
        <v>3000</v>
      </c>
      <c r="F5" s="16">
        <f>SUMIF('ACAH Capital Log'!$D$4:$D$2000,A5,'ACAH Capital Log'!$F$4:$F$2000)</f>
        <v>0</v>
      </c>
      <c r="G5" s="17">
        <v>0</v>
      </c>
      <c r="H5" s="18">
        <f t="shared" si="0"/>
        <v>3000</v>
      </c>
      <c r="I5" s="15" t="str">
        <f t="shared" si="1"/>
        <v/>
      </c>
      <c r="J5" s="19">
        <v>3000</v>
      </c>
      <c r="K5" s="19">
        <v>0</v>
      </c>
      <c r="L5" s="19">
        <v>0</v>
      </c>
      <c r="M5" s="19">
        <v>1000</v>
      </c>
    </row>
    <row r="6" spans="1:13">
      <c r="A6" s="14" t="s">
        <v>50</v>
      </c>
      <c r="B6" s="14">
        <v>3</v>
      </c>
      <c r="C6" s="15" t="s">
        <v>51</v>
      </c>
      <c r="D6" s="14">
        <v>1101010009</v>
      </c>
      <c r="E6" s="16">
        <f>CHOOSE(MATCH($C$2,{"Offline Optimized","Offline + Online Hybrid","Online Optimized"},0),J6,K6,L6)</f>
        <v>0</v>
      </c>
      <c r="F6" s="16">
        <f>SUMIF('ACAH Capital Log'!$D$4:$D$2000,A6,'ACAH Capital Log'!$F$4:$F$2000)</f>
        <v>0</v>
      </c>
      <c r="G6" s="17">
        <v>0</v>
      </c>
      <c r="H6" s="18">
        <f t="shared" si="0"/>
        <v>0</v>
      </c>
      <c r="I6" s="15" t="str">
        <f t="shared" si="1"/>
        <v/>
      </c>
      <c r="J6" s="19">
        <v>0</v>
      </c>
      <c r="K6" s="19">
        <v>0</v>
      </c>
      <c r="L6" s="19">
        <v>0</v>
      </c>
      <c r="M6" s="19">
        <v>0</v>
      </c>
    </row>
    <row r="7" spans="1:13">
      <c r="A7" s="14" t="s">
        <v>52</v>
      </c>
      <c r="B7" s="14">
        <v>4</v>
      </c>
      <c r="C7" s="15" t="s">
        <v>53</v>
      </c>
      <c r="D7" s="14">
        <v>1101010009</v>
      </c>
      <c r="E7" s="16">
        <f>CHOOSE(MATCH($C$2,{"Offline Optimized","Offline + Online Hybrid","Online Optimized"},0),J7,K7,L7)</f>
        <v>0</v>
      </c>
      <c r="F7" s="16">
        <f>SUMIF('ACAH Capital Log'!$D$4:$D$2000,A7,'ACAH Capital Log'!$F$4:$F$2000)</f>
        <v>0</v>
      </c>
      <c r="G7" s="17">
        <v>0</v>
      </c>
      <c r="H7" s="18">
        <f t="shared" si="0"/>
        <v>0</v>
      </c>
      <c r="I7" s="15" t="str">
        <f t="shared" si="1"/>
        <v/>
      </c>
      <c r="J7" s="19">
        <v>0</v>
      </c>
      <c r="K7" s="19">
        <v>0</v>
      </c>
      <c r="L7" s="19">
        <v>0</v>
      </c>
      <c r="M7" s="19">
        <v>9360</v>
      </c>
    </row>
    <row r="8" spans="1:13">
      <c r="A8" s="14" t="s">
        <v>54</v>
      </c>
      <c r="B8" s="14">
        <v>5</v>
      </c>
      <c r="C8" s="15" t="s">
        <v>55</v>
      </c>
      <c r="D8" s="14">
        <v>1101010009</v>
      </c>
      <c r="E8" s="16">
        <f>CHOOSE(MATCH($C$2,{"Offline Optimized","Offline + Online Hybrid","Online Optimized"},0),J8,K8,L8)</f>
        <v>0</v>
      </c>
      <c r="F8" s="16">
        <f>SUMIF('ACAH Capital Log'!$D$4:$D$2000,A8,'ACAH Capital Log'!$F$4:$F$2000)</f>
        <v>0</v>
      </c>
      <c r="G8" s="17">
        <v>0</v>
      </c>
      <c r="H8" s="18">
        <f t="shared" si="0"/>
        <v>0</v>
      </c>
      <c r="I8" s="15" t="str">
        <f t="shared" si="1"/>
        <v/>
      </c>
      <c r="J8" s="19">
        <v>0</v>
      </c>
      <c r="K8" s="19">
        <v>0</v>
      </c>
      <c r="L8" s="19">
        <v>0</v>
      </c>
      <c r="M8" s="19">
        <v>0</v>
      </c>
    </row>
    <row r="9" spans="1:13">
      <c r="A9" s="14" t="s">
        <v>56</v>
      </c>
      <c r="B9" s="14">
        <v>6</v>
      </c>
      <c r="C9" s="15" t="s">
        <v>57</v>
      </c>
      <c r="D9" s="14">
        <v>1101010009</v>
      </c>
      <c r="E9" s="16">
        <f>CHOOSE(MATCH($C$2,{"Offline Optimized","Offline + Online Hybrid","Online Optimized"},0),J9,K9,L9)</f>
        <v>0</v>
      </c>
      <c r="F9" s="16">
        <f>SUMIF('ACAH Capital Log'!$D$4:$D$2000,A9,'ACAH Capital Log'!$F$4:$F$2000)</f>
        <v>0</v>
      </c>
      <c r="G9" s="17">
        <v>0</v>
      </c>
      <c r="H9" s="18">
        <f t="shared" si="0"/>
        <v>0</v>
      </c>
      <c r="I9" s="15" t="str">
        <f t="shared" si="1"/>
        <v/>
      </c>
      <c r="J9" s="19">
        <v>0</v>
      </c>
      <c r="K9" s="19">
        <v>0</v>
      </c>
      <c r="L9" s="19">
        <v>0</v>
      </c>
      <c r="M9" s="19">
        <v>0</v>
      </c>
    </row>
    <row r="10" spans="1:13">
      <c r="A10" s="14" t="s">
        <v>58</v>
      </c>
      <c r="B10" s="14">
        <v>7</v>
      </c>
      <c r="C10" s="15" t="s">
        <v>59</v>
      </c>
      <c r="D10" s="14">
        <v>1101010009</v>
      </c>
      <c r="E10" s="16">
        <f>CHOOSE(MATCH($C$2,{"Offline Optimized","Offline + Online Hybrid","Online Optimized"},0),J10,K10,L10)</f>
        <v>0</v>
      </c>
      <c r="F10" s="16">
        <f>SUMIF('ACAH Capital Log'!$D$4:$D$2000,A10,'ACAH Capital Log'!$F$4:$F$2000)</f>
        <v>0</v>
      </c>
      <c r="G10" s="17">
        <v>0</v>
      </c>
      <c r="H10" s="18">
        <f t="shared" si="0"/>
        <v>0</v>
      </c>
      <c r="I10" s="15" t="str">
        <f t="shared" si="1"/>
        <v/>
      </c>
      <c r="J10" s="19">
        <v>0</v>
      </c>
      <c r="K10" s="19">
        <v>0</v>
      </c>
      <c r="L10" s="19">
        <v>0</v>
      </c>
      <c r="M10" s="19">
        <v>1300</v>
      </c>
    </row>
    <row r="11" spans="1:13">
      <c r="A11" s="14" t="s">
        <v>60</v>
      </c>
      <c r="B11" s="14">
        <v>8</v>
      </c>
      <c r="C11" s="15" t="s">
        <v>61</v>
      </c>
      <c r="D11" s="14">
        <v>1101010009</v>
      </c>
      <c r="E11" s="16">
        <f>CHOOSE(MATCH($C$2,{"Offline Optimized","Offline + Online Hybrid","Online Optimized"},0),J11,K11,L11)</f>
        <v>0</v>
      </c>
      <c r="F11" s="16">
        <f>SUMIF('ACAH Capital Log'!$D$4:$D$2000,A11,'ACAH Capital Log'!$F$4:$F$2000)</f>
        <v>0</v>
      </c>
      <c r="G11" s="17">
        <v>0</v>
      </c>
      <c r="H11" s="18">
        <f t="shared" si="0"/>
        <v>0</v>
      </c>
      <c r="I11" s="15" t="str">
        <f t="shared" si="1"/>
        <v/>
      </c>
      <c r="J11" s="19">
        <v>0</v>
      </c>
      <c r="K11" s="19">
        <v>0</v>
      </c>
      <c r="L11" s="19">
        <v>0</v>
      </c>
      <c r="M11" s="19">
        <v>0</v>
      </c>
    </row>
    <row r="12" spans="1:13">
      <c r="A12" s="14" t="s">
        <v>62</v>
      </c>
      <c r="B12" s="14">
        <v>9</v>
      </c>
      <c r="C12" s="15" t="s">
        <v>63</v>
      </c>
      <c r="D12" s="14">
        <v>1101010009</v>
      </c>
      <c r="E12" s="16">
        <f>CHOOSE(MATCH($C$2,{"Offline Optimized","Offline + Online Hybrid","Online Optimized"},0),J12,K12,L12)</f>
        <v>0</v>
      </c>
      <c r="F12" s="16">
        <f>SUMIF('ACAH Capital Log'!$D$4:$D$2000,A12,'ACAH Capital Log'!$F$4:$F$2000)</f>
        <v>0</v>
      </c>
      <c r="G12" s="17">
        <v>0</v>
      </c>
      <c r="H12" s="18">
        <f t="shared" si="0"/>
        <v>0</v>
      </c>
      <c r="I12" s="15" t="str">
        <f t="shared" si="1"/>
        <v/>
      </c>
      <c r="J12" s="19">
        <v>0</v>
      </c>
      <c r="K12" s="19">
        <v>0</v>
      </c>
      <c r="L12" s="19">
        <v>0</v>
      </c>
      <c r="M12" s="19">
        <v>0</v>
      </c>
    </row>
    <row r="13" spans="1:13">
      <c r="A13" s="14" t="s">
        <v>64</v>
      </c>
      <c r="B13" s="14">
        <v>10</v>
      </c>
      <c r="C13" s="15" t="s">
        <v>65</v>
      </c>
      <c r="D13" s="14">
        <v>1101010009</v>
      </c>
      <c r="E13" s="16">
        <f>CHOOSE(MATCH($C$2,{"Offline Optimized","Offline + Online Hybrid","Online Optimized"},0),J13,K13,L13)</f>
        <v>0</v>
      </c>
      <c r="F13" s="16">
        <f>SUMIF('ACAH Capital Log'!$D$4:$D$2000,A13,'ACAH Capital Log'!$F$4:$F$2000)</f>
        <v>0</v>
      </c>
      <c r="G13" s="17">
        <v>0</v>
      </c>
      <c r="H13" s="18">
        <f t="shared" si="0"/>
        <v>0</v>
      </c>
      <c r="I13" s="15" t="str">
        <f t="shared" si="1"/>
        <v/>
      </c>
      <c r="J13" s="19">
        <v>0</v>
      </c>
      <c r="K13" s="19">
        <v>0</v>
      </c>
      <c r="L13" s="19">
        <v>0</v>
      </c>
      <c r="M13" s="19">
        <v>0</v>
      </c>
    </row>
    <row r="14" spans="1:13">
      <c r="A14" s="14" t="s">
        <v>66</v>
      </c>
      <c r="B14" s="14">
        <v>11</v>
      </c>
      <c r="C14" s="15" t="s">
        <v>67</v>
      </c>
      <c r="D14" s="14">
        <v>1101010009</v>
      </c>
      <c r="E14" s="16">
        <f>CHOOSE(MATCH($C$2,{"Offline Optimized","Offline + Online Hybrid","Online Optimized"},0),J14,K14,L14)</f>
        <v>3500</v>
      </c>
      <c r="F14" s="16">
        <f>SUMIF('ACAH Capital Log'!$D$4:$D$2000,A14,'ACAH Capital Log'!$F$4:$F$2000)</f>
        <v>0</v>
      </c>
      <c r="G14" s="17">
        <v>0</v>
      </c>
      <c r="H14" s="18">
        <f t="shared" si="0"/>
        <v>3500</v>
      </c>
      <c r="I14" s="15" t="str">
        <f t="shared" si="1"/>
        <v/>
      </c>
      <c r="J14" s="19">
        <v>3500</v>
      </c>
      <c r="K14" s="19">
        <v>0</v>
      </c>
      <c r="L14" s="19">
        <v>0</v>
      </c>
      <c r="M14" s="19">
        <v>2500</v>
      </c>
    </row>
    <row r="15" spans="1:13">
      <c r="A15" s="14" t="s">
        <v>68</v>
      </c>
      <c r="B15" s="14">
        <v>12</v>
      </c>
      <c r="C15" s="15" t="s">
        <v>69</v>
      </c>
      <c r="D15" s="14">
        <v>1101010009</v>
      </c>
      <c r="E15" s="16">
        <f>CHOOSE(MATCH($C$2,{"Offline Optimized","Offline + Online Hybrid","Online Optimized"},0),J15,K15,L15)</f>
        <v>9100</v>
      </c>
      <c r="F15" s="16">
        <f>SUMIF('ACAH Capital Log'!$D$4:$D$2000,A15,'ACAH Capital Log'!$F$4:$F$2000)</f>
        <v>0</v>
      </c>
      <c r="G15" s="17">
        <v>0</v>
      </c>
      <c r="H15" s="18">
        <f t="shared" si="0"/>
        <v>9100</v>
      </c>
      <c r="I15" s="15" t="str">
        <f t="shared" si="1"/>
        <v/>
      </c>
      <c r="J15" s="19">
        <v>9100</v>
      </c>
      <c r="K15" s="19">
        <v>0</v>
      </c>
      <c r="L15" s="19">
        <v>0</v>
      </c>
      <c r="M15" s="19">
        <v>25800</v>
      </c>
    </row>
    <row r="16" spans="1:13">
      <c r="A16" s="14" t="s">
        <v>70</v>
      </c>
      <c r="B16" s="14">
        <v>13</v>
      </c>
      <c r="C16" s="15" t="s">
        <v>71</v>
      </c>
      <c r="D16" s="14">
        <v>1101010009</v>
      </c>
      <c r="E16" s="16">
        <f>CHOOSE(MATCH($C$2,{"Offline Optimized","Offline + Online Hybrid","Online Optimized"},0),J16,K16,L16)</f>
        <v>10000</v>
      </c>
      <c r="F16" s="16">
        <f>SUMIF('ACAH Capital Log'!$D$4:$D$2000,A16,'ACAH Capital Log'!$F$4:$F$2000)</f>
        <v>0</v>
      </c>
      <c r="G16" s="17">
        <v>0</v>
      </c>
      <c r="H16" s="18">
        <f t="shared" si="0"/>
        <v>10000</v>
      </c>
      <c r="I16" s="15" t="str">
        <f t="shared" si="1"/>
        <v/>
      </c>
      <c r="J16" s="19">
        <v>10000</v>
      </c>
      <c r="K16" s="19">
        <v>0</v>
      </c>
      <c r="L16" s="19">
        <v>0</v>
      </c>
      <c r="M16" s="19">
        <v>12500</v>
      </c>
    </row>
    <row r="17" spans="1:13">
      <c r="A17" s="14" t="s">
        <v>72</v>
      </c>
      <c r="B17" s="14">
        <v>14</v>
      </c>
      <c r="C17" s="15" t="s">
        <v>73</v>
      </c>
      <c r="D17" s="14">
        <v>1101010009</v>
      </c>
      <c r="E17" s="16">
        <f>CHOOSE(MATCH($C$2,{"Offline Optimized","Offline + Online Hybrid","Online Optimized"},0),J17,K17,L17)</f>
        <v>3750</v>
      </c>
      <c r="F17" s="16">
        <f>SUMIF('ACAH Capital Log'!$D$4:$D$2000,A17,'ACAH Capital Log'!$F$4:$F$2000)</f>
        <v>0</v>
      </c>
      <c r="G17" s="17">
        <v>0</v>
      </c>
      <c r="H17" s="18">
        <f t="shared" si="0"/>
        <v>3750</v>
      </c>
      <c r="I17" s="15" t="str">
        <f t="shared" si="1"/>
        <v/>
      </c>
      <c r="J17" s="19">
        <v>3750</v>
      </c>
      <c r="K17" s="19">
        <v>0</v>
      </c>
      <c r="L17" s="19">
        <v>0</v>
      </c>
      <c r="M17" s="19">
        <v>0</v>
      </c>
    </row>
    <row r="18" spans="1:13">
      <c r="A18" s="14" t="s">
        <v>74</v>
      </c>
      <c r="B18" s="14">
        <v>15</v>
      </c>
      <c r="C18" s="15" t="s">
        <v>75</v>
      </c>
      <c r="D18" s="14">
        <v>1101010009</v>
      </c>
      <c r="E18" s="16">
        <f>CHOOSE(MATCH($C$2,{"Offline Optimized","Offline + Online Hybrid","Online Optimized"},0),J18,K18,L18)</f>
        <v>2500</v>
      </c>
      <c r="F18" s="16">
        <f>SUMIF('ACAH Capital Log'!$D$4:$D$2000,A18,'ACAH Capital Log'!$F$4:$F$2000)</f>
        <v>0</v>
      </c>
      <c r="G18" s="17">
        <v>0</v>
      </c>
      <c r="H18" s="18">
        <f t="shared" si="0"/>
        <v>2500</v>
      </c>
      <c r="I18" s="15" t="str">
        <f t="shared" si="1"/>
        <v/>
      </c>
      <c r="J18" s="19">
        <v>2500</v>
      </c>
      <c r="K18" s="19">
        <v>0</v>
      </c>
      <c r="L18" s="19">
        <v>0</v>
      </c>
      <c r="M18" s="19">
        <v>2500</v>
      </c>
    </row>
    <row r="19" spans="1:13">
      <c r="A19" s="14" t="s">
        <v>76</v>
      </c>
      <c r="B19" s="14">
        <v>16</v>
      </c>
      <c r="C19" s="15" t="s">
        <v>77</v>
      </c>
      <c r="D19" s="14">
        <v>1101010009</v>
      </c>
      <c r="E19" s="16">
        <f>CHOOSE(MATCH($C$2,{"Offline Optimized","Offline + Online Hybrid","Online Optimized"},0),J19,K19,L19)</f>
        <v>5000</v>
      </c>
      <c r="F19" s="16">
        <f>SUMIF('ACAH Capital Log'!$D$4:$D$2000,A19,'ACAH Capital Log'!$F$4:$F$2000)</f>
        <v>0</v>
      </c>
      <c r="G19" s="17">
        <v>0</v>
      </c>
      <c r="H19" s="18">
        <f t="shared" si="0"/>
        <v>5000</v>
      </c>
      <c r="I19" s="15" t="str">
        <f t="shared" si="1"/>
        <v/>
      </c>
      <c r="J19" s="19">
        <v>5000</v>
      </c>
      <c r="K19" s="19">
        <v>0</v>
      </c>
      <c r="L19" s="19">
        <v>0</v>
      </c>
      <c r="M19" s="19">
        <v>0</v>
      </c>
    </row>
    <row r="20" spans="1:13">
      <c r="A20" s="14" t="s">
        <v>78</v>
      </c>
      <c r="B20" s="14">
        <v>17</v>
      </c>
      <c r="C20" s="15" t="s">
        <v>79</v>
      </c>
      <c r="D20" s="14">
        <v>1101010009</v>
      </c>
      <c r="E20" s="16">
        <f>CHOOSE(MATCH($C$2,{"Offline Optimized","Offline + Online Hybrid","Online Optimized"},0),J20,K20,L20)</f>
        <v>3000</v>
      </c>
      <c r="F20" s="16">
        <f>SUMIF('ACAH Capital Log'!$D$4:$D$2000,A20,'ACAH Capital Log'!$F$4:$F$2000)</f>
        <v>0</v>
      </c>
      <c r="G20" s="17">
        <v>0</v>
      </c>
      <c r="H20" s="18">
        <f t="shared" si="0"/>
        <v>3000</v>
      </c>
      <c r="I20" s="15" t="str">
        <f t="shared" si="1"/>
        <v/>
      </c>
      <c r="J20" s="19">
        <v>3000</v>
      </c>
      <c r="K20" s="19">
        <v>0</v>
      </c>
      <c r="L20" s="19">
        <v>0</v>
      </c>
      <c r="M20" s="19">
        <v>2500</v>
      </c>
    </row>
    <row r="21" spans="1:13">
      <c r="A21" s="14" t="s">
        <v>80</v>
      </c>
      <c r="B21" s="14">
        <v>18</v>
      </c>
      <c r="C21" s="15" t="s">
        <v>81</v>
      </c>
      <c r="D21" s="14">
        <v>1101010009</v>
      </c>
      <c r="E21" s="16">
        <f>CHOOSE(MATCH($C$2,{"Offline Optimized","Offline + Online Hybrid","Online Optimized"},0),J21,K21,L21)</f>
        <v>0</v>
      </c>
      <c r="F21" s="16">
        <f>SUMIF('ACAH Capital Log'!$D$4:$D$2000,A21,'ACAH Capital Log'!$F$4:$F$2000)</f>
        <v>0</v>
      </c>
      <c r="G21" s="17">
        <v>0</v>
      </c>
      <c r="H21" s="18">
        <f t="shared" si="0"/>
        <v>0</v>
      </c>
      <c r="I21" s="15" t="str">
        <f t="shared" si="1"/>
        <v/>
      </c>
      <c r="J21" s="19">
        <v>0</v>
      </c>
      <c r="K21" s="19">
        <v>0</v>
      </c>
      <c r="L21" s="19">
        <v>0</v>
      </c>
      <c r="M21" s="19">
        <v>0</v>
      </c>
    </row>
    <row r="22" spans="1:13">
      <c r="A22" s="14" t="s">
        <v>82</v>
      </c>
      <c r="B22" s="14">
        <v>19</v>
      </c>
      <c r="C22" s="15" t="s">
        <v>83</v>
      </c>
      <c r="D22" s="14">
        <v>1101010009</v>
      </c>
      <c r="E22" s="16">
        <f>CHOOSE(MATCH($C$2,{"Offline Optimized","Offline + Online Hybrid","Online Optimized"},0),J22,K22,L22)</f>
        <v>4000</v>
      </c>
      <c r="F22" s="16">
        <f>SUMIF('ACAH Capital Log'!$D$4:$D$2000,A22,'ACAH Capital Log'!$F$4:$F$2000)</f>
        <v>0</v>
      </c>
      <c r="G22" s="17">
        <v>0</v>
      </c>
      <c r="H22" s="18">
        <f t="shared" si="0"/>
        <v>4000</v>
      </c>
      <c r="I22" s="15" t="str">
        <f t="shared" si="1"/>
        <v/>
      </c>
      <c r="J22" s="19">
        <v>4000</v>
      </c>
      <c r="K22" s="19">
        <v>0</v>
      </c>
      <c r="L22" s="19">
        <v>0</v>
      </c>
      <c r="M22" s="19">
        <v>4000</v>
      </c>
    </row>
    <row r="23" spans="1:13">
      <c r="A23" s="14" t="s">
        <v>84</v>
      </c>
      <c r="B23" s="14">
        <v>20</v>
      </c>
      <c r="C23" s="15" t="s">
        <v>85</v>
      </c>
      <c r="D23" s="14">
        <v>1101010009</v>
      </c>
      <c r="E23" s="16">
        <f>CHOOSE(MATCH($C$2,{"Offline Optimized","Offline + Online Hybrid","Online Optimized"},0),J23,K23,L23)</f>
        <v>0</v>
      </c>
      <c r="F23" s="16">
        <f>SUMIF('ACAH Capital Log'!$D$4:$D$2000,A23,'ACAH Capital Log'!$F$4:$F$2000)</f>
        <v>0</v>
      </c>
      <c r="G23" s="17">
        <v>0</v>
      </c>
      <c r="H23" s="18">
        <f t="shared" si="0"/>
        <v>0</v>
      </c>
      <c r="I23" s="15" t="str">
        <f t="shared" si="1"/>
        <v/>
      </c>
      <c r="J23" s="19">
        <v>0</v>
      </c>
      <c r="K23" s="19">
        <v>0</v>
      </c>
      <c r="L23" s="19">
        <v>0</v>
      </c>
      <c r="M23" s="19">
        <v>0</v>
      </c>
    </row>
    <row r="24" spans="1:13">
      <c r="A24" s="14" t="s">
        <v>86</v>
      </c>
      <c r="B24" s="14">
        <v>21</v>
      </c>
      <c r="C24" s="15" t="s">
        <v>87</v>
      </c>
      <c r="D24" s="14">
        <v>1101010009</v>
      </c>
      <c r="E24" s="16">
        <f>CHOOSE(MATCH($C$2,{"Offline Optimized","Offline + Online Hybrid","Online Optimized"},0),J24,K24,L24)</f>
        <v>0</v>
      </c>
      <c r="F24" s="16">
        <f>SUMIF('ACAH Capital Log'!$D$4:$D$2000,A24,'ACAH Capital Log'!$F$4:$F$2000)</f>
        <v>0</v>
      </c>
      <c r="G24" s="17">
        <v>0</v>
      </c>
      <c r="H24" s="18">
        <f t="shared" si="0"/>
        <v>0</v>
      </c>
      <c r="I24" s="15" t="str">
        <f t="shared" si="1"/>
        <v/>
      </c>
      <c r="J24" s="19">
        <v>0</v>
      </c>
      <c r="K24" s="19">
        <v>0</v>
      </c>
      <c r="L24" s="19">
        <v>0</v>
      </c>
      <c r="M24" s="19">
        <v>0</v>
      </c>
    </row>
    <row r="25" spans="1:13">
      <c r="A25" s="14" t="s">
        <v>88</v>
      </c>
      <c r="B25" s="14">
        <v>22</v>
      </c>
      <c r="C25" s="15" t="s">
        <v>89</v>
      </c>
      <c r="D25" s="14">
        <v>1101010009</v>
      </c>
      <c r="E25" s="16">
        <f>CHOOSE(MATCH($C$2,{"Offline Optimized","Offline + Online Hybrid","Online Optimized"},0),J25,K25,L25)</f>
        <v>0</v>
      </c>
      <c r="F25" s="16">
        <f>SUMIF('ACAH Capital Log'!$D$4:$D$2000,A25,'ACAH Capital Log'!$F$4:$F$2000)</f>
        <v>0</v>
      </c>
      <c r="G25" s="17">
        <v>0</v>
      </c>
      <c r="H25" s="18">
        <f t="shared" si="0"/>
        <v>0</v>
      </c>
      <c r="I25" s="15" t="str">
        <f t="shared" si="1"/>
        <v/>
      </c>
      <c r="J25" s="19">
        <v>0</v>
      </c>
      <c r="K25" s="19">
        <v>0</v>
      </c>
      <c r="L25" s="19">
        <v>0</v>
      </c>
      <c r="M25" s="19">
        <v>600</v>
      </c>
    </row>
    <row r="26" spans="1:13">
      <c r="A26" s="14" t="s">
        <v>90</v>
      </c>
      <c r="B26" s="14">
        <v>23</v>
      </c>
      <c r="C26" s="15" t="s">
        <v>91</v>
      </c>
      <c r="D26" s="14">
        <v>1101010009</v>
      </c>
      <c r="E26" s="16">
        <f>CHOOSE(MATCH($C$2,{"Offline Optimized","Offline + Online Hybrid","Online Optimized"},0),J26,K26,L26)</f>
        <v>800</v>
      </c>
      <c r="F26" s="16">
        <f>SUMIF('ACAH Capital Log'!$D$4:$D$2000,A26,'ACAH Capital Log'!$F$4:$F$2000)</f>
        <v>0</v>
      </c>
      <c r="G26" s="17">
        <v>0</v>
      </c>
      <c r="H26" s="18">
        <f t="shared" si="0"/>
        <v>800</v>
      </c>
      <c r="I26" s="15" t="str">
        <f t="shared" si="1"/>
        <v/>
      </c>
      <c r="J26" s="19">
        <v>800</v>
      </c>
      <c r="K26" s="19">
        <v>0</v>
      </c>
      <c r="L26" s="19">
        <v>0</v>
      </c>
      <c r="M26" s="19">
        <v>600</v>
      </c>
    </row>
    <row r="27" spans="1:13">
      <c r="A27" s="14" t="s">
        <v>92</v>
      </c>
      <c r="B27" s="14">
        <v>24</v>
      </c>
      <c r="C27" s="15" t="s">
        <v>93</v>
      </c>
      <c r="D27" s="14">
        <v>1101010009</v>
      </c>
      <c r="E27" s="16">
        <f>CHOOSE(MATCH($C$2,{"Offline Optimized","Offline + Online Hybrid","Online Optimized"},0),J27,K27,L27)</f>
        <v>0</v>
      </c>
      <c r="F27" s="16">
        <f>SUMIF('ACAH Capital Log'!$D$4:$D$2000,A27,'ACAH Capital Log'!$F$4:$F$2000)</f>
        <v>0</v>
      </c>
      <c r="G27" s="17">
        <v>0</v>
      </c>
      <c r="H27" s="18">
        <f t="shared" si="0"/>
        <v>0</v>
      </c>
      <c r="I27" s="15" t="str">
        <f t="shared" si="1"/>
        <v/>
      </c>
      <c r="J27" s="19">
        <v>0</v>
      </c>
      <c r="K27" s="19">
        <v>0</v>
      </c>
      <c r="L27" s="19">
        <v>0</v>
      </c>
      <c r="M27" s="19">
        <v>0</v>
      </c>
    </row>
    <row r="28" spans="1:13">
      <c r="A28" s="14" t="s">
        <v>94</v>
      </c>
      <c r="B28" s="14">
        <v>25</v>
      </c>
      <c r="C28" s="15" t="s">
        <v>95</v>
      </c>
      <c r="D28" s="14">
        <v>1101010009</v>
      </c>
      <c r="E28" s="16">
        <f>CHOOSE(MATCH($C$2,{"Offline Optimized","Offline + Online Hybrid","Online Optimized"},0),J28,K28,L28)</f>
        <v>2000</v>
      </c>
      <c r="F28" s="16">
        <f>SUMIF('ACAH Capital Log'!$D$4:$D$2000,A28,'ACAH Capital Log'!$F$4:$F$2000)</f>
        <v>0</v>
      </c>
      <c r="G28" s="17">
        <v>0</v>
      </c>
      <c r="H28" s="18">
        <f t="shared" si="0"/>
        <v>2000</v>
      </c>
      <c r="I28" s="15" t="str">
        <f t="shared" si="1"/>
        <v/>
      </c>
      <c r="J28" s="19">
        <v>2000</v>
      </c>
      <c r="K28" s="19">
        <v>0</v>
      </c>
      <c r="L28" s="19">
        <v>0</v>
      </c>
      <c r="M28" s="19">
        <v>5000</v>
      </c>
    </row>
    <row r="29" spans="1:13">
      <c r="A29" s="14" t="s">
        <v>96</v>
      </c>
      <c r="B29" s="14">
        <v>26</v>
      </c>
      <c r="C29" s="15" t="s">
        <v>97</v>
      </c>
      <c r="D29" s="14">
        <v>1101010009</v>
      </c>
      <c r="E29" s="16">
        <f>CHOOSE(MATCH($C$2,{"Offline Optimized","Offline + Online Hybrid","Online Optimized"},0),J29,K29,L29)</f>
        <v>0</v>
      </c>
      <c r="F29" s="16">
        <f>SUMIF('ACAH Capital Log'!$D$4:$D$2000,A29,'ACAH Capital Log'!$F$4:$F$2000)</f>
        <v>0</v>
      </c>
      <c r="G29" s="17">
        <v>0</v>
      </c>
      <c r="H29" s="18">
        <f t="shared" si="0"/>
        <v>0</v>
      </c>
      <c r="I29" s="15" t="str">
        <f t="shared" si="1"/>
        <v/>
      </c>
      <c r="J29" s="19">
        <v>0</v>
      </c>
      <c r="K29" s="19">
        <v>0</v>
      </c>
      <c r="L29" s="19">
        <v>0</v>
      </c>
      <c r="M29" s="19">
        <v>0</v>
      </c>
    </row>
    <row r="30" spans="1:13">
      <c r="A30" s="8"/>
      <c r="B30" s="8"/>
      <c r="C30" s="7" t="s">
        <v>98</v>
      </c>
      <c r="D30" s="8"/>
      <c r="E30" s="9">
        <f>SUM(E4:E29)</f>
        <v>54150</v>
      </c>
      <c r="F30" s="9">
        <f>SUM(F4:F29)</f>
        <v>0</v>
      </c>
      <c r="G30" s="9">
        <f>SUM(G4:G29)</f>
        <v>0</v>
      </c>
      <c r="H30" s="9">
        <f t="shared" si="0"/>
        <v>54150</v>
      </c>
      <c r="I30" s="7" t="str">
        <f t="shared" si="1"/>
        <v/>
      </c>
      <c r="M30">
        <f>SUM(M4:M29)</f>
        <v>74060</v>
      </c>
    </row>
  </sheetData>
  <mergeCells count="2">
    <mergeCell ref="A1:I1"/>
    <mergeCell ref="E2:I2"/>
  </mergeCells>
  <conditionalFormatting sqref="I4:I30">
    <cfRule type="expression" dxfId="17" priority="2">
      <formula>IFERROR($F4/($E4+$G4),0)&gt;0.75</formula>
    </cfRule>
    <cfRule type="expression" dxfId="16" priority="3">
      <formula>AND(IFERROR($F4/($E4+$G4),0)&gt;0.5,IFERROR($F4/($E4+$G4),0)&lt;=0.75)</formula>
    </cfRule>
    <cfRule type="expression" dxfId="15" priority="4">
      <formula>IFERROR($F4/($E4+$G4),0)&gt;0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2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2" customWidth="1"/>
    <col min="2" max="2" width="14" customWidth="1"/>
    <col min="3" max="3" width="34" customWidth="1"/>
    <col min="4" max="4" width="16" customWidth="1"/>
    <col min="5" max="5" width="13" customWidth="1"/>
    <col min="6" max="6" width="11" customWidth="1"/>
    <col min="7" max="7" width="13" customWidth="1"/>
    <col min="8" max="8" width="26" customWidth="1"/>
    <col min="10" max="10" width="13" hidden="1" customWidth="1"/>
  </cols>
  <sheetData>
    <row r="1" spans="1:10" ht="16.5">
      <c r="A1" s="36" t="s">
        <v>99</v>
      </c>
      <c r="B1" s="36"/>
      <c r="C1" s="36"/>
      <c r="D1" s="36"/>
      <c r="E1" s="36"/>
      <c r="F1" s="36"/>
      <c r="G1" s="36"/>
      <c r="H1" s="36"/>
      <c r="J1" s="20" t="s">
        <v>100</v>
      </c>
    </row>
    <row r="2" spans="1:10">
      <c r="A2" s="34" t="s">
        <v>101</v>
      </c>
      <c r="B2" s="34"/>
      <c r="C2" s="34"/>
      <c r="D2" s="34"/>
      <c r="E2" s="34"/>
      <c r="F2" s="34"/>
      <c r="G2" s="34"/>
      <c r="H2" s="34"/>
      <c r="J2" t="s">
        <v>46</v>
      </c>
    </row>
    <row r="3" spans="1:10" ht="24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J3" t="s">
        <v>48</v>
      </c>
    </row>
    <row r="4" spans="1:10">
      <c r="A4" s="21"/>
      <c r="B4" s="22"/>
      <c r="C4" s="22"/>
      <c r="D4" s="22"/>
      <c r="E4" s="23" t="str">
        <f>IF($D4="","",IFERROR(VLOOKUP($D4,'ACAH Capital Tracker'!$A:$H,8,FALSE()),""))</f>
        <v/>
      </c>
      <c r="F4" s="24"/>
      <c r="G4" s="25" t="str">
        <f>IF($D4="","",IFERROR(VLOOKUP($D4,'ACAH Capital Tracker'!$A:$D,4,FALSE()),""))</f>
        <v/>
      </c>
      <c r="H4" s="22"/>
      <c r="J4" t="s">
        <v>50</v>
      </c>
    </row>
    <row r="5" spans="1:10">
      <c r="A5" s="21"/>
      <c r="B5" s="22"/>
      <c r="C5" s="22"/>
      <c r="D5" s="22"/>
      <c r="E5" s="23" t="str">
        <f>IF($D5="","",IFERROR(VLOOKUP($D5,'ACAH Capital Tracker'!$A:$H,8,FALSE()),""))</f>
        <v/>
      </c>
      <c r="F5" s="24"/>
      <c r="G5" s="25" t="str">
        <f>IF($D5="","",IFERROR(VLOOKUP($D5,'ACAH Capital Tracker'!$A:$D,4,FALSE()),""))</f>
        <v/>
      </c>
      <c r="H5" s="22"/>
      <c r="J5" t="s">
        <v>52</v>
      </c>
    </row>
    <row r="6" spans="1:10">
      <c r="A6" s="21"/>
      <c r="B6" s="22"/>
      <c r="C6" s="22"/>
      <c r="D6" s="22"/>
      <c r="E6" s="23" t="str">
        <f>IF($D6="","",IFERROR(VLOOKUP($D6,'ACAH Capital Tracker'!$A:$H,8,FALSE()),""))</f>
        <v/>
      </c>
      <c r="F6" s="24"/>
      <c r="G6" s="25" t="str">
        <f>IF($D6="","",IFERROR(VLOOKUP($D6,'ACAH Capital Tracker'!$A:$D,4,FALSE()),""))</f>
        <v/>
      </c>
      <c r="H6" s="22"/>
      <c r="J6" t="s">
        <v>54</v>
      </c>
    </row>
    <row r="7" spans="1:10">
      <c r="A7" s="21"/>
      <c r="B7" s="22"/>
      <c r="C7" s="22"/>
      <c r="D7" s="22"/>
      <c r="E7" s="23" t="str">
        <f>IF($D7="","",IFERROR(VLOOKUP($D7,'ACAH Capital Tracker'!$A:$H,8,FALSE()),""))</f>
        <v/>
      </c>
      <c r="F7" s="24"/>
      <c r="G7" s="25" t="str">
        <f>IF($D7="","",IFERROR(VLOOKUP($D7,'ACAH Capital Tracker'!$A:$D,4,FALSE()),""))</f>
        <v/>
      </c>
      <c r="H7" s="22"/>
      <c r="J7" t="s">
        <v>56</v>
      </c>
    </row>
    <row r="8" spans="1:10">
      <c r="A8" s="21"/>
      <c r="B8" s="22"/>
      <c r="C8" s="22"/>
      <c r="D8" s="22"/>
      <c r="E8" s="23" t="str">
        <f>IF($D8="","",IFERROR(VLOOKUP($D8,'ACAH Capital Tracker'!$A:$H,8,FALSE()),""))</f>
        <v/>
      </c>
      <c r="F8" s="24"/>
      <c r="G8" s="25" t="str">
        <f>IF($D8="","",IFERROR(VLOOKUP($D8,'ACAH Capital Tracker'!$A:$D,4,FALSE()),""))</f>
        <v/>
      </c>
      <c r="H8" s="22"/>
      <c r="J8" t="s">
        <v>58</v>
      </c>
    </row>
    <row r="9" spans="1:10">
      <c r="A9" s="21"/>
      <c r="B9" s="22"/>
      <c r="C9" s="22"/>
      <c r="D9" s="22"/>
      <c r="E9" s="23" t="str">
        <f>IF($D9="","",IFERROR(VLOOKUP($D9,'ACAH Capital Tracker'!$A:$H,8,FALSE()),""))</f>
        <v/>
      </c>
      <c r="F9" s="24"/>
      <c r="G9" s="25" t="str">
        <f>IF($D9="","",IFERROR(VLOOKUP($D9,'ACAH Capital Tracker'!$A:$D,4,FALSE()),""))</f>
        <v/>
      </c>
      <c r="H9" s="22"/>
      <c r="J9" t="s">
        <v>60</v>
      </c>
    </row>
    <row r="10" spans="1:10">
      <c r="A10" s="21"/>
      <c r="B10" s="22"/>
      <c r="C10" s="22"/>
      <c r="D10" s="22"/>
      <c r="E10" s="23" t="str">
        <f>IF($D10="","",IFERROR(VLOOKUP($D10,'ACAH Capital Tracker'!$A:$H,8,FALSE()),""))</f>
        <v/>
      </c>
      <c r="F10" s="24"/>
      <c r="G10" s="25" t="str">
        <f>IF($D10="","",IFERROR(VLOOKUP($D10,'ACAH Capital Tracker'!$A:$D,4,FALSE()),""))</f>
        <v/>
      </c>
      <c r="H10" s="22"/>
      <c r="J10" t="s">
        <v>62</v>
      </c>
    </row>
    <row r="11" spans="1:10">
      <c r="A11" s="21"/>
      <c r="B11" s="22"/>
      <c r="C11" s="22"/>
      <c r="D11" s="22"/>
      <c r="E11" s="23" t="str">
        <f>IF($D11="","",IFERROR(VLOOKUP($D11,'ACAH Capital Tracker'!$A:$H,8,FALSE()),""))</f>
        <v/>
      </c>
      <c r="F11" s="24"/>
      <c r="G11" s="25" t="str">
        <f>IF($D11="","",IFERROR(VLOOKUP($D11,'ACAH Capital Tracker'!$A:$D,4,FALSE()),""))</f>
        <v/>
      </c>
      <c r="H11" s="22"/>
      <c r="J11" t="s">
        <v>64</v>
      </c>
    </row>
    <row r="12" spans="1:10">
      <c r="A12" s="21"/>
      <c r="B12" s="22"/>
      <c r="C12" s="22"/>
      <c r="D12" s="22"/>
      <c r="E12" s="23" t="str">
        <f>IF($D12="","",IFERROR(VLOOKUP($D12,'ACAH Capital Tracker'!$A:$H,8,FALSE()),""))</f>
        <v/>
      </c>
      <c r="F12" s="24"/>
      <c r="G12" s="25" t="str">
        <f>IF($D12="","",IFERROR(VLOOKUP($D12,'ACAH Capital Tracker'!$A:$D,4,FALSE()),""))</f>
        <v/>
      </c>
      <c r="H12" s="22"/>
      <c r="J12" t="s">
        <v>66</v>
      </c>
    </row>
    <row r="13" spans="1:10">
      <c r="A13" s="21"/>
      <c r="B13" s="22"/>
      <c r="C13" s="22"/>
      <c r="D13" s="22"/>
      <c r="E13" s="23" t="str">
        <f>IF($D13="","",IFERROR(VLOOKUP($D13,'ACAH Capital Tracker'!$A:$H,8,FALSE()),""))</f>
        <v/>
      </c>
      <c r="F13" s="24"/>
      <c r="G13" s="25" t="str">
        <f>IF($D13="","",IFERROR(VLOOKUP($D13,'ACAH Capital Tracker'!$A:$D,4,FALSE()),""))</f>
        <v/>
      </c>
      <c r="H13" s="22"/>
      <c r="J13" t="s">
        <v>68</v>
      </c>
    </row>
    <row r="14" spans="1:10">
      <c r="A14" s="21"/>
      <c r="B14" s="22"/>
      <c r="C14" s="22"/>
      <c r="D14" s="22"/>
      <c r="E14" s="23" t="str">
        <f>IF($D14="","",IFERROR(VLOOKUP($D14,'ACAH Capital Tracker'!$A:$H,8,FALSE()),""))</f>
        <v/>
      </c>
      <c r="F14" s="24"/>
      <c r="G14" s="25" t="str">
        <f>IF($D14="","",IFERROR(VLOOKUP($D14,'ACAH Capital Tracker'!$A:$D,4,FALSE()),""))</f>
        <v/>
      </c>
      <c r="H14" s="22"/>
      <c r="J14" t="s">
        <v>70</v>
      </c>
    </row>
    <row r="15" spans="1:10">
      <c r="A15" s="21"/>
      <c r="B15" s="22"/>
      <c r="C15" s="22"/>
      <c r="D15" s="22"/>
      <c r="E15" s="23" t="str">
        <f>IF($D15="","",IFERROR(VLOOKUP($D15,'ACAH Capital Tracker'!$A:$H,8,FALSE()),""))</f>
        <v/>
      </c>
      <c r="F15" s="24"/>
      <c r="G15" s="25" t="str">
        <f>IF($D15="","",IFERROR(VLOOKUP($D15,'ACAH Capital Tracker'!$A:$D,4,FALSE()),""))</f>
        <v/>
      </c>
      <c r="H15" s="22"/>
      <c r="J15" t="s">
        <v>72</v>
      </c>
    </row>
    <row r="16" spans="1:10">
      <c r="A16" s="21"/>
      <c r="B16" s="22"/>
      <c r="C16" s="22"/>
      <c r="D16" s="22"/>
      <c r="E16" s="23" t="str">
        <f>IF($D16="","",IFERROR(VLOOKUP($D16,'ACAH Capital Tracker'!$A:$H,8,FALSE()),""))</f>
        <v/>
      </c>
      <c r="F16" s="24"/>
      <c r="G16" s="25" t="str">
        <f>IF($D16="","",IFERROR(VLOOKUP($D16,'ACAH Capital Tracker'!$A:$D,4,FALSE()),""))</f>
        <v/>
      </c>
      <c r="H16" s="22"/>
      <c r="J16" t="s">
        <v>74</v>
      </c>
    </row>
    <row r="17" spans="1:10">
      <c r="A17" s="21"/>
      <c r="B17" s="22"/>
      <c r="C17" s="22"/>
      <c r="D17" s="22"/>
      <c r="E17" s="23" t="str">
        <f>IF($D17="","",IFERROR(VLOOKUP($D17,'ACAH Capital Tracker'!$A:$H,8,FALSE()),""))</f>
        <v/>
      </c>
      <c r="F17" s="24"/>
      <c r="G17" s="25" t="str">
        <f>IF($D17="","",IFERROR(VLOOKUP($D17,'ACAH Capital Tracker'!$A:$D,4,FALSE()),""))</f>
        <v/>
      </c>
      <c r="H17" s="22"/>
      <c r="J17" t="s">
        <v>76</v>
      </c>
    </row>
    <row r="18" spans="1:10">
      <c r="A18" s="21"/>
      <c r="B18" s="22"/>
      <c r="C18" s="22"/>
      <c r="D18" s="22"/>
      <c r="E18" s="23" t="str">
        <f>IF($D18="","",IFERROR(VLOOKUP($D18,'ACAH Capital Tracker'!$A:$H,8,FALSE()),""))</f>
        <v/>
      </c>
      <c r="F18" s="24"/>
      <c r="G18" s="25" t="str">
        <f>IF($D18="","",IFERROR(VLOOKUP($D18,'ACAH Capital Tracker'!$A:$D,4,FALSE()),""))</f>
        <v/>
      </c>
      <c r="H18" s="22"/>
      <c r="J18" t="s">
        <v>78</v>
      </c>
    </row>
    <row r="19" spans="1:10">
      <c r="A19" s="21"/>
      <c r="B19" s="22"/>
      <c r="C19" s="22"/>
      <c r="D19" s="22"/>
      <c r="E19" s="23" t="str">
        <f>IF($D19="","",IFERROR(VLOOKUP($D19,'ACAH Capital Tracker'!$A:$H,8,FALSE()),""))</f>
        <v/>
      </c>
      <c r="F19" s="24"/>
      <c r="G19" s="25" t="str">
        <f>IF($D19="","",IFERROR(VLOOKUP($D19,'ACAH Capital Tracker'!$A:$D,4,FALSE()),""))</f>
        <v/>
      </c>
      <c r="H19" s="22"/>
      <c r="J19" t="s">
        <v>80</v>
      </c>
    </row>
    <row r="20" spans="1:10">
      <c r="A20" s="21"/>
      <c r="B20" s="22"/>
      <c r="C20" s="22"/>
      <c r="D20" s="22"/>
      <c r="E20" s="23" t="str">
        <f>IF($D20="","",IFERROR(VLOOKUP($D20,'ACAH Capital Tracker'!$A:$H,8,FALSE()),""))</f>
        <v/>
      </c>
      <c r="F20" s="24"/>
      <c r="G20" s="25" t="str">
        <f>IF($D20="","",IFERROR(VLOOKUP($D20,'ACAH Capital Tracker'!$A:$D,4,FALSE()),""))</f>
        <v/>
      </c>
      <c r="H20" s="22"/>
      <c r="J20" t="s">
        <v>82</v>
      </c>
    </row>
    <row r="21" spans="1:10">
      <c r="A21" s="21"/>
      <c r="B21" s="22"/>
      <c r="C21" s="22"/>
      <c r="D21" s="22"/>
      <c r="E21" s="23" t="str">
        <f>IF($D21="","",IFERROR(VLOOKUP($D21,'ACAH Capital Tracker'!$A:$H,8,FALSE()),""))</f>
        <v/>
      </c>
      <c r="F21" s="24"/>
      <c r="G21" s="25" t="str">
        <f>IF($D21="","",IFERROR(VLOOKUP($D21,'ACAH Capital Tracker'!$A:$D,4,FALSE()),""))</f>
        <v/>
      </c>
      <c r="H21" s="22"/>
      <c r="J21" t="s">
        <v>84</v>
      </c>
    </row>
    <row r="22" spans="1:10">
      <c r="A22" s="21"/>
      <c r="B22" s="22"/>
      <c r="C22" s="22"/>
      <c r="D22" s="22"/>
      <c r="E22" s="23" t="str">
        <f>IF($D22="","",IFERROR(VLOOKUP($D22,'ACAH Capital Tracker'!$A:$H,8,FALSE()),""))</f>
        <v/>
      </c>
      <c r="F22" s="24"/>
      <c r="G22" s="25" t="str">
        <f>IF($D22="","",IFERROR(VLOOKUP($D22,'ACAH Capital Tracker'!$A:$D,4,FALSE()),""))</f>
        <v/>
      </c>
      <c r="H22" s="22"/>
      <c r="J22" t="s">
        <v>86</v>
      </c>
    </row>
    <row r="23" spans="1:10">
      <c r="A23" s="21"/>
      <c r="B23" s="22"/>
      <c r="C23" s="22"/>
      <c r="D23" s="22"/>
      <c r="E23" s="23" t="str">
        <f>IF($D23="","",IFERROR(VLOOKUP($D23,'ACAH Capital Tracker'!$A:$H,8,FALSE()),""))</f>
        <v/>
      </c>
      <c r="F23" s="24"/>
      <c r="G23" s="25" t="str">
        <f>IF($D23="","",IFERROR(VLOOKUP($D23,'ACAH Capital Tracker'!$A:$D,4,FALSE()),""))</f>
        <v/>
      </c>
      <c r="H23" s="22"/>
      <c r="J23" t="s">
        <v>88</v>
      </c>
    </row>
    <row r="24" spans="1:10">
      <c r="A24" s="21"/>
      <c r="B24" s="22"/>
      <c r="C24" s="22"/>
      <c r="D24" s="22"/>
      <c r="E24" s="23" t="str">
        <f>IF($D24="","",IFERROR(VLOOKUP($D24,'ACAH Capital Tracker'!$A:$H,8,FALSE()),""))</f>
        <v/>
      </c>
      <c r="F24" s="24"/>
      <c r="G24" s="25" t="str">
        <f>IF($D24="","",IFERROR(VLOOKUP($D24,'ACAH Capital Tracker'!$A:$D,4,FALSE()),""))</f>
        <v/>
      </c>
      <c r="H24" s="22"/>
      <c r="J24" t="s">
        <v>90</v>
      </c>
    </row>
    <row r="25" spans="1:10">
      <c r="A25" s="21"/>
      <c r="B25" s="22"/>
      <c r="C25" s="22"/>
      <c r="D25" s="22"/>
      <c r="E25" s="23" t="str">
        <f>IF($D25="","",IFERROR(VLOOKUP($D25,'ACAH Capital Tracker'!$A:$H,8,FALSE()),""))</f>
        <v/>
      </c>
      <c r="F25" s="24"/>
      <c r="G25" s="25" t="str">
        <f>IF($D25="","",IFERROR(VLOOKUP($D25,'ACAH Capital Tracker'!$A:$D,4,FALSE()),""))</f>
        <v/>
      </c>
      <c r="H25" s="22"/>
      <c r="J25" t="s">
        <v>92</v>
      </c>
    </row>
    <row r="26" spans="1:10">
      <c r="A26" s="21"/>
      <c r="B26" s="22"/>
      <c r="C26" s="22"/>
      <c r="D26" s="22"/>
      <c r="E26" s="23" t="str">
        <f>IF($D26="","",IFERROR(VLOOKUP($D26,'ACAH Capital Tracker'!$A:$H,8,FALSE()),""))</f>
        <v/>
      </c>
      <c r="F26" s="24"/>
      <c r="G26" s="25" t="str">
        <f>IF($D26="","",IFERROR(VLOOKUP($D26,'ACAH Capital Tracker'!$A:$D,4,FALSE()),""))</f>
        <v/>
      </c>
      <c r="H26" s="22"/>
      <c r="J26" t="s">
        <v>94</v>
      </c>
    </row>
    <row r="27" spans="1:10">
      <c r="A27" s="21"/>
      <c r="B27" s="22"/>
      <c r="C27" s="22"/>
      <c r="D27" s="22"/>
      <c r="E27" s="23" t="str">
        <f>IF($D27="","",IFERROR(VLOOKUP($D27,'ACAH Capital Tracker'!$A:$H,8,FALSE()),""))</f>
        <v/>
      </c>
      <c r="F27" s="24"/>
      <c r="G27" s="25" t="str">
        <f>IF($D27="","",IFERROR(VLOOKUP($D27,'ACAH Capital Tracker'!$A:$D,4,FALSE()),""))</f>
        <v/>
      </c>
      <c r="H27" s="22"/>
      <c r="J27" t="s">
        <v>96</v>
      </c>
    </row>
    <row r="28" spans="1:10">
      <c r="A28" s="21"/>
      <c r="B28" s="22"/>
      <c r="C28" s="22"/>
      <c r="D28" s="22"/>
      <c r="E28" s="23" t="str">
        <f>IF($D28="","",IFERROR(VLOOKUP($D28,'ACAH Capital Tracker'!$A:$H,8,FALSE()),""))</f>
        <v/>
      </c>
      <c r="F28" s="24"/>
      <c r="G28" s="25" t="str">
        <f>IF($D28="","",IFERROR(VLOOKUP($D28,'ACAH Capital Tracker'!$A:$D,4,FALSE()),""))</f>
        <v/>
      </c>
      <c r="H28" s="22"/>
    </row>
    <row r="29" spans="1:10">
      <c r="A29" s="21"/>
      <c r="B29" s="22"/>
      <c r="C29" s="22"/>
      <c r="D29" s="22"/>
      <c r="E29" s="23" t="str">
        <f>IF($D29="","",IFERROR(VLOOKUP($D29,'ACAH Capital Tracker'!$A:$H,8,FALSE()),""))</f>
        <v/>
      </c>
      <c r="F29" s="24"/>
      <c r="G29" s="25" t="str">
        <f>IF($D29="","",IFERROR(VLOOKUP($D29,'ACAH Capital Tracker'!$A:$D,4,FALSE()),""))</f>
        <v/>
      </c>
      <c r="H29" s="22"/>
    </row>
    <row r="30" spans="1:10">
      <c r="A30" s="21"/>
      <c r="B30" s="22"/>
      <c r="C30" s="22"/>
      <c r="D30" s="22"/>
      <c r="E30" s="23" t="str">
        <f>IF($D30="","",IFERROR(VLOOKUP($D30,'ACAH Capital Tracker'!$A:$H,8,FALSE()),""))</f>
        <v/>
      </c>
      <c r="F30" s="24"/>
      <c r="G30" s="25" t="str">
        <f>IF($D30="","",IFERROR(VLOOKUP($D30,'ACAH Capital Tracker'!$A:$D,4,FALSE()),""))</f>
        <v/>
      </c>
      <c r="H30" s="22"/>
    </row>
    <row r="31" spans="1:10">
      <c r="A31" s="21"/>
      <c r="B31" s="22"/>
      <c r="C31" s="22"/>
      <c r="D31" s="22"/>
      <c r="E31" s="23" t="str">
        <f>IF($D31="","",IFERROR(VLOOKUP($D31,'ACAH Capital Tracker'!$A:$H,8,FALSE()),""))</f>
        <v/>
      </c>
      <c r="F31" s="24"/>
      <c r="G31" s="25" t="str">
        <f>IF($D31="","",IFERROR(VLOOKUP($D31,'ACAH Capital Tracker'!$A:$D,4,FALSE()),""))</f>
        <v/>
      </c>
      <c r="H31" s="22"/>
    </row>
    <row r="32" spans="1:10">
      <c r="A32" s="21"/>
      <c r="B32" s="22"/>
      <c r="C32" s="22"/>
      <c r="D32" s="22"/>
      <c r="E32" s="23" t="str">
        <f>IF($D32="","",IFERROR(VLOOKUP($D32,'ACAH Capital Tracker'!$A:$H,8,FALSE()),""))</f>
        <v/>
      </c>
      <c r="F32" s="24"/>
      <c r="G32" s="25" t="str">
        <f>IF($D32="","",IFERROR(VLOOKUP($D32,'ACAH Capital Tracker'!$A:$D,4,FALSE()),""))</f>
        <v/>
      </c>
      <c r="H32" s="22"/>
    </row>
    <row r="33" spans="1:8">
      <c r="A33" s="21"/>
      <c r="B33" s="22"/>
      <c r="C33" s="22"/>
      <c r="D33" s="22"/>
      <c r="E33" s="23" t="str">
        <f>IF($D33="","",IFERROR(VLOOKUP($D33,'ACAH Capital Tracker'!$A:$H,8,FALSE()),""))</f>
        <v/>
      </c>
      <c r="F33" s="24"/>
      <c r="G33" s="25" t="str">
        <f>IF($D33="","",IFERROR(VLOOKUP($D33,'ACAH Capital Tracker'!$A:$D,4,FALSE()),""))</f>
        <v/>
      </c>
      <c r="H33" s="22"/>
    </row>
    <row r="34" spans="1:8">
      <c r="A34" s="21"/>
      <c r="B34" s="22"/>
      <c r="C34" s="22"/>
      <c r="D34" s="22"/>
      <c r="E34" s="23" t="str">
        <f>IF($D34="","",IFERROR(VLOOKUP($D34,'ACAH Capital Tracker'!$A:$H,8,FALSE()),""))</f>
        <v/>
      </c>
      <c r="F34" s="24"/>
      <c r="G34" s="25" t="str">
        <f>IF($D34="","",IFERROR(VLOOKUP($D34,'ACAH Capital Tracker'!$A:$D,4,FALSE()),""))</f>
        <v/>
      </c>
      <c r="H34" s="22"/>
    </row>
    <row r="35" spans="1:8">
      <c r="A35" s="21"/>
      <c r="B35" s="22"/>
      <c r="C35" s="22"/>
      <c r="D35" s="22"/>
      <c r="E35" s="23" t="str">
        <f>IF($D35="","",IFERROR(VLOOKUP($D35,'ACAH Capital Tracker'!$A:$H,8,FALSE()),""))</f>
        <v/>
      </c>
      <c r="F35" s="24"/>
      <c r="G35" s="25" t="str">
        <f>IF($D35="","",IFERROR(VLOOKUP($D35,'ACAH Capital Tracker'!$A:$D,4,FALSE()),""))</f>
        <v/>
      </c>
      <c r="H35" s="22"/>
    </row>
    <row r="36" spans="1:8">
      <c r="A36" s="21"/>
      <c r="B36" s="22"/>
      <c r="C36" s="22"/>
      <c r="D36" s="22"/>
      <c r="E36" s="23" t="str">
        <f>IF($D36="","",IFERROR(VLOOKUP($D36,'ACAH Capital Tracker'!$A:$H,8,FALSE()),""))</f>
        <v/>
      </c>
      <c r="F36" s="24"/>
      <c r="G36" s="25" t="str">
        <f>IF($D36="","",IFERROR(VLOOKUP($D36,'ACAH Capital Tracker'!$A:$D,4,FALSE()),""))</f>
        <v/>
      </c>
      <c r="H36" s="22"/>
    </row>
    <row r="37" spans="1:8">
      <c r="A37" s="21"/>
      <c r="B37" s="22"/>
      <c r="C37" s="22"/>
      <c r="D37" s="22"/>
      <c r="E37" s="23" t="str">
        <f>IF($D37="","",IFERROR(VLOOKUP($D37,'ACAH Capital Tracker'!$A:$H,8,FALSE()),""))</f>
        <v/>
      </c>
      <c r="F37" s="24"/>
      <c r="G37" s="25" t="str">
        <f>IF($D37="","",IFERROR(VLOOKUP($D37,'ACAH Capital Tracker'!$A:$D,4,FALSE()),""))</f>
        <v/>
      </c>
      <c r="H37" s="22"/>
    </row>
    <row r="38" spans="1:8">
      <c r="A38" s="21"/>
      <c r="B38" s="22"/>
      <c r="C38" s="22"/>
      <c r="D38" s="22"/>
      <c r="E38" s="23" t="str">
        <f>IF($D38="","",IFERROR(VLOOKUP($D38,'ACAH Capital Tracker'!$A:$H,8,FALSE()),""))</f>
        <v/>
      </c>
      <c r="F38" s="24"/>
      <c r="G38" s="25" t="str">
        <f>IF($D38="","",IFERROR(VLOOKUP($D38,'ACAH Capital Tracker'!$A:$D,4,FALSE()),""))</f>
        <v/>
      </c>
      <c r="H38" s="22"/>
    </row>
    <row r="39" spans="1:8">
      <c r="A39" s="21"/>
      <c r="B39" s="22"/>
      <c r="C39" s="22"/>
      <c r="D39" s="22"/>
      <c r="E39" s="23" t="str">
        <f>IF($D39="","",IFERROR(VLOOKUP($D39,'ACAH Capital Tracker'!$A:$H,8,FALSE()),""))</f>
        <v/>
      </c>
      <c r="F39" s="24"/>
      <c r="G39" s="25" t="str">
        <f>IF($D39="","",IFERROR(VLOOKUP($D39,'ACAH Capital Tracker'!$A:$D,4,FALSE()),""))</f>
        <v/>
      </c>
      <c r="H39" s="22"/>
    </row>
    <row r="40" spans="1:8">
      <c r="A40" s="21"/>
      <c r="B40" s="22"/>
      <c r="C40" s="22"/>
      <c r="D40" s="22"/>
      <c r="E40" s="23" t="str">
        <f>IF($D40="","",IFERROR(VLOOKUP($D40,'ACAH Capital Tracker'!$A:$H,8,FALSE()),""))</f>
        <v/>
      </c>
      <c r="F40" s="24"/>
      <c r="G40" s="25" t="str">
        <f>IF($D40="","",IFERROR(VLOOKUP($D40,'ACAH Capital Tracker'!$A:$D,4,FALSE()),""))</f>
        <v/>
      </c>
      <c r="H40" s="22"/>
    </row>
    <row r="41" spans="1:8">
      <c r="A41" s="21"/>
      <c r="B41" s="22"/>
      <c r="C41" s="22"/>
      <c r="D41" s="22"/>
      <c r="E41" s="23" t="str">
        <f>IF($D41="","",IFERROR(VLOOKUP($D41,'ACAH Capital Tracker'!$A:$H,8,FALSE()),""))</f>
        <v/>
      </c>
      <c r="F41" s="24"/>
      <c r="G41" s="25" t="str">
        <f>IF($D41="","",IFERROR(VLOOKUP($D41,'ACAH Capital Tracker'!$A:$D,4,FALSE()),""))</f>
        <v/>
      </c>
      <c r="H41" s="22"/>
    </row>
    <row r="42" spans="1:8">
      <c r="A42" s="21"/>
      <c r="B42" s="22"/>
      <c r="C42" s="22"/>
      <c r="D42" s="22"/>
      <c r="E42" s="23" t="str">
        <f>IF($D42="","",IFERROR(VLOOKUP($D42,'ACAH Capital Tracker'!$A:$H,8,FALSE()),""))</f>
        <v/>
      </c>
      <c r="F42" s="24"/>
      <c r="G42" s="25" t="str">
        <f>IF($D42="","",IFERROR(VLOOKUP($D42,'ACAH Capital Tracker'!$A:$D,4,FALSE()),""))</f>
        <v/>
      </c>
      <c r="H42" s="22"/>
    </row>
    <row r="43" spans="1:8">
      <c r="A43" s="21"/>
      <c r="B43" s="22"/>
      <c r="C43" s="22"/>
      <c r="D43" s="22"/>
      <c r="E43" s="23" t="str">
        <f>IF($D43="","",IFERROR(VLOOKUP($D43,'ACAH Capital Tracker'!$A:$H,8,FALSE()),""))</f>
        <v/>
      </c>
      <c r="F43" s="24"/>
      <c r="G43" s="25" t="str">
        <f>IF($D43="","",IFERROR(VLOOKUP($D43,'ACAH Capital Tracker'!$A:$D,4,FALSE()),""))</f>
        <v/>
      </c>
      <c r="H43" s="22"/>
    </row>
    <row r="44" spans="1:8">
      <c r="A44" s="21"/>
      <c r="B44" s="22"/>
      <c r="C44" s="22"/>
      <c r="D44" s="22"/>
      <c r="E44" s="23" t="str">
        <f>IF($D44="","",IFERROR(VLOOKUP($D44,'ACAH Capital Tracker'!$A:$H,8,FALSE()),""))</f>
        <v/>
      </c>
      <c r="F44" s="24"/>
      <c r="G44" s="25" t="str">
        <f>IF($D44="","",IFERROR(VLOOKUP($D44,'ACAH Capital Tracker'!$A:$D,4,FALSE()),""))</f>
        <v/>
      </c>
      <c r="H44" s="22"/>
    </row>
    <row r="45" spans="1:8">
      <c r="A45" s="21"/>
      <c r="B45" s="22"/>
      <c r="C45" s="22"/>
      <c r="D45" s="22"/>
      <c r="E45" s="23" t="str">
        <f>IF($D45="","",IFERROR(VLOOKUP($D45,'ACAH Capital Tracker'!$A:$H,8,FALSE()),""))</f>
        <v/>
      </c>
      <c r="F45" s="24"/>
      <c r="G45" s="25" t="str">
        <f>IF($D45="","",IFERROR(VLOOKUP($D45,'ACAH Capital Tracker'!$A:$D,4,FALSE()),""))</f>
        <v/>
      </c>
      <c r="H45" s="22"/>
    </row>
    <row r="46" spans="1:8">
      <c r="A46" s="21"/>
      <c r="B46" s="22"/>
      <c r="C46" s="22"/>
      <c r="D46" s="22"/>
      <c r="E46" s="23" t="str">
        <f>IF($D46="","",IFERROR(VLOOKUP($D46,'ACAH Capital Tracker'!$A:$H,8,FALSE()),""))</f>
        <v/>
      </c>
      <c r="F46" s="24"/>
      <c r="G46" s="25" t="str">
        <f>IF($D46="","",IFERROR(VLOOKUP($D46,'ACAH Capital Tracker'!$A:$D,4,FALSE()),""))</f>
        <v/>
      </c>
      <c r="H46" s="22"/>
    </row>
    <row r="47" spans="1:8">
      <c r="A47" s="21"/>
      <c r="B47" s="22"/>
      <c r="C47" s="22"/>
      <c r="D47" s="22"/>
      <c r="E47" s="23" t="str">
        <f>IF($D47="","",IFERROR(VLOOKUP($D47,'ACAH Capital Tracker'!$A:$H,8,FALSE()),""))</f>
        <v/>
      </c>
      <c r="F47" s="24"/>
      <c r="G47" s="25" t="str">
        <f>IF($D47="","",IFERROR(VLOOKUP($D47,'ACAH Capital Tracker'!$A:$D,4,FALSE()),""))</f>
        <v/>
      </c>
      <c r="H47" s="22"/>
    </row>
    <row r="48" spans="1:8">
      <c r="A48" s="21"/>
      <c r="B48" s="22"/>
      <c r="C48" s="22"/>
      <c r="D48" s="22"/>
      <c r="E48" s="23" t="str">
        <f>IF($D48="","",IFERROR(VLOOKUP($D48,'ACAH Capital Tracker'!$A:$H,8,FALSE()),""))</f>
        <v/>
      </c>
      <c r="F48" s="24"/>
      <c r="G48" s="25" t="str">
        <f>IF($D48="","",IFERROR(VLOOKUP($D48,'ACAH Capital Tracker'!$A:$D,4,FALSE()),""))</f>
        <v/>
      </c>
      <c r="H48" s="22"/>
    </row>
    <row r="49" spans="1:8">
      <c r="A49" s="21"/>
      <c r="B49" s="22"/>
      <c r="C49" s="22"/>
      <c r="D49" s="22"/>
      <c r="E49" s="23" t="str">
        <f>IF($D49="","",IFERROR(VLOOKUP($D49,'ACAH Capital Tracker'!$A:$H,8,FALSE()),""))</f>
        <v/>
      </c>
      <c r="F49" s="24"/>
      <c r="G49" s="25" t="str">
        <f>IF($D49="","",IFERROR(VLOOKUP($D49,'ACAH Capital Tracker'!$A:$D,4,FALSE()),""))</f>
        <v/>
      </c>
      <c r="H49" s="22"/>
    </row>
    <row r="50" spans="1:8">
      <c r="A50" s="21"/>
      <c r="B50" s="22"/>
      <c r="C50" s="22"/>
      <c r="D50" s="22"/>
      <c r="E50" s="23" t="str">
        <f>IF($D50="","",IFERROR(VLOOKUP($D50,'ACAH Capital Tracker'!$A:$H,8,FALSE()),""))</f>
        <v/>
      </c>
      <c r="F50" s="24"/>
      <c r="G50" s="25" t="str">
        <f>IF($D50="","",IFERROR(VLOOKUP($D50,'ACAH Capital Tracker'!$A:$D,4,FALSE()),""))</f>
        <v/>
      </c>
      <c r="H50" s="22"/>
    </row>
    <row r="51" spans="1:8">
      <c r="A51" s="21"/>
      <c r="B51" s="22"/>
      <c r="C51" s="22"/>
      <c r="D51" s="22"/>
      <c r="E51" s="23" t="str">
        <f>IF($D51="","",IFERROR(VLOOKUP($D51,'ACAH Capital Tracker'!$A:$H,8,FALSE()),""))</f>
        <v/>
      </c>
      <c r="F51" s="24"/>
      <c r="G51" s="25" t="str">
        <f>IF($D51="","",IFERROR(VLOOKUP($D51,'ACAH Capital Tracker'!$A:$D,4,FALSE()),""))</f>
        <v/>
      </c>
      <c r="H51" s="22"/>
    </row>
    <row r="52" spans="1:8">
      <c r="A52" s="21"/>
      <c r="B52" s="22"/>
      <c r="C52" s="22"/>
      <c r="D52" s="22"/>
      <c r="E52" s="23" t="str">
        <f>IF($D52="","",IFERROR(VLOOKUP($D52,'ACAH Capital Tracker'!$A:$H,8,FALSE()),""))</f>
        <v/>
      </c>
      <c r="F52" s="24"/>
      <c r="G52" s="25" t="str">
        <f>IF($D52="","",IFERROR(VLOOKUP($D52,'ACAH Capital Tracker'!$A:$D,4,FALSE()),""))</f>
        <v/>
      </c>
      <c r="H52" s="22"/>
    </row>
    <row r="53" spans="1:8">
      <c r="A53" s="21"/>
      <c r="B53" s="22"/>
      <c r="C53" s="22"/>
      <c r="D53" s="22"/>
      <c r="E53" s="23" t="str">
        <f>IF($D53="","",IFERROR(VLOOKUP($D53,'ACAH Capital Tracker'!$A:$H,8,FALSE()),""))</f>
        <v/>
      </c>
      <c r="F53" s="24"/>
      <c r="G53" s="25" t="str">
        <f>IF($D53="","",IFERROR(VLOOKUP($D53,'ACAH Capital Tracker'!$A:$D,4,FALSE()),""))</f>
        <v/>
      </c>
      <c r="H53" s="22"/>
    </row>
    <row r="54" spans="1:8">
      <c r="A54" s="21"/>
      <c r="B54" s="22"/>
      <c r="C54" s="22"/>
      <c r="D54" s="22"/>
      <c r="E54" s="23" t="str">
        <f>IF($D54="","",IFERROR(VLOOKUP($D54,'ACAH Capital Tracker'!$A:$H,8,FALSE()),""))</f>
        <v/>
      </c>
      <c r="F54" s="24"/>
      <c r="G54" s="25" t="str">
        <f>IF($D54="","",IFERROR(VLOOKUP($D54,'ACAH Capital Tracker'!$A:$D,4,FALSE()),""))</f>
        <v/>
      </c>
      <c r="H54" s="22"/>
    </row>
    <row r="55" spans="1:8">
      <c r="A55" s="21"/>
      <c r="B55" s="22"/>
      <c r="C55" s="22"/>
      <c r="D55" s="22"/>
      <c r="E55" s="23" t="str">
        <f>IF($D55="","",IFERROR(VLOOKUP($D55,'ACAH Capital Tracker'!$A:$H,8,FALSE()),""))</f>
        <v/>
      </c>
      <c r="F55" s="24"/>
      <c r="G55" s="25" t="str">
        <f>IF($D55="","",IFERROR(VLOOKUP($D55,'ACAH Capital Tracker'!$A:$D,4,FALSE()),""))</f>
        <v/>
      </c>
      <c r="H55" s="22"/>
    </row>
    <row r="56" spans="1:8">
      <c r="A56" s="21"/>
      <c r="B56" s="22"/>
      <c r="C56" s="22"/>
      <c r="D56" s="22"/>
      <c r="E56" s="23" t="str">
        <f>IF($D56="","",IFERROR(VLOOKUP($D56,'ACAH Capital Tracker'!$A:$H,8,FALSE()),""))</f>
        <v/>
      </c>
      <c r="F56" s="24"/>
      <c r="G56" s="25" t="str">
        <f>IF($D56="","",IFERROR(VLOOKUP($D56,'ACAH Capital Tracker'!$A:$D,4,FALSE()),""))</f>
        <v/>
      </c>
      <c r="H56" s="22"/>
    </row>
    <row r="57" spans="1:8">
      <c r="A57" s="21"/>
      <c r="B57" s="22"/>
      <c r="C57" s="22"/>
      <c r="D57" s="22"/>
      <c r="E57" s="23" t="str">
        <f>IF($D57="","",IFERROR(VLOOKUP($D57,'ACAH Capital Tracker'!$A:$H,8,FALSE()),""))</f>
        <v/>
      </c>
      <c r="F57" s="24"/>
      <c r="G57" s="25" t="str">
        <f>IF($D57="","",IFERROR(VLOOKUP($D57,'ACAH Capital Tracker'!$A:$D,4,FALSE()),""))</f>
        <v/>
      </c>
      <c r="H57" s="22"/>
    </row>
    <row r="58" spans="1:8">
      <c r="A58" s="21"/>
      <c r="B58" s="22"/>
      <c r="C58" s="22"/>
      <c r="D58" s="22"/>
      <c r="E58" s="23" t="str">
        <f>IF($D58="","",IFERROR(VLOOKUP($D58,'ACAH Capital Tracker'!$A:$H,8,FALSE()),""))</f>
        <v/>
      </c>
      <c r="F58" s="24"/>
      <c r="G58" s="25" t="str">
        <f>IF($D58="","",IFERROR(VLOOKUP($D58,'ACAH Capital Tracker'!$A:$D,4,FALSE()),""))</f>
        <v/>
      </c>
      <c r="H58" s="22"/>
    </row>
    <row r="59" spans="1:8">
      <c r="A59" s="21"/>
      <c r="B59" s="22"/>
      <c r="C59" s="22"/>
      <c r="D59" s="22"/>
      <c r="E59" s="23" t="str">
        <f>IF($D59="","",IFERROR(VLOOKUP($D59,'ACAH Capital Tracker'!$A:$H,8,FALSE()),""))</f>
        <v/>
      </c>
      <c r="F59" s="24"/>
      <c r="G59" s="25" t="str">
        <f>IF($D59="","",IFERROR(VLOOKUP($D59,'ACAH Capital Tracker'!$A:$D,4,FALSE()),""))</f>
        <v/>
      </c>
      <c r="H59" s="22"/>
    </row>
    <row r="60" spans="1:8">
      <c r="A60" s="21"/>
      <c r="B60" s="22"/>
      <c r="C60" s="22"/>
      <c r="D60" s="22"/>
      <c r="E60" s="23" t="str">
        <f>IF($D60="","",IFERROR(VLOOKUP($D60,'ACAH Capital Tracker'!$A:$H,8,FALSE()),""))</f>
        <v/>
      </c>
      <c r="F60" s="24"/>
      <c r="G60" s="25" t="str">
        <f>IF($D60="","",IFERROR(VLOOKUP($D60,'ACAH Capital Tracker'!$A:$D,4,FALSE()),""))</f>
        <v/>
      </c>
      <c r="H60" s="22"/>
    </row>
    <row r="61" spans="1:8">
      <c r="A61" s="21"/>
      <c r="B61" s="22"/>
      <c r="C61" s="22"/>
      <c r="D61" s="22"/>
      <c r="E61" s="23" t="str">
        <f>IF($D61="","",IFERROR(VLOOKUP($D61,'ACAH Capital Tracker'!$A:$H,8,FALSE()),""))</f>
        <v/>
      </c>
      <c r="F61" s="24"/>
      <c r="G61" s="25" t="str">
        <f>IF($D61="","",IFERROR(VLOOKUP($D61,'ACAH Capital Tracker'!$A:$D,4,FALSE()),""))</f>
        <v/>
      </c>
      <c r="H61" s="22"/>
    </row>
    <row r="62" spans="1:8">
      <c r="A62" s="21"/>
      <c r="B62" s="22"/>
      <c r="C62" s="22"/>
      <c r="D62" s="22"/>
      <c r="E62" s="23" t="str">
        <f>IF($D62="","",IFERROR(VLOOKUP($D62,'ACAH Capital Tracker'!$A:$H,8,FALSE()),""))</f>
        <v/>
      </c>
      <c r="F62" s="24"/>
      <c r="G62" s="25" t="str">
        <f>IF($D62="","",IFERROR(VLOOKUP($D62,'ACAH Capital Tracker'!$A:$D,4,FALSE()),""))</f>
        <v/>
      </c>
      <c r="H62" s="22"/>
    </row>
    <row r="63" spans="1:8">
      <c r="A63" s="21"/>
      <c r="B63" s="22"/>
      <c r="C63" s="22"/>
      <c r="D63" s="22"/>
      <c r="E63" s="23" t="str">
        <f>IF($D63="","",IFERROR(VLOOKUP($D63,'ACAH Capital Tracker'!$A:$H,8,FALSE()),""))</f>
        <v/>
      </c>
      <c r="F63" s="24"/>
      <c r="G63" s="25" t="str">
        <f>IF($D63="","",IFERROR(VLOOKUP($D63,'ACAH Capital Tracker'!$A:$D,4,FALSE()),""))</f>
        <v/>
      </c>
      <c r="H63" s="22"/>
    </row>
    <row r="64" spans="1:8">
      <c r="A64" s="21"/>
      <c r="B64" s="22"/>
      <c r="C64" s="22"/>
      <c r="D64" s="22"/>
      <c r="E64" s="23" t="str">
        <f>IF($D64="","",IFERROR(VLOOKUP($D64,'ACAH Capital Tracker'!$A:$H,8,FALSE()),""))</f>
        <v/>
      </c>
      <c r="F64" s="24"/>
      <c r="G64" s="25" t="str">
        <f>IF($D64="","",IFERROR(VLOOKUP($D64,'ACAH Capital Tracker'!$A:$D,4,FALSE()),""))</f>
        <v/>
      </c>
      <c r="H64" s="22"/>
    </row>
    <row r="65" spans="1:8">
      <c r="A65" s="21"/>
      <c r="B65" s="22"/>
      <c r="C65" s="22"/>
      <c r="D65" s="22"/>
      <c r="E65" s="23" t="str">
        <f>IF($D65="","",IFERROR(VLOOKUP($D65,'ACAH Capital Tracker'!$A:$H,8,FALSE()),""))</f>
        <v/>
      </c>
      <c r="F65" s="24"/>
      <c r="G65" s="25" t="str">
        <f>IF($D65="","",IFERROR(VLOOKUP($D65,'ACAH Capital Tracker'!$A:$D,4,FALSE()),""))</f>
        <v/>
      </c>
      <c r="H65" s="22"/>
    </row>
    <row r="66" spans="1:8">
      <c r="A66" s="21"/>
      <c r="B66" s="22"/>
      <c r="C66" s="22"/>
      <c r="D66" s="22"/>
      <c r="E66" s="23" t="str">
        <f>IF($D66="","",IFERROR(VLOOKUP($D66,'ACAH Capital Tracker'!$A:$H,8,FALSE()),""))</f>
        <v/>
      </c>
      <c r="F66" s="24"/>
      <c r="G66" s="25" t="str">
        <f>IF($D66="","",IFERROR(VLOOKUP($D66,'ACAH Capital Tracker'!$A:$D,4,FALSE()),""))</f>
        <v/>
      </c>
      <c r="H66" s="22"/>
    </row>
    <row r="67" spans="1:8">
      <c r="A67" s="21"/>
      <c r="B67" s="22"/>
      <c r="C67" s="22"/>
      <c r="D67" s="22"/>
      <c r="E67" s="23" t="str">
        <f>IF($D67="","",IFERROR(VLOOKUP($D67,'ACAH Capital Tracker'!$A:$H,8,FALSE()),""))</f>
        <v/>
      </c>
      <c r="F67" s="24"/>
      <c r="G67" s="25" t="str">
        <f>IF($D67="","",IFERROR(VLOOKUP($D67,'ACAH Capital Tracker'!$A:$D,4,FALSE()),""))</f>
        <v/>
      </c>
      <c r="H67" s="22"/>
    </row>
    <row r="68" spans="1:8">
      <c r="A68" s="21"/>
      <c r="B68" s="22"/>
      <c r="C68" s="22"/>
      <c r="D68" s="22"/>
      <c r="E68" s="23" t="str">
        <f>IF($D68="","",IFERROR(VLOOKUP($D68,'ACAH Capital Tracker'!$A:$H,8,FALSE()),""))</f>
        <v/>
      </c>
      <c r="F68" s="24"/>
      <c r="G68" s="25" t="str">
        <f>IF($D68="","",IFERROR(VLOOKUP($D68,'ACAH Capital Tracker'!$A:$D,4,FALSE()),""))</f>
        <v/>
      </c>
      <c r="H68" s="22"/>
    </row>
    <row r="69" spans="1:8">
      <c r="A69" s="21"/>
      <c r="B69" s="22"/>
      <c r="C69" s="22"/>
      <c r="D69" s="22"/>
      <c r="E69" s="23" t="str">
        <f>IF($D69="","",IFERROR(VLOOKUP($D69,'ACAH Capital Tracker'!$A:$H,8,FALSE()),""))</f>
        <v/>
      </c>
      <c r="F69" s="24"/>
      <c r="G69" s="25" t="str">
        <f>IF($D69="","",IFERROR(VLOOKUP($D69,'ACAH Capital Tracker'!$A:$D,4,FALSE()),""))</f>
        <v/>
      </c>
      <c r="H69" s="22"/>
    </row>
    <row r="70" spans="1:8">
      <c r="A70" s="21"/>
      <c r="B70" s="22"/>
      <c r="C70" s="22"/>
      <c r="D70" s="22"/>
      <c r="E70" s="23" t="str">
        <f>IF($D70="","",IFERROR(VLOOKUP($D70,'ACAH Capital Tracker'!$A:$H,8,FALSE()),""))</f>
        <v/>
      </c>
      <c r="F70" s="24"/>
      <c r="G70" s="25" t="str">
        <f>IF($D70="","",IFERROR(VLOOKUP($D70,'ACAH Capital Tracker'!$A:$D,4,FALSE()),""))</f>
        <v/>
      </c>
      <c r="H70" s="22"/>
    </row>
    <row r="71" spans="1:8">
      <c r="A71" s="21"/>
      <c r="B71" s="22"/>
      <c r="C71" s="22"/>
      <c r="D71" s="22"/>
      <c r="E71" s="23" t="str">
        <f>IF($D71="","",IFERROR(VLOOKUP($D71,'ACAH Capital Tracker'!$A:$H,8,FALSE()),""))</f>
        <v/>
      </c>
      <c r="F71" s="24"/>
      <c r="G71" s="25" t="str">
        <f>IF($D71="","",IFERROR(VLOOKUP($D71,'ACAH Capital Tracker'!$A:$D,4,FALSE()),""))</f>
        <v/>
      </c>
      <c r="H71" s="22"/>
    </row>
    <row r="72" spans="1:8">
      <c r="A72" s="21"/>
      <c r="B72" s="22"/>
      <c r="C72" s="22"/>
      <c r="D72" s="22"/>
      <c r="E72" s="23" t="str">
        <f>IF($D72="","",IFERROR(VLOOKUP($D72,'ACAH Capital Tracker'!$A:$H,8,FALSE()),""))</f>
        <v/>
      </c>
      <c r="F72" s="24"/>
      <c r="G72" s="25" t="str">
        <f>IF($D72="","",IFERROR(VLOOKUP($D72,'ACAH Capital Tracker'!$A:$D,4,FALSE()),""))</f>
        <v/>
      </c>
      <c r="H72" s="22"/>
    </row>
    <row r="73" spans="1:8">
      <c r="A73" s="21"/>
      <c r="B73" s="22"/>
      <c r="C73" s="22"/>
      <c r="D73" s="22"/>
      <c r="E73" s="23" t="str">
        <f>IF($D73="","",IFERROR(VLOOKUP($D73,'ACAH Capital Tracker'!$A:$H,8,FALSE()),""))</f>
        <v/>
      </c>
      <c r="F73" s="24"/>
      <c r="G73" s="25" t="str">
        <f>IF($D73="","",IFERROR(VLOOKUP($D73,'ACAH Capital Tracker'!$A:$D,4,FALSE()),""))</f>
        <v/>
      </c>
      <c r="H73" s="22"/>
    </row>
    <row r="74" spans="1:8">
      <c r="A74" s="21"/>
      <c r="B74" s="22"/>
      <c r="C74" s="22"/>
      <c r="D74" s="22"/>
      <c r="E74" s="23" t="str">
        <f>IF($D74="","",IFERROR(VLOOKUP($D74,'ACAH Capital Tracker'!$A:$H,8,FALSE()),""))</f>
        <v/>
      </c>
      <c r="F74" s="24"/>
      <c r="G74" s="25" t="str">
        <f>IF($D74="","",IFERROR(VLOOKUP($D74,'ACAH Capital Tracker'!$A:$D,4,FALSE()),""))</f>
        <v/>
      </c>
      <c r="H74" s="22"/>
    </row>
    <row r="75" spans="1:8">
      <c r="A75" s="21"/>
      <c r="B75" s="22"/>
      <c r="C75" s="22"/>
      <c r="D75" s="22"/>
      <c r="E75" s="23" t="str">
        <f>IF($D75="","",IFERROR(VLOOKUP($D75,'ACAH Capital Tracker'!$A:$H,8,FALSE()),""))</f>
        <v/>
      </c>
      <c r="F75" s="24"/>
      <c r="G75" s="25" t="str">
        <f>IF($D75="","",IFERROR(VLOOKUP($D75,'ACAH Capital Tracker'!$A:$D,4,FALSE()),""))</f>
        <v/>
      </c>
      <c r="H75" s="22"/>
    </row>
    <row r="76" spans="1:8">
      <c r="A76" s="21"/>
      <c r="B76" s="22"/>
      <c r="C76" s="22"/>
      <c r="D76" s="22"/>
      <c r="E76" s="23" t="str">
        <f>IF($D76="","",IFERROR(VLOOKUP($D76,'ACAH Capital Tracker'!$A:$H,8,FALSE()),""))</f>
        <v/>
      </c>
      <c r="F76" s="24"/>
      <c r="G76" s="25" t="str">
        <f>IF($D76="","",IFERROR(VLOOKUP($D76,'ACAH Capital Tracker'!$A:$D,4,FALSE()),""))</f>
        <v/>
      </c>
      <c r="H76" s="22"/>
    </row>
    <row r="77" spans="1:8">
      <c r="A77" s="21"/>
      <c r="B77" s="22"/>
      <c r="C77" s="22"/>
      <c r="D77" s="22"/>
      <c r="E77" s="23" t="str">
        <f>IF($D77="","",IFERROR(VLOOKUP($D77,'ACAH Capital Tracker'!$A:$H,8,FALSE()),""))</f>
        <v/>
      </c>
      <c r="F77" s="24"/>
      <c r="G77" s="25" t="str">
        <f>IF($D77="","",IFERROR(VLOOKUP($D77,'ACAH Capital Tracker'!$A:$D,4,FALSE()),""))</f>
        <v/>
      </c>
      <c r="H77" s="22"/>
    </row>
    <row r="78" spans="1:8">
      <c r="A78" s="21"/>
      <c r="B78" s="22"/>
      <c r="C78" s="22"/>
      <c r="D78" s="22"/>
      <c r="E78" s="23" t="str">
        <f>IF($D78="","",IFERROR(VLOOKUP($D78,'ACAH Capital Tracker'!$A:$H,8,FALSE()),""))</f>
        <v/>
      </c>
      <c r="F78" s="24"/>
      <c r="G78" s="25" t="str">
        <f>IF($D78="","",IFERROR(VLOOKUP($D78,'ACAH Capital Tracker'!$A:$D,4,FALSE()),""))</f>
        <v/>
      </c>
      <c r="H78" s="22"/>
    </row>
    <row r="79" spans="1:8">
      <c r="A79" s="21"/>
      <c r="B79" s="22"/>
      <c r="C79" s="22"/>
      <c r="D79" s="22"/>
      <c r="E79" s="23" t="str">
        <f>IF($D79="","",IFERROR(VLOOKUP($D79,'ACAH Capital Tracker'!$A:$H,8,FALSE()),""))</f>
        <v/>
      </c>
      <c r="F79" s="24"/>
      <c r="G79" s="25" t="str">
        <f>IF($D79="","",IFERROR(VLOOKUP($D79,'ACAH Capital Tracker'!$A:$D,4,FALSE()),""))</f>
        <v/>
      </c>
      <c r="H79" s="22"/>
    </row>
    <row r="80" spans="1:8">
      <c r="A80" s="21"/>
      <c r="B80" s="22"/>
      <c r="C80" s="22"/>
      <c r="D80" s="22"/>
      <c r="E80" s="23" t="str">
        <f>IF($D80="","",IFERROR(VLOOKUP($D80,'ACAH Capital Tracker'!$A:$H,8,FALSE()),""))</f>
        <v/>
      </c>
      <c r="F80" s="24"/>
      <c r="G80" s="25" t="str">
        <f>IF($D80="","",IFERROR(VLOOKUP($D80,'ACAH Capital Tracker'!$A:$D,4,FALSE()),""))</f>
        <v/>
      </c>
      <c r="H80" s="22"/>
    </row>
    <row r="81" spans="1:8">
      <c r="A81" s="21"/>
      <c r="B81" s="22"/>
      <c r="C81" s="22"/>
      <c r="D81" s="22"/>
      <c r="E81" s="23" t="str">
        <f>IF($D81="","",IFERROR(VLOOKUP($D81,'ACAH Capital Tracker'!$A:$H,8,FALSE()),""))</f>
        <v/>
      </c>
      <c r="F81" s="24"/>
      <c r="G81" s="25" t="str">
        <f>IF($D81="","",IFERROR(VLOOKUP($D81,'ACAH Capital Tracker'!$A:$D,4,FALSE()),""))</f>
        <v/>
      </c>
      <c r="H81" s="22"/>
    </row>
    <row r="82" spans="1:8">
      <c r="A82" s="21"/>
      <c r="B82" s="22"/>
      <c r="C82" s="22"/>
      <c r="D82" s="22"/>
      <c r="E82" s="23" t="str">
        <f>IF($D82="","",IFERROR(VLOOKUP($D82,'ACAH Capital Tracker'!$A:$H,8,FALSE()),""))</f>
        <v/>
      </c>
      <c r="F82" s="24"/>
      <c r="G82" s="25" t="str">
        <f>IF($D82="","",IFERROR(VLOOKUP($D82,'ACAH Capital Tracker'!$A:$D,4,FALSE()),""))</f>
        <v/>
      </c>
      <c r="H82" s="22"/>
    </row>
    <row r="83" spans="1:8">
      <c r="A83" s="21"/>
      <c r="B83" s="22"/>
      <c r="C83" s="22"/>
      <c r="D83" s="22"/>
      <c r="E83" s="23" t="str">
        <f>IF($D83="","",IFERROR(VLOOKUP($D83,'ACAH Capital Tracker'!$A:$H,8,FALSE()),""))</f>
        <v/>
      </c>
      <c r="F83" s="24"/>
      <c r="G83" s="25" t="str">
        <f>IF($D83="","",IFERROR(VLOOKUP($D83,'ACAH Capital Tracker'!$A:$D,4,FALSE()),""))</f>
        <v/>
      </c>
      <c r="H83" s="22"/>
    </row>
    <row r="84" spans="1:8">
      <c r="A84" s="21"/>
      <c r="B84" s="22"/>
      <c r="C84" s="22"/>
      <c r="D84" s="22"/>
      <c r="E84" s="23" t="str">
        <f>IF($D84="","",IFERROR(VLOOKUP($D84,'ACAH Capital Tracker'!$A:$H,8,FALSE()),""))</f>
        <v/>
      </c>
      <c r="F84" s="24"/>
      <c r="G84" s="25" t="str">
        <f>IF($D84="","",IFERROR(VLOOKUP($D84,'ACAH Capital Tracker'!$A:$D,4,FALSE()),""))</f>
        <v/>
      </c>
      <c r="H84" s="22"/>
    </row>
    <row r="85" spans="1:8">
      <c r="A85" s="21"/>
      <c r="B85" s="22"/>
      <c r="C85" s="22"/>
      <c r="D85" s="22"/>
      <c r="E85" s="23" t="str">
        <f>IF($D85="","",IFERROR(VLOOKUP($D85,'ACAH Capital Tracker'!$A:$H,8,FALSE()),""))</f>
        <v/>
      </c>
      <c r="F85" s="24"/>
      <c r="G85" s="25" t="str">
        <f>IF($D85="","",IFERROR(VLOOKUP($D85,'ACAH Capital Tracker'!$A:$D,4,FALSE()),""))</f>
        <v/>
      </c>
      <c r="H85" s="22"/>
    </row>
    <row r="86" spans="1:8">
      <c r="A86" s="21"/>
      <c r="B86" s="22"/>
      <c r="C86" s="22"/>
      <c r="D86" s="22"/>
      <c r="E86" s="23" t="str">
        <f>IF($D86="","",IFERROR(VLOOKUP($D86,'ACAH Capital Tracker'!$A:$H,8,FALSE()),""))</f>
        <v/>
      </c>
      <c r="F86" s="24"/>
      <c r="G86" s="25" t="str">
        <f>IF($D86="","",IFERROR(VLOOKUP($D86,'ACAH Capital Tracker'!$A:$D,4,FALSE()),""))</f>
        <v/>
      </c>
      <c r="H86" s="22"/>
    </row>
    <row r="87" spans="1:8">
      <c r="A87" s="21"/>
      <c r="B87" s="22"/>
      <c r="C87" s="22"/>
      <c r="D87" s="22"/>
      <c r="E87" s="23" t="str">
        <f>IF($D87="","",IFERROR(VLOOKUP($D87,'ACAH Capital Tracker'!$A:$H,8,FALSE()),""))</f>
        <v/>
      </c>
      <c r="F87" s="24"/>
      <c r="G87" s="25" t="str">
        <f>IF($D87="","",IFERROR(VLOOKUP($D87,'ACAH Capital Tracker'!$A:$D,4,FALSE()),""))</f>
        <v/>
      </c>
      <c r="H87" s="22"/>
    </row>
    <row r="88" spans="1:8">
      <c r="A88" s="21"/>
      <c r="B88" s="22"/>
      <c r="C88" s="22"/>
      <c r="D88" s="22"/>
      <c r="E88" s="23" t="str">
        <f>IF($D88="","",IFERROR(VLOOKUP($D88,'ACAH Capital Tracker'!$A:$H,8,FALSE()),""))</f>
        <v/>
      </c>
      <c r="F88" s="24"/>
      <c r="G88" s="25" t="str">
        <f>IF($D88="","",IFERROR(VLOOKUP($D88,'ACAH Capital Tracker'!$A:$D,4,FALSE()),""))</f>
        <v/>
      </c>
      <c r="H88" s="22"/>
    </row>
    <row r="89" spans="1:8">
      <c r="A89" s="21"/>
      <c r="B89" s="22"/>
      <c r="C89" s="22"/>
      <c r="D89" s="22"/>
      <c r="E89" s="23" t="str">
        <f>IF($D89="","",IFERROR(VLOOKUP($D89,'ACAH Capital Tracker'!$A:$H,8,FALSE()),""))</f>
        <v/>
      </c>
      <c r="F89" s="24"/>
      <c r="G89" s="25" t="str">
        <f>IF($D89="","",IFERROR(VLOOKUP($D89,'ACAH Capital Tracker'!$A:$D,4,FALSE()),""))</f>
        <v/>
      </c>
      <c r="H89" s="22"/>
    </row>
    <row r="90" spans="1:8">
      <c r="A90" s="21"/>
      <c r="B90" s="22"/>
      <c r="C90" s="22"/>
      <c r="D90" s="22"/>
      <c r="E90" s="23" t="str">
        <f>IF($D90="","",IFERROR(VLOOKUP($D90,'ACAH Capital Tracker'!$A:$H,8,FALSE()),""))</f>
        <v/>
      </c>
      <c r="F90" s="24"/>
      <c r="G90" s="25" t="str">
        <f>IF($D90="","",IFERROR(VLOOKUP($D90,'ACAH Capital Tracker'!$A:$D,4,FALSE()),""))</f>
        <v/>
      </c>
      <c r="H90" s="22"/>
    </row>
    <row r="91" spans="1:8">
      <c r="A91" s="21"/>
      <c r="B91" s="22"/>
      <c r="C91" s="22"/>
      <c r="D91" s="22"/>
      <c r="E91" s="23" t="str">
        <f>IF($D91="","",IFERROR(VLOOKUP($D91,'ACAH Capital Tracker'!$A:$H,8,FALSE()),""))</f>
        <v/>
      </c>
      <c r="F91" s="24"/>
      <c r="G91" s="25" t="str">
        <f>IF($D91="","",IFERROR(VLOOKUP($D91,'ACAH Capital Tracker'!$A:$D,4,FALSE()),""))</f>
        <v/>
      </c>
      <c r="H91" s="22"/>
    </row>
    <row r="92" spans="1:8">
      <c r="A92" s="21"/>
      <c r="B92" s="22"/>
      <c r="C92" s="22"/>
      <c r="D92" s="22"/>
      <c r="E92" s="23" t="str">
        <f>IF($D92="","",IFERROR(VLOOKUP($D92,'ACAH Capital Tracker'!$A:$H,8,FALSE()),""))</f>
        <v/>
      </c>
      <c r="F92" s="24"/>
      <c r="G92" s="25" t="str">
        <f>IF($D92="","",IFERROR(VLOOKUP($D92,'ACAH Capital Tracker'!$A:$D,4,FALSE()),""))</f>
        <v/>
      </c>
      <c r="H92" s="22"/>
    </row>
    <row r="93" spans="1:8">
      <c r="A93" s="21"/>
      <c r="B93" s="22"/>
      <c r="C93" s="22"/>
      <c r="D93" s="22"/>
      <c r="E93" s="23" t="str">
        <f>IF($D93="","",IFERROR(VLOOKUP($D93,'ACAH Capital Tracker'!$A:$H,8,FALSE()),""))</f>
        <v/>
      </c>
      <c r="F93" s="24"/>
      <c r="G93" s="25" t="str">
        <f>IF($D93="","",IFERROR(VLOOKUP($D93,'ACAH Capital Tracker'!$A:$D,4,FALSE()),""))</f>
        <v/>
      </c>
      <c r="H93" s="22"/>
    </row>
    <row r="94" spans="1:8">
      <c r="A94" s="21"/>
      <c r="B94" s="22"/>
      <c r="C94" s="22"/>
      <c r="D94" s="22"/>
      <c r="E94" s="23" t="str">
        <f>IF($D94="","",IFERROR(VLOOKUP($D94,'ACAH Capital Tracker'!$A:$H,8,FALSE()),""))</f>
        <v/>
      </c>
      <c r="F94" s="24"/>
      <c r="G94" s="25" t="str">
        <f>IF($D94="","",IFERROR(VLOOKUP($D94,'ACAH Capital Tracker'!$A:$D,4,FALSE()),""))</f>
        <v/>
      </c>
      <c r="H94" s="22"/>
    </row>
    <row r="95" spans="1:8">
      <c r="A95" s="21"/>
      <c r="B95" s="22"/>
      <c r="C95" s="22"/>
      <c r="D95" s="22"/>
      <c r="E95" s="23" t="str">
        <f>IF($D95="","",IFERROR(VLOOKUP($D95,'ACAH Capital Tracker'!$A:$H,8,FALSE()),""))</f>
        <v/>
      </c>
      <c r="F95" s="24"/>
      <c r="G95" s="25" t="str">
        <f>IF($D95="","",IFERROR(VLOOKUP($D95,'ACAH Capital Tracker'!$A:$D,4,FALSE()),""))</f>
        <v/>
      </c>
      <c r="H95" s="22"/>
    </row>
    <row r="96" spans="1:8">
      <c r="A96" s="21"/>
      <c r="B96" s="22"/>
      <c r="C96" s="22"/>
      <c r="D96" s="22"/>
      <c r="E96" s="23" t="str">
        <f>IF($D96="","",IFERROR(VLOOKUP($D96,'ACAH Capital Tracker'!$A:$H,8,FALSE()),""))</f>
        <v/>
      </c>
      <c r="F96" s="24"/>
      <c r="G96" s="25" t="str">
        <f>IF($D96="","",IFERROR(VLOOKUP($D96,'ACAH Capital Tracker'!$A:$D,4,FALSE()),""))</f>
        <v/>
      </c>
      <c r="H96" s="22"/>
    </row>
    <row r="97" spans="1:8">
      <c r="A97" s="21"/>
      <c r="B97" s="22"/>
      <c r="C97" s="22"/>
      <c r="D97" s="22"/>
      <c r="E97" s="23" t="str">
        <f>IF($D97="","",IFERROR(VLOOKUP($D97,'ACAH Capital Tracker'!$A:$H,8,FALSE()),""))</f>
        <v/>
      </c>
      <c r="F97" s="24"/>
      <c r="G97" s="25" t="str">
        <f>IF($D97="","",IFERROR(VLOOKUP($D97,'ACAH Capital Tracker'!$A:$D,4,FALSE()),""))</f>
        <v/>
      </c>
      <c r="H97" s="22"/>
    </row>
    <row r="98" spans="1:8">
      <c r="A98" s="21"/>
      <c r="B98" s="22"/>
      <c r="C98" s="22"/>
      <c r="D98" s="22"/>
      <c r="E98" s="23" t="str">
        <f>IF($D98="","",IFERROR(VLOOKUP($D98,'ACAH Capital Tracker'!$A:$H,8,FALSE()),""))</f>
        <v/>
      </c>
      <c r="F98" s="24"/>
      <c r="G98" s="25" t="str">
        <f>IF($D98="","",IFERROR(VLOOKUP($D98,'ACAH Capital Tracker'!$A:$D,4,FALSE()),""))</f>
        <v/>
      </c>
      <c r="H98" s="22"/>
    </row>
    <row r="99" spans="1:8">
      <c r="A99" s="21"/>
      <c r="B99" s="22"/>
      <c r="C99" s="22"/>
      <c r="D99" s="22"/>
      <c r="E99" s="23" t="str">
        <f>IF($D99="","",IFERROR(VLOOKUP($D99,'ACAH Capital Tracker'!$A:$H,8,FALSE()),""))</f>
        <v/>
      </c>
      <c r="F99" s="24"/>
      <c r="G99" s="25" t="str">
        <f>IF($D99="","",IFERROR(VLOOKUP($D99,'ACAH Capital Tracker'!$A:$D,4,FALSE()),""))</f>
        <v/>
      </c>
      <c r="H99" s="22"/>
    </row>
    <row r="100" spans="1:8">
      <c r="A100" s="21"/>
      <c r="B100" s="22"/>
      <c r="C100" s="22"/>
      <c r="D100" s="22"/>
      <c r="E100" s="23" t="str">
        <f>IF($D100="","",IFERROR(VLOOKUP($D100,'ACAH Capital Tracker'!$A:$H,8,FALSE()),""))</f>
        <v/>
      </c>
      <c r="F100" s="24"/>
      <c r="G100" s="25" t="str">
        <f>IF($D100="","",IFERROR(VLOOKUP($D100,'ACAH Capital Tracker'!$A:$D,4,FALSE()),""))</f>
        <v/>
      </c>
      <c r="H100" s="22"/>
    </row>
    <row r="101" spans="1:8">
      <c r="A101" s="21"/>
      <c r="B101" s="22"/>
      <c r="C101" s="22"/>
      <c r="D101" s="22"/>
      <c r="E101" s="23" t="str">
        <f>IF($D101="","",IFERROR(VLOOKUP($D101,'ACAH Capital Tracker'!$A:$H,8,FALSE()),""))</f>
        <v/>
      </c>
      <c r="F101" s="24"/>
      <c r="G101" s="25" t="str">
        <f>IF($D101="","",IFERROR(VLOOKUP($D101,'ACAH Capital Tracker'!$A:$D,4,FALSE()),""))</f>
        <v/>
      </c>
      <c r="H101" s="22"/>
    </row>
    <row r="102" spans="1:8">
      <c r="A102" s="21"/>
      <c r="B102" s="22"/>
      <c r="C102" s="22"/>
      <c r="D102" s="22"/>
      <c r="E102" s="23" t="str">
        <f>IF($D102="","",IFERROR(VLOOKUP($D102,'ACAH Capital Tracker'!$A:$H,8,FALSE()),""))</f>
        <v/>
      </c>
      <c r="F102" s="24"/>
      <c r="G102" s="25" t="str">
        <f>IF($D102="","",IFERROR(VLOOKUP($D102,'ACAH Capital Tracker'!$A:$D,4,FALSE()),""))</f>
        <v/>
      </c>
      <c r="H102" s="22"/>
    </row>
    <row r="103" spans="1:8">
      <c r="A103" s="21"/>
      <c r="B103" s="22"/>
      <c r="C103" s="22"/>
      <c r="D103" s="22"/>
      <c r="E103" s="23" t="str">
        <f>IF($D103="","",IFERROR(VLOOKUP($D103,'ACAH Capital Tracker'!$A:$H,8,FALSE()),""))</f>
        <v/>
      </c>
      <c r="F103" s="24"/>
      <c r="G103" s="25" t="str">
        <f>IF($D103="","",IFERROR(VLOOKUP($D103,'ACAH Capital Tracker'!$A:$D,4,FALSE()),""))</f>
        <v/>
      </c>
      <c r="H103" s="22"/>
    </row>
    <row r="104" spans="1:8">
      <c r="A104" s="21"/>
      <c r="B104" s="22"/>
      <c r="C104" s="22"/>
      <c r="D104" s="22"/>
      <c r="E104" s="23" t="str">
        <f>IF($D104="","",IFERROR(VLOOKUP($D104,'ACAH Capital Tracker'!$A:$H,8,FALSE()),""))</f>
        <v/>
      </c>
      <c r="F104" s="24"/>
      <c r="G104" s="25" t="str">
        <f>IF($D104="","",IFERROR(VLOOKUP($D104,'ACAH Capital Tracker'!$A:$D,4,FALSE()),""))</f>
        <v/>
      </c>
      <c r="H104" s="22"/>
    </row>
    <row r="105" spans="1:8">
      <c r="A105" s="21"/>
      <c r="B105" s="22"/>
      <c r="C105" s="22"/>
      <c r="D105" s="22"/>
      <c r="E105" s="23" t="str">
        <f>IF($D105="","",IFERROR(VLOOKUP($D105,'ACAH Capital Tracker'!$A:$H,8,FALSE()),""))</f>
        <v/>
      </c>
      <c r="F105" s="24"/>
      <c r="G105" s="25" t="str">
        <f>IF($D105="","",IFERROR(VLOOKUP($D105,'ACAH Capital Tracker'!$A:$D,4,FALSE()),""))</f>
        <v/>
      </c>
      <c r="H105" s="22"/>
    </row>
    <row r="106" spans="1:8">
      <c r="A106" s="21"/>
      <c r="B106" s="22"/>
      <c r="C106" s="22"/>
      <c r="D106" s="22"/>
      <c r="E106" s="23" t="str">
        <f>IF($D106="","",IFERROR(VLOOKUP($D106,'ACAH Capital Tracker'!$A:$H,8,FALSE()),""))</f>
        <v/>
      </c>
      <c r="F106" s="24"/>
      <c r="G106" s="25" t="str">
        <f>IF($D106="","",IFERROR(VLOOKUP($D106,'ACAH Capital Tracker'!$A:$D,4,FALSE()),""))</f>
        <v/>
      </c>
      <c r="H106" s="22"/>
    </row>
    <row r="107" spans="1:8">
      <c r="A107" s="21"/>
      <c r="B107" s="22"/>
      <c r="C107" s="22"/>
      <c r="D107" s="22"/>
      <c r="E107" s="23" t="str">
        <f>IF($D107="","",IFERROR(VLOOKUP($D107,'ACAH Capital Tracker'!$A:$H,8,FALSE()),""))</f>
        <v/>
      </c>
      <c r="F107" s="24"/>
      <c r="G107" s="25" t="str">
        <f>IF($D107="","",IFERROR(VLOOKUP($D107,'ACAH Capital Tracker'!$A:$D,4,FALSE()),""))</f>
        <v/>
      </c>
      <c r="H107" s="22"/>
    </row>
    <row r="108" spans="1:8">
      <c r="A108" s="21"/>
      <c r="B108" s="22"/>
      <c r="C108" s="22"/>
      <c r="D108" s="22"/>
      <c r="E108" s="23" t="str">
        <f>IF($D108="","",IFERROR(VLOOKUP($D108,'ACAH Capital Tracker'!$A:$H,8,FALSE()),""))</f>
        <v/>
      </c>
      <c r="F108" s="24"/>
      <c r="G108" s="25" t="str">
        <f>IF($D108="","",IFERROR(VLOOKUP($D108,'ACAH Capital Tracker'!$A:$D,4,FALSE()),""))</f>
        <v/>
      </c>
      <c r="H108" s="22"/>
    </row>
    <row r="109" spans="1:8">
      <c r="A109" s="21"/>
      <c r="B109" s="22"/>
      <c r="C109" s="22"/>
      <c r="D109" s="22"/>
      <c r="E109" s="23" t="str">
        <f>IF($D109="","",IFERROR(VLOOKUP($D109,'ACAH Capital Tracker'!$A:$H,8,FALSE()),""))</f>
        <v/>
      </c>
      <c r="F109" s="24"/>
      <c r="G109" s="25" t="str">
        <f>IF($D109="","",IFERROR(VLOOKUP($D109,'ACAH Capital Tracker'!$A:$D,4,FALSE()),""))</f>
        <v/>
      </c>
      <c r="H109" s="22"/>
    </row>
    <row r="110" spans="1:8">
      <c r="A110" s="21"/>
      <c r="B110" s="22"/>
      <c r="C110" s="22"/>
      <c r="D110" s="22"/>
      <c r="E110" s="23" t="str">
        <f>IF($D110="","",IFERROR(VLOOKUP($D110,'ACAH Capital Tracker'!$A:$H,8,FALSE()),""))</f>
        <v/>
      </c>
      <c r="F110" s="24"/>
      <c r="G110" s="25" t="str">
        <f>IF($D110="","",IFERROR(VLOOKUP($D110,'ACAH Capital Tracker'!$A:$D,4,FALSE()),""))</f>
        <v/>
      </c>
      <c r="H110" s="22"/>
    </row>
    <row r="111" spans="1:8">
      <c r="A111" s="21"/>
      <c r="B111" s="22"/>
      <c r="C111" s="22"/>
      <c r="D111" s="22"/>
      <c r="E111" s="23" t="str">
        <f>IF($D111="","",IFERROR(VLOOKUP($D111,'ACAH Capital Tracker'!$A:$H,8,FALSE()),""))</f>
        <v/>
      </c>
      <c r="F111" s="24"/>
      <c r="G111" s="25" t="str">
        <f>IF($D111="","",IFERROR(VLOOKUP($D111,'ACAH Capital Tracker'!$A:$D,4,FALSE()),""))</f>
        <v/>
      </c>
      <c r="H111" s="22"/>
    </row>
    <row r="112" spans="1:8">
      <c r="A112" s="21"/>
      <c r="B112" s="22"/>
      <c r="C112" s="22"/>
      <c r="D112" s="22"/>
      <c r="E112" s="23" t="str">
        <f>IF($D112="","",IFERROR(VLOOKUP($D112,'ACAH Capital Tracker'!$A:$H,8,FALSE()),""))</f>
        <v/>
      </c>
      <c r="F112" s="24"/>
      <c r="G112" s="25" t="str">
        <f>IF($D112="","",IFERROR(VLOOKUP($D112,'ACAH Capital Tracker'!$A:$D,4,FALSE()),""))</f>
        <v/>
      </c>
      <c r="H112" s="22"/>
    </row>
    <row r="113" spans="1:8">
      <c r="A113" s="21"/>
      <c r="B113" s="22"/>
      <c r="C113" s="22"/>
      <c r="D113" s="22"/>
      <c r="E113" s="23" t="str">
        <f>IF($D113="","",IFERROR(VLOOKUP($D113,'ACAH Capital Tracker'!$A:$H,8,FALSE()),""))</f>
        <v/>
      </c>
      <c r="F113" s="24"/>
      <c r="G113" s="25" t="str">
        <f>IF($D113="","",IFERROR(VLOOKUP($D113,'ACAH Capital Tracker'!$A:$D,4,FALSE()),""))</f>
        <v/>
      </c>
      <c r="H113" s="22"/>
    </row>
    <row r="114" spans="1:8">
      <c r="A114" s="21"/>
      <c r="B114" s="22"/>
      <c r="C114" s="22"/>
      <c r="D114" s="22"/>
      <c r="E114" s="23" t="str">
        <f>IF($D114="","",IFERROR(VLOOKUP($D114,'ACAH Capital Tracker'!$A:$H,8,FALSE()),""))</f>
        <v/>
      </c>
      <c r="F114" s="24"/>
      <c r="G114" s="25" t="str">
        <f>IF($D114="","",IFERROR(VLOOKUP($D114,'ACAH Capital Tracker'!$A:$D,4,FALSE()),""))</f>
        <v/>
      </c>
      <c r="H114" s="22"/>
    </row>
    <row r="115" spans="1:8">
      <c r="A115" s="21"/>
      <c r="B115" s="22"/>
      <c r="C115" s="22"/>
      <c r="D115" s="22"/>
      <c r="E115" s="23" t="str">
        <f>IF($D115="","",IFERROR(VLOOKUP($D115,'ACAH Capital Tracker'!$A:$H,8,FALSE()),""))</f>
        <v/>
      </c>
      <c r="F115" s="24"/>
      <c r="G115" s="25" t="str">
        <f>IF($D115="","",IFERROR(VLOOKUP($D115,'ACAH Capital Tracker'!$A:$D,4,FALSE()),""))</f>
        <v/>
      </c>
      <c r="H115" s="22"/>
    </row>
    <row r="116" spans="1:8">
      <c r="A116" s="21"/>
      <c r="B116" s="22"/>
      <c r="C116" s="22"/>
      <c r="D116" s="22"/>
      <c r="E116" s="23" t="str">
        <f>IF($D116="","",IFERROR(VLOOKUP($D116,'ACAH Capital Tracker'!$A:$H,8,FALSE()),""))</f>
        <v/>
      </c>
      <c r="F116" s="24"/>
      <c r="G116" s="25" t="str">
        <f>IF($D116="","",IFERROR(VLOOKUP($D116,'ACAH Capital Tracker'!$A:$D,4,FALSE()),""))</f>
        <v/>
      </c>
      <c r="H116" s="22"/>
    </row>
    <row r="117" spans="1:8">
      <c r="A117" s="21"/>
      <c r="B117" s="22"/>
      <c r="C117" s="22"/>
      <c r="D117" s="22"/>
      <c r="E117" s="23" t="str">
        <f>IF($D117="","",IFERROR(VLOOKUP($D117,'ACAH Capital Tracker'!$A:$H,8,FALSE()),""))</f>
        <v/>
      </c>
      <c r="F117" s="24"/>
      <c r="G117" s="25" t="str">
        <f>IF($D117="","",IFERROR(VLOOKUP($D117,'ACAH Capital Tracker'!$A:$D,4,FALSE()),""))</f>
        <v/>
      </c>
      <c r="H117" s="22"/>
    </row>
    <row r="118" spans="1:8">
      <c r="A118" s="21"/>
      <c r="B118" s="22"/>
      <c r="C118" s="22"/>
      <c r="D118" s="22"/>
      <c r="E118" s="23" t="str">
        <f>IF($D118="","",IFERROR(VLOOKUP($D118,'ACAH Capital Tracker'!$A:$H,8,FALSE()),""))</f>
        <v/>
      </c>
      <c r="F118" s="24"/>
      <c r="G118" s="25" t="str">
        <f>IF($D118="","",IFERROR(VLOOKUP($D118,'ACAH Capital Tracker'!$A:$D,4,FALSE()),""))</f>
        <v/>
      </c>
      <c r="H118" s="22"/>
    </row>
    <row r="119" spans="1:8">
      <c r="A119" s="21"/>
      <c r="B119" s="22"/>
      <c r="C119" s="22"/>
      <c r="D119" s="22"/>
      <c r="E119" s="23" t="str">
        <f>IF($D119="","",IFERROR(VLOOKUP($D119,'ACAH Capital Tracker'!$A:$H,8,FALSE()),""))</f>
        <v/>
      </c>
      <c r="F119" s="24"/>
      <c r="G119" s="25" t="str">
        <f>IF($D119="","",IFERROR(VLOOKUP($D119,'ACAH Capital Tracker'!$A:$D,4,FALSE()),""))</f>
        <v/>
      </c>
      <c r="H119" s="22"/>
    </row>
    <row r="120" spans="1:8">
      <c r="A120" s="21"/>
      <c r="B120" s="22"/>
      <c r="C120" s="22"/>
      <c r="D120" s="22"/>
      <c r="E120" s="23" t="str">
        <f>IF($D120="","",IFERROR(VLOOKUP($D120,'ACAH Capital Tracker'!$A:$H,8,FALSE()),""))</f>
        <v/>
      </c>
      <c r="F120" s="24"/>
      <c r="G120" s="25" t="str">
        <f>IF($D120="","",IFERROR(VLOOKUP($D120,'ACAH Capital Tracker'!$A:$D,4,FALSE()),""))</f>
        <v/>
      </c>
      <c r="H120" s="22"/>
    </row>
    <row r="121" spans="1:8">
      <c r="A121" s="21"/>
      <c r="B121" s="22"/>
      <c r="C121" s="22"/>
      <c r="D121" s="22"/>
      <c r="E121" s="23" t="str">
        <f>IF($D121="","",IFERROR(VLOOKUP($D121,'ACAH Capital Tracker'!$A:$H,8,FALSE()),""))</f>
        <v/>
      </c>
      <c r="F121" s="24"/>
      <c r="G121" s="25" t="str">
        <f>IF($D121="","",IFERROR(VLOOKUP($D121,'ACAH Capital Tracker'!$A:$D,4,FALSE()),""))</f>
        <v/>
      </c>
      <c r="H121" s="22"/>
    </row>
    <row r="122" spans="1:8">
      <c r="A122" s="21"/>
      <c r="B122" s="22"/>
      <c r="C122" s="22"/>
      <c r="D122" s="22"/>
      <c r="E122" s="23" t="str">
        <f>IF($D122="","",IFERROR(VLOOKUP($D122,'ACAH Capital Tracker'!$A:$H,8,FALSE()),""))</f>
        <v/>
      </c>
      <c r="F122" s="24"/>
      <c r="G122" s="25" t="str">
        <f>IF($D122="","",IFERROR(VLOOKUP($D122,'ACAH Capital Tracker'!$A:$D,4,FALSE()),""))</f>
        <v/>
      </c>
      <c r="H122" s="22"/>
    </row>
    <row r="123" spans="1:8">
      <c r="A123" s="21"/>
      <c r="B123" s="22"/>
      <c r="C123" s="22"/>
      <c r="D123" s="22"/>
      <c r="E123" s="23" t="str">
        <f>IF($D123="","",IFERROR(VLOOKUP($D123,'ACAH Capital Tracker'!$A:$H,8,FALSE()),""))</f>
        <v/>
      </c>
      <c r="F123" s="24"/>
      <c r="G123" s="25" t="str">
        <f>IF($D123="","",IFERROR(VLOOKUP($D123,'ACAH Capital Tracker'!$A:$D,4,FALSE()),""))</f>
        <v/>
      </c>
      <c r="H123" s="22"/>
    </row>
    <row r="124" spans="1:8">
      <c r="A124" s="21"/>
      <c r="B124" s="22"/>
      <c r="C124" s="22"/>
      <c r="D124" s="22"/>
      <c r="E124" s="23" t="str">
        <f>IF($D124="","",IFERROR(VLOOKUP($D124,'ACAH Capital Tracker'!$A:$H,8,FALSE()),""))</f>
        <v/>
      </c>
      <c r="F124" s="24"/>
      <c r="G124" s="25" t="str">
        <f>IF($D124="","",IFERROR(VLOOKUP($D124,'ACAH Capital Tracker'!$A:$D,4,FALSE()),""))</f>
        <v/>
      </c>
      <c r="H124" s="22"/>
    </row>
    <row r="125" spans="1:8">
      <c r="A125" s="21"/>
      <c r="B125" s="22"/>
      <c r="C125" s="22"/>
      <c r="D125" s="22"/>
      <c r="E125" s="23" t="str">
        <f>IF($D125="","",IFERROR(VLOOKUP($D125,'ACAH Capital Tracker'!$A:$H,8,FALSE()),""))</f>
        <v/>
      </c>
      <c r="F125" s="24"/>
      <c r="G125" s="25" t="str">
        <f>IF($D125="","",IFERROR(VLOOKUP($D125,'ACAH Capital Tracker'!$A:$D,4,FALSE()),""))</f>
        <v/>
      </c>
      <c r="H125" s="22"/>
    </row>
    <row r="126" spans="1:8">
      <c r="A126" s="21"/>
      <c r="B126" s="22"/>
      <c r="C126" s="22"/>
      <c r="D126" s="22"/>
      <c r="E126" s="23" t="str">
        <f>IF($D126="","",IFERROR(VLOOKUP($D126,'ACAH Capital Tracker'!$A:$H,8,FALSE()),""))</f>
        <v/>
      </c>
      <c r="F126" s="24"/>
      <c r="G126" s="25" t="str">
        <f>IF($D126="","",IFERROR(VLOOKUP($D126,'ACAH Capital Tracker'!$A:$D,4,FALSE()),""))</f>
        <v/>
      </c>
      <c r="H126" s="22"/>
    </row>
    <row r="127" spans="1:8">
      <c r="A127" s="21"/>
      <c r="B127" s="22"/>
      <c r="C127" s="22"/>
      <c r="D127" s="22"/>
      <c r="E127" s="23" t="str">
        <f>IF($D127="","",IFERROR(VLOOKUP($D127,'ACAH Capital Tracker'!$A:$H,8,FALSE()),""))</f>
        <v/>
      </c>
      <c r="F127" s="24"/>
      <c r="G127" s="25" t="str">
        <f>IF($D127="","",IFERROR(VLOOKUP($D127,'ACAH Capital Tracker'!$A:$D,4,FALSE()),""))</f>
        <v/>
      </c>
      <c r="H127" s="22"/>
    </row>
    <row r="128" spans="1:8">
      <c r="A128" s="21"/>
      <c r="B128" s="22"/>
      <c r="C128" s="22"/>
      <c r="D128" s="22"/>
      <c r="E128" s="23" t="str">
        <f>IF($D128="","",IFERROR(VLOOKUP($D128,'ACAH Capital Tracker'!$A:$H,8,FALSE()),""))</f>
        <v/>
      </c>
      <c r="F128" s="24"/>
      <c r="G128" s="25" t="str">
        <f>IF($D128="","",IFERROR(VLOOKUP($D128,'ACAH Capital Tracker'!$A:$D,4,FALSE()),""))</f>
        <v/>
      </c>
      <c r="H128" s="22"/>
    </row>
    <row r="129" spans="1:8">
      <c r="A129" s="21"/>
      <c r="B129" s="22"/>
      <c r="C129" s="22"/>
      <c r="D129" s="22"/>
      <c r="E129" s="23" t="str">
        <f>IF($D129="","",IFERROR(VLOOKUP($D129,'ACAH Capital Tracker'!$A:$H,8,FALSE()),""))</f>
        <v/>
      </c>
      <c r="F129" s="24"/>
      <c r="G129" s="25" t="str">
        <f>IF($D129="","",IFERROR(VLOOKUP($D129,'ACAH Capital Tracker'!$A:$D,4,FALSE()),""))</f>
        <v/>
      </c>
      <c r="H129" s="22"/>
    </row>
    <row r="130" spans="1:8">
      <c r="A130" s="21"/>
      <c r="B130" s="22"/>
      <c r="C130" s="22"/>
      <c r="D130" s="22"/>
      <c r="E130" s="23" t="str">
        <f>IF($D130="","",IFERROR(VLOOKUP($D130,'ACAH Capital Tracker'!$A:$H,8,FALSE()),""))</f>
        <v/>
      </c>
      <c r="F130" s="24"/>
      <c r="G130" s="25" t="str">
        <f>IF($D130="","",IFERROR(VLOOKUP($D130,'ACAH Capital Tracker'!$A:$D,4,FALSE()),""))</f>
        <v/>
      </c>
      <c r="H130" s="22"/>
    </row>
    <row r="131" spans="1:8">
      <c r="A131" s="21"/>
      <c r="B131" s="22"/>
      <c r="C131" s="22"/>
      <c r="D131" s="22"/>
      <c r="E131" s="23" t="str">
        <f>IF($D131="","",IFERROR(VLOOKUP($D131,'ACAH Capital Tracker'!$A:$H,8,FALSE()),""))</f>
        <v/>
      </c>
      <c r="F131" s="24"/>
      <c r="G131" s="25" t="str">
        <f>IF($D131="","",IFERROR(VLOOKUP($D131,'ACAH Capital Tracker'!$A:$D,4,FALSE()),""))</f>
        <v/>
      </c>
      <c r="H131" s="22"/>
    </row>
    <row r="132" spans="1:8">
      <c r="A132" s="21"/>
      <c r="B132" s="22"/>
      <c r="C132" s="22"/>
      <c r="D132" s="22"/>
      <c r="E132" s="23" t="str">
        <f>IF($D132="","",IFERROR(VLOOKUP($D132,'ACAH Capital Tracker'!$A:$H,8,FALSE()),""))</f>
        <v/>
      </c>
      <c r="F132" s="24"/>
      <c r="G132" s="25" t="str">
        <f>IF($D132="","",IFERROR(VLOOKUP($D132,'ACAH Capital Tracker'!$A:$D,4,FALSE()),""))</f>
        <v/>
      </c>
      <c r="H132" s="22"/>
    </row>
    <row r="133" spans="1:8">
      <c r="A133" s="21"/>
      <c r="B133" s="22"/>
      <c r="C133" s="22"/>
      <c r="D133" s="22"/>
      <c r="E133" s="23" t="str">
        <f>IF($D133="","",IFERROR(VLOOKUP($D133,'ACAH Capital Tracker'!$A:$H,8,FALSE()),""))</f>
        <v/>
      </c>
      <c r="F133" s="24"/>
      <c r="G133" s="25" t="str">
        <f>IF($D133="","",IFERROR(VLOOKUP($D133,'ACAH Capital Tracker'!$A:$D,4,FALSE()),""))</f>
        <v/>
      </c>
      <c r="H133" s="22"/>
    </row>
    <row r="134" spans="1:8">
      <c r="A134" s="21"/>
      <c r="B134" s="22"/>
      <c r="C134" s="22"/>
      <c r="D134" s="22"/>
      <c r="E134" s="23" t="str">
        <f>IF($D134="","",IFERROR(VLOOKUP($D134,'ACAH Capital Tracker'!$A:$H,8,FALSE()),""))</f>
        <v/>
      </c>
      <c r="F134" s="24"/>
      <c r="G134" s="25" t="str">
        <f>IF($D134="","",IFERROR(VLOOKUP($D134,'ACAH Capital Tracker'!$A:$D,4,FALSE()),""))</f>
        <v/>
      </c>
      <c r="H134" s="22"/>
    </row>
    <row r="135" spans="1:8">
      <c r="A135" s="21"/>
      <c r="B135" s="22"/>
      <c r="C135" s="22"/>
      <c r="D135" s="22"/>
      <c r="E135" s="23" t="str">
        <f>IF($D135="","",IFERROR(VLOOKUP($D135,'ACAH Capital Tracker'!$A:$H,8,FALSE()),""))</f>
        <v/>
      </c>
      <c r="F135" s="24"/>
      <c r="G135" s="25" t="str">
        <f>IF($D135="","",IFERROR(VLOOKUP($D135,'ACAH Capital Tracker'!$A:$D,4,FALSE()),""))</f>
        <v/>
      </c>
      <c r="H135" s="22"/>
    </row>
    <row r="136" spans="1:8">
      <c r="A136" s="21"/>
      <c r="B136" s="22"/>
      <c r="C136" s="22"/>
      <c r="D136" s="22"/>
      <c r="E136" s="23" t="str">
        <f>IF($D136="","",IFERROR(VLOOKUP($D136,'ACAH Capital Tracker'!$A:$H,8,FALSE()),""))</f>
        <v/>
      </c>
      <c r="F136" s="24"/>
      <c r="G136" s="25" t="str">
        <f>IF($D136="","",IFERROR(VLOOKUP($D136,'ACAH Capital Tracker'!$A:$D,4,FALSE()),""))</f>
        <v/>
      </c>
      <c r="H136" s="22"/>
    </row>
    <row r="137" spans="1:8">
      <c r="A137" s="21"/>
      <c r="B137" s="22"/>
      <c r="C137" s="22"/>
      <c r="D137" s="22"/>
      <c r="E137" s="23" t="str">
        <f>IF($D137="","",IFERROR(VLOOKUP($D137,'ACAH Capital Tracker'!$A:$H,8,FALSE()),""))</f>
        <v/>
      </c>
      <c r="F137" s="24"/>
      <c r="G137" s="25" t="str">
        <f>IF($D137="","",IFERROR(VLOOKUP($D137,'ACAH Capital Tracker'!$A:$D,4,FALSE()),""))</f>
        <v/>
      </c>
      <c r="H137" s="22"/>
    </row>
    <row r="138" spans="1:8">
      <c r="A138" s="21"/>
      <c r="B138" s="22"/>
      <c r="C138" s="22"/>
      <c r="D138" s="22"/>
      <c r="E138" s="23" t="str">
        <f>IF($D138="","",IFERROR(VLOOKUP($D138,'ACAH Capital Tracker'!$A:$H,8,FALSE()),""))</f>
        <v/>
      </c>
      <c r="F138" s="24"/>
      <c r="G138" s="25" t="str">
        <f>IF($D138="","",IFERROR(VLOOKUP($D138,'ACAH Capital Tracker'!$A:$D,4,FALSE()),""))</f>
        <v/>
      </c>
      <c r="H138" s="22"/>
    </row>
    <row r="139" spans="1:8">
      <c r="A139" s="21"/>
      <c r="B139" s="22"/>
      <c r="C139" s="22"/>
      <c r="D139" s="22"/>
      <c r="E139" s="23" t="str">
        <f>IF($D139="","",IFERROR(VLOOKUP($D139,'ACAH Capital Tracker'!$A:$H,8,FALSE()),""))</f>
        <v/>
      </c>
      <c r="F139" s="24"/>
      <c r="G139" s="25" t="str">
        <f>IF($D139="","",IFERROR(VLOOKUP($D139,'ACAH Capital Tracker'!$A:$D,4,FALSE()),""))</f>
        <v/>
      </c>
      <c r="H139" s="22"/>
    </row>
    <row r="140" spans="1:8">
      <c r="A140" s="21"/>
      <c r="B140" s="22"/>
      <c r="C140" s="22"/>
      <c r="D140" s="22"/>
      <c r="E140" s="23" t="str">
        <f>IF($D140="","",IFERROR(VLOOKUP($D140,'ACAH Capital Tracker'!$A:$H,8,FALSE()),""))</f>
        <v/>
      </c>
      <c r="F140" s="24"/>
      <c r="G140" s="25" t="str">
        <f>IF($D140="","",IFERROR(VLOOKUP($D140,'ACAH Capital Tracker'!$A:$D,4,FALSE()),""))</f>
        <v/>
      </c>
      <c r="H140" s="22"/>
    </row>
    <row r="141" spans="1:8">
      <c r="A141" s="21"/>
      <c r="B141" s="22"/>
      <c r="C141" s="22"/>
      <c r="D141" s="22"/>
      <c r="E141" s="23" t="str">
        <f>IF($D141="","",IFERROR(VLOOKUP($D141,'ACAH Capital Tracker'!$A:$H,8,FALSE()),""))</f>
        <v/>
      </c>
      <c r="F141" s="24"/>
      <c r="G141" s="25" t="str">
        <f>IF($D141="","",IFERROR(VLOOKUP($D141,'ACAH Capital Tracker'!$A:$D,4,FALSE()),""))</f>
        <v/>
      </c>
      <c r="H141" s="22"/>
    </row>
    <row r="142" spans="1:8">
      <c r="A142" s="21"/>
      <c r="B142" s="22"/>
      <c r="C142" s="22"/>
      <c r="D142" s="22"/>
      <c r="E142" s="23" t="str">
        <f>IF($D142="","",IFERROR(VLOOKUP($D142,'ACAH Capital Tracker'!$A:$H,8,FALSE()),""))</f>
        <v/>
      </c>
      <c r="F142" s="24"/>
      <c r="G142" s="25" t="str">
        <f>IF($D142="","",IFERROR(VLOOKUP($D142,'ACAH Capital Tracker'!$A:$D,4,FALSE()),""))</f>
        <v/>
      </c>
      <c r="H142" s="22"/>
    </row>
    <row r="143" spans="1:8">
      <c r="A143" s="21"/>
      <c r="B143" s="22"/>
      <c r="C143" s="22"/>
      <c r="D143" s="22"/>
      <c r="E143" s="23" t="str">
        <f>IF($D143="","",IFERROR(VLOOKUP($D143,'ACAH Capital Tracker'!$A:$H,8,FALSE()),""))</f>
        <v/>
      </c>
      <c r="F143" s="24"/>
      <c r="G143" s="25" t="str">
        <f>IF($D143="","",IFERROR(VLOOKUP($D143,'ACAH Capital Tracker'!$A:$D,4,FALSE()),""))</f>
        <v/>
      </c>
      <c r="H143" s="22"/>
    </row>
    <row r="144" spans="1:8">
      <c r="A144" s="21"/>
      <c r="B144" s="22"/>
      <c r="C144" s="22"/>
      <c r="D144" s="22"/>
      <c r="E144" s="23" t="str">
        <f>IF($D144="","",IFERROR(VLOOKUP($D144,'ACAH Capital Tracker'!$A:$H,8,FALSE()),""))</f>
        <v/>
      </c>
      <c r="F144" s="24"/>
      <c r="G144" s="25" t="str">
        <f>IF($D144="","",IFERROR(VLOOKUP($D144,'ACAH Capital Tracker'!$A:$D,4,FALSE()),""))</f>
        <v/>
      </c>
      <c r="H144" s="22"/>
    </row>
    <row r="145" spans="1:8">
      <c r="A145" s="21"/>
      <c r="B145" s="22"/>
      <c r="C145" s="22"/>
      <c r="D145" s="22"/>
      <c r="E145" s="23" t="str">
        <f>IF($D145="","",IFERROR(VLOOKUP($D145,'ACAH Capital Tracker'!$A:$H,8,FALSE()),""))</f>
        <v/>
      </c>
      <c r="F145" s="24"/>
      <c r="G145" s="25" t="str">
        <f>IF($D145="","",IFERROR(VLOOKUP($D145,'ACAH Capital Tracker'!$A:$D,4,FALSE()),""))</f>
        <v/>
      </c>
      <c r="H145" s="22"/>
    </row>
    <row r="146" spans="1:8">
      <c r="A146" s="21"/>
      <c r="B146" s="22"/>
      <c r="C146" s="22"/>
      <c r="D146" s="22"/>
      <c r="E146" s="23" t="str">
        <f>IF($D146="","",IFERROR(VLOOKUP($D146,'ACAH Capital Tracker'!$A:$H,8,FALSE()),""))</f>
        <v/>
      </c>
      <c r="F146" s="24"/>
      <c r="G146" s="25" t="str">
        <f>IF($D146="","",IFERROR(VLOOKUP($D146,'ACAH Capital Tracker'!$A:$D,4,FALSE()),""))</f>
        <v/>
      </c>
      <c r="H146" s="22"/>
    </row>
    <row r="147" spans="1:8">
      <c r="A147" s="21"/>
      <c r="B147" s="22"/>
      <c r="C147" s="22"/>
      <c r="D147" s="22"/>
      <c r="E147" s="23" t="str">
        <f>IF($D147="","",IFERROR(VLOOKUP($D147,'ACAH Capital Tracker'!$A:$H,8,FALSE()),""))</f>
        <v/>
      </c>
      <c r="F147" s="24"/>
      <c r="G147" s="25" t="str">
        <f>IF($D147="","",IFERROR(VLOOKUP($D147,'ACAH Capital Tracker'!$A:$D,4,FALSE()),""))</f>
        <v/>
      </c>
      <c r="H147" s="22"/>
    </row>
    <row r="148" spans="1:8">
      <c r="A148" s="21"/>
      <c r="B148" s="22"/>
      <c r="C148" s="22"/>
      <c r="D148" s="22"/>
      <c r="E148" s="23" t="str">
        <f>IF($D148="","",IFERROR(VLOOKUP($D148,'ACAH Capital Tracker'!$A:$H,8,FALSE()),""))</f>
        <v/>
      </c>
      <c r="F148" s="24"/>
      <c r="G148" s="25" t="str">
        <f>IF($D148="","",IFERROR(VLOOKUP($D148,'ACAH Capital Tracker'!$A:$D,4,FALSE()),""))</f>
        <v/>
      </c>
      <c r="H148" s="22"/>
    </row>
    <row r="149" spans="1:8">
      <c r="A149" s="21"/>
      <c r="B149" s="22"/>
      <c r="C149" s="22"/>
      <c r="D149" s="22"/>
      <c r="E149" s="23" t="str">
        <f>IF($D149="","",IFERROR(VLOOKUP($D149,'ACAH Capital Tracker'!$A:$H,8,FALSE()),""))</f>
        <v/>
      </c>
      <c r="F149" s="24"/>
      <c r="G149" s="25" t="str">
        <f>IF($D149="","",IFERROR(VLOOKUP($D149,'ACAH Capital Tracker'!$A:$D,4,FALSE()),""))</f>
        <v/>
      </c>
      <c r="H149" s="22"/>
    </row>
    <row r="150" spans="1:8">
      <c r="A150" s="21"/>
      <c r="B150" s="22"/>
      <c r="C150" s="22"/>
      <c r="D150" s="22"/>
      <c r="E150" s="23" t="str">
        <f>IF($D150="","",IFERROR(VLOOKUP($D150,'ACAH Capital Tracker'!$A:$H,8,FALSE()),""))</f>
        <v/>
      </c>
      <c r="F150" s="24"/>
      <c r="G150" s="25" t="str">
        <f>IF($D150="","",IFERROR(VLOOKUP($D150,'ACAH Capital Tracker'!$A:$D,4,FALSE()),""))</f>
        <v/>
      </c>
      <c r="H150" s="22"/>
    </row>
    <row r="151" spans="1:8">
      <c r="A151" s="21"/>
      <c r="B151" s="22"/>
      <c r="C151" s="22"/>
      <c r="D151" s="22"/>
      <c r="E151" s="23" t="str">
        <f>IF($D151="","",IFERROR(VLOOKUP($D151,'ACAH Capital Tracker'!$A:$H,8,FALSE()),""))</f>
        <v/>
      </c>
      <c r="F151" s="24"/>
      <c r="G151" s="25" t="str">
        <f>IF($D151="","",IFERROR(VLOOKUP($D151,'ACAH Capital Tracker'!$A:$D,4,FALSE()),""))</f>
        <v/>
      </c>
      <c r="H151" s="22"/>
    </row>
    <row r="152" spans="1:8">
      <c r="A152" s="21"/>
      <c r="B152" s="22"/>
      <c r="C152" s="22"/>
      <c r="D152" s="22"/>
      <c r="E152" s="23" t="str">
        <f>IF($D152="","",IFERROR(VLOOKUP($D152,'ACAH Capital Tracker'!$A:$H,8,FALSE()),""))</f>
        <v/>
      </c>
      <c r="F152" s="24"/>
      <c r="G152" s="25" t="str">
        <f>IF($D152="","",IFERROR(VLOOKUP($D152,'ACAH Capital Tracker'!$A:$D,4,FALSE()),""))</f>
        <v/>
      </c>
      <c r="H152" s="22"/>
    </row>
    <row r="153" spans="1:8">
      <c r="A153" s="21"/>
      <c r="B153" s="22"/>
      <c r="C153" s="22"/>
      <c r="D153" s="22"/>
      <c r="E153" s="23" t="str">
        <f>IF($D153="","",IFERROR(VLOOKUP($D153,'ACAH Capital Tracker'!$A:$H,8,FALSE()),""))</f>
        <v/>
      </c>
      <c r="F153" s="24"/>
      <c r="G153" s="25" t="str">
        <f>IF($D153="","",IFERROR(VLOOKUP($D153,'ACAH Capital Tracker'!$A:$D,4,FALSE()),""))</f>
        <v/>
      </c>
      <c r="H153" s="22"/>
    </row>
    <row r="154" spans="1:8">
      <c r="A154" s="21"/>
      <c r="B154" s="22"/>
      <c r="C154" s="22"/>
      <c r="D154" s="22"/>
      <c r="E154" s="23" t="str">
        <f>IF($D154="","",IFERROR(VLOOKUP($D154,'ACAH Capital Tracker'!$A:$H,8,FALSE()),""))</f>
        <v/>
      </c>
      <c r="F154" s="24"/>
      <c r="G154" s="25" t="str">
        <f>IF($D154="","",IFERROR(VLOOKUP($D154,'ACAH Capital Tracker'!$A:$D,4,FALSE()),""))</f>
        <v/>
      </c>
      <c r="H154" s="22"/>
    </row>
    <row r="155" spans="1:8">
      <c r="A155" s="21"/>
      <c r="B155" s="22"/>
      <c r="C155" s="22"/>
      <c r="D155" s="22"/>
      <c r="E155" s="23" t="str">
        <f>IF($D155="","",IFERROR(VLOOKUP($D155,'ACAH Capital Tracker'!$A:$H,8,FALSE()),""))</f>
        <v/>
      </c>
      <c r="F155" s="24"/>
      <c r="G155" s="25" t="str">
        <f>IF($D155="","",IFERROR(VLOOKUP($D155,'ACAH Capital Tracker'!$A:$D,4,FALSE()),""))</f>
        <v/>
      </c>
      <c r="H155" s="22"/>
    </row>
    <row r="156" spans="1:8">
      <c r="A156" s="21"/>
      <c r="B156" s="22"/>
      <c r="C156" s="22"/>
      <c r="D156" s="22"/>
      <c r="E156" s="23" t="str">
        <f>IF($D156="","",IFERROR(VLOOKUP($D156,'ACAH Capital Tracker'!$A:$H,8,FALSE()),""))</f>
        <v/>
      </c>
      <c r="F156" s="24"/>
      <c r="G156" s="25" t="str">
        <f>IF($D156="","",IFERROR(VLOOKUP($D156,'ACAH Capital Tracker'!$A:$D,4,FALSE()),""))</f>
        <v/>
      </c>
      <c r="H156" s="22"/>
    </row>
    <row r="157" spans="1:8">
      <c r="A157" s="21"/>
      <c r="B157" s="22"/>
      <c r="C157" s="22"/>
      <c r="D157" s="22"/>
      <c r="E157" s="23" t="str">
        <f>IF($D157="","",IFERROR(VLOOKUP($D157,'ACAH Capital Tracker'!$A:$H,8,FALSE()),""))</f>
        <v/>
      </c>
      <c r="F157" s="24"/>
      <c r="G157" s="25" t="str">
        <f>IF($D157="","",IFERROR(VLOOKUP($D157,'ACAH Capital Tracker'!$A:$D,4,FALSE()),""))</f>
        <v/>
      </c>
      <c r="H157" s="22"/>
    </row>
    <row r="158" spans="1:8">
      <c r="A158" s="21"/>
      <c r="B158" s="22"/>
      <c r="C158" s="22"/>
      <c r="D158" s="22"/>
      <c r="E158" s="23" t="str">
        <f>IF($D158="","",IFERROR(VLOOKUP($D158,'ACAH Capital Tracker'!$A:$H,8,FALSE()),""))</f>
        <v/>
      </c>
      <c r="F158" s="24"/>
      <c r="G158" s="25" t="str">
        <f>IF($D158="","",IFERROR(VLOOKUP($D158,'ACAH Capital Tracker'!$A:$D,4,FALSE()),""))</f>
        <v/>
      </c>
      <c r="H158" s="22"/>
    </row>
    <row r="159" spans="1:8">
      <c r="A159" s="21"/>
      <c r="B159" s="22"/>
      <c r="C159" s="22"/>
      <c r="D159" s="22"/>
      <c r="E159" s="23" t="str">
        <f>IF($D159="","",IFERROR(VLOOKUP($D159,'ACAH Capital Tracker'!$A:$H,8,FALSE()),""))</f>
        <v/>
      </c>
      <c r="F159" s="24"/>
      <c r="G159" s="25" t="str">
        <f>IF($D159="","",IFERROR(VLOOKUP($D159,'ACAH Capital Tracker'!$A:$D,4,FALSE()),""))</f>
        <v/>
      </c>
      <c r="H159" s="22"/>
    </row>
    <row r="160" spans="1:8">
      <c r="A160" s="21"/>
      <c r="B160" s="22"/>
      <c r="C160" s="22"/>
      <c r="D160" s="22"/>
      <c r="E160" s="23" t="str">
        <f>IF($D160="","",IFERROR(VLOOKUP($D160,'ACAH Capital Tracker'!$A:$H,8,FALSE()),""))</f>
        <v/>
      </c>
      <c r="F160" s="24"/>
      <c r="G160" s="25" t="str">
        <f>IF($D160="","",IFERROR(VLOOKUP($D160,'ACAH Capital Tracker'!$A:$D,4,FALSE()),""))</f>
        <v/>
      </c>
      <c r="H160" s="22"/>
    </row>
    <row r="161" spans="1:8">
      <c r="A161" s="21"/>
      <c r="B161" s="22"/>
      <c r="C161" s="22"/>
      <c r="D161" s="22"/>
      <c r="E161" s="23" t="str">
        <f>IF($D161="","",IFERROR(VLOOKUP($D161,'ACAH Capital Tracker'!$A:$H,8,FALSE()),""))</f>
        <v/>
      </c>
      <c r="F161" s="24"/>
      <c r="G161" s="25" t="str">
        <f>IF($D161="","",IFERROR(VLOOKUP($D161,'ACAH Capital Tracker'!$A:$D,4,FALSE()),""))</f>
        <v/>
      </c>
      <c r="H161" s="22"/>
    </row>
    <row r="162" spans="1:8">
      <c r="A162" s="21"/>
      <c r="B162" s="22"/>
      <c r="C162" s="22"/>
      <c r="D162" s="22"/>
      <c r="E162" s="23" t="str">
        <f>IF($D162="","",IFERROR(VLOOKUP($D162,'ACAH Capital Tracker'!$A:$H,8,FALSE()),""))</f>
        <v/>
      </c>
      <c r="F162" s="24"/>
      <c r="G162" s="25" t="str">
        <f>IF($D162="","",IFERROR(VLOOKUP($D162,'ACAH Capital Tracker'!$A:$D,4,FALSE()),""))</f>
        <v/>
      </c>
      <c r="H162" s="22"/>
    </row>
    <row r="163" spans="1:8">
      <c r="A163" s="21"/>
      <c r="B163" s="22"/>
      <c r="C163" s="22"/>
      <c r="D163" s="22"/>
      <c r="E163" s="23" t="str">
        <f>IF($D163="","",IFERROR(VLOOKUP($D163,'ACAH Capital Tracker'!$A:$H,8,FALSE()),""))</f>
        <v/>
      </c>
      <c r="F163" s="24"/>
      <c r="G163" s="25" t="str">
        <f>IF($D163="","",IFERROR(VLOOKUP($D163,'ACAH Capital Tracker'!$A:$D,4,FALSE()),""))</f>
        <v/>
      </c>
      <c r="H163" s="22"/>
    </row>
    <row r="164" spans="1:8">
      <c r="A164" s="21"/>
      <c r="B164" s="22"/>
      <c r="C164" s="22"/>
      <c r="D164" s="22"/>
      <c r="E164" s="23" t="str">
        <f>IF($D164="","",IFERROR(VLOOKUP($D164,'ACAH Capital Tracker'!$A:$H,8,FALSE()),""))</f>
        <v/>
      </c>
      <c r="F164" s="24"/>
      <c r="G164" s="25" t="str">
        <f>IF($D164="","",IFERROR(VLOOKUP($D164,'ACAH Capital Tracker'!$A:$D,4,FALSE()),""))</f>
        <v/>
      </c>
      <c r="H164" s="22"/>
    </row>
    <row r="165" spans="1:8">
      <c r="A165" s="21"/>
      <c r="B165" s="22"/>
      <c r="C165" s="22"/>
      <c r="D165" s="22"/>
      <c r="E165" s="23" t="str">
        <f>IF($D165="","",IFERROR(VLOOKUP($D165,'ACAH Capital Tracker'!$A:$H,8,FALSE()),""))</f>
        <v/>
      </c>
      <c r="F165" s="24"/>
      <c r="G165" s="25" t="str">
        <f>IF($D165="","",IFERROR(VLOOKUP($D165,'ACAH Capital Tracker'!$A:$D,4,FALSE()),""))</f>
        <v/>
      </c>
      <c r="H165" s="22"/>
    </row>
    <row r="166" spans="1:8">
      <c r="A166" s="21"/>
      <c r="B166" s="22"/>
      <c r="C166" s="22"/>
      <c r="D166" s="22"/>
      <c r="E166" s="23" t="str">
        <f>IF($D166="","",IFERROR(VLOOKUP($D166,'ACAH Capital Tracker'!$A:$H,8,FALSE()),""))</f>
        <v/>
      </c>
      <c r="F166" s="24"/>
      <c r="G166" s="25" t="str">
        <f>IF($D166="","",IFERROR(VLOOKUP($D166,'ACAH Capital Tracker'!$A:$D,4,FALSE()),""))</f>
        <v/>
      </c>
      <c r="H166" s="22"/>
    </row>
    <row r="167" spans="1:8">
      <c r="A167" s="21"/>
      <c r="B167" s="22"/>
      <c r="C167" s="22"/>
      <c r="D167" s="22"/>
      <c r="E167" s="23" t="str">
        <f>IF($D167="","",IFERROR(VLOOKUP($D167,'ACAH Capital Tracker'!$A:$H,8,FALSE()),""))</f>
        <v/>
      </c>
      <c r="F167" s="24"/>
      <c r="G167" s="25" t="str">
        <f>IF($D167="","",IFERROR(VLOOKUP($D167,'ACAH Capital Tracker'!$A:$D,4,FALSE()),""))</f>
        <v/>
      </c>
      <c r="H167" s="22"/>
    </row>
    <row r="168" spans="1:8">
      <c r="A168" s="21"/>
      <c r="B168" s="22"/>
      <c r="C168" s="22"/>
      <c r="D168" s="22"/>
      <c r="E168" s="23" t="str">
        <f>IF($D168="","",IFERROR(VLOOKUP($D168,'ACAH Capital Tracker'!$A:$H,8,FALSE()),""))</f>
        <v/>
      </c>
      <c r="F168" s="24"/>
      <c r="G168" s="25" t="str">
        <f>IF($D168="","",IFERROR(VLOOKUP($D168,'ACAH Capital Tracker'!$A:$D,4,FALSE()),""))</f>
        <v/>
      </c>
      <c r="H168" s="22"/>
    </row>
    <row r="169" spans="1:8">
      <c r="A169" s="21"/>
      <c r="B169" s="22"/>
      <c r="C169" s="22"/>
      <c r="D169" s="22"/>
      <c r="E169" s="23" t="str">
        <f>IF($D169="","",IFERROR(VLOOKUP($D169,'ACAH Capital Tracker'!$A:$H,8,FALSE()),""))</f>
        <v/>
      </c>
      <c r="F169" s="24"/>
      <c r="G169" s="25" t="str">
        <f>IF($D169="","",IFERROR(VLOOKUP($D169,'ACAH Capital Tracker'!$A:$D,4,FALSE()),""))</f>
        <v/>
      </c>
      <c r="H169" s="22"/>
    </row>
    <row r="170" spans="1:8">
      <c r="A170" s="21"/>
      <c r="B170" s="22"/>
      <c r="C170" s="22"/>
      <c r="D170" s="22"/>
      <c r="E170" s="23" t="str">
        <f>IF($D170="","",IFERROR(VLOOKUP($D170,'ACAH Capital Tracker'!$A:$H,8,FALSE()),""))</f>
        <v/>
      </c>
      <c r="F170" s="24"/>
      <c r="G170" s="25" t="str">
        <f>IF($D170="","",IFERROR(VLOOKUP($D170,'ACAH Capital Tracker'!$A:$D,4,FALSE()),""))</f>
        <v/>
      </c>
      <c r="H170" s="22"/>
    </row>
    <row r="171" spans="1:8">
      <c r="A171" s="21"/>
      <c r="B171" s="22"/>
      <c r="C171" s="22"/>
      <c r="D171" s="22"/>
      <c r="E171" s="23" t="str">
        <f>IF($D171="","",IFERROR(VLOOKUP($D171,'ACAH Capital Tracker'!$A:$H,8,FALSE()),""))</f>
        <v/>
      </c>
      <c r="F171" s="24"/>
      <c r="G171" s="25" t="str">
        <f>IF($D171="","",IFERROR(VLOOKUP($D171,'ACAH Capital Tracker'!$A:$D,4,FALSE()),""))</f>
        <v/>
      </c>
      <c r="H171" s="22"/>
    </row>
    <row r="172" spans="1:8">
      <c r="A172" s="21"/>
      <c r="B172" s="22"/>
      <c r="C172" s="22"/>
      <c r="D172" s="22"/>
      <c r="E172" s="23" t="str">
        <f>IF($D172="","",IFERROR(VLOOKUP($D172,'ACAH Capital Tracker'!$A:$H,8,FALSE()),""))</f>
        <v/>
      </c>
      <c r="F172" s="24"/>
      <c r="G172" s="25" t="str">
        <f>IF($D172="","",IFERROR(VLOOKUP($D172,'ACAH Capital Tracker'!$A:$D,4,FALSE()),""))</f>
        <v/>
      </c>
      <c r="H172" s="22"/>
    </row>
    <row r="173" spans="1:8">
      <c r="A173" s="21"/>
      <c r="B173" s="22"/>
      <c r="C173" s="22"/>
      <c r="D173" s="22"/>
      <c r="E173" s="23" t="str">
        <f>IF($D173="","",IFERROR(VLOOKUP($D173,'ACAH Capital Tracker'!$A:$H,8,FALSE()),""))</f>
        <v/>
      </c>
      <c r="F173" s="24"/>
      <c r="G173" s="25" t="str">
        <f>IF($D173="","",IFERROR(VLOOKUP($D173,'ACAH Capital Tracker'!$A:$D,4,FALSE()),""))</f>
        <v/>
      </c>
      <c r="H173" s="22"/>
    </row>
    <row r="174" spans="1:8">
      <c r="A174" s="21"/>
      <c r="B174" s="22"/>
      <c r="C174" s="22"/>
      <c r="D174" s="22"/>
      <c r="E174" s="23" t="str">
        <f>IF($D174="","",IFERROR(VLOOKUP($D174,'ACAH Capital Tracker'!$A:$H,8,FALSE()),""))</f>
        <v/>
      </c>
      <c r="F174" s="24"/>
      <c r="G174" s="25" t="str">
        <f>IF($D174="","",IFERROR(VLOOKUP($D174,'ACAH Capital Tracker'!$A:$D,4,FALSE()),""))</f>
        <v/>
      </c>
      <c r="H174" s="22"/>
    </row>
    <row r="175" spans="1:8">
      <c r="A175" s="21"/>
      <c r="B175" s="22"/>
      <c r="C175" s="22"/>
      <c r="D175" s="22"/>
      <c r="E175" s="23" t="str">
        <f>IF($D175="","",IFERROR(VLOOKUP($D175,'ACAH Capital Tracker'!$A:$H,8,FALSE()),""))</f>
        <v/>
      </c>
      <c r="F175" s="24"/>
      <c r="G175" s="25" t="str">
        <f>IF($D175="","",IFERROR(VLOOKUP($D175,'ACAH Capital Tracker'!$A:$D,4,FALSE()),""))</f>
        <v/>
      </c>
      <c r="H175" s="22"/>
    </row>
    <row r="176" spans="1:8">
      <c r="A176" s="21"/>
      <c r="B176" s="22"/>
      <c r="C176" s="22"/>
      <c r="D176" s="22"/>
      <c r="E176" s="23" t="str">
        <f>IF($D176="","",IFERROR(VLOOKUP($D176,'ACAH Capital Tracker'!$A:$H,8,FALSE()),""))</f>
        <v/>
      </c>
      <c r="F176" s="24"/>
      <c r="G176" s="25" t="str">
        <f>IF($D176="","",IFERROR(VLOOKUP($D176,'ACAH Capital Tracker'!$A:$D,4,FALSE()),""))</f>
        <v/>
      </c>
      <c r="H176" s="22"/>
    </row>
    <row r="177" spans="1:8">
      <c r="A177" s="21"/>
      <c r="B177" s="22"/>
      <c r="C177" s="22"/>
      <c r="D177" s="22"/>
      <c r="E177" s="23" t="str">
        <f>IF($D177="","",IFERROR(VLOOKUP($D177,'ACAH Capital Tracker'!$A:$H,8,FALSE()),""))</f>
        <v/>
      </c>
      <c r="F177" s="24"/>
      <c r="G177" s="25" t="str">
        <f>IF($D177="","",IFERROR(VLOOKUP($D177,'ACAH Capital Tracker'!$A:$D,4,FALSE()),""))</f>
        <v/>
      </c>
      <c r="H177" s="22"/>
    </row>
    <row r="178" spans="1:8">
      <c r="A178" s="21"/>
      <c r="B178" s="22"/>
      <c r="C178" s="22"/>
      <c r="D178" s="22"/>
      <c r="E178" s="23" t="str">
        <f>IF($D178="","",IFERROR(VLOOKUP($D178,'ACAH Capital Tracker'!$A:$H,8,FALSE()),""))</f>
        <v/>
      </c>
      <c r="F178" s="24"/>
      <c r="G178" s="25" t="str">
        <f>IF($D178="","",IFERROR(VLOOKUP($D178,'ACAH Capital Tracker'!$A:$D,4,FALSE()),""))</f>
        <v/>
      </c>
      <c r="H178" s="22"/>
    </row>
    <row r="179" spans="1:8">
      <c r="A179" s="21"/>
      <c r="B179" s="22"/>
      <c r="C179" s="22"/>
      <c r="D179" s="22"/>
      <c r="E179" s="23" t="str">
        <f>IF($D179="","",IFERROR(VLOOKUP($D179,'ACAH Capital Tracker'!$A:$H,8,FALSE()),""))</f>
        <v/>
      </c>
      <c r="F179" s="24"/>
      <c r="G179" s="25" t="str">
        <f>IF($D179="","",IFERROR(VLOOKUP($D179,'ACAH Capital Tracker'!$A:$D,4,FALSE()),""))</f>
        <v/>
      </c>
      <c r="H179" s="22"/>
    </row>
    <row r="180" spans="1:8">
      <c r="A180" s="21"/>
      <c r="B180" s="22"/>
      <c r="C180" s="22"/>
      <c r="D180" s="22"/>
      <c r="E180" s="23" t="str">
        <f>IF($D180="","",IFERROR(VLOOKUP($D180,'ACAH Capital Tracker'!$A:$H,8,FALSE()),""))</f>
        <v/>
      </c>
      <c r="F180" s="24"/>
      <c r="G180" s="25" t="str">
        <f>IF($D180="","",IFERROR(VLOOKUP($D180,'ACAH Capital Tracker'!$A:$D,4,FALSE()),""))</f>
        <v/>
      </c>
      <c r="H180" s="22"/>
    </row>
    <row r="181" spans="1:8">
      <c r="A181" s="21"/>
      <c r="B181" s="22"/>
      <c r="C181" s="22"/>
      <c r="D181" s="22"/>
      <c r="E181" s="23" t="str">
        <f>IF($D181="","",IFERROR(VLOOKUP($D181,'ACAH Capital Tracker'!$A:$H,8,FALSE()),""))</f>
        <v/>
      </c>
      <c r="F181" s="24"/>
      <c r="G181" s="25" t="str">
        <f>IF($D181="","",IFERROR(VLOOKUP($D181,'ACAH Capital Tracker'!$A:$D,4,FALSE()),""))</f>
        <v/>
      </c>
      <c r="H181" s="22"/>
    </row>
    <row r="182" spans="1:8">
      <c r="A182" s="21"/>
      <c r="B182" s="22"/>
      <c r="C182" s="22"/>
      <c r="D182" s="22"/>
      <c r="E182" s="23" t="str">
        <f>IF($D182="","",IFERROR(VLOOKUP($D182,'ACAH Capital Tracker'!$A:$H,8,FALSE()),""))</f>
        <v/>
      </c>
      <c r="F182" s="24"/>
      <c r="G182" s="25" t="str">
        <f>IF($D182="","",IFERROR(VLOOKUP($D182,'ACAH Capital Tracker'!$A:$D,4,FALSE()),""))</f>
        <v/>
      </c>
      <c r="H182" s="22"/>
    </row>
    <row r="183" spans="1:8">
      <c r="A183" s="21"/>
      <c r="B183" s="22"/>
      <c r="C183" s="22"/>
      <c r="D183" s="22"/>
      <c r="E183" s="23" t="str">
        <f>IF($D183="","",IFERROR(VLOOKUP($D183,'ACAH Capital Tracker'!$A:$H,8,FALSE()),""))</f>
        <v/>
      </c>
      <c r="F183" s="24"/>
      <c r="G183" s="25" t="str">
        <f>IF($D183="","",IFERROR(VLOOKUP($D183,'ACAH Capital Tracker'!$A:$D,4,FALSE()),""))</f>
        <v/>
      </c>
      <c r="H183" s="22"/>
    </row>
    <row r="184" spans="1:8">
      <c r="A184" s="21"/>
      <c r="B184" s="22"/>
      <c r="C184" s="22"/>
      <c r="D184" s="22"/>
      <c r="E184" s="23" t="str">
        <f>IF($D184="","",IFERROR(VLOOKUP($D184,'ACAH Capital Tracker'!$A:$H,8,FALSE()),""))</f>
        <v/>
      </c>
      <c r="F184" s="24"/>
      <c r="G184" s="25" t="str">
        <f>IF($D184="","",IFERROR(VLOOKUP($D184,'ACAH Capital Tracker'!$A:$D,4,FALSE()),""))</f>
        <v/>
      </c>
      <c r="H184" s="22"/>
    </row>
    <row r="185" spans="1:8">
      <c r="A185" s="21"/>
      <c r="B185" s="22"/>
      <c r="C185" s="22"/>
      <c r="D185" s="22"/>
      <c r="E185" s="23" t="str">
        <f>IF($D185="","",IFERROR(VLOOKUP($D185,'ACAH Capital Tracker'!$A:$H,8,FALSE()),""))</f>
        <v/>
      </c>
      <c r="F185" s="24"/>
      <c r="G185" s="25" t="str">
        <f>IF($D185="","",IFERROR(VLOOKUP($D185,'ACAH Capital Tracker'!$A:$D,4,FALSE()),""))</f>
        <v/>
      </c>
      <c r="H185" s="22"/>
    </row>
    <row r="186" spans="1:8">
      <c r="A186" s="21"/>
      <c r="B186" s="22"/>
      <c r="C186" s="22"/>
      <c r="D186" s="22"/>
      <c r="E186" s="23" t="str">
        <f>IF($D186="","",IFERROR(VLOOKUP($D186,'ACAH Capital Tracker'!$A:$H,8,FALSE()),""))</f>
        <v/>
      </c>
      <c r="F186" s="24"/>
      <c r="G186" s="25" t="str">
        <f>IF($D186="","",IFERROR(VLOOKUP($D186,'ACAH Capital Tracker'!$A:$D,4,FALSE()),""))</f>
        <v/>
      </c>
      <c r="H186" s="22"/>
    </row>
    <row r="187" spans="1:8">
      <c r="A187" s="21"/>
      <c r="B187" s="22"/>
      <c r="C187" s="22"/>
      <c r="D187" s="22"/>
      <c r="E187" s="23" t="str">
        <f>IF($D187="","",IFERROR(VLOOKUP($D187,'ACAH Capital Tracker'!$A:$H,8,FALSE()),""))</f>
        <v/>
      </c>
      <c r="F187" s="24"/>
      <c r="G187" s="25" t="str">
        <f>IF($D187="","",IFERROR(VLOOKUP($D187,'ACAH Capital Tracker'!$A:$D,4,FALSE()),""))</f>
        <v/>
      </c>
      <c r="H187" s="22"/>
    </row>
    <row r="188" spans="1:8">
      <c r="A188" s="21"/>
      <c r="B188" s="22"/>
      <c r="C188" s="22"/>
      <c r="D188" s="22"/>
      <c r="E188" s="23" t="str">
        <f>IF($D188="","",IFERROR(VLOOKUP($D188,'ACAH Capital Tracker'!$A:$H,8,FALSE()),""))</f>
        <v/>
      </c>
      <c r="F188" s="24"/>
      <c r="G188" s="25" t="str">
        <f>IF($D188="","",IFERROR(VLOOKUP($D188,'ACAH Capital Tracker'!$A:$D,4,FALSE()),""))</f>
        <v/>
      </c>
      <c r="H188" s="22"/>
    </row>
    <row r="189" spans="1:8">
      <c r="A189" s="21"/>
      <c r="B189" s="22"/>
      <c r="C189" s="22"/>
      <c r="D189" s="22"/>
      <c r="E189" s="23" t="str">
        <f>IF($D189="","",IFERROR(VLOOKUP($D189,'ACAH Capital Tracker'!$A:$H,8,FALSE()),""))</f>
        <v/>
      </c>
      <c r="F189" s="24"/>
      <c r="G189" s="25" t="str">
        <f>IF($D189="","",IFERROR(VLOOKUP($D189,'ACAH Capital Tracker'!$A:$D,4,FALSE()),""))</f>
        <v/>
      </c>
      <c r="H189" s="22"/>
    </row>
    <row r="190" spans="1:8">
      <c r="A190" s="21"/>
      <c r="B190" s="22"/>
      <c r="C190" s="22"/>
      <c r="D190" s="22"/>
      <c r="E190" s="23" t="str">
        <f>IF($D190="","",IFERROR(VLOOKUP($D190,'ACAH Capital Tracker'!$A:$H,8,FALSE()),""))</f>
        <v/>
      </c>
      <c r="F190" s="24"/>
      <c r="G190" s="25" t="str">
        <f>IF($D190="","",IFERROR(VLOOKUP($D190,'ACAH Capital Tracker'!$A:$D,4,FALSE()),""))</f>
        <v/>
      </c>
      <c r="H190" s="22"/>
    </row>
    <row r="191" spans="1:8">
      <c r="A191" s="21"/>
      <c r="B191" s="22"/>
      <c r="C191" s="22"/>
      <c r="D191" s="22"/>
      <c r="E191" s="23" t="str">
        <f>IF($D191="","",IFERROR(VLOOKUP($D191,'ACAH Capital Tracker'!$A:$H,8,FALSE()),""))</f>
        <v/>
      </c>
      <c r="F191" s="24"/>
      <c r="G191" s="25" t="str">
        <f>IF($D191="","",IFERROR(VLOOKUP($D191,'ACAH Capital Tracker'!$A:$D,4,FALSE()),""))</f>
        <v/>
      </c>
      <c r="H191" s="22"/>
    </row>
    <row r="192" spans="1:8">
      <c r="A192" s="21"/>
      <c r="B192" s="22"/>
      <c r="C192" s="22"/>
      <c r="D192" s="22"/>
      <c r="E192" s="23" t="str">
        <f>IF($D192="","",IFERROR(VLOOKUP($D192,'ACAH Capital Tracker'!$A:$H,8,FALSE()),""))</f>
        <v/>
      </c>
      <c r="F192" s="24"/>
      <c r="G192" s="25" t="str">
        <f>IF($D192="","",IFERROR(VLOOKUP($D192,'ACAH Capital Tracker'!$A:$D,4,FALSE()),""))</f>
        <v/>
      </c>
      <c r="H192" s="22"/>
    </row>
    <row r="193" spans="1:8">
      <c r="A193" s="21"/>
      <c r="B193" s="22"/>
      <c r="C193" s="22"/>
      <c r="D193" s="22"/>
      <c r="E193" s="23" t="str">
        <f>IF($D193="","",IFERROR(VLOOKUP($D193,'ACAH Capital Tracker'!$A:$H,8,FALSE()),""))</f>
        <v/>
      </c>
      <c r="F193" s="24"/>
      <c r="G193" s="25" t="str">
        <f>IF($D193="","",IFERROR(VLOOKUP($D193,'ACAH Capital Tracker'!$A:$D,4,FALSE()),""))</f>
        <v/>
      </c>
      <c r="H193" s="22"/>
    </row>
    <row r="194" spans="1:8">
      <c r="A194" s="21"/>
      <c r="B194" s="22"/>
      <c r="C194" s="22"/>
      <c r="D194" s="22"/>
      <c r="E194" s="23" t="str">
        <f>IF($D194="","",IFERROR(VLOOKUP($D194,'ACAH Capital Tracker'!$A:$H,8,FALSE()),""))</f>
        <v/>
      </c>
      <c r="F194" s="24"/>
      <c r="G194" s="25" t="str">
        <f>IF($D194="","",IFERROR(VLOOKUP($D194,'ACAH Capital Tracker'!$A:$D,4,FALSE()),""))</f>
        <v/>
      </c>
      <c r="H194" s="22"/>
    </row>
    <row r="195" spans="1:8">
      <c r="A195" s="21"/>
      <c r="B195" s="22"/>
      <c r="C195" s="22"/>
      <c r="D195" s="22"/>
      <c r="E195" s="23" t="str">
        <f>IF($D195="","",IFERROR(VLOOKUP($D195,'ACAH Capital Tracker'!$A:$H,8,FALSE()),""))</f>
        <v/>
      </c>
      <c r="F195" s="24"/>
      <c r="G195" s="25" t="str">
        <f>IF($D195="","",IFERROR(VLOOKUP($D195,'ACAH Capital Tracker'!$A:$D,4,FALSE()),""))</f>
        <v/>
      </c>
      <c r="H195" s="22"/>
    </row>
    <row r="196" spans="1:8">
      <c r="A196" s="21"/>
      <c r="B196" s="22"/>
      <c r="C196" s="22"/>
      <c r="D196" s="22"/>
      <c r="E196" s="23" t="str">
        <f>IF($D196="","",IFERROR(VLOOKUP($D196,'ACAH Capital Tracker'!$A:$H,8,FALSE()),""))</f>
        <v/>
      </c>
      <c r="F196" s="24"/>
      <c r="G196" s="25" t="str">
        <f>IF($D196="","",IFERROR(VLOOKUP($D196,'ACAH Capital Tracker'!$A:$D,4,FALSE()),""))</f>
        <v/>
      </c>
      <c r="H196" s="22"/>
    </row>
    <row r="197" spans="1:8">
      <c r="A197" s="21"/>
      <c r="B197" s="22"/>
      <c r="C197" s="22"/>
      <c r="D197" s="22"/>
      <c r="E197" s="23" t="str">
        <f>IF($D197="","",IFERROR(VLOOKUP($D197,'ACAH Capital Tracker'!$A:$H,8,FALSE()),""))</f>
        <v/>
      </c>
      <c r="F197" s="24"/>
      <c r="G197" s="25" t="str">
        <f>IF($D197="","",IFERROR(VLOOKUP($D197,'ACAH Capital Tracker'!$A:$D,4,FALSE()),""))</f>
        <v/>
      </c>
      <c r="H197" s="22"/>
    </row>
    <row r="198" spans="1:8">
      <c r="A198" s="21"/>
      <c r="B198" s="22"/>
      <c r="C198" s="22"/>
      <c r="D198" s="22"/>
      <c r="E198" s="23" t="str">
        <f>IF($D198="","",IFERROR(VLOOKUP($D198,'ACAH Capital Tracker'!$A:$H,8,FALSE()),""))</f>
        <v/>
      </c>
      <c r="F198" s="24"/>
      <c r="G198" s="25" t="str">
        <f>IF($D198="","",IFERROR(VLOOKUP($D198,'ACAH Capital Tracker'!$A:$D,4,FALSE()),""))</f>
        <v/>
      </c>
      <c r="H198" s="22"/>
    </row>
    <row r="199" spans="1:8">
      <c r="A199" s="21"/>
      <c r="B199" s="22"/>
      <c r="C199" s="22"/>
      <c r="D199" s="22"/>
      <c r="E199" s="23" t="str">
        <f>IF($D199="","",IFERROR(VLOOKUP($D199,'ACAH Capital Tracker'!$A:$H,8,FALSE()),""))</f>
        <v/>
      </c>
      <c r="F199" s="24"/>
      <c r="G199" s="25" t="str">
        <f>IF($D199="","",IFERROR(VLOOKUP($D199,'ACAH Capital Tracker'!$A:$D,4,FALSE()),""))</f>
        <v/>
      </c>
      <c r="H199" s="22"/>
    </row>
    <row r="200" spans="1:8">
      <c r="A200" s="21"/>
      <c r="B200" s="22"/>
      <c r="C200" s="22"/>
      <c r="D200" s="22"/>
      <c r="E200" s="23" t="str">
        <f>IF($D200="","",IFERROR(VLOOKUP($D200,'ACAH Capital Tracker'!$A:$H,8,FALSE()),""))</f>
        <v/>
      </c>
      <c r="F200" s="24"/>
      <c r="G200" s="25" t="str">
        <f>IF($D200="","",IFERROR(VLOOKUP($D200,'ACAH Capital Tracker'!$A:$D,4,FALSE()),""))</f>
        <v/>
      </c>
      <c r="H200" s="22"/>
    </row>
    <row r="201" spans="1:8">
      <c r="A201" s="21"/>
      <c r="B201" s="22"/>
      <c r="C201" s="22"/>
      <c r="D201" s="22"/>
      <c r="E201" s="23" t="str">
        <f>IF($D201="","",IFERROR(VLOOKUP($D201,'ACAH Capital Tracker'!$A:$H,8,FALSE()),""))</f>
        <v/>
      </c>
      <c r="F201" s="24"/>
      <c r="G201" s="25" t="str">
        <f>IF($D201="","",IFERROR(VLOOKUP($D201,'ACAH Capital Tracker'!$A:$D,4,FALSE()),""))</f>
        <v/>
      </c>
      <c r="H201" s="22"/>
    </row>
    <row r="202" spans="1:8">
      <c r="A202" s="21"/>
      <c r="B202" s="22"/>
      <c r="C202" s="22"/>
      <c r="D202" s="22"/>
      <c r="E202" s="23" t="str">
        <f>IF($D202="","",IFERROR(VLOOKUP($D202,'ACAH Capital Tracker'!$A:$H,8,FALSE()),""))</f>
        <v/>
      </c>
      <c r="F202" s="24"/>
      <c r="G202" s="25" t="str">
        <f>IF($D202="","",IFERROR(VLOOKUP($D202,'ACAH Capital Tracker'!$A:$D,4,FALSE()),""))</f>
        <v/>
      </c>
      <c r="H202" s="22"/>
    </row>
    <row r="203" spans="1:8">
      <c r="A203" s="21"/>
      <c r="B203" s="22"/>
      <c r="C203" s="22"/>
      <c r="D203" s="22"/>
      <c r="E203" s="23" t="str">
        <f>IF($D203="","",IFERROR(VLOOKUP($D203,'ACAH Capital Tracker'!$A:$H,8,FALSE()),""))</f>
        <v/>
      </c>
      <c r="F203" s="24"/>
      <c r="G203" s="25" t="str">
        <f>IF($D203="","",IFERROR(VLOOKUP($D203,'ACAH Capital Tracker'!$A:$D,4,FALSE()),""))</f>
        <v/>
      </c>
      <c r="H203" s="22"/>
    </row>
    <row r="204" spans="1:8">
      <c r="A204" s="21"/>
      <c r="B204" s="22"/>
      <c r="C204" s="22"/>
      <c r="D204" s="22"/>
      <c r="E204" s="23" t="str">
        <f>IF($D204="","",IFERROR(VLOOKUP($D204,'ACAH Capital Tracker'!$A:$H,8,FALSE()),""))</f>
        <v/>
      </c>
      <c r="F204" s="24"/>
      <c r="G204" s="25" t="str">
        <f>IF($D204="","",IFERROR(VLOOKUP($D204,'ACAH Capital Tracker'!$A:$D,4,FALSE()),""))</f>
        <v/>
      </c>
      <c r="H204" s="22"/>
    </row>
    <row r="205" spans="1:8">
      <c r="A205" s="21"/>
      <c r="B205" s="22"/>
      <c r="C205" s="22"/>
      <c r="D205" s="22"/>
      <c r="E205" s="23" t="str">
        <f>IF($D205="","",IFERROR(VLOOKUP($D205,'ACAH Capital Tracker'!$A:$H,8,FALSE()),""))</f>
        <v/>
      </c>
      <c r="F205" s="24"/>
      <c r="G205" s="25" t="str">
        <f>IF($D205="","",IFERROR(VLOOKUP($D205,'ACAH Capital Tracker'!$A:$D,4,FALSE()),""))</f>
        <v/>
      </c>
      <c r="H205" s="22"/>
    </row>
    <row r="206" spans="1:8">
      <c r="A206" s="21"/>
      <c r="B206" s="22"/>
      <c r="C206" s="22"/>
      <c r="D206" s="22"/>
      <c r="E206" s="23" t="str">
        <f>IF($D206="","",IFERROR(VLOOKUP($D206,'ACAH Capital Tracker'!$A:$H,8,FALSE()),""))</f>
        <v/>
      </c>
      <c r="F206" s="24"/>
      <c r="G206" s="25" t="str">
        <f>IF($D206="","",IFERROR(VLOOKUP($D206,'ACAH Capital Tracker'!$A:$D,4,FALSE()),""))</f>
        <v/>
      </c>
      <c r="H206" s="22"/>
    </row>
    <row r="207" spans="1:8">
      <c r="A207" s="21"/>
      <c r="B207" s="22"/>
      <c r="C207" s="22"/>
      <c r="D207" s="22"/>
      <c r="E207" s="23" t="str">
        <f>IF($D207="","",IFERROR(VLOOKUP($D207,'ACAH Capital Tracker'!$A:$H,8,FALSE()),""))</f>
        <v/>
      </c>
      <c r="F207" s="24"/>
      <c r="G207" s="25" t="str">
        <f>IF($D207="","",IFERROR(VLOOKUP($D207,'ACAH Capital Tracker'!$A:$D,4,FALSE()),""))</f>
        <v/>
      </c>
      <c r="H207" s="22"/>
    </row>
    <row r="208" spans="1:8">
      <c r="A208" s="21"/>
      <c r="B208" s="22"/>
      <c r="C208" s="22"/>
      <c r="D208" s="22"/>
      <c r="E208" s="23" t="str">
        <f>IF($D208="","",IFERROR(VLOOKUP($D208,'ACAH Capital Tracker'!$A:$H,8,FALSE()),""))</f>
        <v/>
      </c>
      <c r="F208" s="24"/>
      <c r="G208" s="25" t="str">
        <f>IF($D208="","",IFERROR(VLOOKUP($D208,'ACAH Capital Tracker'!$A:$D,4,FALSE()),""))</f>
        <v/>
      </c>
      <c r="H208" s="22"/>
    </row>
    <row r="209" spans="1:8">
      <c r="A209" s="21"/>
      <c r="B209" s="22"/>
      <c r="C209" s="22"/>
      <c r="D209" s="22"/>
      <c r="E209" s="23" t="str">
        <f>IF($D209="","",IFERROR(VLOOKUP($D209,'ACAH Capital Tracker'!$A:$H,8,FALSE()),""))</f>
        <v/>
      </c>
      <c r="F209" s="24"/>
      <c r="G209" s="25" t="str">
        <f>IF($D209="","",IFERROR(VLOOKUP($D209,'ACAH Capital Tracker'!$A:$D,4,FALSE()),""))</f>
        <v/>
      </c>
      <c r="H209" s="22"/>
    </row>
    <row r="210" spans="1:8">
      <c r="A210" s="21"/>
      <c r="B210" s="22"/>
      <c r="C210" s="22"/>
      <c r="D210" s="22"/>
      <c r="E210" s="23" t="str">
        <f>IF($D210="","",IFERROR(VLOOKUP($D210,'ACAH Capital Tracker'!$A:$H,8,FALSE()),""))</f>
        <v/>
      </c>
      <c r="F210" s="24"/>
      <c r="G210" s="25" t="str">
        <f>IF($D210="","",IFERROR(VLOOKUP($D210,'ACAH Capital Tracker'!$A:$D,4,FALSE()),""))</f>
        <v/>
      </c>
      <c r="H210" s="22"/>
    </row>
    <row r="211" spans="1:8">
      <c r="A211" s="21"/>
      <c r="B211" s="22"/>
      <c r="C211" s="22"/>
      <c r="D211" s="22"/>
      <c r="E211" s="23" t="str">
        <f>IF($D211="","",IFERROR(VLOOKUP($D211,'ACAH Capital Tracker'!$A:$H,8,FALSE()),""))</f>
        <v/>
      </c>
      <c r="F211" s="24"/>
      <c r="G211" s="25" t="str">
        <f>IF($D211="","",IFERROR(VLOOKUP($D211,'ACAH Capital Tracker'!$A:$D,4,FALSE()),""))</f>
        <v/>
      </c>
      <c r="H211" s="22"/>
    </row>
    <row r="212" spans="1:8">
      <c r="A212" s="21"/>
      <c r="B212" s="22"/>
      <c r="C212" s="22"/>
      <c r="D212" s="22"/>
      <c r="E212" s="23" t="str">
        <f>IF($D212="","",IFERROR(VLOOKUP($D212,'ACAH Capital Tracker'!$A:$H,8,FALSE()),""))</f>
        <v/>
      </c>
      <c r="F212" s="24"/>
      <c r="G212" s="25" t="str">
        <f>IF($D212="","",IFERROR(VLOOKUP($D212,'ACAH Capital Tracker'!$A:$D,4,FALSE()),""))</f>
        <v/>
      </c>
      <c r="H212" s="22"/>
    </row>
    <row r="213" spans="1:8">
      <c r="A213" s="21"/>
      <c r="B213" s="22"/>
      <c r="C213" s="22"/>
      <c r="D213" s="22"/>
      <c r="E213" s="23" t="str">
        <f>IF($D213="","",IFERROR(VLOOKUP($D213,'ACAH Capital Tracker'!$A:$H,8,FALSE()),""))</f>
        <v/>
      </c>
      <c r="F213" s="24"/>
      <c r="G213" s="25" t="str">
        <f>IF($D213="","",IFERROR(VLOOKUP($D213,'ACAH Capital Tracker'!$A:$D,4,FALSE()),""))</f>
        <v/>
      </c>
      <c r="H213" s="22"/>
    </row>
    <row r="214" spans="1:8">
      <c r="A214" s="21"/>
      <c r="B214" s="22"/>
      <c r="C214" s="22"/>
      <c r="D214" s="22"/>
      <c r="E214" s="23" t="str">
        <f>IF($D214="","",IFERROR(VLOOKUP($D214,'ACAH Capital Tracker'!$A:$H,8,FALSE()),""))</f>
        <v/>
      </c>
      <c r="F214" s="24"/>
      <c r="G214" s="25" t="str">
        <f>IF($D214="","",IFERROR(VLOOKUP($D214,'ACAH Capital Tracker'!$A:$D,4,FALSE()),""))</f>
        <v/>
      </c>
      <c r="H214" s="22"/>
    </row>
    <row r="215" spans="1:8">
      <c r="A215" s="21"/>
      <c r="B215" s="22"/>
      <c r="C215" s="22"/>
      <c r="D215" s="22"/>
      <c r="E215" s="23" t="str">
        <f>IF($D215="","",IFERROR(VLOOKUP($D215,'ACAH Capital Tracker'!$A:$H,8,FALSE()),""))</f>
        <v/>
      </c>
      <c r="F215" s="24"/>
      <c r="G215" s="25" t="str">
        <f>IF($D215="","",IFERROR(VLOOKUP($D215,'ACAH Capital Tracker'!$A:$D,4,FALSE()),""))</f>
        <v/>
      </c>
      <c r="H215" s="22"/>
    </row>
    <row r="216" spans="1:8">
      <c r="A216" s="21"/>
      <c r="B216" s="22"/>
      <c r="C216" s="22"/>
      <c r="D216" s="22"/>
      <c r="E216" s="23" t="str">
        <f>IF($D216="","",IFERROR(VLOOKUP($D216,'ACAH Capital Tracker'!$A:$H,8,FALSE()),""))</f>
        <v/>
      </c>
      <c r="F216" s="24"/>
      <c r="G216" s="25" t="str">
        <f>IF($D216="","",IFERROR(VLOOKUP($D216,'ACAH Capital Tracker'!$A:$D,4,FALSE()),""))</f>
        <v/>
      </c>
      <c r="H216" s="22"/>
    </row>
    <row r="217" spans="1:8">
      <c r="A217" s="21"/>
      <c r="B217" s="22"/>
      <c r="C217" s="22"/>
      <c r="D217" s="22"/>
      <c r="E217" s="23" t="str">
        <f>IF($D217="","",IFERROR(VLOOKUP($D217,'ACAH Capital Tracker'!$A:$H,8,FALSE()),""))</f>
        <v/>
      </c>
      <c r="F217" s="24"/>
      <c r="G217" s="25" t="str">
        <f>IF($D217="","",IFERROR(VLOOKUP($D217,'ACAH Capital Tracker'!$A:$D,4,FALSE()),""))</f>
        <v/>
      </c>
      <c r="H217" s="22"/>
    </row>
    <row r="218" spans="1:8">
      <c r="A218" s="21"/>
      <c r="B218" s="22"/>
      <c r="C218" s="22"/>
      <c r="D218" s="22"/>
      <c r="E218" s="23" t="str">
        <f>IF($D218="","",IFERROR(VLOOKUP($D218,'ACAH Capital Tracker'!$A:$H,8,FALSE()),""))</f>
        <v/>
      </c>
      <c r="F218" s="24"/>
      <c r="G218" s="25" t="str">
        <f>IF($D218="","",IFERROR(VLOOKUP($D218,'ACAH Capital Tracker'!$A:$D,4,FALSE()),""))</f>
        <v/>
      </c>
      <c r="H218" s="22"/>
    </row>
    <row r="219" spans="1:8">
      <c r="A219" s="21"/>
      <c r="B219" s="22"/>
      <c r="C219" s="22"/>
      <c r="D219" s="22"/>
      <c r="E219" s="23" t="str">
        <f>IF($D219="","",IFERROR(VLOOKUP($D219,'ACAH Capital Tracker'!$A:$H,8,FALSE()),""))</f>
        <v/>
      </c>
      <c r="F219" s="24"/>
      <c r="G219" s="25" t="str">
        <f>IF($D219="","",IFERROR(VLOOKUP($D219,'ACAH Capital Tracker'!$A:$D,4,FALSE()),""))</f>
        <v/>
      </c>
      <c r="H219" s="22"/>
    </row>
    <row r="220" spans="1:8">
      <c r="A220" s="21"/>
      <c r="B220" s="22"/>
      <c r="C220" s="22"/>
      <c r="D220" s="22"/>
      <c r="E220" s="23" t="str">
        <f>IF($D220="","",IFERROR(VLOOKUP($D220,'ACAH Capital Tracker'!$A:$H,8,FALSE()),""))</f>
        <v/>
      </c>
      <c r="F220" s="24"/>
      <c r="G220" s="25" t="str">
        <f>IF($D220="","",IFERROR(VLOOKUP($D220,'ACAH Capital Tracker'!$A:$D,4,FALSE()),""))</f>
        <v/>
      </c>
      <c r="H220" s="22"/>
    </row>
    <row r="221" spans="1:8">
      <c r="A221" s="21"/>
      <c r="B221" s="22"/>
      <c r="C221" s="22"/>
      <c r="D221" s="22"/>
      <c r="E221" s="23" t="str">
        <f>IF($D221="","",IFERROR(VLOOKUP($D221,'ACAH Capital Tracker'!$A:$H,8,FALSE()),""))</f>
        <v/>
      </c>
      <c r="F221" s="24"/>
      <c r="G221" s="25" t="str">
        <f>IF($D221="","",IFERROR(VLOOKUP($D221,'ACAH Capital Tracker'!$A:$D,4,FALSE()),""))</f>
        <v/>
      </c>
      <c r="H221" s="22"/>
    </row>
    <row r="222" spans="1:8">
      <c r="A222" s="21"/>
      <c r="B222" s="22"/>
      <c r="C222" s="22"/>
      <c r="D222" s="22"/>
      <c r="E222" s="23" t="str">
        <f>IF($D222="","",IFERROR(VLOOKUP($D222,'ACAH Capital Tracker'!$A:$H,8,FALSE()),""))</f>
        <v/>
      </c>
      <c r="F222" s="24"/>
      <c r="G222" s="25" t="str">
        <f>IF($D222="","",IFERROR(VLOOKUP($D222,'ACAH Capital Tracker'!$A:$D,4,FALSE()),""))</f>
        <v/>
      </c>
      <c r="H222" s="22"/>
    </row>
    <row r="223" spans="1:8">
      <c r="A223" s="21"/>
      <c r="B223" s="22"/>
      <c r="C223" s="22"/>
      <c r="D223" s="22"/>
      <c r="E223" s="23" t="str">
        <f>IF($D223="","",IFERROR(VLOOKUP($D223,'ACAH Capital Tracker'!$A:$H,8,FALSE()),""))</f>
        <v/>
      </c>
      <c r="F223" s="24"/>
      <c r="G223" s="25" t="str">
        <f>IF($D223="","",IFERROR(VLOOKUP($D223,'ACAH Capital Tracker'!$A:$D,4,FALSE()),""))</f>
        <v/>
      </c>
      <c r="H223" s="22"/>
    </row>
    <row r="224" spans="1:8">
      <c r="A224" s="21"/>
      <c r="B224" s="22"/>
      <c r="C224" s="22"/>
      <c r="D224" s="22"/>
      <c r="E224" s="23" t="str">
        <f>IF($D224="","",IFERROR(VLOOKUP($D224,'ACAH Capital Tracker'!$A:$H,8,FALSE()),""))</f>
        <v/>
      </c>
      <c r="F224" s="24"/>
      <c r="G224" s="25" t="str">
        <f>IF($D224="","",IFERROR(VLOOKUP($D224,'ACAH Capital Tracker'!$A:$D,4,FALSE()),""))</f>
        <v/>
      </c>
      <c r="H224" s="22"/>
    </row>
    <row r="225" spans="1:8">
      <c r="A225" s="21"/>
      <c r="B225" s="22"/>
      <c r="C225" s="22"/>
      <c r="D225" s="22"/>
      <c r="E225" s="23" t="str">
        <f>IF($D225="","",IFERROR(VLOOKUP($D225,'ACAH Capital Tracker'!$A:$H,8,FALSE()),""))</f>
        <v/>
      </c>
      <c r="F225" s="24"/>
      <c r="G225" s="25" t="str">
        <f>IF($D225="","",IFERROR(VLOOKUP($D225,'ACAH Capital Tracker'!$A:$D,4,FALSE()),""))</f>
        <v/>
      </c>
      <c r="H225" s="22"/>
    </row>
    <row r="226" spans="1:8">
      <c r="A226" s="21"/>
      <c r="B226" s="22"/>
      <c r="C226" s="22"/>
      <c r="D226" s="22"/>
      <c r="E226" s="23" t="str">
        <f>IF($D226="","",IFERROR(VLOOKUP($D226,'ACAH Capital Tracker'!$A:$H,8,FALSE()),""))</f>
        <v/>
      </c>
      <c r="F226" s="24"/>
      <c r="G226" s="25" t="str">
        <f>IF($D226="","",IFERROR(VLOOKUP($D226,'ACAH Capital Tracker'!$A:$D,4,FALSE()),""))</f>
        <v/>
      </c>
      <c r="H226" s="22"/>
    </row>
    <row r="227" spans="1:8">
      <c r="A227" s="21"/>
      <c r="B227" s="22"/>
      <c r="C227" s="22"/>
      <c r="D227" s="22"/>
      <c r="E227" s="23" t="str">
        <f>IF($D227="","",IFERROR(VLOOKUP($D227,'ACAH Capital Tracker'!$A:$H,8,FALSE()),""))</f>
        <v/>
      </c>
      <c r="F227" s="24"/>
      <c r="G227" s="25" t="str">
        <f>IF($D227="","",IFERROR(VLOOKUP($D227,'ACAH Capital Tracker'!$A:$D,4,FALSE()),""))</f>
        <v/>
      </c>
      <c r="H227" s="22"/>
    </row>
    <row r="228" spans="1:8">
      <c r="A228" s="21"/>
      <c r="B228" s="22"/>
      <c r="C228" s="22"/>
      <c r="D228" s="22"/>
      <c r="E228" s="23" t="str">
        <f>IF($D228="","",IFERROR(VLOOKUP($D228,'ACAH Capital Tracker'!$A:$H,8,FALSE()),""))</f>
        <v/>
      </c>
      <c r="F228" s="24"/>
      <c r="G228" s="25" t="str">
        <f>IF($D228="","",IFERROR(VLOOKUP($D228,'ACAH Capital Tracker'!$A:$D,4,FALSE()),""))</f>
        <v/>
      </c>
      <c r="H228" s="22"/>
    </row>
    <row r="229" spans="1:8">
      <c r="A229" s="21"/>
      <c r="B229" s="22"/>
      <c r="C229" s="22"/>
      <c r="D229" s="22"/>
      <c r="E229" s="23" t="str">
        <f>IF($D229="","",IFERROR(VLOOKUP($D229,'ACAH Capital Tracker'!$A:$H,8,FALSE()),""))</f>
        <v/>
      </c>
      <c r="F229" s="24"/>
      <c r="G229" s="25" t="str">
        <f>IF($D229="","",IFERROR(VLOOKUP($D229,'ACAH Capital Tracker'!$A:$D,4,FALSE()),""))</f>
        <v/>
      </c>
      <c r="H229" s="22"/>
    </row>
    <row r="230" spans="1:8">
      <c r="A230" s="21"/>
      <c r="B230" s="22"/>
      <c r="C230" s="22"/>
      <c r="D230" s="22"/>
      <c r="E230" s="23" t="str">
        <f>IF($D230="","",IFERROR(VLOOKUP($D230,'ACAH Capital Tracker'!$A:$H,8,FALSE()),""))</f>
        <v/>
      </c>
      <c r="F230" s="24"/>
      <c r="G230" s="25" t="str">
        <f>IF($D230="","",IFERROR(VLOOKUP($D230,'ACAH Capital Tracker'!$A:$D,4,FALSE()),""))</f>
        <v/>
      </c>
      <c r="H230" s="22"/>
    </row>
    <row r="231" spans="1:8">
      <c r="A231" s="21"/>
      <c r="B231" s="22"/>
      <c r="C231" s="22"/>
      <c r="D231" s="22"/>
      <c r="E231" s="23" t="str">
        <f>IF($D231="","",IFERROR(VLOOKUP($D231,'ACAH Capital Tracker'!$A:$H,8,FALSE()),""))</f>
        <v/>
      </c>
      <c r="F231" s="24"/>
      <c r="G231" s="25" t="str">
        <f>IF($D231="","",IFERROR(VLOOKUP($D231,'ACAH Capital Tracker'!$A:$D,4,FALSE()),""))</f>
        <v/>
      </c>
      <c r="H231" s="22"/>
    </row>
    <row r="232" spans="1:8">
      <c r="A232" s="21"/>
      <c r="B232" s="22"/>
      <c r="C232" s="22"/>
      <c r="D232" s="22"/>
      <c r="E232" s="23" t="str">
        <f>IF($D232="","",IFERROR(VLOOKUP($D232,'ACAH Capital Tracker'!$A:$H,8,FALSE()),""))</f>
        <v/>
      </c>
      <c r="F232" s="24"/>
      <c r="G232" s="25" t="str">
        <f>IF($D232="","",IFERROR(VLOOKUP($D232,'ACAH Capital Tracker'!$A:$D,4,FALSE()),""))</f>
        <v/>
      </c>
      <c r="H232" s="22"/>
    </row>
    <row r="233" spans="1:8">
      <c r="A233" s="21"/>
      <c r="B233" s="22"/>
      <c r="C233" s="22"/>
      <c r="D233" s="22"/>
      <c r="E233" s="23" t="str">
        <f>IF($D233="","",IFERROR(VLOOKUP($D233,'ACAH Capital Tracker'!$A:$H,8,FALSE()),""))</f>
        <v/>
      </c>
      <c r="F233" s="24"/>
      <c r="G233" s="25" t="str">
        <f>IF($D233="","",IFERROR(VLOOKUP($D233,'ACAH Capital Tracker'!$A:$D,4,FALSE()),""))</f>
        <v/>
      </c>
      <c r="H233" s="22"/>
    </row>
    <row r="234" spans="1:8">
      <c r="A234" s="21"/>
      <c r="B234" s="22"/>
      <c r="C234" s="22"/>
      <c r="D234" s="22"/>
      <c r="E234" s="23" t="str">
        <f>IF($D234="","",IFERROR(VLOOKUP($D234,'ACAH Capital Tracker'!$A:$H,8,FALSE()),""))</f>
        <v/>
      </c>
      <c r="F234" s="24"/>
      <c r="G234" s="25" t="str">
        <f>IF($D234="","",IFERROR(VLOOKUP($D234,'ACAH Capital Tracker'!$A:$D,4,FALSE()),""))</f>
        <v/>
      </c>
      <c r="H234" s="22"/>
    </row>
    <row r="235" spans="1:8">
      <c r="A235" s="21"/>
      <c r="B235" s="22"/>
      <c r="C235" s="22"/>
      <c r="D235" s="22"/>
      <c r="E235" s="23" t="str">
        <f>IF($D235="","",IFERROR(VLOOKUP($D235,'ACAH Capital Tracker'!$A:$H,8,FALSE()),""))</f>
        <v/>
      </c>
      <c r="F235" s="24"/>
      <c r="G235" s="25" t="str">
        <f>IF($D235="","",IFERROR(VLOOKUP($D235,'ACAH Capital Tracker'!$A:$D,4,FALSE()),""))</f>
        <v/>
      </c>
      <c r="H235" s="22"/>
    </row>
    <row r="236" spans="1:8">
      <c r="A236" s="21"/>
      <c r="B236" s="22"/>
      <c r="C236" s="22"/>
      <c r="D236" s="22"/>
      <c r="E236" s="23" t="str">
        <f>IF($D236="","",IFERROR(VLOOKUP($D236,'ACAH Capital Tracker'!$A:$H,8,FALSE()),""))</f>
        <v/>
      </c>
      <c r="F236" s="24"/>
      <c r="G236" s="25" t="str">
        <f>IF($D236="","",IFERROR(VLOOKUP($D236,'ACAH Capital Tracker'!$A:$D,4,FALSE()),""))</f>
        <v/>
      </c>
      <c r="H236" s="22"/>
    </row>
    <row r="237" spans="1:8">
      <c r="A237" s="21"/>
      <c r="B237" s="22"/>
      <c r="C237" s="22"/>
      <c r="D237" s="22"/>
      <c r="E237" s="23" t="str">
        <f>IF($D237="","",IFERROR(VLOOKUP($D237,'ACAH Capital Tracker'!$A:$H,8,FALSE()),""))</f>
        <v/>
      </c>
      <c r="F237" s="24"/>
      <c r="G237" s="25" t="str">
        <f>IF($D237="","",IFERROR(VLOOKUP($D237,'ACAH Capital Tracker'!$A:$D,4,FALSE()),""))</f>
        <v/>
      </c>
      <c r="H237" s="22"/>
    </row>
    <row r="238" spans="1:8">
      <c r="A238" s="21"/>
      <c r="B238" s="22"/>
      <c r="C238" s="22"/>
      <c r="D238" s="22"/>
      <c r="E238" s="23" t="str">
        <f>IF($D238="","",IFERROR(VLOOKUP($D238,'ACAH Capital Tracker'!$A:$H,8,FALSE()),""))</f>
        <v/>
      </c>
      <c r="F238" s="24"/>
      <c r="G238" s="25" t="str">
        <f>IF($D238="","",IFERROR(VLOOKUP($D238,'ACAH Capital Tracker'!$A:$D,4,FALSE()),""))</f>
        <v/>
      </c>
      <c r="H238" s="22"/>
    </row>
    <row r="239" spans="1:8">
      <c r="A239" s="21"/>
      <c r="B239" s="22"/>
      <c r="C239" s="22"/>
      <c r="D239" s="22"/>
      <c r="E239" s="23" t="str">
        <f>IF($D239="","",IFERROR(VLOOKUP($D239,'ACAH Capital Tracker'!$A:$H,8,FALSE()),""))</f>
        <v/>
      </c>
      <c r="F239" s="24"/>
      <c r="G239" s="25" t="str">
        <f>IF($D239="","",IFERROR(VLOOKUP($D239,'ACAH Capital Tracker'!$A:$D,4,FALSE()),""))</f>
        <v/>
      </c>
      <c r="H239" s="22"/>
    </row>
    <row r="240" spans="1:8">
      <c r="A240" s="21"/>
      <c r="B240" s="22"/>
      <c r="C240" s="22"/>
      <c r="D240" s="22"/>
      <c r="E240" s="23" t="str">
        <f>IF($D240="","",IFERROR(VLOOKUP($D240,'ACAH Capital Tracker'!$A:$H,8,FALSE()),""))</f>
        <v/>
      </c>
      <c r="F240" s="24"/>
      <c r="G240" s="25" t="str">
        <f>IF($D240="","",IFERROR(VLOOKUP($D240,'ACAH Capital Tracker'!$A:$D,4,FALSE()),""))</f>
        <v/>
      </c>
      <c r="H240" s="22"/>
    </row>
    <row r="241" spans="1:8">
      <c r="A241" s="21"/>
      <c r="B241" s="22"/>
      <c r="C241" s="22"/>
      <c r="D241" s="22"/>
      <c r="E241" s="23" t="str">
        <f>IF($D241="","",IFERROR(VLOOKUP($D241,'ACAH Capital Tracker'!$A:$H,8,FALSE()),""))</f>
        <v/>
      </c>
      <c r="F241" s="24"/>
      <c r="G241" s="25" t="str">
        <f>IF($D241="","",IFERROR(VLOOKUP($D241,'ACAH Capital Tracker'!$A:$D,4,FALSE()),""))</f>
        <v/>
      </c>
      <c r="H241" s="22"/>
    </row>
    <row r="242" spans="1:8">
      <c r="A242" s="21"/>
      <c r="B242" s="22"/>
      <c r="C242" s="22"/>
      <c r="D242" s="22"/>
      <c r="E242" s="23" t="str">
        <f>IF($D242="","",IFERROR(VLOOKUP($D242,'ACAH Capital Tracker'!$A:$H,8,FALSE()),""))</f>
        <v/>
      </c>
      <c r="F242" s="24"/>
      <c r="G242" s="25" t="str">
        <f>IF($D242="","",IFERROR(VLOOKUP($D242,'ACAH Capital Tracker'!$A:$D,4,FALSE()),""))</f>
        <v/>
      </c>
      <c r="H242" s="22"/>
    </row>
    <row r="243" spans="1:8">
      <c r="A243" s="21"/>
      <c r="B243" s="22"/>
      <c r="C243" s="22"/>
      <c r="D243" s="22"/>
      <c r="E243" s="23" t="str">
        <f>IF($D243="","",IFERROR(VLOOKUP($D243,'ACAH Capital Tracker'!$A:$H,8,FALSE()),""))</f>
        <v/>
      </c>
      <c r="F243" s="24"/>
      <c r="G243" s="25" t="str">
        <f>IF($D243="","",IFERROR(VLOOKUP($D243,'ACAH Capital Tracker'!$A:$D,4,FALSE()),""))</f>
        <v/>
      </c>
      <c r="H243" s="22"/>
    </row>
    <row r="244" spans="1:8">
      <c r="A244" s="21"/>
      <c r="B244" s="22"/>
      <c r="C244" s="22"/>
      <c r="D244" s="22"/>
      <c r="E244" s="23" t="str">
        <f>IF($D244="","",IFERROR(VLOOKUP($D244,'ACAH Capital Tracker'!$A:$H,8,FALSE()),""))</f>
        <v/>
      </c>
      <c r="F244" s="24"/>
      <c r="G244" s="25" t="str">
        <f>IF($D244="","",IFERROR(VLOOKUP($D244,'ACAH Capital Tracker'!$A:$D,4,FALSE()),""))</f>
        <v/>
      </c>
      <c r="H244" s="22"/>
    </row>
    <row r="245" spans="1:8">
      <c r="A245" s="21"/>
      <c r="B245" s="22"/>
      <c r="C245" s="22"/>
      <c r="D245" s="22"/>
      <c r="E245" s="23" t="str">
        <f>IF($D245="","",IFERROR(VLOOKUP($D245,'ACAH Capital Tracker'!$A:$H,8,FALSE()),""))</f>
        <v/>
      </c>
      <c r="F245" s="24"/>
      <c r="G245" s="25" t="str">
        <f>IF($D245="","",IFERROR(VLOOKUP($D245,'ACAH Capital Tracker'!$A:$D,4,FALSE()),""))</f>
        <v/>
      </c>
      <c r="H245" s="22"/>
    </row>
    <row r="246" spans="1:8">
      <c r="A246" s="21"/>
      <c r="B246" s="22"/>
      <c r="C246" s="22"/>
      <c r="D246" s="22"/>
      <c r="E246" s="23" t="str">
        <f>IF($D246="","",IFERROR(VLOOKUP($D246,'ACAH Capital Tracker'!$A:$H,8,FALSE()),""))</f>
        <v/>
      </c>
      <c r="F246" s="24"/>
      <c r="G246" s="25" t="str">
        <f>IF($D246="","",IFERROR(VLOOKUP($D246,'ACAH Capital Tracker'!$A:$D,4,FALSE()),""))</f>
        <v/>
      </c>
      <c r="H246" s="22"/>
    </row>
    <row r="247" spans="1:8">
      <c r="A247" s="21"/>
      <c r="B247" s="22"/>
      <c r="C247" s="22"/>
      <c r="D247" s="22"/>
      <c r="E247" s="23" t="str">
        <f>IF($D247="","",IFERROR(VLOOKUP($D247,'ACAH Capital Tracker'!$A:$H,8,FALSE()),""))</f>
        <v/>
      </c>
      <c r="F247" s="24"/>
      <c r="G247" s="25" t="str">
        <f>IF($D247="","",IFERROR(VLOOKUP($D247,'ACAH Capital Tracker'!$A:$D,4,FALSE()),""))</f>
        <v/>
      </c>
      <c r="H247" s="22"/>
    </row>
    <row r="248" spans="1:8">
      <c r="A248" s="21"/>
      <c r="B248" s="22"/>
      <c r="C248" s="22"/>
      <c r="D248" s="22"/>
      <c r="E248" s="23" t="str">
        <f>IF($D248="","",IFERROR(VLOOKUP($D248,'ACAH Capital Tracker'!$A:$H,8,FALSE()),""))</f>
        <v/>
      </c>
      <c r="F248" s="24"/>
      <c r="G248" s="25" t="str">
        <f>IF($D248="","",IFERROR(VLOOKUP($D248,'ACAH Capital Tracker'!$A:$D,4,FALSE()),""))</f>
        <v/>
      </c>
      <c r="H248" s="22"/>
    </row>
    <row r="249" spans="1:8">
      <c r="A249" s="21"/>
      <c r="B249" s="22"/>
      <c r="C249" s="22"/>
      <c r="D249" s="22"/>
      <c r="E249" s="23" t="str">
        <f>IF($D249="","",IFERROR(VLOOKUP($D249,'ACAH Capital Tracker'!$A:$H,8,FALSE()),""))</f>
        <v/>
      </c>
      <c r="F249" s="24"/>
      <c r="G249" s="25" t="str">
        <f>IF($D249="","",IFERROR(VLOOKUP($D249,'ACAH Capital Tracker'!$A:$D,4,FALSE()),""))</f>
        <v/>
      </c>
      <c r="H249" s="22"/>
    </row>
    <row r="250" spans="1:8">
      <c r="A250" s="21"/>
      <c r="B250" s="22"/>
      <c r="C250" s="22"/>
      <c r="D250" s="22"/>
      <c r="E250" s="23" t="str">
        <f>IF($D250="","",IFERROR(VLOOKUP($D250,'ACAH Capital Tracker'!$A:$H,8,FALSE()),""))</f>
        <v/>
      </c>
      <c r="F250" s="24"/>
      <c r="G250" s="25" t="str">
        <f>IF($D250="","",IFERROR(VLOOKUP($D250,'ACAH Capital Tracker'!$A:$D,4,FALSE()),""))</f>
        <v/>
      </c>
      <c r="H250" s="22"/>
    </row>
    <row r="251" spans="1:8">
      <c r="A251" s="21"/>
      <c r="B251" s="22"/>
      <c r="C251" s="22"/>
      <c r="D251" s="22"/>
      <c r="E251" s="23" t="str">
        <f>IF($D251="","",IFERROR(VLOOKUP($D251,'ACAH Capital Tracker'!$A:$H,8,FALSE()),""))</f>
        <v/>
      </c>
      <c r="F251" s="24"/>
      <c r="G251" s="25" t="str">
        <f>IF($D251="","",IFERROR(VLOOKUP($D251,'ACAH Capital Tracker'!$A:$D,4,FALSE()),""))</f>
        <v/>
      </c>
      <c r="H251" s="22"/>
    </row>
    <row r="252" spans="1:8">
      <c r="A252" s="21"/>
      <c r="B252" s="22"/>
      <c r="C252" s="22"/>
      <c r="D252" s="22"/>
      <c r="E252" s="23" t="str">
        <f>IF($D252="","",IFERROR(VLOOKUP($D252,'ACAH Capital Tracker'!$A:$H,8,FALSE()),""))</f>
        <v/>
      </c>
      <c r="F252" s="24"/>
      <c r="G252" s="25" t="str">
        <f>IF($D252="","",IFERROR(VLOOKUP($D252,'ACAH Capital Tracker'!$A:$D,4,FALSE()),""))</f>
        <v/>
      </c>
      <c r="H252" s="22"/>
    </row>
    <row r="253" spans="1:8">
      <c r="A253" s="21"/>
      <c r="B253" s="22"/>
      <c r="C253" s="22"/>
      <c r="D253" s="22"/>
      <c r="E253" s="23" t="str">
        <f>IF($D253="","",IFERROR(VLOOKUP($D253,'ACAH Capital Tracker'!$A:$H,8,FALSE()),""))</f>
        <v/>
      </c>
      <c r="F253" s="24"/>
      <c r="G253" s="25" t="str">
        <f>IF($D253="","",IFERROR(VLOOKUP($D253,'ACAH Capital Tracker'!$A:$D,4,FALSE()),""))</f>
        <v/>
      </c>
      <c r="H253" s="22"/>
    </row>
    <row r="254" spans="1:8">
      <c r="A254" s="21"/>
      <c r="B254" s="22"/>
      <c r="C254" s="22"/>
      <c r="D254" s="22"/>
      <c r="E254" s="23" t="str">
        <f>IF($D254="","",IFERROR(VLOOKUP($D254,'ACAH Capital Tracker'!$A:$H,8,FALSE()),""))</f>
        <v/>
      </c>
      <c r="F254" s="24"/>
      <c r="G254" s="25" t="str">
        <f>IF($D254="","",IFERROR(VLOOKUP($D254,'ACAH Capital Tracker'!$A:$D,4,FALSE()),""))</f>
        <v/>
      </c>
      <c r="H254" s="22"/>
    </row>
    <row r="255" spans="1:8">
      <c r="A255" s="21"/>
      <c r="B255" s="22"/>
      <c r="C255" s="22"/>
      <c r="D255" s="22"/>
      <c r="E255" s="23" t="str">
        <f>IF($D255="","",IFERROR(VLOOKUP($D255,'ACAH Capital Tracker'!$A:$H,8,FALSE()),""))</f>
        <v/>
      </c>
      <c r="F255" s="24"/>
      <c r="G255" s="25" t="str">
        <f>IF($D255="","",IFERROR(VLOOKUP($D255,'ACAH Capital Tracker'!$A:$D,4,FALSE()),""))</f>
        <v/>
      </c>
      <c r="H255" s="22"/>
    </row>
    <row r="256" spans="1:8">
      <c r="A256" s="21"/>
      <c r="B256" s="22"/>
      <c r="C256" s="22"/>
      <c r="D256" s="22"/>
      <c r="E256" s="23" t="str">
        <f>IF($D256="","",IFERROR(VLOOKUP($D256,'ACAH Capital Tracker'!$A:$H,8,FALSE()),""))</f>
        <v/>
      </c>
      <c r="F256" s="24"/>
      <c r="G256" s="25" t="str">
        <f>IF($D256="","",IFERROR(VLOOKUP($D256,'ACAH Capital Tracker'!$A:$D,4,FALSE()),""))</f>
        <v/>
      </c>
      <c r="H256" s="22"/>
    </row>
    <row r="257" spans="1:8">
      <c r="A257" s="21"/>
      <c r="B257" s="22"/>
      <c r="C257" s="22"/>
      <c r="D257" s="22"/>
      <c r="E257" s="23" t="str">
        <f>IF($D257="","",IFERROR(VLOOKUP($D257,'ACAH Capital Tracker'!$A:$H,8,FALSE()),""))</f>
        <v/>
      </c>
      <c r="F257" s="24"/>
      <c r="G257" s="25" t="str">
        <f>IF($D257="","",IFERROR(VLOOKUP($D257,'ACAH Capital Tracker'!$A:$D,4,FALSE()),""))</f>
        <v/>
      </c>
      <c r="H257" s="22"/>
    </row>
    <row r="258" spans="1:8">
      <c r="A258" s="21"/>
      <c r="B258" s="22"/>
      <c r="C258" s="22"/>
      <c r="D258" s="22"/>
      <c r="E258" s="23" t="str">
        <f>IF($D258="","",IFERROR(VLOOKUP($D258,'ACAH Capital Tracker'!$A:$H,8,FALSE()),""))</f>
        <v/>
      </c>
      <c r="F258" s="24"/>
      <c r="G258" s="25" t="str">
        <f>IF($D258="","",IFERROR(VLOOKUP($D258,'ACAH Capital Tracker'!$A:$D,4,FALSE()),""))</f>
        <v/>
      </c>
      <c r="H258" s="22"/>
    </row>
    <row r="259" spans="1:8">
      <c r="A259" s="21"/>
      <c r="B259" s="22"/>
      <c r="C259" s="22"/>
      <c r="D259" s="22"/>
      <c r="E259" s="23" t="str">
        <f>IF($D259="","",IFERROR(VLOOKUP($D259,'ACAH Capital Tracker'!$A:$H,8,FALSE()),""))</f>
        <v/>
      </c>
      <c r="F259" s="24"/>
      <c r="G259" s="25" t="str">
        <f>IF($D259="","",IFERROR(VLOOKUP($D259,'ACAH Capital Tracker'!$A:$D,4,FALSE()),""))</f>
        <v/>
      </c>
      <c r="H259" s="22"/>
    </row>
    <row r="260" spans="1:8">
      <c r="A260" s="21"/>
      <c r="B260" s="22"/>
      <c r="C260" s="22"/>
      <c r="D260" s="22"/>
      <c r="E260" s="23" t="str">
        <f>IF($D260="","",IFERROR(VLOOKUP($D260,'ACAH Capital Tracker'!$A:$H,8,FALSE()),""))</f>
        <v/>
      </c>
      <c r="F260" s="24"/>
      <c r="G260" s="25" t="str">
        <f>IF($D260="","",IFERROR(VLOOKUP($D260,'ACAH Capital Tracker'!$A:$D,4,FALSE()),""))</f>
        <v/>
      </c>
      <c r="H260" s="22"/>
    </row>
    <row r="261" spans="1:8">
      <c r="A261" s="21"/>
      <c r="B261" s="22"/>
      <c r="C261" s="22"/>
      <c r="D261" s="22"/>
      <c r="E261" s="23" t="str">
        <f>IF($D261="","",IFERROR(VLOOKUP($D261,'ACAH Capital Tracker'!$A:$H,8,FALSE()),""))</f>
        <v/>
      </c>
      <c r="F261" s="24"/>
      <c r="G261" s="25" t="str">
        <f>IF($D261="","",IFERROR(VLOOKUP($D261,'ACAH Capital Tracker'!$A:$D,4,FALSE()),""))</f>
        <v/>
      </c>
      <c r="H261" s="22"/>
    </row>
    <row r="262" spans="1:8">
      <c r="A262" s="21"/>
      <c r="B262" s="22"/>
      <c r="C262" s="22"/>
      <c r="D262" s="22"/>
      <c r="E262" s="23" t="str">
        <f>IF($D262="","",IFERROR(VLOOKUP($D262,'ACAH Capital Tracker'!$A:$H,8,FALSE()),""))</f>
        <v/>
      </c>
      <c r="F262" s="24"/>
      <c r="G262" s="25" t="str">
        <f>IF($D262="","",IFERROR(VLOOKUP($D262,'ACAH Capital Tracker'!$A:$D,4,FALSE()),""))</f>
        <v/>
      </c>
      <c r="H262" s="22"/>
    </row>
    <row r="263" spans="1:8">
      <c r="A263" s="21"/>
      <c r="B263" s="22"/>
      <c r="C263" s="22"/>
      <c r="D263" s="22"/>
      <c r="E263" s="23" t="str">
        <f>IF($D263="","",IFERROR(VLOOKUP($D263,'ACAH Capital Tracker'!$A:$H,8,FALSE()),""))</f>
        <v/>
      </c>
      <c r="F263" s="24"/>
      <c r="G263" s="25" t="str">
        <f>IF($D263="","",IFERROR(VLOOKUP($D263,'ACAH Capital Tracker'!$A:$D,4,FALSE()),""))</f>
        <v/>
      </c>
      <c r="H263" s="22"/>
    </row>
    <row r="264" spans="1:8">
      <c r="A264" s="21"/>
      <c r="B264" s="22"/>
      <c r="C264" s="22"/>
      <c r="D264" s="22"/>
      <c r="E264" s="23" t="str">
        <f>IF($D264="","",IFERROR(VLOOKUP($D264,'ACAH Capital Tracker'!$A:$H,8,FALSE()),""))</f>
        <v/>
      </c>
      <c r="F264" s="24"/>
      <c r="G264" s="25" t="str">
        <f>IF($D264="","",IFERROR(VLOOKUP($D264,'ACAH Capital Tracker'!$A:$D,4,FALSE()),""))</f>
        <v/>
      </c>
      <c r="H264" s="22"/>
    </row>
    <row r="265" spans="1:8">
      <c r="A265" s="21"/>
      <c r="B265" s="22"/>
      <c r="C265" s="22"/>
      <c r="D265" s="22"/>
      <c r="E265" s="23" t="str">
        <f>IF($D265="","",IFERROR(VLOOKUP($D265,'ACAH Capital Tracker'!$A:$H,8,FALSE()),""))</f>
        <v/>
      </c>
      <c r="F265" s="24"/>
      <c r="G265" s="25" t="str">
        <f>IF($D265="","",IFERROR(VLOOKUP($D265,'ACAH Capital Tracker'!$A:$D,4,FALSE()),""))</f>
        <v/>
      </c>
      <c r="H265" s="22"/>
    </row>
    <row r="266" spans="1:8">
      <c r="A266" s="21"/>
      <c r="B266" s="22"/>
      <c r="C266" s="22"/>
      <c r="D266" s="22"/>
      <c r="E266" s="23" t="str">
        <f>IF($D266="","",IFERROR(VLOOKUP($D266,'ACAH Capital Tracker'!$A:$H,8,FALSE()),""))</f>
        <v/>
      </c>
      <c r="F266" s="24"/>
      <c r="G266" s="25" t="str">
        <f>IF($D266="","",IFERROR(VLOOKUP($D266,'ACAH Capital Tracker'!$A:$D,4,FALSE()),""))</f>
        <v/>
      </c>
      <c r="H266" s="22"/>
    </row>
    <row r="267" spans="1:8">
      <c r="A267" s="21"/>
      <c r="B267" s="22"/>
      <c r="C267" s="22"/>
      <c r="D267" s="22"/>
      <c r="E267" s="23" t="str">
        <f>IF($D267="","",IFERROR(VLOOKUP($D267,'ACAH Capital Tracker'!$A:$H,8,FALSE()),""))</f>
        <v/>
      </c>
      <c r="F267" s="24"/>
      <c r="G267" s="25" t="str">
        <f>IF($D267="","",IFERROR(VLOOKUP($D267,'ACAH Capital Tracker'!$A:$D,4,FALSE()),""))</f>
        <v/>
      </c>
      <c r="H267" s="22"/>
    </row>
    <row r="268" spans="1:8">
      <c r="A268" s="21"/>
      <c r="B268" s="22"/>
      <c r="C268" s="22"/>
      <c r="D268" s="22"/>
      <c r="E268" s="23" t="str">
        <f>IF($D268="","",IFERROR(VLOOKUP($D268,'ACAH Capital Tracker'!$A:$H,8,FALSE()),""))</f>
        <v/>
      </c>
      <c r="F268" s="24"/>
      <c r="G268" s="25" t="str">
        <f>IF($D268="","",IFERROR(VLOOKUP($D268,'ACAH Capital Tracker'!$A:$D,4,FALSE()),""))</f>
        <v/>
      </c>
      <c r="H268" s="22"/>
    </row>
    <row r="269" spans="1:8">
      <c r="A269" s="21"/>
      <c r="B269" s="22"/>
      <c r="C269" s="22"/>
      <c r="D269" s="22"/>
      <c r="E269" s="23" t="str">
        <f>IF($D269="","",IFERROR(VLOOKUP($D269,'ACAH Capital Tracker'!$A:$H,8,FALSE()),""))</f>
        <v/>
      </c>
      <c r="F269" s="24"/>
      <c r="G269" s="25" t="str">
        <f>IF($D269="","",IFERROR(VLOOKUP($D269,'ACAH Capital Tracker'!$A:$D,4,FALSE()),""))</f>
        <v/>
      </c>
      <c r="H269" s="22"/>
    </row>
    <row r="270" spans="1:8">
      <c r="A270" s="21"/>
      <c r="B270" s="22"/>
      <c r="C270" s="22"/>
      <c r="D270" s="22"/>
      <c r="E270" s="23" t="str">
        <f>IF($D270="","",IFERROR(VLOOKUP($D270,'ACAH Capital Tracker'!$A:$H,8,FALSE()),""))</f>
        <v/>
      </c>
      <c r="F270" s="24"/>
      <c r="G270" s="25" t="str">
        <f>IF($D270="","",IFERROR(VLOOKUP($D270,'ACAH Capital Tracker'!$A:$D,4,FALSE()),""))</f>
        <v/>
      </c>
      <c r="H270" s="22"/>
    </row>
    <row r="271" spans="1:8">
      <c r="A271" s="21"/>
      <c r="B271" s="22"/>
      <c r="C271" s="22"/>
      <c r="D271" s="22"/>
      <c r="E271" s="23" t="str">
        <f>IF($D271="","",IFERROR(VLOOKUP($D271,'ACAH Capital Tracker'!$A:$H,8,FALSE()),""))</f>
        <v/>
      </c>
      <c r="F271" s="24"/>
      <c r="G271" s="25" t="str">
        <f>IF($D271="","",IFERROR(VLOOKUP($D271,'ACAH Capital Tracker'!$A:$D,4,FALSE()),""))</f>
        <v/>
      </c>
      <c r="H271" s="22"/>
    </row>
    <row r="272" spans="1:8">
      <c r="A272" s="21"/>
      <c r="B272" s="22"/>
      <c r="C272" s="22"/>
      <c r="D272" s="22"/>
      <c r="E272" s="23" t="str">
        <f>IF($D272="","",IFERROR(VLOOKUP($D272,'ACAH Capital Tracker'!$A:$H,8,FALSE()),""))</f>
        <v/>
      </c>
      <c r="F272" s="24"/>
      <c r="G272" s="25" t="str">
        <f>IF($D272="","",IFERROR(VLOOKUP($D272,'ACAH Capital Tracker'!$A:$D,4,FALSE()),""))</f>
        <v/>
      </c>
      <c r="H272" s="22"/>
    </row>
    <row r="273" spans="1:8">
      <c r="A273" s="21"/>
      <c r="B273" s="22"/>
      <c r="C273" s="22"/>
      <c r="D273" s="22"/>
      <c r="E273" s="23" t="str">
        <f>IF($D273="","",IFERROR(VLOOKUP($D273,'ACAH Capital Tracker'!$A:$H,8,FALSE()),""))</f>
        <v/>
      </c>
      <c r="F273" s="24"/>
      <c r="G273" s="25" t="str">
        <f>IF($D273="","",IFERROR(VLOOKUP($D273,'ACAH Capital Tracker'!$A:$D,4,FALSE()),""))</f>
        <v/>
      </c>
      <c r="H273" s="22"/>
    </row>
    <row r="274" spans="1:8">
      <c r="A274" s="21"/>
      <c r="B274" s="22"/>
      <c r="C274" s="22"/>
      <c r="D274" s="22"/>
      <c r="E274" s="23" t="str">
        <f>IF($D274="","",IFERROR(VLOOKUP($D274,'ACAH Capital Tracker'!$A:$H,8,FALSE()),""))</f>
        <v/>
      </c>
      <c r="F274" s="24"/>
      <c r="G274" s="25" t="str">
        <f>IF($D274="","",IFERROR(VLOOKUP($D274,'ACAH Capital Tracker'!$A:$D,4,FALSE()),""))</f>
        <v/>
      </c>
      <c r="H274" s="22"/>
    </row>
    <row r="275" spans="1:8">
      <c r="A275" s="21"/>
      <c r="B275" s="22"/>
      <c r="C275" s="22"/>
      <c r="D275" s="22"/>
      <c r="E275" s="23" t="str">
        <f>IF($D275="","",IFERROR(VLOOKUP($D275,'ACAH Capital Tracker'!$A:$H,8,FALSE()),""))</f>
        <v/>
      </c>
      <c r="F275" s="24"/>
      <c r="G275" s="25" t="str">
        <f>IF($D275="","",IFERROR(VLOOKUP($D275,'ACAH Capital Tracker'!$A:$D,4,FALSE()),""))</f>
        <v/>
      </c>
      <c r="H275" s="22"/>
    </row>
    <row r="276" spans="1:8">
      <c r="A276" s="21"/>
      <c r="B276" s="22"/>
      <c r="C276" s="22"/>
      <c r="D276" s="22"/>
      <c r="E276" s="23" t="str">
        <f>IF($D276="","",IFERROR(VLOOKUP($D276,'ACAH Capital Tracker'!$A:$H,8,FALSE()),""))</f>
        <v/>
      </c>
      <c r="F276" s="24"/>
      <c r="G276" s="25" t="str">
        <f>IF($D276="","",IFERROR(VLOOKUP($D276,'ACAH Capital Tracker'!$A:$D,4,FALSE()),""))</f>
        <v/>
      </c>
      <c r="H276" s="22"/>
    </row>
    <row r="277" spans="1:8">
      <c r="A277" s="21"/>
      <c r="B277" s="22"/>
      <c r="C277" s="22"/>
      <c r="D277" s="22"/>
      <c r="E277" s="23" t="str">
        <f>IF($D277="","",IFERROR(VLOOKUP($D277,'ACAH Capital Tracker'!$A:$H,8,FALSE()),""))</f>
        <v/>
      </c>
      <c r="F277" s="24"/>
      <c r="G277" s="25" t="str">
        <f>IF($D277="","",IFERROR(VLOOKUP($D277,'ACAH Capital Tracker'!$A:$D,4,FALSE()),""))</f>
        <v/>
      </c>
      <c r="H277" s="22"/>
    </row>
    <row r="278" spans="1:8">
      <c r="A278" s="21"/>
      <c r="B278" s="22"/>
      <c r="C278" s="22"/>
      <c r="D278" s="22"/>
      <c r="E278" s="23" t="str">
        <f>IF($D278="","",IFERROR(VLOOKUP($D278,'ACAH Capital Tracker'!$A:$H,8,FALSE()),""))</f>
        <v/>
      </c>
      <c r="F278" s="24"/>
      <c r="G278" s="25" t="str">
        <f>IF($D278="","",IFERROR(VLOOKUP($D278,'ACAH Capital Tracker'!$A:$D,4,FALSE()),""))</f>
        <v/>
      </c>
      <c r="H278" s="22"/>
    </row>
    <row r="279" spans="1:8">
      <c r="A279" s="21"/>
      <c r="B279" s="22"/>
      <c r="C279" s="22"/>
      <c r="D279" s="22"/>
      <c r="E279" s="23" t="str">
        <f>IF($D279="","",IFERROR(VLOOKUP($D279,'ACAH Capital Tracker'!$A:$H,8,FALSE()),""))</f>
        <v/>
      </c>
      <c r="F279" s="24"/>
      <c r="G279" s="25" t="str">
        <f>IF($D279="","",IFERROR(VLOOKUP($D279,'ACAH Capital Tracker'!$A:$D,4,FALSE()),""))</f>
        <v/>
      </c>
      <c r="H279" s="22"/>
    </row>
    <row r="280" spans="1:8">
      <c r="A280" s="21"/>
      <c r="B280" s="22"/>
      <c r="C280" s="22"/>
      <c r="D280" s="22"/>
      <c r="E280" s="23" t="str">
        <f>IF($D280="","",IFERROR(VLOOKUP($D280,'ACAH Capital Tracker'!$A:$H,8,FALSE()),""))</f>
        <v/>
      </c>
      <c r="F280" s="24"/>
      <c r="G280" s="25" t="str">
        <f>IF($D280="","",IFERROR(VLOOKUP($D280,'ACAH Capital Tracker'!$A:$D,4,FALSE()),""))</f>
        <v/>
      </c>
      <c r="H280" s="22"/>
    </row>
    <row r="281" spans="1:8">
      <c r="A281" s="21"/>
      <c r="B281" s="22"/>
      <c r="C281" s="22"/>
      <c r="D281" s="22"/>
      <c r="E281" s="23" t="str">
        <f>IF($D281="","",IFERROR(VLOOKUP($D281,'ACAH Capital Tracker'!$A:$H,8,FALSE()),""))</f>
        <v/>
      </c>
      <c r="F281" s="24"/>
      <c r="G281" s="25" t="str">
        <f>IF($D281="","",IFERROR(VLOOKUP($D281,'ACAH Capital Tracker'!$A:$D,4,FALSE()),""))</f>
        <v/>
      </c>
      <c r="H281" s="22"/>
    </row>
    <row r="282" spans="1:8">
      <c r="A282" s="21"/>
      <c r="B282" s="22"/>
      <c r="C282" s="22"/>
      <c r="D282" s="22"/>
      <c r="E282" s="23" t="str">
        <f>IF($D282="","",IFERROR(VLOOKUP($D282,'ACAH Capital Tracker'!$A:$H,8,FALSE()),""))</f>
        <v/>
      </c>
      <c r="F282" s="24"/>
      <c r="G282" s="25" t="str">
        <f>IF($D282="","",IFERROR(VLOOKUP($D282,'ACAH Capital Tracker'!$A:$D,4,FALSE()),""))</f>
        <v/>
      </c>
      <c r="H282" s="22"/>
    </row>
    <row r="283" spans="1:8">
      <c r="A283" s="21"/>
      <c r="B283" s="22"/>
      <c r="C283" s="22"/>
      <c r="D283" s="22"/>
      <c r="E283" s="23" t="str">
        <f>IF($D283="","",IFERROR(VLOOKUP($D283,'ACAH Capital Tracker'!$A:$H,8,FALSE()),""))</f>
        <v/>
      </c>
      <c r="F283" s="24"/>
      <c r="G283" s="25" t="str">
        <f>IF($D283="","",IFERROR(VLOOKUP($D283,'ACAH Capital Tracker'!$A:$D,4,FALSE()),""))</f>
        <v/>
      </c>
      <c r="H283" s="22"/>
    </row>
    <row r="284" spans="1:8">
      <c r="A284" s="21"/>
      <c r="B284" s="22"/>
      <c r="C284" s="22"/>
      <c r="D284" s="22"/>
      <c r="E284" s="23" t="str">
        <f>IF($D284="","",IFERROR(VLOOKUP($D284,'ACAH Capital Tracker'!$A:$H,8,FALSE()),""))</f>
        <v/>
      </c>
      <c r="F284" s="24"/>
      <c r="G284" s="25" t="str">
        <f>IF($D284="","",IFERROR(VLOOKUP($D284,'ACAH Capital Tracker'!$A:$D,4,FALSE()),""))</f>
        <v/>
      </c>
      <c r="H284" s="22"/>
    </row>
    <row r="285" spans="1:8">
      <c r="A285" s="21"/>
      <c r="B285" s="22"/>
      <c r="C285" s="22"/>
      <c r="D285" s="22"/>
      <c r="E285" s="23" t="str">
        <f>IF($D285="","",IFERROR(VLOOKUP($D285,'ACAH Capital Tracker'!$A:$H,8,FALSE()),""))</f>
        <v/>
      </c>
      <c r="F285" s="24"/>
      <c r="G285" s="25" t="str">
        <f>IF($D285="","",IFERROR(VLOOKUP($D285,'ACAH Capital Tracker'!$A:$D,4,FALSE()),""))</f>
        <v/>
      </c>
      <c r="H285" s="22"/>
    </row>
    <row r="286" spans="1:8">
      <c r="A286" s="21"/>
      <c r="B286" s="22"/>
      <c r="C286" s="22"/>
      <c r="D286" s="22"/>
      <c r="E286" s="23" t="str">
        <f>IF($D286="","",IFERROR(VLOOKUP($D286,'ACAH Capital Tracker'!$A:$H,8,FALSE()),""))</f>
        <v/>
      </c>
      <c r="F286" s="24"/>
      <c r="G286" s="25" t="str">
        <f>IF($D286="","",IFERROR(VLOOKUP($D286,'ACAH Capital Tracker'!$A:$D,4,FALSE()),""))</f>
        <v/>
      </c>
      <c r="H286" s="22"/>
    </row>
    <row r="287" spans="1:8">
      <c r="A287" s="21"/>
      <c r="B287" s="22"/>
      <c r="C287" s="22"/>
      <c r="D287" s="22"/>
      <c r="E287" s="23" t="str">
        <f>IF($D287="","",IFERROR(VLOOKUP($D287,'ACAH Capital Tracker'!$A:$H,8,FALSE()),""))</f>
        <v/>
      </c>
      <c r="F287" s="24"/>
      <c r="G287" s="25" t="str">
        <f>IF($D287="","",IFERROR(VLOOKUP($D287,'ACAH Capital Tracker'!$A:$D,4,FALSE()),""))</f>
        <v/>
      </c>
      <c r="H287" s="22"/>
    </row>
    <row r="288" spans="1:8">
      <c r="A288" s="21"/>
      <c r="B288" s="22"/>
      <c r="C288" s="22"/>
      <c r="D288" s="22"/>
      <c r="E288" s="23" t="str">
        <f>IF($D288="","",IFERROR(VLOOKUP($D288,'ACAH Capital Tracker'!$A:$H,8,FALSE()),""))</f>
        <v/>
      </c>
      <c r="F288" s="24"/>
      <c r="G288" s="25" t="str">
        <f>IF($D288="","",IFERROR(VLOOKUP($D288,'ACAH Capital Tracker'!$A:$D,4,FALSE()),""))</f>
        <v/>
      </c>
      <c r="H288" s="22"/>
    </row>
    <row r="289" spans="1:8">
      <c r="A289" s="21"/>
      <c r="B289" s="22"/>
      <c r="C289" s="22"/>
      <c r="D289" s="22"/>
      <c r="E289" s="23" t="str">
        <f>IF($D289="","",IFERROR(VLOOKUP($D289,'ACAH Capital Tracker'!$A:$H,8,FALSE()),""))</f>
        <v/>
      </c>
      <c r="F289" s="24"/>
      <c r="G289" s="25" t="str">
        <f>IF($D289="","",IFERROR(VLOOKUP($D289,'ACAH Capital Tracker'!$A:$D,4,FALSE()),""))</f>
        <v/>
      </c>
      <c r="H289" s="22"/>
    </row>
    <row r="290" spans="1:8">
      <c r="A290" s="21"/>
      <c r="B290" s="22"/>
      <c r="C290" s="22"/>
      <c r="D290" s="22"/>
      <c r="E290" s="23" t="str">
        <f>IF($D290="","",IFERROR(VLOOKUP($D290,'ACAH Capital Tracker'!$A:$H,8,FALSE()),""))</f>
        <v/>
      </c>
      <c r="F290" s="24"/>
      <c r="G290" s="25" t="str">
        <f>IF($D290="","",IFERROR(VLOOKUP($D290,'ACAH Capital Tracker'!$A:$D,4,FALSE()),""))</f>
        <v/>
      </c>
      <c r="H290" s="22"/>
    </row>
    <row r="291" spans="1:8">
      <c r="A291" s="21"/>
      <c r="B291" s="22"/>
      <c r="C291" s="22"/>
      <c r="D291" s="22"/>
      <c r="E291" s="23" t="str">
        <f>IF($D291="","",IFERROR(VLOOKUP($D291,'ACAH Capital Tracker'!$A:$H,8,FALSE()),""))</f>
        <v/>
      </c>
      <c r="F291" s="24"/>
      <c r="G291" s="25" t="str">
        <f>IF($D291="","",IFERROR(VLOOKUP($D291,'ACAH Capital Tracker'!$A:$D,4,FALSE()),""))</f>
        <v/>
      </c>
      <c r="H291" s="22"/>
    </row>
    <row r="292" spans="1:8">
      <c r="A292" s="21"/>
      <c r="B292" s="22"/>
      <c r="C292" s="22"/>
      <c r="D292" s="22"/>
      <c r="E292" s="23" t="str">
        <f>IF($D292="","",IFERROR(VLOOKUP($D292,'ACAH Capital Tracker'!$A:$H,8,FALSE()),""))</f>
        <v/>
      </c>
      <c r="F292" s="24"/>
      <c r="G292" s="25" t="str">
        <f>IF($D292="","",IFERROR(VLOOKUP($D292,'ACAH Capital Tracker'!$A:$D,4,FALSE()),""))</f>
        <v/>
      </c>
      <c r="H292" s="22"/>
    </row>
    <row r="293" spans="1:8">
      <c r="A293" s="21"/>
      <c r="B293" s="22"/>
      <c r="C293" s="22"/>
      <c r="D293" s="22"/>
      <c r="E293" s="23" t="str">
        <f>IF($D293="","",IFERROR(VLOOKUP($D293,'ACAH Capital Tracker'!$A:$H,8,FALSE()),""))</f>
        <v/>
      </c>
      <c r="F293" s="24"/>
      <c r="G293" s="25" t="str">
        <f>IF($D293="","",IFERROR(VLOOKUP($D293,'ACAH Capital Tracker'!$A:$D,4,FALSE()),""))</f>
        <v/>
      </c>
      <c r="H293" s="22"/>
    </row>
    <row r="294" spans="1:8">
      <c r="A294" s="21"/>
      <c r="B294" s="22"/>
      <c r="C294" s="22"/>
      <c r="D294" s="22"/>
      <c r="E294" s="23" t="str">
        <f>IF($D294="","",IFERROR(VLOOKUP($D294,'ACAH Capital Tracker'!$A:$H,8,FALSE()),""))</f>
        <v/>
      </c>
      <c r="F294" s="24"/>
      <c r="G294" s="25" t="str">
        <f>IF($D294="","",IFERROR(VLOOKUP($D294,'ACAH Capital Tracker'!$A:$D,4,FALSE()),""))</f>
        <v/>
      </c>
      <c r="H294" s="22"/>
    </row>
    <row r="295" spans="1:8">
      <c r="A295" s="21"/>
      <c r="B295" s="22"/>
      <c r="C295" s="22"/>
      <c r="D295" s="22"/>
      <c r="E295" s="23" t="str">
        <f>IF($D295="","",IFERROR(VLOOKUP($D295,'ACAH Capital Tracker'!$A:$H,8,FALSE()),""))</f>
        <v/>
      </c>
      <c r="F295" s="24"/>
      <c r="G295" s="25" t="str">
        <f>IF($D295="","",IFERROR(VLOOKUP($D295,'ACAH Capital Tracker'!$A:$D,4,FALSE()),""))</f>
        <v/>
      </c>
      <c r="H295" s="22"/>
    </row>
    <row r="296" spans="1:8">
      <c r="A296" s="21"/>
      <c r="B296" s="22"/>
      <c r="C296" s="22"/>
      <c r="D296" s="22"/>
      <c r="E296" s="23" t="str">
        <f>IF($D296="","",IFERROR(VLOOKUP($D296,'ACAH Capital Tracker'!$A:$H,8,FALSE()),""))</f>
        <v/>
      </c>
      <c r="F296" s="24"/>
      <c r="G296" s="25" t="str">
        <f>IF($D296="","",IFERROR(VLOOKUP($D296,'ACAH Capital Tracker'!$A:$D,4,FALSE()),""))</f>
        <v/>
      </c>
      <c r="H296" s="22"/>
    </row>
    <row r="297" spans="1:8">
      <c r="A297" s="21"/>
      <c r="B297" s="22"/>
      <c r="C297" s="22"/>
      <c r="D297" s="22"/>
      <c r="E297" s="23" t="str">
        <f>IF($D297="","",IFERROR(VLOOKUP($D297,'ACAH Capital Tracker'!$A:$H,8,FALSE()),""))</f>
        <v/>
      </c>
      <c r="F297" s="24"/>
      <c r="G297" s="25" t="str">
        <f>IF($D297="","",IFERROR(VLOOKUP($D297,'ACAH Capital Tracker'!$A:$D,4,FALSE()),""))</f>
        <v/>
      </c>
      <c r="H297" s="22"/>
    </row>
    <row r="298" spans="1:8">
      <c r="A298" s="21"/>
      <c r="B298" s="22"/>
      <c r="C298" s="22"/>
      <c r="D298" s="22"/>
      <c r="E298" s="23" t="str">
        <f>IF($D298="","",IFERROR(VLOOKUP($D298,'ACAH Capital Tracker'!$A:$H,8,FALSE()),""))</f>
        <v/>
      </c>
      <c r="F298" s="24"/>
      <c r="G298" s="25" t="str">
        <f>IF($D298="","",IFERROR(VLOOKUP($D298,'ACAH Capital Tracker'!$A:$D,4,FALSE()),""))</f>
        <v/>
      </c>
      <c r="H298" s="22"/>
    </row>
    <row r="299" spans="1:8">
      <c r="A299" s="21"/>
      <c r="B299" s="22"/>
      <c r="C299" s="22"/>
      <c r="D299" s="22"/>
      <c r="E299" s="23" t="str">
        <f>IF($D299="","",IFERROR(VLOOKUP($D299,'ACAH Capital Tracker'!$A:$H,8,FALSE()),""))</f>
        <v/>
      </c>
      <c r="F299" s="24"/>
      <c r="G299" s="25" t="str">
        <f>IF($D299="","",IFERROR(VLOOKUP($D299,'ACAH Capital Tracker'!$A:$D,4,FALSE()),""))</f>
        <v/>
      </c>
      <c r="H299" s="22"/>
    </row>
    <row r="300" spans="1:8">
      <c r="A300" s="21"/>
      <c r="B300" s="22"/>
      <c r="C300" s="22"/>
      <c r="D300" s="22"/>
      <c r="E300" s="23" t="str">
        <f>IF($D300="","",IFERROR(VLOOKUP($D300,'ACAH Capital Tracker'!$A:$H,8,FALSE()),""))</f>
        <v/>
      </c>
      <c r="F300" s="24"/>
      <c r="G300" s="25" t="str">
        <f>IF($D300="","",IFERROR(VLOOKUP($D300,'ACAH Capital Tracker'!$A:$D,4,FALSE()),""))</f>
        <v/>
      </c>
      <c r="H300" s="22"/>
    </row>
    <row r="301" spans="1:8">
      <c r="A301" s="21"/>
      <c r="B301" s="22"/>
      <c r="C301" s="22"/>
      <c r="D301" s="22"/>
      <c r="E301" s="23" t="str">
        <f>IF($D301="","",IFERROR(VLOOKUP($D301,'ACAH Capital Tracker'!$A:$H,8,FALSE()),""))</f>
        <v/>
      </c>
      <c r="F301" s="24"/>
      <c r="G301" s="25" t="str">
        <f>IF($D301="","",IFERROR(VLOOKUP($D301,'ACAH Capital Tracker'!$A:$D,4,FALSE()),""))</f>
        <v/>
      </c>
      <c r="H301" s="22"/>
    </row>
    <row r="302" spans="1:8">
      <c r="A302" s="21"/>
      <c r="B302" s="22"/>
      <c r="C302" s="22"/>
      <c r="D302" s="22"/>
      <c r="E302" s="23" t="str">
        <f>IF($D302="","",IFERROR(VLOOKUP($D302,'ACAH Capital Tracker'!$A:$H,8,FALSE()),""))</f>
        <v/>
      </c>
      <c r="F302" s="24"/>
      <c r="G302" s="25" t="str">
        <f>IF($D302="","",IFERROR(VLOOKUP($D302,'ACAH Capital Tracker'!$A:$D,4,FALSE()),""))</f>
        <v/>
      </c>
      <c r="H302" s="22"/>
    </row>
    <row r="303" spans="1:8">
      <c r="A303" s="21"/>
      <c r="B303" s="22"/>
      <c r="C303" s="22"/>
      <c r="D303" s="22"/>
      <c r="E303" s="23" t="str">
        <f>IF($D303="","",IFERROR(VLOOKUP($D303,'ACAH Capital Tracker'!$A:$H,8,FALSE()),""))</f>
        <v/>
      </c>
      <c r="F303" s="24"/>
      <c r="G303" s="25" t="str">
        <f>IF($D303="","",IFERROR(VLOOKUP($D303,'ACAH Capital Tracker'!$A:$D,4,FALSE()),""))</f>
        <v/>
      </c>
      <c r="H303" s="22"/>
    </row>
    <row r="304" spans="1:8">
      <c r="A304" s="21"/>
      <c r="B304" s="22"/>
      <c r="C304" s="22"/>
      <c r="D304" s="22"/>
      <c r="E304" s="23" t="str">
        <f>IF($D304="","",IFERROR(VLOOKUP($D304,'ACAH Capital Tracker'!$A:$H,8,FALSE()),""))</f>
        <v/>
      </c>
      <c r="F304" s="24"/>
      <c r="G304" s="25" t="str">
        <f>IF($D304="","",IFERROR(VLOOKUP($D304,'ACAH Capital Tracker'!$A:$D,4,FALSE()),""))</f>
        <v/>
      </c>
      <c r="H304" s="22"/>
    </row>
    <row r="305" spans="1:8">
      <c r="A305" s="21"/>
      <c r="B305" s="22"/>
      <c r="C305" s="22"/>
      <c r="D305" s="22"/>
      <c r="E305" s="23" t="str">
        <f>IF($D305="","",IFERROR(VLOOKUP($D305,'ACAH Capital Tracker'!$A:$H,8,FALSE()),""))</f>
        <v/>
      </c>
      <c r="F305" s="24"/>
      <c r="G305" s="25" t="str">
        <f>IF($D305="","",IFERROR(VLOOKUP($D305,'ACAH Capital Tracker'!$A:$D,4,FALSE()),""))</f>
        <v/>
      </c>
      <c r="H305" s="22"/>
    </row>
    <row r="306" spans="1:8">
      <c r="A306" s="21"/>
      <c r="B306" s="22"/>
      <c r="C306" s="22"/>
      <c r="D306" s="22"/>
      <c r="E306" s="23" t="str">
        <f>IF($D306="","",IFERROR(VLOOKUP($D306,'ACAH Capital Tracker'!$A:$H,8,FALSE()),""))</f>
        <v/>
      </c>
      <c r="F306" s="24"/>
      <c r="G306" s="25" t="str">
        <f>IF($D306="","",IFERROR(VLOOKUP($D306,'ACAH Capital Tracker'!$A:$D,4,FALSE()),""))</f>
        <v/>
      </c>
      <c r="H306" s="22"/>
    </row>
    <row r="307" spans="1:8">
      <c r="A307" s="21"/>
      <c r="B307" s="22"/>
      <c r="C307" s="22"/>
      <c r="D307" s="22"/>
      <c r="E307" s="23" t="str">
        <f>IF($D307="","",IFERROR(VLOOKUP($D307,'ACAH Capital Tracker'!$A:$H,8,FALSE()),""))</f>
        <v/>
      </c>
      <c r="F307" s="24"/>
      <c r="G307" s="25" t="str">
        <f>IF($D307="","",IFERROR(VLOOKUP($D307,'ACAH Capital Tracker'!$A:$D,4,FALSE()),""))</f>
        <v/>
      </c>
      <c r="H307" s="22"/>
    </row>
    <row r="308" spans="1:8">
      <c r="A308" s="21"/>
      <c r="B308" s="22"/>
      <c r="C308" s="22"/>
      <c r="D308" s="22"/>
      <c r="E308" s="23" t="str">
        <f>IF($D308="","",IFERROR(VLOOKUP($D308,'ACAH Capital Tracker'!$A:$H,8,FALSE()),""))</f>
        <v/>
      </c>
      <c r="F308" s="24"/>
      <c r="G308" s="25" t="str">
        <f>IF($D308="","",IFERROR(VLOOKUP($D308,'ACAH Capital Tracker'!$A:$D,4,FALSE()),""))</f>
        <v/>
      </c>
      <c r="H308" s="22"/>
    </row>
    <row r="309" spans="1:8">
      <c r="A309" s="21"/>
      <c r="B309" s="22"/>
      <c r="C309" s="22"/>
      <c r="D309" s="22"/>
      <c r="E309" s="23" t="str">
        <f>IF($D309="","",IFERROR(VLOOKUP($D309,'ACAH Capital Tracker'!$A:$H,8,FALSE()),""))</f>
        <v/>
      </c>
      <c r="F309" s="24"/>
      <c r="G309" s="25" t="str">
        <f>IF($D309="","",IFERROR(VLOOKUP($D309,'ACAH Capital Tracker'!$A:$D,4,FALSE()),""))</f>
        <v/>
      </c>
      <c r="H309" s="22"/>
    </row>
    <row r="310" spans="1:8">
      <c r="A310" s="21"/>
      <c r="B310" s="22"/>
      <c r="C310" s="22"/>
      <c r="D310" s="22"/>
      <c r="E310" s="23" t="str">
        <f>IF($D310="","",IFERROR(VLOOKUP($D310,'ACAH Capital Tracker'!$A:$H,8,FALSE()),""))</f>
        <v/>
      </c>
      <c r="F310" s="24"/>
      <c r="G310" s="25" t="str">
        <f>IF($D310="","",IFERROR(VLOOKUP($D310,'ACAH Capital Tracker'!$A:$D,4,FALSE()),""))</f>
        <v/>
      </c>
      <c r="H310" s="22"/>
    </row>
    <row r="311" spans="1:8">
      <c r="A311" s="21"/>
      <c r="B311" s="22"/>
      <c r="C311" s="22"/>
      <c r="D311" s="22"/>
      <c r="E311" s="23" t="str">
        <f>IF($D311="","",IFERROR(VLOOKUP($D311,'ACAH Capital Tracker'!$A:$H,8,FALSE()),""))</f>
        <v/>
      </c>
      <c r="F311" s="24"/>
      <c r="G311" s="25" t="str">
        <f>IF($D311="","",IFERROR(VLOOKUP($D311,'ACAH Capital Tracker'!$A:$D,4,FALSE()),""))</f>
        <v/>
      </c>
      <c r="H311" s="22"/>
    </row>
    <row r="312" spans="1:8">
      <c r="A312" s="21"/>
      <c r="B312" s="22"/>
      <c r="C312" s="22"/>
      <c r="D312" s="22"/>
      <c r="E312" s="23" t="str">
        <f>IF($D312="","",IFERROR(VLOOKUP($D312,'ACAH Capital Tracker'!$A:$H,8,FALSE()),""))</f>
        <v/>
      </c>
      <c r="F312" s="24"/>
      <c r="G312" s="25" t="str">
        <f>IF($D312="","",IFERROR(VLOOKUP($D312,'ACAH Capital Tracker'!$A:$D,4,FALSE()),""))</f>
        <v/>
      </c>
      <c r="H312" s="22"/>
    </row>
    <row r="313" spans="1:8">
      <c r="A313" s="21"/>
      <c r="B313" s="22"/>
      <c r="C313" s="22"/>
      <c r="D313" s="22"/>
      <c r="E313" s="23" t="str">
        <f>IF($D313="","",IFERROR(VLOOKUP($D313,'ACAH Capital Tracker'!$A:$H,8,FALSE()),""))</f>
        <v/>
      </c>
      <c r="F313" s="24"/>
      <c r="G313" s="25" t="str">
        <f>IF($D313="","",IFERROR(VLOOKUP($D313,'ACAH Capital Tracker'!$A:$D,4,FALSE()),""))</f>
        <v/>
      </c>
      <c r="H313" s="22"/>
    </row>
    <row r="314" spans="1:8">
      <c r="A314" s="21"/>
      <c r="B314" s="22"/>
      <c r="C314" s="22"/>
      <c r="D314" s="22"/>
      <c r="E314" s="23" t="str">
        <f>IF($D314="","",IFERROR(VLOOKUP($D314,'ACAH Capital Tracker'!$A:$H,8,FALSE()),""))</f>
        <v/>
      </c>
      <c r="F314" s="24"/>
      <c r="G314" s="25" t="str">
        <f>IF($D314="","",IFERROR(VLOOKUP($D314,'ACAH Capital Tracker'!$A:$D,4,FALSE()),""))</f>
        <v/>
      </c>
      <c r="H314" s="22"/>
    </row>
    <row r="315" spans="1:8">
      <c r="A315" s="21"/>
      <c r="B315" s="22"/>
      <c r="C315" s="22"/>
      <c r="D315" s="22"/>
      <c r="E315" s="23" t="str">
        <f>IF($D315="","",IFERROR(VLOOKUP($D315,'ACAH Capital Tracker'!$A:$H,8,FALSE()),""))</f>
        <v/>
      </c>
      <c r="F315" s="24"/>
      <c r="G315" s="25" t="str">
        <f>IF($D315="","",IFERROR(VLOOKUP($D315,'ACAH Capital Tracker'!$A:$D,4,FALSE()),""))</f>
        <v/>
      </c>
      <c r="H315" s="22"/>
    </row>
    <row r="316" spans="1:8">
      <c r="A316" s="21"/>
      <c r="B316" s="22"/>
      <c r="C316" s="22"/>
      <c r="D316" s="22"/>
      <c r="E316" s="23" t="str">
        <f>IF($D316="","",IFERROR(VLOOKUP($D316,'ACAH Capital Tracker'!$A:$H,8,FALSE()),""))</f>
        <v/>
      </c>
      <c r="F316" s="24"/>
      <c r="G316" s="25" t="str">
        <f>IF($D316="","",IFERROR(VLOOKUP($D316,'ACAH Capital Tracker'!$A:$D,4,FALSE()),""))</f>
        <v/>
      </c>
      <c r="H316" s="22"/>
    </row>
    <row r="317" spans="1:8">
      <c r="A317" s="21"/>
      <c r="B317" s="22"/>
      <c r="C317" s="22"/>
      <c r="D317" s="22"/>
      <c r="E317" s="23" t="str">
        <f>IF($D317="","",IFERROR(VLOOKUP($D317,'ACAH Capital Tracker'!$A:$H,8,FALSE()),""))</f>
        <v/>
      </c>
      <c r="F317" s="24"/>
      <c r="G317" s="25" t="str">
        <f>IF($D317="","",IFERROR(VLOOKUP($D317,'ACAH Capital Tracker'!$A:$D,4,FALSE()),""))</f>
        <v/>
      </c>
      <c r="H317" s="22"/>
    </row>
    <row r="318" spans="1:8">
      <c r="A318" s="21"/>
      <c r="B318" s="22"/>
      <c r="C318" s="22"/>
      <c r="D318" s="22"/>
      <c r="E318" s="23" t="str">
        <f>IF($D318="","",IFERROR(VLOOKUP($D318,'ACAH Capital Tracker'!$A:$H,8,FALSE()),""))</f>
        <v/>
      </c>
      <c r="F318" s="24"/>
      <c r="G318" s="25" t="str">
        <f>IF($D318="","",IFERROR(VLOOKUP($D318,'ACAH Capital Tracker'!$A:$D,4,FALSE()),""))</f>
        <v/>
      </c>
      <c r="H318" s="22"/>
    </row>
    <row r="319" spans="1:8">
      <c r="A319" s="21"/>
      <c r="B319" s="22"/>
      <c r="C319" s="22"/>
      <c r="D319" s="22"/>
      <c r="E319" s="23" t="str">
        <f>IF($D319="","",IFERROR(VLOOKUP($D319,'ACAH Capital Tracker'!$A:$H,8,FALSE()),""))</f>
        <v/>
      </c>
      <c r="F319" s="24"/>
      <c r="G319" s="25" t="str">
        <f>IF($D319="","",IFERROR(VLOOKUP($D319,'ACAH Capital Tracker'!$A:$D,4,FALSE()),""))</f>
        <v/>
      </c>
      <c r="H319" s="22"/>
    </row>
    <row r="320" spans="1:8">
      <c r="A320" s="21"/>
      <c r="B320" s="22"/>
      <c r="C320" s="22"/>
      <c r="D320" s="22"/>
      <c r="E320" s="23" t="str">
        <f>IF($D320="","",IFERROR(VLOOKUP($D320,'ACAH Capital Tracker'!$A:$H,8,FALSE()),""))</f>
        <v/>
      </c>
      <c r="F320" s="24"/>
      <c r="G320" s="25" t="str">
        <f>IF($D320="","",IFERROR(VLOOKUP($D320,'ACAH Capital Tracker'!$A:$D,4,FALSE()),""))</f>
        <v/>
      </c>
      <c r="H320" s="22"/>
    </row>
    <row r="321" spans="1:8">
      <c r="A321" s="21"/>
      <c r="B321" s="22"/>
      <c r="C321" s="22"/>
      <c r="D321" s="22"/>
      <c r="E321" s="23" t="str">
        <f>IF($D321="","",IFERROR(VLOOKUP($D321,'ACAH Capital Tracker'!$A:$H,8,FALSE()),""))</f>
        <v/>
      </c>
      <c r="F321" s="24"/>
      <c r="G321" s="25" t="str">
        <f>IF($D321="","",IFERROR(VLOOKUP($D321,'ACAH Capital Tracker'!$A:$D,4,FALSE()),""))</f>
        <v/>
      </c>
      <c r="H321" s="22"/>
    </row>
    <row r="322" spans="1:8">
      <c r="A322" s="21"/>
      <c r="B322" s="22"/>
      <c r="C322" s="22"/>
      <c r="D322" s="22"/>
      <c r="E322" s="23" t="str">
        <f>IF($D322="","",IFERROR(VLOOKUP($D322,'ACAH Capital Tracker'!$A:$H,8,FALSE()),""))</f>
        <v/>
      </c>
      <c r="F322" s="24"/>
      <c r="G322" s="25" t="str">
        <f>IF($D322="","",IFERROR(VLOOKUP($D322,'ACAH Capital Tracker'!$A:$D,4,FALSE()),""))</f>
        <v/>
      </c>
      <c r="H322" s="22"/>
    </row>
    <row r="323" spans="1:8">
      <c r="A323" s="21"/>
      <c r="B323" s="22"/>
      <c r="C323" s="22"/>
      <c r="D323" s="22"/>
      <c r="E323" s="23" t="str">
        <f>IF($D323="","",IFERROR(VLOOKUP($D323,'ACAH Capital Tracker'!$A:$H,8,FALSE()),""))</f>
        <v/>
      </c>
      <c r="F323" s="24"/>
      <c r="G323" s="25" t="str">
        <f>IF($D323="","",IFERROR(VLOOKUP($D323,'ACAH Capital Tracker'!$A:$D,4,FALSE()),""))</f>
        <v/>
      </c>
      <c r="H323" s="22"/>
    </row>
    <row r="324" spans="1:8">
      <c r="A324" s="21"/>
      <c r="B324" s="22"/>
      <c r="C324" s="22"/>
      <c r="D324" s="22"/>
      <c r="E324" s="23" t="str">
        <f>IF($D324="","",IFERROR(VLOOKUP($D324,'ACAH Capital Tracker'!$A:$H,8,FALSE()),""))</f>
        <v/>
      </c>
      <c r="F324" s="24"/>
      <c r="G324" s="25" t="str">
        <f>IF($D324="","",IFERROR(VLOOKUP($D324,'ACAH Capital Tracker'!$A:$D,4,FALSE()),""))</f>
        <v/>
      </c>
      <c r="H324" s="22"/>
    </row>
    <row r="325" spans="1:8">
      <c r="A325" s="21"/>
      <c r="B325" s="22"/>
      <c r="C325" s="22"/>
      <c r="D325" s="22"/>
      <c r="E325" s="23" t="str">
        <f>IF($D325="","",IFERROR(VLOOKUP($D325,'ACAH Capital Tracker'!$A:$H,8,FALSE()),""))</f>
        <v/>
      </c>
      <c r="F325" s="24"/>
      <c r="G325" s="25" t="str">
        <f>IF($D325="","",IFERROR(VLOOKUP($D325,'ACAH Capital Tracker'!$A:$D,4,FALSE()),""))</f>
        <v/>
      </c>
      <c r="H325" s="22"/>
    </row>
    <row r="326" spans="1:8">
      <c r="A326" s="21"/>
      <c r="B326" s="22"/>
      <c r="C326" s="22"/>
      <c r="D326" s="22"/>
      <c r="E326" s="23" t="str">
        <f>IF($D326="","",IFERROR(VLOOKUP($D326,'ACAH Capital Tracker'!$A:$H,8,FALSE()),""))</f>
        <v/>
      </c>
      <c r="F326" s="24"/>
      <c r="G326" s="25" t="str">
        <f>IF($D326="","",IFERROR(VLOOKUP($D326,'ACAH Capital Tracker'!$A:$D,4,FALSE()),""))</f>
        <v/>
      </c>
      <c r="H326" s="22"/>
    </row>
    <row r="327" spans="1:8">
      <c r="A327" s="21"/>
      <c r="B327" s="22"/>
      <c r="C327" s="22"/>
      <c r="D327" s="22"/>
      <c r="E327" s="23" t="str">
        <f>IF($D327="","",IFERROR(VLOOKUP($D327,'ACAH Capital Tracker'!$A:$H,8,FALSE()),""))</f>
        <v/>
      </c>
      <c r="F327" s="24"/>
      <c r="G327" s="25" t="str">
        <f>IF($D327="","",IFERROR(VLOOKUP($D327,'ACAH Capital Tracker'!$A:$D,4,FALSE()),""))</f>
        <v/>
      </c>
      <c r="H327" s="22"/>
    </row>
    <row r="328" spans="1:8">
      <c r="A328" s="21"/>
      <c r="B328" s="22"/>
      <c r="C328" s="22"/>
      <c r="D328" s="22"/>
      <c r="E328" s="23" t="str">
        <f>IF($D328="","",IFERROR(VLOOKUP($D328,'ACAH Capital Tracker'!$A:$H,8,FALSE()),""))</f>
        <v/>
      </c>
      <c r="F328" s="24"/>
      <c r="G328" s="25" t="str">
        <f>IF($D328="","",IFERROR(VLOOKUP($D328,'ACAH Capital Tracker'!$A:$D,4,FALSE()),""))</f>
        <v/>
      </c>
      <c r="H328" s="22"/>
    </row>
    <row r="329" spans="1:8">
      <c r="A329" s="21"/>
      <c r="B329" s="22"/>
      <c r="C329" s="22"/>
      <c r="D329" s="22"/>
      <c r="E329" s="23" t="str">
        <f>IF($D329="","",IFERROR(VLOOKUP($D329,'ACAH Capital Tracker'!$A:$H,8,FALSE()),""))</f>
        <v/>
      </c>
      <c r="F329" s="24"/>
      <c r="G329" s="25" t="str">
        <f>IF($D329="","",IFERROR(VLOOKUP($D329,'ACAH Capital Tracker'!$A:$D,4,FALSE()),""))</f>
        <v/>
      </c>
      <c r="H329" s="22"/>
    </row>
    <row r="330" spans="1:8">
      <c r="A330" s="21"/>
      <c r="B330" s="22"/>
      <c r="C330" s="22"/>
      <c r="D330" s="22"/>
      <c r="E330" s="23" t="str">
        <f>IF($D330="","",IFERROR(VLOOKUP($D330,'ACAH Capital Tracker'!$A:$H,8,FALSE()),""))</f>
        <v/>
      </c>
      <c r="F330" s="24"/>
      <c r="G330" s="25" t="str">
        <f>IF($D330="","",IFERROR(VLOOKUP($D330,'ACAH Capital Tracker'!$A:$D,4,FALSE()),""))</f>
        <v/>
      </c>
      <c r="H330" s="22"/>
    </row>
    <row r="331" spans="1:8">
      <c r="A331" s="21"/>
      <c r="B331" s="22"/>
      <c r="C331" s="22"/>
      <c r="D331" s="22"/>
      <c r="E331" s="23" t="str">
        <f>IF($D331="","",IFERROR(VLOOKUP($D331,'ACAH Capital Tracker'!$A:$H,8,FALSE()),""))</f>
        <v/>
      </c>
      <c r="F331" s="24"/>
      <c r="G331" s="25" t="str">
        <f>IF($D331="","",IFERROR(VLOOKUP($D331,'ACAH Capital Tracker'!$A:$D,4,FALSE()),""))</f>
        <v/>
      </c>
      <c r="H331" s="22"/>
    </row>
    <row r="332" spans="1:8">
      <c r="A332" s="21"/>
      <c r="B332" s="22"/>
      <c r="C332" s="22"/>
      <c r="D332" s="22"/>
      <c r="E332" s="23" t="str">
        <f>IF($D332="","",IFERROR(VLOOKUP($D332,'ACAH Capital Tracker'!$A:$H,8,FALSE()),""))</f>
        <v/>
      </c>
      <c r="F332" s="24"/>
      <c r="G332" s="25" t="str">
        <f>IF($D332="","",IFERROR(VLOOKUP($D332,'ACAH Capital Tracker'!$A:$D,4,FALSE()),""))</f>
        <v/>
      </c>
      <c r="H332" s="22"/>
    </row>
    <row r="333" spans="1:8">
      <c r="A333" s="21"/>
      <c r="B333" s="22"/>
      <c r="C333" s="22"/>
      <c r="D333" s="22"/>
      <c r="E333" s="23" t="str">
        <f>IF($D333="","",IFERROR(VLOOKUP($D333,'ACAH Capital Tracker'!$A:$H,8,FALSE()),""))</f>
        <v/>
      </c>
      <c r="F333" s="24"/>
      <c r="G333" s="25" t="str">
        <f>IF($D333="","",IFERROR(VLOOKUP($D333,'ACAH Capital Tracker'!$A:$D,4,FALSE()),""))</f>
        <v/>
      </c>
      <c r="H333" s="22"/>
    </row>
    <row r="334" spans="1:8">
      <c r="A334" s="21"/>
      <c r="B334" s="22"/>
      <c r="C334" s="22"/>
      <c r="D334" s="22"/>
      <c r="E334" s="23" t="str">
        <f>IF($D334="","",IFERROR(VLOOKUP($D334,'ACAH Capital Tracker'!$A:$H,8,FALSE()),""))</f>
        <v/>
      </c>
      <c r="F334" s="24"/>
      <c r="G334" s="25" t="str">
        <f>IF($D334="","",IFERROR(VLOOKUP($D334,'ACAH Capital Tracker'!$A:$D,4,FALSE()),""))</f>
        <v/>
      </c>
      <c r="H334" s="22"/>
    </row>
    <row r="335" spans="1:8">
      <c r="A335" s="21"/>
      <c r="B335" s="22"/>
      <c r="C335" s="22"/>
      <c r="D335" s="22"/>
      <c r="E335" s="23" t="str">
        <f>IF($D335="","",IFERROR(VLOOKUP($D335,'ACAH Capital Tracker'!$A:$H,8,FALSE()),""))</f>
        <v/>
      </c>
      <c r="F335" s="24"/>
      <c r="G335" s="25" t="str">
        <f>IF($D335="","",IFERROR(VLOOKUP($D335,'ACAH Capital Tracker'!$A:$D,4,FALSE()),""))</f>
        <v/>
      </c>
      <c r="H335" s="22"/>
    </row>
    <row r="336" spans="1:8">
      <c r="A336" s="21"/>
      <c r="B336" s="22"/>
      <c r="C336" s="22"/>
      <c r="D336" s="22"/>
      <c r="E336" s="23" t="str">
        <f>IF($D336="","",IFERROR(VLOOKUP($D336,'ACAH Capital Tracker'!$A:$H,8,FALSE()),""))</f>
        <v/>
      </c>
      <c r="F336" s="24"/>
      <c r="G336" s="25" t="str">
        <f>IF($D336="","",IFERROR(VLOOKUP($D336,'ACAH Capital Tracker'!$A:$D,4,FALSE()),""))</f>
        <v/>
      </c>
      <c r="H336" s="22"/>
    </row>
    <row r="337" spans="1:8">
      <c r="A337" s="21"/>
      <c r="B337" s="22"/>
      <c r="C337" s="22"/>
      <c r="D337" s="22"/>
      <c r="E337" s="23" t="str">
        <f>IF($D337="","",IFERROR(VLOOKUP($D337,'ACAH Capital Tracker'!$A:$H,8,FALSE()),""))</f>
        <v/>
      </c>
      <c r="F337" s="24"/>
      <c r="G337" s="25" t="str">
        <f>IF($D337="","",IFERROR(VLOOKUP($D337,'ACAH Capital Tracker'!$A:$D,4,FALSE()),""))</f>
        <v/>
      </c>
      <c r="H337" s="22"/>
    </row>
    <row r="338" spans="1:8">
      <c r="A338" s="21"/>
      <c r="B338" s="22"/>
      <c r="C338" s="22"/>
      <c r="D338" s="22"/>
      <c r="E338" s="23" t="str">
        <f>IF($D338="","",IFERROR(VLOOKUP($D338,'ACAH Capital Tracker'!$A:$H,8,FALSE()),""))</f>
        <v/>
      </c>
      <c r="F338" s="24"/>
      <c r="G338" s="25" t="str">
        <f>IF($D338="","",IFERROR(VLOOKUP($D338,'ACAH Capital Tracker'!$A:$D,4,FALSE()),""))</f>
        <v/>
      </c>
      <c r="H338" s="22"/>
    </row>
    <row r="339" spans="1:8">
      <c r="A339" s="21"/>
      <c r="B339" s="22"/>
      <c r="C339" s="22"/>
      <c r="D339" s="22"/>
      <c r="E339" s="23" t="str">
        <f>IF($D339="","",IFERROR(VLOOKUP($D339,'ACAH Capital Tracker'!$A:$H,8,FALSE()),""))</f>
        <v/>
      </c>
      <c r="F339" s="24"/>
      <c r="G339" s="25" t="str">
        <f>IF($D339="","",IFERROR(VLOOKUP($D339,'ACAH Capital Tracker'!$A:$D,4,FALSE()),""))</f>
        <v/>
      </c>
      <c r="H339" s="22"/>
    </row>
    <row r="340" spans="1:8">
      <c r="A340" s="21"/>
      <c r="B340" s="22"/>
      <c r="C340" s="22"/>
      <c r="D340" s="22"/>
      <c r="E340" s="23" t="str">
        <f>IF($D340="","",IFERROR(VLOOKUP($D340,'ACAH Capital Tracker'!$A:$H,8,FALSE()),""))</f>
        <v/>
      </c>
      <c r="F340" s="24"/>
      <c r="G340" s="25" t="str">
        <f>IF($D340="","",IFERROR(VLOOKUP($D340,'ACAH Capital Tracker'!$A:$D,4,FALSE()),""))</f>
        <v/>
      </c>
      <c r="H340" s="22"/>
    </row>
    <row r="341" spans="1:8">
      <c r="A341" s="21"/>
      <c r="B341" s="22"/>
      <c r="C341" s="22"/>
      <c r="D341" s="22"/>
      <c r="E341" s="23" t="str">
        <f>IF($D341="","",IFERROR(VLOOKUP($D341,'ACAH Capital Tracker'!$A:$H,8,FALSE()),""))</f>
        <v/>
      </c>
      <c r="F341" s="24"/>
      <c r="G341" s="25" t="str">
        <f>IF($D341="","",IFERROR(VLOOKUP($D341,'ACAH Capital Tracker'!$A:$D,4,FALSE()),""))</f>
        <v/>
      </c>
      <c r="H341" s="22"/>
    </row>
    <row r="342" spans="1:8">
      <c r="A342" s="21"/>
      <c r="B342" s="22"/>
      <c r="C342" s="22"/>
      <c r="D342" s="22"/>
      <c r="E342" s="23" t="str">
        <f>IF($D342="","",IFERROR(VLOOKUP($D342,'ACAH Capital Tracker'!$A:$H,8,FALSE()),""))</f>
        <v/>
      </c>
      <c r="F342" s="24"/>
      <c r="G342" s="25" t="str">
        <f>IF($D342="","",IFERROR(VLOOKUP($D342,'ACAH Capital Tracker'!$A:$D,4,FALSE()),""))</f>
        <v/>
      </c>
      <c r="H342" s="22"/>
    </row>
    <row r="343" spans="1:8">
      <c r="A343" s="21"/>
      <c r="B343" s="22"/>
      <c r="C343" s="22"/>
      <c r="D343" s="22"/>
      <c r="E343" s="23" t="str">
        <f>IF($D343="","",IFERROR(VLOOKUP($D343,'ACAH Capital Tracker'!$A:$H,8,FALSE()),""))</f>
        <v/>
      </c>
      <c r="F343" s="24"/>
      <c r="G343" s="25" t="str">
        <f>IF($D343="","",IFERROR(VLOOKUP($D343,'ACAH Capital Tracker'!$A:$D,4,FALSE()),""))</f>
        <v/>
      </c>
      <c r="H343" s="22"/>
    </row>
    <row r="344" spans="1:8">
      <c r="A344" s="21"/>
      <c r="B344" s="22"/>
      <c r="C344" s="22"/>
      <c r="D344" s="22"/>
      <c r="E344" s="23" t="str">
        <f>IF($D344="","",IFERROR(VLOOKUP($D344,'ACAH Capital Tracker'!$A:$H,8,FALSE()),""))</f>
        <v/>
      </c>
      <c r="F344" s="24"/>
      <c r="G344" s="25" t="str">
        <f>IF($D344="","",IFERROR(VLOOKUP($D344,'ACAH Capital Tracker'!$A:$D,4,FALSE()),""))</f>
        <v/>
      </c>
      <c r="H344" s="22"/>
    </row>
    <row r="345" spans="1:8">
      <c r="A345" s="21"/>
      <c r="B345" s="22"/>
      <c r="C345" s="22"/>
      <c r="D345" s="22"/>
      <c r="E345" s="23" t="str">
        <f>IF($D345="","",IFERROR(VLOOKUP($D345,'ACAH Capital Tracker'!$A:$H,8,FALSE()),""))</f>
        <v/>
      </c>
      <c r="F345" s="24"/>
      <c r="G345" s="25" t="str">
        <f>IF($D345="","",IFERROR(VLOOKUP($D345,'ACAH Capital Tracker'!$A:$D,4,FALSE()),""))</f>
        <v/>
      </c>
      <c r="H345" s="22"/>
    </row>
    <row r="346" spans="1:8">
      <c r="A346" s="21"/>
      <c r="B346" s="22"/>
      <c r="C346" s="22"/>
      <c r="D346" s="22"/>
      <c r="E346" s="23" t="str">
        <f>IF($D346="","",IFERROR(VLOOKUP($D346,'ACAH Capital Tracker'!$A:$H,8,FALSE()),""))</f>
        <v/>
      </c>
      <c r="F346" s="24"/>
      <c r="G346" s="25" t="str">
        <f>IF($D346="","",IFERROR(VLOOKUP($D346,'ACAH Capital Tracker'!$A:$D,4,FALSE()),""))</f>
        <v/>
      </c>
      <c r="H346" s="22"/>
    </row>
    <row r="347" spans="1:8">
      <c r="A347" s="21"/>
      <c r="B347" s="22"/>
      <c r="C347" s="22"/>
      <c r="D347" s="22"/>
      <c r="E347" s="23" t="str">
        <f>IF($D347="","",IFERROR(VLOOKUP($D347,'ACAH Capital Tracker'!$A:$H,8,FALSE()),""))</f>
        <v/>
      </c>
      <c r="F347" s="24"/>
      <c r="G347" s="25" t="str">
        <f>IF($D347="","",IFERROR(VLOOKUP($D347,'ACAH Capital Tracker'!$A:$D,4,FALSE()),""))</f>
        <v/>
      </c>
      <c r="H347" s="22"/>
    </row>
    <row r="348" spans="1:8">
      <c r="A348" s="21"/>
      <c r="B348" s="22"/>
      <c r="C348" s="22"/>
      <c r="D348" s="22"/>
      <c r="E348" s="23" t="str">
        <f>IF($D348="","",IFERROR(VLOOKUP($D348,'ACAH Capital Tracker'!$A:$H,8,FALSE()),""))</f>
        <v/>
      </c>
      <c r="F348" s="24"/>
      <c r="G348" s="25" t="str">
        <f>IF($D348="","",IFERROR(VLOOKUP($D348,'ACAH Capital Tracker'!$A:$D,4,FALSE()),""))</f>
        <v/>
      </c>
      <c r="H348" s="22"/>
    </row>
    <row r="349" spans="1:8">
      <c r="A349" s="21"/>
      <c r="B349" s="22"/>
      <c r="C349" s="22"/>
      <c r="D349" s="22"/>
      <c r="E349" s="23" t="str">
        <f>IF($D349="","",IFERROR(VLOOKUP($D349,'ACAH Capital Tracker'!$A:$H,8,FALSE()),""))</f>
        <v/>
      </c>
      <c r="F349" s="24"/>
      <c r="G349" s="25" t="str">
        <f>IF($D349="","",IFERROR(VLOOKUP($D349,'ACAH Capital Tracker'!$A:$D,4,FALSE()),""))</f>
        <v/>
      </c>
      <c r="H349" s="22"/>
    </row>
    <row r="350" spans="1:8">
      <c r="A350" s="21"/>
      <c r="B350" s="22"/>
      <c r="C350" s="22"/>
      <c r="D350" s="22"/>
      <c r="E350" s="23" t="str">
        <f>IF($D350="","",IFERROR(VLOOKUP($D350,'ACAH Capital Tracker'!$A:$H,8,FALSE()),""))</f>
        <v/>
      </c>
      <c r="F350" s="24"/>
      <c r="G350" s="25" t="str">
        <f>IF($D350="","",IFERROR(VLOOKUP($D350,'ACAH Capital Tracker'!$A:$D,4,FALSE()),""))</f>
        <v/>
      </c>
      <c r="H350" s="22"/>
    </row>
    <row r="351" spans="1:8">
      <c r="A351" s="21"/>
      <c r="B351" s="22"/>
      <c r="C351" s="22"/>
      <c r="D351" s="22"/>
      <c r="E351" s="23" t="str">
        <f>IF($D351="","",IFERROR(VLOOKUP($D351,'ACAH Capital Tracker'!$A:$H,8,FALSE()),""))</f>
        <v/>
      </c>
      <c r="F351" s="24"/>
      <c r="G351" s="25" t="str">
        <f>IF($D351="","",IFERROR(VLOOKUP($D351,'ACAH Capital Tracker'!$A:$D,4,FALSE()),""))</f>
        <v/>
      </c>
      <c r="H351" s="22"/>
    </row>
    <row r="352" spans="1:8">
      <c r="A352" s="21"/>
      <c r="B352" s="22"/>
      <c r="C352" s="22"/>
      <c r="D352" s="22"/>
      <c r="E352" s="23" t="str">
        <f>IF($D352="","",IFERROR(VLOOKUP($D352,'ACAH Capital Tracker'!$A:$H,8,FALSE()),""))</f>
        <v/>
      </c>
      <c r="F352" s="24"/>
      <c r="G352" s="25" t="str">
        <f>IF($D352="","",IFERROR(VLOOKUP($D352,'ACAH Capital Tracker'!$A:$D,4,FALSE()),""))</f>
        <v/>
      </c>
      <c r="H352" s="22"/>
    </row>
    <row r="353" spans="1:8">
      <c r="A353" s="21"/>
      <c r="B353" s="22"/>
      <c r="C353" s="22"/>
      <c r="D353" s="22"/>
      <c r="E353" s="23" t="str">
        <f>IF($D353="","",IFERROR(VLOOKUP($D353,'ACAH Capital Tracker'!$A:$H,8,FALSE()),""))</f>
        <v/>
      </c>
      <c r="F353" s="24"/>
      <c r="G353" s="25" t="str">
        <f>IF($D353="","",IFERROR(VLOOKUP($D353,'ACAH Capital Tracker'!$A:$D,4,FALSE()),""))</f>
        <v/>
      </c>
      <c r="H353" s="22"/>
    </row>
    <row r="354" spans="1:8">
      <c r="A354" s="21"/>
      <c r="B354" s="22"/>
      <c r="C354" s="22"/>
      <c r="D354" s="22"/>
      <c r="E354" s="23" t="str">
        <f>IF($D354="","",IFERROR(VLOOKUP($D354,'ACAH Capital Tracker'!$A:$H,8,FALSE()),""))</f>
        <v/>
      </c>
      <c r="F354" s="24"/>
      <c r="G354" s="25" t="str">
        <f>IF($D354="","",IFERROR(VLOOKUP($D354,'ACAH Capital Tracker'!$A:$D,4,FALSE()),""))</f>
        <v/>
      </c>
      <c r="H354" s="22"/>
    </row>
    <row r="355" spans="1:8">
      <c r="A355" s="21"/>
      <c r="B355" s="22"/>
      <c r="C355" s="22"/>
      <c r="D355" s="22"/>
      <c r="E355" s="23" t="str">
        <f>IF($D355="","",IFERROR(VLOOKUP($D355,'ACAH Capital Tracker'!$A:$H,8,FALSE()),""))</f>
        <v/>
      </c>
      <c r="F355" s="24"/>
      <c r="G355" s="25" t="str">
        <f>IF($D355="","",IFERROR(VLOOKUP($D355,'ACAH Capital Tracker'!$A:$D,4,FALSE()),""))</f>
        <v/>
      </c>
      <c r="H355" s="22"/>
    </row>
    <row r="356" spans="1:8">
      <c r="A356" s="21"/>
      <c r="B356" s="22"/>
      <c r="C356" s="22"/>
      <c r="D356" s="22"/>
      <c r="E356" s="23" t="str">
        <f>IF($D356="","",IFERROR(VLOOKUP($D356,'ACAH Capital Tracker'!$A:$H,8,FALSE()),""))</f>
        <v/>
      </c>
      <c r="F356" s="24"/>
      <c r="G356" s="25" t="str">
        <f>IF($D356="","",IFERROR(VLOOKUP($D356,'ACAH Capital Tracker'!$A:$D,4,FALSE()),""))</f>
        <v/>
      </c>
      <c r="H356" s="22"/>
    </row>
    <row r="357" spans="1:8">
      <c r="A357" s="21"/>
      <c r="B357" s="22"/>
      <c r="C357" s="22"/>
      <c r="D357" s="22"/>
      <c r="E357" s="23" t="str">
        <f>IF($D357="","",IFERROR(VLOOKUP($D357,'ACAH Capital Tracker'!$A:$H,8,FALSE()),""))</f>
        <v/>
      </c>
      <c r="F357" s="24"/>
      <c r="G357" s="25" t="str">
        <f>IF($D357="","",IFERROR(VLOOKUP($D357,'ACAH Capital Tracker'!$A:$D,4,FALSE()),""))</f>
        <v/>
      </c>
      <c r="H357" s="22"/>
    </row>
    <row r="358" spans="1:8">
      <c r="A358" s="21"/>
      <c r="B358" s="22"/>
      <c r="C358" s="22"/>
      <c r="D358" s="22"/>
      <c r="E358" s="23" t="str">
        <f>IF($D358="","",IFERROR(VLOOKUP($D358,'ACAH Capital Tracker'!$A:$H,8,FALSE()),""))</f>
        <v/>
      </c>
      <c r="F358" s="24"/>
      <c r="G358" s="25" t="str">
        <f>IF($D358="","",IFERROR(VLOOKUP($D358,'ACAH Capital Tracker'!$A:$D,4,FALSE()),""))</f>
        <v/>
      </c>
      <c r="H358" s="22"/>
    </row>
    <row r="359" spans="1:8">
      <c r="A359" s="21"/>
      <c r="B359" s="22"/>
      <c r="C359" s="22"/>
      <c r="D359" s="22"/>
      <c r="E359" s="23" t="str">
        <f>IF($D359="","",IFERROR(VLOOKUP($D359,'ACAH Capital Tracker'!$A:$H,8,FALSE()),""))</f>
        <v/>
      </c>
      <c r="F359" s="24"/>
      <c r="G359" s="25" t="str">
        <f>IF($D359="","",IFERROR(VLOOKUP($D359,'ACAH Capital Tracker'!$A:$D,4,FALSE()),""))</f>
        <v/>
      </c>
      <c r="H359" s="22"/>
    </row>
    <row r="360" spans="1:8">
      <c r="A360" s="21"/>
      <c r="B360" s="22"/>
      <c r="C360" s="22"/>
      <c r="D360" s="22"/>
      <c r="E360" s="23" t="str">
        <f>IF($D360="","",IFERROR(VLOOKUP($D360,'ACAH Capital Tracker'!$A:$H,8,FALSE()),""))</f>
        <v/>
      </c>
      <c r="F360" s="24"/>
      <c r="G360" s="25" t="str">
        <f>IF($D360="","",IFERROR(VLOOKUP($D360,'ACAH Capital Tracker'!$A:$D,4,FALSE()),""))</f>
        <v/>
      </c>
      <c r="H360" s="22"/>
    </row>
    <row r="361" spans="1:8">
      <c r="A361" s="21"/>
      <c r="B361" s="22"/>
      <c r="C361" s="22"/>
      <c r="D361" s="22"/>
      <c r="E361" s="23" t="str">
        <f>IF($D361="","",IFERROR(VLOOKUP($D361,'ACAH Capital Tracker'!$A:$H,8,FALSE()),""))</f>
        <v/>
      </c>
      <c r="F361" s="24"/>
      <c r="G361" s="25" t="str">
        <f>IF($D361="","",IFERROR(VLOOKUP($D361,'ACAH Capital Tracker'!$A:$D,4,FALSE()),""))</f>
        <v/>
      </c>
      <c r="H361" s="22"/>
    </row>
    <row r="362" spans="1:8">
      <c r="A362" s="21"/>
      <c r="B362" s="22"/>
      <c r="C362" s="22"/>
      <c r="D362" s="22"/>
      <c r="E362" s="23" t="str">
        <f>IF($D362="","",IFERROR(VLOOKUP($D362,'ACAH Capital Tracker'!$A:$H,8,FALSE()),""))</f>
        <v/>
      </c>
      <c r="F362" s="24"/>
      <c r="G362" s="25" t="str">
        <f>IF($D362="","",IFERROR(VLOOKUP($D362,'ACAH Capital Tracker'!$A:$D,4,FALSE()),""))</f>
        <v/>
      </c>
      <c r="H362" s="22"/>
    </row>
    <row r="363" spans="1:8">
      <c r="A363" s="21"/>
      <c r="B363" s="22"/>
      <c r="C363" s="22"/>
      <c r="D363" s="22"/>
      <c r="E363" s="23" t="str">
        <f>IF($D363="","",IFERROR(VLOOKUP($D363,'ACAH Capital Tracker'!$A:$H,8,FALSE()),""))</f>
        <v/>
      </c>
      <c r="F363" s="24"/>
      <c r="G363" s="25" t="str">
        <f>IF($D363="","",IFERROR(VLOOKUP($D363,'ACAH Capital Tracker'!$A:$D,4,FALSE()),""))</f>
        <v/>
      </c>
      <c r="H363" s="22"/>
    </row>
    <row r="364" spans="1:8">
      <c r="A364" s="21"/>
      <c r="B364" s="22"/>
      <c r="C364" s="22"/>
      <c r="D364" s="22"/>
      <c r="E364" s="23" t="str">
        <f>IF($D364="","",IFERROR(VLOOKUP($D364,'ACAH Capital Tracker'!$A:$H,8,FALSE()),""))</f>
        <v/>
      </c>
      <c r="F364" s="24"/>
      <c r="G364" s="25" t="str">
        <f>IF($D364="","",IFERROR(VLOOKUP($D364,'ACAH Capital Tracker'!$A:$D,4,FALSE()),""))</f>
        <v/>
      </c>
      <c r="H364" s="22"/>
    </row>
    <row r="365" spans="1:8">
      <c r="A365" s="21"/>
      <c r="B365" s="22"/>
      <c r="C365" s="22"/>
      <c r="D365" s="22"/>
      <c r="E365" s="23" t="str">
        <f>IF($D365="","",IFERROR(VLOOKUP($D365,'ACAH Capital Tracker'!$A:$H,8,FALSE()),""))</f>
        <v/>
      </c>
      <c r="F365" s="24"/>
      <c r="G365" s="25" t="str">
        <f>IF($D365="","",IFERROR(VLOOKUP($D365,'ACAH Capital Tracker'!$A:$D,4,FALSE()),""))</f>
        <v/>
      </c>
      <c r="H365" s="22"/>
    </row>
    <row r="366" spans="1:8">
      <c r="A366" s="21"/>
      <c r="B366" s="22"/>
      <c r="C366" s="22"/>
      <c r="D366" s="22"/>
      <c r="E366" s="23" t="str">
        <f>IF($D366="","",IFERROR(VLOOKUP($D366,'ACAH Capital Tracker'!$A:$H,8,FALSE()),""))</f>
        <v/>
      </c>
      <c r="F366" s="24"/>
      <c r="G366" s="25" t="str">
        <f>IF($D366="","",IFERROR(VLOOKUP($D366,'ACAH Capital Tracker'!$A:$D,4,FALSE()),""))</f>
        <v/>
      </c>
      <c r="H366" s="22"/>
    </row>
    <row r="367" spans="1:8">
      <c r="A367" s="21"/>
      <c r="B367" s="22"/>
      <c r="C367" s="22"/>
      <c r="D367" s="22"/>
      <c r="E367" s="23" t="str">
        <f>IF($D367="","",IFERROR(VLOOKUP($D367,'ACAH Capital Tracker'!$A:$H,8,FALSE()),""))</f>
        <v/>
      </c>
      <c r="F367" s="24"/>
      <c r="G367" s="25" t="str">
        <f>IF($D367="","",IFERROR(VLOOKUP($D367,'ACAH Capital Tracker'!$A:$D,4,FALSE()),""))</f>
        <v/>
      </c>
      <c r="H367" s="22"/>
    </row>
    <row r="368" spans="1:8">
      <c r="A368" s="21"/>
      <c r="B368" s="22"/>
      <c r="C368" s="22"/>
      <c r="D368" s="22"/>
      <c r="E368" s="23" t="str">
        <f>IF($D368="","",IFERROR(VLOOKUP($D368,'ACAH Capital Tracker'!$A:$H,8,FALSE()),""))</f>
        <v/>
      </c>
      <c r="F368" s="24"/>
      <c r="G368" s="25" t="str">
        <f>IF($D368="","",IFERROR(VLOOKUP($D368,'ACAH Capital Tracker'!$A:$D,4,FALSE()),""))</f>
        <v/>
      </c>
      <c r="H368" s="22"/>
    </row>
    <row r="369" spans="1:8">
      <c r="A369" s="21"/>
      <c r="B369" s="22"/>
      <c r="C369" s="22"/>
      <c r="D369" s="22"/>
      <c r="E369" s="23" t="str">
        <f>IF($D369="","",IFERROR(VLOOKUP($D369,'ACAH Capital Tracker'!$A:$H,8,FALSE()),""))</f>
        <v/>
      </c>
      <c r="F369" s="24"/>
      <c r="G369" s="25" t="str">
        <f>IF($D369="","",IFERROR(VLOOKUP($D369,'ACAH Capital Tracker'!$A:$D,4,FALSE()),""))</f>
        <v/>
      </c>
      <c r="H369" s="22"/>
    </row>
    <row r="370" spans="1:8">
      <c r="A370" s="21"/>
      <c r="B370" s="22"/>
      <c r="C370" s="22"/>
      <c r="D370" s="22"/>
      <c r="E370" s="23" t="str">
        <f>IF($D370="","",IFERROR(VLOOKUP($D370,'ACAH Capital Tracker'!$A:$H,8,FALSE()),""))</f>
        <v/>
      </c>
      <c r="F370" s="24"/>
      <c r="G370" s="25" t="str">
        <f>IF($D370="","",IFERROR(VLOOKUP($D370,'ACAH Capital Tracker'!$A:$D,4,FALSE()),""))</f>
        <v/>
      </c>
      <c r="H370" s="22"/>
    </row>
    <row r="371" spans="1:8">
      <c r="A371" s="21"/>
      <c r="B371" s="22"/>
      <c r="C371" s="22"/>
      <c r="D371" s="22"/>
      <c r="E371" s="23" t="str">
        <f>IF($D371="","",IFERROR(VLOOKUP($D371,'ACAH Capital Tracker'!$A:$H,8,FALSE()),""))</f>
        <v/>
      </c>
      <c r="F371" s="24"/>
      <c r="G371" s="25" t="str">
        <f>IF($D371="","",IFERROR(VLOOKUP($D371,'ACAH Capital Tracker'!$A:$D,4,FALSE()),""))</f>
        <v/>
      </c>
      <c r="H371" s="22"/>
    </row>
    <row r="372" spans="1:8">
      <c r="A372" s="21"/>
      <c r="B372" s="22"/>
      <c r="C372" s="22"/>
      <c r="D372" s="22"/>
      <c r="E372" s="23" t="str">
        <f>IF($D372="","",IFERROR(VLOOKUP($D372,'ACAH Capital Tracker'!$A:$H,8,FALSE()),""))</f>
        <v/>
      </c>
      <c r="F372" s="24"/>
      <c r="G372" s="25" t="str">
        <f>IF($D372="","",IFERROR(VLOOKUP($D372,'ACAH Capital Tracker'!$A:$D,4,FALSE()),""))</f>
        <v/>
      </c>
      <c r="H372" s="22"/>
    </row>
    <row r="373" spans="1:8">
      <c r="A373" s="21"/>
      <c r="B373" s="22"/>
      <c r="C373" s="22"/>
      <c r="D373" s="22"/>
      <c r="E373" s="23" t="str">
        <f>IF($D373="","",IFERROR(VLOOKUP($D373,'ACAH Capital Tracker'!$A:$H,8,FALSE()),""))</f>
        <v/>
      </c>
      <c r="F373" s="24"/>
      <c r="G373" s="25" t="str">
        <f>IF($D373="","",IFERROR(VLOOKUP($D373,'ACAH Capital Tracker'!$A:$D,4,FALSE()),""))</f>
        <v/>
      </c>
      <c r="H373" s="22"/>
    </row>
    <row r="374" spans="1:8">
      <c r="A374" s="21"/>
      <c r="B374" s="22"/>
      <c r="C374" s="22"/>
      <c r="D374" s="22"/>
      <c r="E374" s="23" t="str">
        <f>IF($D374="","",IFERROR(VLOOKUP($D374,'ACAH Capital Tracker'!$A:$H,8,FALSE()),""))</f>
        <v/>
      </c>
      <c r="F374" s="24"/>
      <c r="G374" s="25" t="str">
        <f>IF($D374="","",IFERROR(VLOOKUP($D374,'ACAH Capital Tracker'!$A:$D,4,FALSE()),""))</f>
        <v/>
      </c>
      <c r="H374" s="22"/>
    </row>
    <row r="375" spans="1:8">
      <c r="A375" s="21"/>
      <c r="B375" s="22"/>
      <c r="C375" s="22"/>
      <c r="D375" s="22"/>
      <c r="E375" s="23" t="str">
        <f>IF($D375="","",IFERROR(VLOOKUP($D375,'ACAH Capital Tracker'!$A:$H,8,FALSE()),""))</f>
        <v/>
      </c>
      <c r="F375" s="24"/>
      <c r="G375" s="25" t="str">
        <f>IF($D375="","",IFERROR(VLOOKUP($D375,'ACAH Capital Tracker'!$A:$D,4,FALSE()),""))</f>
        <v/>
      </c>
      <c r="H375" s="22"/>
    </row>
    <row r="376" spans="1:8">
      <c r="A376" s="21"/>
      <c r="B376" s="22"/>
      <c r="C376" s="22"/>
      <c r="D376" s="22"/>
      <c r="E376" s="23" t="str">
        <f>IF($D376="","",IFERROR(VLOOKUP($D376,'ACAH Capital Tracker'!$A:$H,8,FALSE()),""))</f>
        <v/>
      </c>
      <c r="F376" s="24"/>
      <c r="G376" s="25" t="str">
        <f>IF($D376="","",IFERROR(VLOOKUP($D376,'ACAH Capital Tracker'!$A:$D,4,FALSE()),""))</f>
        <v/>
      </c>
      <c r="H376" s="22"/>
    </row>
    <row r="377" spans="1:8">
      <c r="A377" s="21"/>
      <c r="B377" s="22"/>
      <c r="C377" s="22"/>
      <c r="D377" s="22"/>
      <c r="E377" s="23" t="str">
        <f>IF($D377="","",IFERROR(VLOOKUP($D377,'ACAH Capital Tracker'!$A:$H,8,FALSE()),""))</f>
        <v/>
      </c>
      <c r="F377" s="24"/>
      <c r="G377" s="25" t="str">
        <f>IF($D377="","",IFERROR(VLOOKUP($D377,'ACAH Capital Tracker'!$A:$D,4,FALSE()),""))</f>
        <v/>
      </c>
      <c r="H377" s="22"/>
    </row>
    <row r="378" spans="1:8">
      <c r="A378" s="21"/>
      <c r="B378" s="22"/>
      <c r="C378" s="22"/>
      <c r="D378" s="22"/>
      <c r="E378" s="23" t="str">
        <f>IF($D378="","",IFERROR(VLOOKUP($D378,'ACAH Capital Tracker'!$A:$H,8,FALSE()),""))</f>
        <v/>
      </c>
      <c r="F378" s="24"/>
      <c r="G378" s="25" t="str">
        <f>IF($D378="","",IFERROR(VLOOKUP($D378,'ACAH Capital Tracker'!$A:$D,4,FALSE()),""))</f>
        <v/>
      </c>
      <c r="H378" s="22"/>
    </row>
    <row r="379" spans="1:8">
      <c r="A379" s="21"/>
      <c r="B379" s="22"/>
      <c r="C379" s="22"/>
      <c r="D379" s="22"/>
      <c r="E379" s="23" t="str">
        <f>IF($D379="","",IFERROR(VLOOKUP($D379,'ACAH Capital Tracker'!$A:$H,8,FALSE()),""))</f>
        <v/>
      </c>
      <c r="F379" s="24"/>
      <c r="G379" s="25" t="str">
        <f>IF($D379="","",IFERROR(VLOOKUP($D379,'ACAH Capital Tracker'!$A:$D,4,FALSE()),""))</f>
        <v/>
      </c>
      <c r="H379" s="22"/>
    </row>
    <row r="380" spans="1:8">
      <c r="A380" s="21"/>
      <c r="B380" s="22"/>
      <c r="C380" s="22"/>
      <c r="D380" s="22"/>
      <c r="E380" s="23" t="str">
        <f>IF($D380="","",IFERROR(VLOOKUP($D380,'ACAH Capital Tracker'!$A:$H,8,FALSE()),""))</f>
        <v/>
      </c>
      <c r="F380" s="24"/>
      <c r="G380" s="25" t="str">
        <f>IF($D380="","",IFERROR(VLOOKUP($D380,'ACAH Capital Tracker'!$A:$D,4,FALSE()),""))</f>
        <v/>
      </c>
      <c r="H380" s="22"/>
    </row>
    <row r="381" spans="1:8">
      <c r="A381" s="21"/>
      <c r="B381" s="22"/>
      <c r="C381" s="22"/>
      <c r="D381" s="22"/>
      <c r="E381" s="23" t="str">
        <f>IF($D381="","",IFERROR(VLOOKUP($D381,'ACAH Capital Tracker'!$A:$H,8,FALSE()),""))</f>
        <v/>
      </c>
      <c r="F381" s="24"/>
      <c r="G381" s="25" t="str">
        <f>IF($D381="","",IFERROR(VLOOKUP($D381,'ACAH Capital Tracker'!$A:$D,4,FALSE()),""))</f>
        <v/>
      </c>
      <c r="H381" s="22"/>
    </row>
    <row r="382" spans="1:8">
      <c r="A382" s="21"/>
      <c r="B382" s="22"/>
      <c r="C382" s="22"/>
      <c r="D382" s="22"/>
      <c r="E382" s="23" t="str">
        <f>IF($D382="","",IFERROR(VLOOKUP($D382,'ACAH Capital Tracker'!$A:$H,8,FALSE()),""))</f>
        <v/>
      </c>
      <c r="F382" s="24"/>
      <c r="G382" s="25" t="str">
        <f>IF($D382="","",IFERROR(VLOOKUP($D382,'ACAH Capital Tracker'!$A:$D,4,FALSE()),""))</f>
        <v/>
      </c>
      <c r="H382" s="22"/>
    </row>
    <row r="383" spans="1:8">
      <c r="A383" s="21"/>
      <c r="B383" s="22"/>
      <c r="C383" s="22"/>
      <c r="D383" s="22"/>
      <c r="E383" s="23" t="str">
        <f>IF($D383="","",IFERROR(VLOOKUP($D383,'ACAH Capital Tracker'!$A:$H,8,FALSE()),""))</f>
        <v/>
      </c>
      <c r="F383" s="24"/>
      <c r="G383" s="25" t="str">
        <f>IF($D383="","",IFERROR(VLOOKUP($D383,'ACAH Capital Tracker'!$A:$D,4,FALSE()),""))</f>
        <v/>
      </c>
      <c r="H383" s="22"/>
    </row>
    <row r="384" spans="1:8">
      <c r="A384" s="21"/>
      <c r="B384" s="22"/>
      <c r="C384" s="22"/>
      <c r="D384" s="22"/>
      <c r="E384" s="23" t="str">
        <f>IF($D384="","",IFERROR(VLOOKUP($D384,'ACAH Capital Tracker'!$A:$H,8,FALSE()),""))</f>
        <v/>
      </c>
      <c r="F384" s="24"/>
      <c r="G384" s="25" t="str">
        <f>IF($D384="","",IFERROR(VLOOKUP($D384,'ACAH Capital Tracker'!$A:$D,4,FALSE()),""))</f>
        <v/>
      </c>
      <c r="H384" s="22"/>
    </row>
    <row r="385" spans="1:8">
      <c r="A385" s="21"/>
      <c r="B385" s="22"/>
      <c r="C385" s="22"/>
      <c r="D385" s="22"/>
      <c r="E385" s="23" t="str">
        <f>IF($D385="","",IFERROR(VLOOKUP($D385,'ACAH Capital Tracker'!$A:$H,8,FALSE()),""))</f>
        <v/>
      </c>
      <c r="F385" s="24"/>
      <c r="G385" s="25" t="str">
        <f>IF($D385="","",IFERROR(VLOOKUP($D385,'ACAH Capital Tracker'!$A:$D,4,FALSE()),""))</f>
        <v/>
      </c>
      <c r="H385" s="22"/>
    </row>
    <row r="386" spans="1:8">
      <c r="A386" s="21"/>
      <c r="B386" s="22"/>
      <c r="C386" s="22"/>
      <c r="D386" s="22"/>
      <c r="E386" s="23" t="str">
        <f>IF($D386="","",IFERROR(VLOOKUP($D386,'ACAH Capital Tracker'!$A:$H,8,FALSE()),""))</f>
        <v/>
      </c>
      <c r="F386" s="24"/>
      <c r="G386" s="25" t="str">
        <f>IF($D386="","",IFERROR(VLOOKUP($D386,'ACAH Capital Tracker'!$A:$D,4,FALSE()),""))</f>
        <v/>
      </c>
      <c r="H386" s="22"/>
    </row>
    <row r="387" spans="1:8">
      <c r="A387" s="21"/>
      <c r="B387" s="22"/>
      <c r="C387" s="22"/>
      <c r="D387" s="22"/>
      <c r="E387" s="23" t="str">
        <f>IF($D387="","",IFERROR(VLOOKUP($D387,'ACAH Capital Tracker'!$A:$H,8,FALSE()),""))</f>
        <v/>
      </c>
      <c r="F387" s="24"/>
      <c r="G387" s="25" t="str">
        <f>IF($D387="","",IFERROR(VLOOKUP($D387,'ACAH Capital Tracker'!$A:$D,4,FALSE()),""))</f>
        <v/>
      </c>
      <c r="H387" s="22"/>
    </row>
    <row r="388" spans="1:8">
      <c r="A388" s="21"/>
      <c r="B388" s="22"/>
      <c r="C388" s="22"/>
      <c r="D388" s="22"/>
      <c r="E388" s="23" t="str">
        <f>IF($D388="","",IFERROR(VLOOKUP($D388,'ACAH Capital Tracker'!$A:$H,8,FALSE()),""))</f>
        <v/>
      </c>
      <c r="F388" s="24"/>
      <c r="G388" s="25" t="str">
        <f>IF($D388="","",IFERROR(VLOOKUP($D388,'ACAH Capital Tracker'!$A:$D,4,FALSE()),""))</f>
        <v/>
      </c>
      <c r="H388" s="22"/>
    </row>
    <row r="389" spans="1:8">
      <c r="A389" s="21"/>
      <c r="B389" s="22"/>
      <c r="C389" s="22"/>
      <c r="D389" s="22"/>
      <c r="E389" s="23" t="str">
        <f>IF($D389="","",IFERROR(VLOOKUP($D389,'ACAH Capital Tracker'!$A:$H,8,FALSE()),""))</f>
        <v/>
      </c>
      <c r="F389" s="24"/>
      <c r="G389" s="25" t="str">
        <f>IF($D389="","",IFERROR(VLOOKUP($D389,'ACAH Capital Tracker'!$A:$D,4,FALSE()),""))</f>
        <v/>
      </c>
      <c r="H389" s="22"/>
    </row>
    <row r="390" spans="1:8">
      <c r="A390" s="21"/>
      <c r="B390" s="22"/>
      <c r="C390" s="22"/>
      <c r="D390" s="22"/>
      <c r="E390" s="23" t="str">
        <f>IF($D390="","",IFERROR(VLOOKUP($D390,'ACAH Capital Tracker'!$A:$H,8,FALSE()),""))</f>
        <v/>
      </c>
      <c r="F390" s="24"/>
      <c r="G390" s="25" t="str">
        <f>IF($D390="","",IFERROR(VLOOKUP($D390,'ACAH Capital Tracker'!$A:$D,4,FALSE()),""))</f>
        <v/>
      </c>
      <c r="H390" s="22"/>
    </row>
    <row r="391" spans="1:8">
      <c r="A391" s="21"/>
      <c r="B391" s="22"/>
      <c r="C391" s="22"/>
      <c r="D391" s="22"/>
      <c r="E391" s="23" t="str">
        <f>IF($D391="","",IFERROR(VLOOKUP($D391,'ACAH Capital Tracker'!$A:$H,8,FALSE()),""))</f>
        <v/>
      </c>
      <c r="F391" s="24"/>
      <c r="G391" s="25" t="str">
        <f>IF($D391="","",IFERROR(VLOOKUP($D391,'ACAH Capital Tracker'!$A:$D,4,FALSE()),""))</f>
        <v/>
      </c>
      <c r="H391" s="22"/>
    </row>
    <row r="392" spans="1:8">
      <c r="A392" s="21"/>
      <c r="B392" s="22"/>
      <c r="C392" s="22"/>
      <c r="D392" s="22"/>
      <c r="E392" s="23" t="str">
        <f>IF($D392="","",IFERROR(VLOOKUP($D392,'ACAH Capital Tracker'!$A:$H,8,FALSE()),""))</f>
        <v/>
      </c>
      <c r="F392" s="24"/>
      <c r="G392" s="25" t="str">
        <f>IF($D392="","",IFERROR(VLOOKUP($D392,'ACAH Capital Tracker'!$A:$D,4,FALSE()),""))</f>
        <v/>
      </c>
      <c r="H392" s="22"/>
    </row>
    <row r="393" spans="1:8">
      <c r="A393" s="21"/>
      <c r="B393" s="22"/>
      <c r="C393" s="22"/>
      <c r="D393" s="22"/>
      <c r="E393" s="23" t="str">
        <f>IF($D393="","",IFERROR(VLOOKUP($D393,'ACAH Capital Tracker'!$A:$H,8,FALSE()),""))</f>
        <v/>
      </c>
      <c r="F393" s="24"/>
      <c r="G393" s="25" t="str">
        <f>IF($D393="","",IFERROR(VLOOKUP($D393,'ACAH Capital Tracker'!$A:$D,4,FALSE()),""))</f>
        <v/>
      </c>
      <c r="H393" s="22"/>
    </row>
    <row r="394" spans="1:8">
      <c r="A394" s="21"/>
      <c r="B394" s="22"/>
      <c r="C394" s="22"/>
      <c r="D394" s="22"/>
      <c r="E394" s="23" t="str">
        <f>IF($D394="","",IFERROR(VLOOKUP($D394,'ACAH Capital Tracker'!$A:$H,8,FALSE()),""))</f>
        <v/>
      </c>
      <c r="F394" s="24"/>
      <c r="G394" s="25" t="str">
        <f>IF($D394="","",IFERROR(VLOOKUP($D394,'ACAH Capital Tracker'!$A:$D,4,FALSE()),""))</f>
        <v/>
      </c>
      <c r="H394" s="22"/>
    </row>
    <row r="395" spans="1:8">
      <c r="A395" s="21"/>
      <c r="B395" s="22"/>
      <c r="C395" s="22"/>
      <c r="D395" s="22"/>
      <c r="E395" s="23" t="str">
        <f>IF($D395="","",IFERROR(VLOOKUP($D395,'ACAH Capital Tracker'!$A:$H,8,FALSE()),""))</f>
        <v/>
      </c>
      <c r="F395" s="24"/>
      <c r="G395" s="25" t="str">
        <f>IF($D395="","",IFERROR(VLOOKUP($D395,'ACAH Capital Tracker'!$A:$D,4,FALSE()),""))</f>
        <v/>
      </c>
      <c r="H395" s="22"/>
    </row>
    <row r="396" spans="1:8">
      <c r="A396" s="21"/>
      <c r="B396" s="22"/>
      <c r="C396" s="22"/>
      <c r="D396" s="22"/>
      <c r="E396" s="23" t="str">
        <f>IF($D396="","",IFERROR(VLOOKUP($D396,'ACAH Capital Tracker'!$A:$H,8,FALSE()),""))</f>
        <v/>
      </c>
      <c r="F396" s="24"/>
      <c r="G396" s="25" t="str">
        <f>IF($D396="","",IFERROR(VLOOKUP($D396,'ACAH Capital Tracker'!$A:$D,4,FALSE()),""))</f>
        <v/>
      </c>
      <c r="H396" s="22"/>
    </row>
    <row r="397" spans="1:8">
      <c r="A397" s="21"/>
      <c r="B397" s="22"/>
      <c r="C397" s="22"/>
      <c r="D397" s="22"/>
      <c r="E397" s="23" t="str">
        <f>IF($D397="","",IFERROR(VLOOKUP($D397,'ACAH Capital Tracker'!$A:$H,8,FALSE()),""))</f>
        <v/>
      </c>
      <c r="F397" s="24"/>
      <c r="G397" s="25" t="str">
        <f>IF($D397="","",IFERROR(VLOOKUP($D397,'ACAH Capital Tracker'!$A:$D,4,FALSE()),""))</f>
        <v/>
      </c>
      <c r="H397" s="22"/>
    </row>
    <row r="398" spans="1:8">
      <c r="A398" s="21"/>
      <c r="B398" s="22"/>
      <c r="C398" s="22"/>
      <c r="D398" s="22"/>
      <c r="E398" s="23" t="str">
        <f>IF($D398="","",IFERROR(VLOOKUP($D398,'ACAH Capital Tracker'!$A:$H,8,FALSE()),""))</f>
        <v/>
      </c>
      <c r="F398" s="24"/>
      <c r="G398" s="25" t="str">
        <f>IF($D398="","",IFERROR(VLOOKUP($D398,'ACAH Capital Tracker'!$A:$D,4,FALSE()),""))</f>
        <v/>
      </c>
      <c r="H398" s="22"/>
    </row>
    <row r="399" spans="1:8">
      <c r="A399" s="21"/>
      <c r="B399" s="22"/>
      <c r="C399" s="22"/>
      <c r="D399" s="22"/>
      <c r="E399" s="23" t="str">
        <f>IF($D399="","",IFERROR(VLOOKUP($D399,'ACAH Capital Tracker'!$A:$H,8,FALSE()),""))</f>
        <v/>
      </c>
      <c r="F399" s="24"/>
      <c r="G399" s="25" t="str">
        <f>IF($D399="","",IFERROR(VLOOKUP($D399,'ACAH Capital Tracker'!$A:$D,4,FALSE()),""))</f>
        <v/>
      </c>
      <c r="H399" s="22"/>
    </row>
    <row r="400" spans="1:8">
      <c r="A400" s="21"/>
      <c r="B400" s="22"/>
      <c r="C400" s="22"/>
      <c r="D400" s="22"/>
      <c r="E400" s="23" t="str">
        <f>IF($D400="","",IFERROR(VLOOKUP($D400,'ACAH Capital Tracker'!$A:$H,8,FALSE()),""))</f>
        <v/>
      </c>
      <c r="F400" s="24"/>
      <c r="G400" s="25" t="str">
        <f>IF($D400="","",IFERROR(VLOOKUP($D400,'ACAH Capital Tracker'!$A:$D,4,FALSE()),""))</f>
        <v/>
      </c>
      <c r="H400" s="22"/>
    </row>
    <row r="401" spans="1:8">
      <c r="A401" s="21"/>
      <c r="B401" s="22"/>
      <c r="C401" s="22"/>
      <c r="D401" s="22"/>
      <c r="E401" s="23" t="str">
        <f>IF($D401="","",IFERROR(VLOOKUP($D401,'ACAH Capital Tracker'!$A:$H,8,FALSE()),""))</f>
        <v/>
      </c>
      <c r="F401" s="24"/>
      <c r="G401" s="25" t="str">
        <f>IF($D401="","",IFERROR(VLOOKUP($D401,'ACAH Capital Tracker'!$A:$D,4,FALSE()),""))</f>
        <v/>
      </c>
      <c r="H401" s="22"/>
    </row>
    <row r="402" spans="1:8">
      <c r="A402" s="21"/>
      <c r="B402" s="22"/>
      <c r="C402" s="22"/>
      <c r="D402" s="22"/>
      <c r="E402" s="23" t="str">
        <f>IF($D402="","",IFERROR(VLOOKUP($D402,'ACAH Capital Tracker'!$A:$H,8,FALSE()),""))</f>
        <v/>
      </c>
      <c r="F402" s="24"/>
      <c r="G402" s="25" t="str">
        <f>IF($D402="","",IFERROR(VLOOKUP($D402,'ACAH Capital Tracker'!$A:$D,4,FALSE()),""))</f>
        <v/>
      </c>
      <c r="H402" s="22"/>
    </row>
    <row r="403" spans="1:8">
      <c r="A403" s="21"/>
      <c r="B403" s="22"/>
      <c r="C403" s="22"/>
      <c r="D403" s="22"/>
      <c r="E403" s="23" t="str">
        <f>IF($D403="","",IFERROR(VLOOKUP($D403,'ACAH Capital Tracker'!$A:$H,8,FALSE()),""))</f>
        <v/>
      </c>
      <c r="F403" s="24"/>
      <c r="G403" s="25" t="str">
        <f>IF($D403="","",IFERROR(VLOOKUP($D403,'ACAH Capital Tracker'!$A:$D,4,FALSE()),""))</f>
        <v/>
      </c>
      <c r="H403" s="22"/>
    </row>
    <row r="404" spans="1:8">
      <c r="A404" s="21"/>
      <c r="B404" s="22"/>
      <c r="C404" s="22"/>
      <c r="D404" s="22"/>
      <c r="E404" s="23" t="str">
        <f>IF($D404="","",IFERROR(VLOOKUP($D404,'ACAH Capital Tracker'!$A:$H,8,FALSE()),""))</f>
        <v/>
      </c>
      <c r="F404" s="24"/>
      <c r="G404" s="25" t="str">
        <f>IF($D404="","",IFERROR(VLOOKUP($D404,'ACAH Capital Tracker'!$A:$D,4,FALSE()),""))</f>
        <v/>
      </c>
      <c r="H404" s="22"/>
    </row>
    <row r="405" spans="1:8">
      <c r="A405" s="21"/>
      <c r="B405" s="22"/>
      <c r="C405" s="22"/>
      <c r="D405" s="22"/>
      <c r="E405" s="23" t="str">
        <f>IF($D405="","",IFERROR(VLOOKUP($D405,'ACAH Capital Tracker'!$A:$H,8,FALSE()),""))</f>
        <v/>
      </c>
      <c r="F405" s="24"/>
      <c r="G405" s="25" t="str">
        <f>IF($D405="","",IFERROR(VLOOKUP($D405,'ACAH Capital Tracker'!$A:$D,4,FALSE()),""))</f>
        <v/>
      </c>
      <c r="H405" s="22"/>
    </row>
    <row r="406" spans="1:8">
      <c r="A406" s="21"/>
      <c r="B406" s="22"/>
      <c r="C406" s="22"/>
      <c r="D406" s="22"/>
      <c r="E406" s="23" t="str">
        <f>IF($D406="","",IFERROR(VLOOKUP($D406,'ACAH Capital Tracker'!$A:$H,8,FALSE()),""))</f>
        <v/>
      </c>
      <c r="F406" s="24"/>
      <c r="G406" s="25" t="str">
        <f>IF($D406="","",IFERROR(VLOOKUP($D406,'ACAH Capital Tracker'!$A:$D,4,FALSE()),""))</f>
        <v/>
      </c>
      <c r="H406" s="22"/>
    </row>
    <row r="407" spans="1:8">
      <c r="A407" s="21"/>
      <c r="B407" s="22"/>
      <c r="C407" s="22"/>
      <c r="D407" s="22"/>
      <c r="E407" s="23" t="str">
        <f>IF($D407="","",IFERROR(VLOOKUP($D407,'ACAH Capital Tracker'!$A:$H,8,FALSE()),""))</f>
        <v/>
      </c>
      <c r="F407" s="24"/>
      <c r="G407" s="25" t="str">
        <f>IF($D407="","",IFERROR(VLOOKUP($D407,'ACAH Capital Tracker'!$A:$D,4,FALSE()),""))</f>
        <v/>
      </c>
      <c r="H407" s="22"/>
    </row>
    <row r="408" spans="1:8">
      <c r="A408" s="21"/>
      <c r="B408" s="22"/>
      <c r="C408" s="22"/>
      <c r="D408" s="22"/>
      <c r="E408" s="23" t="str">
        <f>IF($D408="","",IFERROR(VLOOKUP($D408,'ACAH Capital Tracker'!$A:$H,8,FALSE()),""))</f>
        <v/>
      </c>
      <c r="F408" s="24"/>
      <c r="G408" s="25" t="str">
        <f>IF($D408="","",IFERROR(VLOOKUP($D408,'ACAH Capital Tracker'!$A:$D,4,FALSE()),""))</f>
        <v/>
      </c>
      <c r="H408" s="22"/>
    </row>
    <row r="409" spans="1:8">
      <c r="A409" s="21"/>
      <c r="B409" s="22"/>
      <c r="C409" s="22"/>
      <c r="D409" s="22"/>
      <c r="E409" s="23" t="str">
        <f>IF($D409="","",IFERROR(VLOOKUP($D409,'ACAH Capital Tracker'!$A:$H,8,FALSE()),""))</f>
        <v/>
      </c>
      <c r="F409" s="24"/>
      <c r="G409" s="25" t="str">
        <f>IF($D409="","",IFERROR(VLOOKUP($D409,'ACAH Capital Tracker'!$A:$D,4,FALSE()),""))</f>
        <v/>
      </c>
      <c r="H409" s="22"/>
    </row>
    <row r="410" spans="1:8">
      <c r="A410" s="21"/>
      <c r="B410" s="22"/>
      <c r="C410" s="22"/>
      <c r="D410" s="22"/>
      <c r="E410" s="23" t="str">
        <f>IF($D410="","",IFERROR(VLOOKUP($D410,'ACAH Capital Tracker'!$A:$H,8,FALSE()),""))</f>
        <v/>
      </c>
      <c r="F410" s="24"/>
      <c r="G410" s="25" t="str">
        <f>IF($D410="","",IFERROR(VLOOKUP($D410,'ACAH Capital Tracker'!$A:$D,4,FALSE()),""))</f>
        <v/>
      </c>
      <c r="H410" s="22"/>
    </row>
    <row r="411" spans="1:8">
      <c r="A411" s="21"/>
      <c r="B411" s="22"/>
      <c r="C411" s="22"/>
      <c r="D411" s="22"/>
      <c r="E411" s="23" t="str">
        <f>IF($D411="","",IFERROR(VLOOKUP($D411,'ACAH Capital Tracker'!$A:$H,8,FALSE()),""))</f>
        <v/>
      </c>
      <c r="F411" s="24"/>
      <c r="G411" s="25" t="str">
        <f>IF($D411="","",IFERROR(VLOOKUP($D411,'ACAH Capital Tracker'!$A:$D,4,FALSE()),""))</f>
        <v/>
      </c>
      <c r="H411" s="22"/>
    </row>
    <row r="412" spans="1:8">
      <c r="A412" s="21"/>
      <c r="B412" s="22"/>
      <c r="C412" s="22"/>
      <c r="D412" s="22"/>
      <c r="E412" s="23" t="str">
        <f>IF($D412="","",IFERROR(VLOOKUP($D412,'ACAH Capital Tracker'!$A:$H,8,FALSE()),""))</f>
        <v/>
      </c>
      <c r="F412" s="24"/>
      <c r="G412" s="25" t="str">
        <f>IF($D412="","",IFERROR(VLOOKUP($D412,'ACAH Capital Tracker'!$A:$D,4,FALSE()),""))</f>
        <v/>
      </c>
      <c r="H412" s="22"/>
    </row>
    <row r="413" spans="1:8">
      <c r="A413" s="21"/>
      <c r="B413" s="22"/>
      <c r="C413" s="22"/>
      <c r="D413" s="22"/>
      <c r="E413" s="23" t="str">
        <f>IF($D413="","",IFERROR(VLOOKUP($D413,'ACAH Capital Tracker'!$A:$H,8,FALSE()),""))</f>
        <v/>
      </c>
      <c r="F413" s="24"/>
      <c r="G413" s="25" t="str">
        <f>IF($D413="","",IFERROR(VLOOKUP($D413,'ACAH Capital Tracker'!$A:$D,4,FALSE()),""))</f>
        <v/>
      </c>
      <c r="H413" s="22"/>
    </row>
    <row r="414" spans="1:8">
      <c r="A414" s="21"/>
      <c r="B414" s="22"/>
      <c r="C414" s="22"/>
      <c r="D414" s="22"/>
      <c r="E414" s="23" t="str">
        <f>IF($D414="","",IFERROR(VLOOKUP($D414,'ACAH Capital Tracker'!$A:$H,8,FALSE()),""))</f>
        <v/>
      </c>
      <c r="F414" s="24"/>
      <c r="G414" s="25" t="str">
        <f>IF($D414="","",IFERROR(VLOOKUP($D414,'ACAH Capital Tracker'!$A:$D,4,FALSE()),""))</f>
        <v/>
      </c>
      <c r="H414" s="22"/>
    </row>
    <row r="415" spans="1:8">
      <c r="A415" s="21"/>
      <c r="B415" s="22"/>
      <c r="C415" s="22"/>
      <c r="D415" s="22"/>
      <c r="E415" s="23" t="str">
        <f>IF($D415="","",IFERROR(VLOOKUP($D415,'ACAH Capital Tracker'!$A:$H,8,FALSE()),""))</f>
        <v/>
      </c>
      <c r="F415" s="24"/>
      <c r="G415" s="25" t="str">
        <f>IF($D415="","",IFERROR(VLOOKUP($D415,'ACAH Capital Tracker'!$A:$D,4,FALSE()),""))</f>
        <v/>
      </c>
      <c r="H415" s="22"/>
    </row>
    <row r="416" spans="1:8">
      <c r="A416" s="21"/>
      <c r="B416" s="22"/>
      <c r="C416" s="22"/>
      <c r="D416" s="22"/>
      <c r="E416" s="23" t="str">
        <f>IF($D416="","",IFERROR(VLOOKUP($D416,'ACAH Capital Tracker'!$A:$H,8,FALSE()),""))</f>
        <v/>
      </c>
      <c r="F416" s="24"/>
      <c r="G416" s="25" t="str">
        <f>IF($D416="","",IFERROR(VLOOKUP($D416,'ACAH Capital Tracker'!$A:$D,4,FALSE()),""))</f>
        <v/>
      </c>
      <c r="H416" s="22"/>
    </row>
    <row r="417" spans="1:8">
      <c r="A417" s="21"/>
      <c r="B417" s="22"/>
      <c r="C417" s="22"/>
      <c r="D417" s="22"/>
      <c r="E417" s="23" t="str">
        <f>IF($D417="","",IFERROR(VLOOKUP($D417,'ACAH Capital Tracker'!$A:$H,8,FALSE()),""))</f>
        <v/>
      </c>
      <c r="F417" s="24"/>
      <c r="G417" s="25" t="str">
        <f>IF($D417="","",IFERROR(VLOOKUP($D417,'ACAH Capital Tracker'!$A:$D,4,FALSE()),""))</f>
        <v/>
      </c>
      <c r="H417" s="22"/>
    </row>
    <row r="418" spans="1:8">
      <c r="A418" s="21"/>
      <c r="B418" s="22"/>
      <c r="C418" s="22"/>
      <c r="D418" s="22"/>
      <c r="E418" s="23" t="str">
        <f>IF($D418="","",IFERROR(VLOOKUP($D418,'ACAH Capital Tracker'!$A:$H,8,FALSE()),""))</f>
        <v/>
      </c>
      <c r="F418" s="24"/>
      <c r="G418" s="25" t="str">
        <f>IF($D418="","",IFERROR(VLOOKUP($D418,'ACAH Capital Tracker'!$A:$D,4,FALSE()),""))</f>
        <v/>
      </c>
      <c r="H418" s="22"/>
    </row>
    <row r="419" spans="1:8">
      <c r="A419" s="21"/>
      <c r="B419" s="22"/>
      <c r="C419" s="22"/>
      <c r="D419" s="22"/>
      <c r="E419" s="23" t="str">
        <f>IF($D419="","",IFERROR(VLOOKUP($D419,'ACAH Capital Tracker'!$A:$H,8,FALSE()),""))</f>
        <v/>
      </c>
      <c r="F419" s="24"/>
      <c r="G419" s="25" t="str">
        <f>IF($D419="","",IFERROR(VLOOKUP($D419,'ACAH Capital Tracker'!$A:$D,4,FALSE()),""))</f>
        <v/>
      </c>
      <c r="H419" s="22"/>
    </row>
    <row r="420" spans="1:8">
      <c r="A420" s="21"/>
      <c r="B420" s="22"/>
      <c r="C420" s="22"/>
      <c r="D420" s="22"/>
      <c r="E420" s="23" t="str">
        <f>IF($D420="","",IFERROR(VLOOKUP($D420,'ACAH Capital Tracker'!$A:$H,8,FALSE()),""))</f>
        <v/>
      </c>
      <c r="F420" s="24"/>
      <c r="G420" s="25" t="str">
        <f>IF($D420="","",IFERROR(VLOOKUP($D420,'ACAH Capital Tracker'!$A:$D,4,FALSE()),""))</f>
        <v/>
      </c>
      <c r="H420" s="22"/>
    </row>
    <row r="421" spans="1:8">
      <c r="A421" s="21"/>
      <c r="B421" s="22"/>
      <c r="C421" s="22"/>
      <c r="D421" s="22"/>
      <c r="E421" s="23" t="str">
        <f>IF($D421="","",IFERROR(VLOOKUP($D421,'ACAH Capital Tracker'!$A:$H,8,FALSE()),""))</f>
        <v/>
      </c>
      <c r="F421" s="24"/>
      <c r="G421" s="25" t="str">
        <f>IF($D421="","",IFERROR(VLOOKUP($D421,'ACAH Capital Tracker'!$A:$D,4,FALSE()),""))</f>
        <v/>
      </c>
      <c r="H421" s="22"/>
    </row>
    <row r="422" spans="1:8">
      <c r="A422" s="21"/>
      <c r="B422" s="22"/>
      <c r="C422" s="22"/>
      <c r="D422" s="22"/>
      <c r="E422" s="23" t="str">
        <f>IF($D422="","",IFERROR(VLOOKUP($D422,'ACAH Capital Tracker'!$A:$H,8,FALSE()),""))</f>
        <v/>
      </c>
      <c r="F422" s="24"/>
      <c r="G422" s="25" t="str">
        <f>IF($D422="","",IFERROR(VLOOKUP($D422,'ACAH Capital Tracker'!$A:$D,4,FALSE()),""))</f>
        <v/>
      </c>
      <c r="H422" s="22"/>
    </row>
    <row r="423" spans="1:8">
      <c r="A423" s="21"/>
      <c r="B423" s="22"/>
      <c r="C423" s="22"/>
      <c r="D423" s="22"/>
      <c r="E423" s="23" t="str">
        <f>IF($D423="","",IFERROR(VLOOKUP($D423,'ACAH Capital Tracker'!$A:$H,8,FALSE()),""))</f>
        <v/>
      </c>
      <c r="F423" s="24"/>
      <c r="G423" s="25" t="str">
        <f>IF($D423="","",IFERROR(VLOOKUP($D423,'ACAH Capital Tracker'!$A:$D,4,FALSE()),""))</f>
        <v/>
      </c>
      <c r="H423" s="22"/>
    </row>
    <row r="424" spans="1:8">
      <c r="A424" s="21"/>
      <c r="B424" s="22"/>
      <c r="C424" s="22"/>
      <c r="D424" s="22"/>
      <c r="E424" s="23" t="str">
        <f>IF($D424="","",IFERROR(VLOOKUP($D424,'ACAH Capital Tracker'!$A:$H,8,FALSE()),""))</f>
        <v/>
      </c>
      <c r="F424" s="24"/>
      <c r="G424" s="25" t="str">
        <f>IF($D424="","",IFERROR(VLOOKUP($D424,'ACAH Capital Tracker'!$A:$D,4,FALSE()),""))</f>
        <v/>
      </c>
      <c r="H424" s="22"/>
    </row>
    <row r="425" spans="1:8">
      <c r="A425" s="21"/>
      <c r="B425" s="22"/>
      <c r="C425" s="22"/>
      <c r="D425" s="22"/>
      <c r="E425" s="23" t="str">
        <f>IF($D425="","",IFERROR(VLOOKUP($D425,'ACAH Capital Tracker'!$A:$H,8,FALSE()),""))</f>
        <v/>
      </c>
      <c r="F425" s="24"/>
      <c r="G425" s="25" t="str">
        <f>IF($D425="","",IFERROR(VLOOKUP($D425,'ACAH Capital Tracker'!$A:$D,4,FALSE()),""))</f>
        <v/>
      </c>
      <c r="H425" s="22"/>
    </row>
    <row r="426" spans="1:8">
      <c r="A426" s="21"/>
      <c r="B426" s="22"/>
      <c r="C426" s="22"/>
      <c r="D426" s="22"/>
      <c r="E426" s="23" t="str">
        <f>IF($D426="","",IFERROR(VLOOKUP($D426,'ACAH Capital Tracker'!$A:$H,8,FALSE()),""))</f>
        <v/>
      </c>
      <c r="F426" s="24"/>
      <c r="G426" s="25" t="str">
        <f>IF($D426="","",IFERROR(VLOOKUP($D426,'ACAH Capital Tracker'!$A:$D,4,FALSE()),""))</f>
        <v/>
      </c>
      <c r="H426" s="22"/>
    </row>
    <row r="427" spans="1:8">
      <c r="A427" s="21"/>
      <c r="B427" s="22"/>
      <c r="C427" s="22"/>
      <c r="D427" s="22"/>
      <c r="E427" s="23" t="str">
        <f>IF($D427="","",IFERROR(VLOOKUP($D427,'ACAH Capital Tracker'!$A:$H,8,FALSE()),""))</f>
        <v/>
      </c>
      <c r="F427" s="24"/>
      <c r="G427" s="25" t="str">
        <f>IF($D427="","",IFERROR(VLOOKUP($D427,'ACAH Capital Tracker'!$A:$D,4,FALSE()),""))</f>
        <v/>
      </c>
      <c r="H427" s="22"/>
    </row>
    <row r="428" spans="1:8">
      <c r="A428" s="21"/>
      <c r="B428" s="22"/>
      <c r="C428" s="22"/>
      <c r="D428" s="22"/>
      <c r="E428" s="23" t="str">
        <f>IF($D428="","",IFERROR(VLOOKUP($D428,'ACAH Capital Tracker'!$A:$H,8,FALSE()),""))</f>
        <v/>
      </c>
      <c r="F428" s="24"/>
      <c r="G428" s="25" t="str">
        <f>IF($D428="","",IFERROR(VLOOKUP($D428,'ACAH Capital Tracker'!$A:$D,4,FALSE()),""))</f>
        <v/>
      </c>
      <c r="H428" s="22"/>
    </row>
    <row r="429" spans="1:8">
      <c r="A429" s="21"/>
      <c r="B429" s="22"/>
      <c r="C429" s="22"/>
      <c r="D429" s="22"/>
      <c r="E429" s="23" t="str">
        <f>IF($D429="","",IFERROR(VLOOKUP($D429,'ACAH Capital Tracker'!$A:$H,8,FALSE()),""))</f>
        <v/>
      </c>
      <c r="F429" s="24"/>
      <c r="G429" s="25" t="str">
        <f>IF($D429="","",IFERROR(VLOOKUP($D429,'ACAH Capital Tracker'!$A:$D,4,FALSE()),""))</f>
        <v/>
      </c>
      <c r="H429" s="22"/>
    </row>
    <row r="430" spans="1:8">
      <c r="A430" s="21"/>
      <c r="B430" s="22"/>
      <c r="C430" s="22"/>
      <c r="D430" s="22"/>
      <c r="E430" s="23" t="str">
        <f>IF($D430="","",IFERROR(VLOOKUP($D430,'ACAH Capital Tracker'!$A:$H,8,FALSE()),""))</f>
        <v/>
      </c>
      <c r="F430" s="24"/>
      <c r="G430" s="25" t="str">
        <f>IF($D430="","",IFERROR(VLOOKUP($D430,'ACAH Capital Tracker'!$A:$D,4,FALSE()),""))</f>
        <v/>
      </c>
      <c r="H430" s="22"/>
    </row>
    <row r="431" spans="1:8">
      <c r="A431" s="21"/>
      <c r="B431" s="22"/>
      <c r="C431" s="22"/>
      <c r="D431" s="22"/>
      <c r="E431" s="23" t="str">
        <f>IF($D431="","",IFERROR(VLOOKUP($D431,'ACAH Capital Tracker'!$A:$H,8,FALSE()),""))</f>
        <v/>
      </c>
      <c r="F431" s="24"/>
      <c r="G431" s="25" t="str">
        <f>IF($D431="","",IFERROR(VLOOKUP($D431,'ACAH Capital Tracker'!$A:$D,4,FALSE()),""))</f>
        <v/>
      </c>
      <c r="H431" s="22"/>
    </row>
    <row r="432" spans="1:8">
      <c r="A432" s="21"/>
      <c r="B432" s="22"/>
      <c r="C432" s="22"/>
      <c r="D432" s="22"/>
      <c r="E432" s="23" t="str">
        <f>IF($D432="","",IFERROR(VLOOKUP($D432,'ACAH Capital Tracker'!$A:$H,8,FALSE()),""))</f>
        <v/>
      </c>
      <c r="F432" s="24"/>
      <c r="G432" s="25" t="str">
        <f>IF($D432="","",IFERROR(VLOOKUP($D432,'ACAH Capital Tracker'!$A:$D,4,FALSE()),""))</f>
        <v/>
      </c>
      <c r="H432" s="22"/>
    </row>
    <row r="433" spans="1:8">
      <c r="A433" s="21"/>
      <c r="B433" s="22"/>
      <c r="C433" s="22"/>
      <c r="D433" s="22"/>
      <c r="E433" s="23" t="str">
        <f>IF($D433="","",IFERROR(VLOOKUP($D433,'ACAH Capital Tracker'!$A:$H,8,FALSE()),""))</f>
        <v/>
      </c>
      <c r="F433" s="24"/>
      <c r="G433" s="25" t="str">
        <f>IF($D433="","",IFERROR(VLOOKUP($D433,'ACAH Capital Tracker'!$A:$D,4,FALSE()),""))</f>
        <v/>
      </c>
      <c r="H433" s="22"/>
    </row>
    <row r="434" spans="1:8">
      <c r="A434" s="21"/>
      <c r="B434" s="22"/>
      <c r="C434" s="22"/>
      <c r="D434" s="22"/>
      <c r="E434" s="23" t="str">
        <f>IF($D434="","",IFERROR(VLOOKUP($D434,'ACAH Capital Tracker'!$A:$H,8,FALSE()),""))</f>
        <v/>
      </c>
      <c r="F434" s="24"/>
      <c r="G434" s="25" t="str">
        <f>IF($D434="","",IFERROR(VLOOKUP($D434,'ACAH Capital Tracker'!$A:$D,4,FALSE()),""))</f>
        <v/>
      </c>
      <c r="H434" s="22"/>
    </row>
    <row r="435" spans="1:8">
      <c r="A435" s="21"/>
      <c r="B435" s="22"/>
      <c r="C435" s="22"/>
      <c r="D435" s="22"/>
      <c r="E435" s="23" t="str">
        <f>IF($D435="","",IFERROR(VLOOKUP($D435,'ACAH Capital Tracker'!$A:$H,8,FALSE()),""))</f>
        <v/>
      </c>
      <c r="F435" s="24"/>
      <c r="G435" s="25" t="str">
        <f>IF($D435="","",IFERROR(VLOOKUP($D435,'ACAH Capital Tracker'!$A:$D,4,FALSE()),""))</f>
        <v/>
      </c>
      <c r="H435" s="22"/>
    </row>
    <row r="436" spans="1:8">
      <c r="A436" s="21"/>
      <c r="B436" s="22"/>
      <c r="C436" s="22"/>
      <c r="D436" s="22"/>
      <c r="E436" s="23" t="str">
        <f>IF($D436="","",IFERROR(VLOOKUP($D436,'ACAH Capital Tracker'!$A:$H,8,FALSE()),""))</f>
        <v/>
      </c>
      <c r="F436" s="24"/>
      <c r="G436" s="25" t="str">
        <f>IF($D436="","",IFERROR(VLOOKUP($D436,'ACAH Capital Tracker'!$A:$D,4,FALSE()),""))</f>
        <v/>
      </c>
      <c r="H436" s="22"/>
    </row>
    <row r="437" spans="1:8">
      <c r="A437" s="21"/>
      <c r="B437" s="22"/>
      <c r="C437" s="22"/>
      <c r="D437" s="22"/>
      <c r="E437" s="23" t="str">
        <f>IF($D437="","",IFERROR(VLOOKUP($D437,'ACAH Capital Tracker'!$A:$H,8,FALSE()),""))</f>
        <v/>
      </c>
      <c r="F437" s="24"/>
      <c r="G437" s="25" t="str">
        <f>IF($D437="","",IFERROR(VLOOKUP($D437,'ACAH Capital Tracker'!$A:$D,4,FALSE()),""))</f>
        <v/>
      </c>
      <c r="H437" s="22"/>
    </row>
    <row r="438" spans="1:8">
      <c r="A438" s="21"/>
      <c r="B438" s="22"/>
      <c r="C438" s="22"/>
      <c r="D438" s="22"/>
      <c r="E438" s="23" t="str">
        <f>IF($D438="","",IFERROR(VLOOKUP($D438,'ACAH Capital Tracker'!$A:$H,8,FALSE()),""))</f>
        <v/>
      </c>
      <c r="F438" s="24"/>
      <c r="G438" s="25" t="str">
        <f>IF($D438="","",IFERROR(VLOOKUP($D438,'ACAH Capital Tracker'!$A:$D,4,FALSE()),""))</f>
        <v/>
      </c>
      <c r="H438" s="22"/>
    </row>
    <row r="439" spans="1:8">
      <c r="A439" s="21"/>
      <c r="B439" s="22"/>
      <c r="C439" s="22"/>
      <c r="D439" s="22"/>
      <c r="E439" s="23" t="str">
        <f>IF($D439="","",IFERROR(VLOOKUP($D439,'ACAH Capital Tracker'!$A:$H,8,FALSE()),""))</f>
        <v/>
      </c>
      <c r="F439" s="24"/>
      <c r="G439" s="25" t="str">
        <f>IF($D439="","",IFERROR(VLOOKUP($D439,'ACAH Capital Tracker'!$A:$D,4,FALSE()),""))</f>
        <v/>
      </c>
      <c r="H439" s="22"/>
    </row>
    <row r="440" spans="1:8">
      <c r="A440" s="21"/>
      <c r="B440" s="22"/>
      <c r="C440" s="22"/>
      <c r="D440" s="22"/>
      <c r="E440" s="23" t="str">
        <f>IF($D440="","",IFERROR(VLOOKUP($D440,'ACAH Capital Tracker'!$A:$H,8,FALSE()),""))</f>
        <v/>
      </c>
      <c r="F440" s="24"/>
      <c r="G440" s="25" t="str">
        <f>IF($D440="","",IFERROR(VLOOKUP($D440,'ACAH Capital Tracker'!$A:$D,4,FALSE()),""))</f>
        <v/>
      </c>
      <c r="H440" s="22"/>
    </row>
    <row r="441" spans="1:8">
      <c r="A441" s="21"/>
      <c r="B441" s="22"/>
      <c r="C441" s="22"/>
      <c r="D441" s="22"/>
      <c r="E441" s="23" t="str">
        <f>IF($D441="","",IFERROR(VLOOKUP($D441,'ACAH Capital Tracker'!$A:$H,8,FALSE()),""))</f>
        <v/>
      </c>
      <c r="F441" s="24"/>
      <c r="G441" s="25" t="str">
        <f>IF($D441="","",IFERROR(VLOOKUP($D441,'ACAH Capital Tracker'!$A:$D,4,FALSE()),""))</f>
        <v/>
      </c>
      <c r="H441" s="22"/>
    </row>
    <row r="442" spans="1:8">
      <c r="A442" s="21"/>
      <c r="B442" s="22"/>
      <c r="C442" s="22"/>
      <c r="D442" s="22"/>
      <c r="E442" s="23" t="str">
        <f>IF($D442="","",IFERROR(VLOOKUP($D442,'ACAH Capital Tracker'!$A:$H,8,FALSE()),""))</f>
        <v/>
      </c>
      <c r="F442" s="24"/>
      <c r="G442" s="25" t="str">
        <f>IF($D442="","",IFERROR(VLOOKUP($D442,'ACAH Capital Tracker'!$A:$D,4,FALSE()),""))</f>
        <v/>
      </c>
      <c r="H442" s="22"/>
    </row>
    <row r="443" spans="1:8">
      <c r="A443" s="21"/>
      <c r="B443" s="22"/>
      <c r="C443" s="22"/>
      <c r="D443" s="22"/>
      <c r="E443" s="23" t="str">
        <f>IF($D443="","",IFERROR(VLOOKUP($D443,'ACAH Capital Tracker'!$A:$H,8,FALSE()),""))</f>
        <v/>
      </c>
      <c r="F443" s="24"/>
      <c r="G443" s="25" t="str">
        <f>IF($D443="","",IFERROR(VLOOKUP($D443,'ACAH Capital Tracker'!$A:$D,4,FALSE()),""))</f>
        <v/>
      </c>
      <c r="H443" s="22"/>
    </row>
    <row r="444" spans="1:8">
      <c r="A444" s="21"/>
      <c r="B444" s="22"/>
      <c r="C444" s="22"/>
      <c r="D444" s="22"/>
      <c r="E444" s="23" t="str">
        <f>IF($D444="","",IFERROR(VLOOKUP($D444,'ACAH Capital Tracker'!$A:$H,8,FALSE()),""))</f>
        <v/>
      </c>
      <c r="F444" s="24"/>
      <c r="G444" s="25" t="str">
        <f>IF($D444="","",IFERROR(VLOOKUP($D444,'ACAH Capital Tracker'!$A:$D,4,FALSE()),""))</f>
        <v/>
      </c>
      <c r="H444" s="22"/>
    </row>
    <row r="445" spans="1:8">
      <c r="A445" s="21"/>
      <c r="B445" s="22"/>
      <c r="C445" s="22"/>
      <c r="D445" s="22"/>
      <c r="E445" s="23" t="str">
        <f>IF($D445="","",IFERROR(VLOOKUP($D445,'ACAH Capital Tracker'!$A:$H,8,FALSE()),""))</f>
        <v/>
      </c>
      <c r="F445" s="24"/>
      <c r="G445" s="25" t="str">
        <f>IF($D445="","",IFERROR(VLOOKUP($D445,'ACAH Capital Tracker'!$A:$D,4,FALSE()),""))</f>
        <v/>
      </c>
      <c r="H445" s="22"/>
    </row>
    <row r="446" spans="1:8">
      <c r="A446" s="21"/>
      <c r="B446" s="22"/>
      <c r="C446" s="22"/>
      <c r="D446" s="22"/>
      <c r="E446" s="23" t="str">
        <f>IF($D446="","",IFERROR(VLOOKUP($D446,'ACAH Capital Tracker'!$A:$H,8,FALSE()),""))</f>
        <v/>
      </c>
      <c r="F446" s="24"/>
      <c r="G446" s="25" t="str">
        <f>IF($D446="","",IFERROR(VLOOKUP($D446,'ACAH Capital Tracker'!$A:$D,4,FALSE()),""))</f>
        <v/>
      </c>
      <c r="H446" s="22"/>
    </row>
    <row r="447" spans="1:8">
      <c r="A447" s="21"/>
      <c r="B447" s="22"/>
      <c r="C447" s="22"/>
      <c r="D447" s="22"/>
      <c r="E447" s="23" t="str">
        <f>IF($D447="","",IFERROR(VLOOKUP($D447,'ACAH Capital Tracker'!$A:$H,8,FALSE()),""))</f>
        <v/>
      </c>
      <c r="F447" s="24"/>
      <c r="G447" s="25" t="str">
        <f>IF($D447="","",IFERROR(VLOOKUP($D447,'ACAH Capital Tracker'!$A:$D,4,FALSE()),""))</f>
        <v/>
      </c>
      <c r="H447" s="22"/>
    </row>
    <row r="448" spans="1:8">
      <c r="A448" s="21"/>
      <c r="B448" s="22"/>
      <c r="C448" s="22"/>
      <c r="D448" s="22"/>
      <c r="E448" s="23" t="str">
        <f>IF($D448="","",IFERROR(VLOOKUP($D448,'ACAH Capital Tracker'!$A:$H,8,FALSE()),""))</f>
        <v/>
      </c>
      <c r="F448" s="24"/>
      <c r="G448" s="25" t="str">
        <f>IF($D448="","",IFERROR(VLOOKUP($D448,'ACAH Capital Tracker'!$A:$D,4,FALSE()),""))</f>
        <v/>
      </c>
      <c r="H448" s="22"/>
    </row>
    <row r="449" spans="1:8">
      <c r="A449" s="21"/>
      <c r="B449" s="22"/>
      <c r="C449" s="22"/>
      <c r="D449" s="22"/>
      <c r="E449" s="23" t="str">
        <f>IF($D449="","",IFERROR(VLOOKUP($D449,'ACAH Capital Tracker'!$A:$H,8,FALSE()),""))</f>
        <v/>
      </c>
      <c r="F449" s="24"/>
      <c r="G449" s="25" t="str">
        <f>IF($D449="","",IFERROR(VLOOKUP($D449,'ACAH Capital Tracker'!$A:$D,4,FALSE()),""))</f>
        <v/>
      </c>
      <c r="H449" s="22"/>
    </row>
    <row r="450" spans="1:8">
      <c r="A450" s="21"/>
      <c r="B450" s="22"/>
      <c r="C450" s="22"/>
      <c r="D450" s="22"/>
      <c r="E450" s="23" t="str">
        <f>IF($D450="","",IFERROR(VLOOKUP($D450,'ACAH Capital Tracker'!$A:$H,8,FALSE()),""))</f>
        <v/>
      </c>
      <c r="F450" s="24"/>
      <c r="G450" s="25" t="str">
        <f>IF($D450="","",IFERROR(VLOOKUP($D450,'ACAH Capital Tracker'!$A:$D,4,FALSE()),""))</f>
        <v/>
      </c>
      <c r="H450" s="22"/>
    </row>
    <row r="451" spans="1:8">
      <c r="A451" s="21"/>
      <c r="B451" s="22"/>
      <c r="C451" s="22"/>
      <c r="D451" s="22"/>
      <c r="E451" s="23" t="str">
        <f>IF($D451="","",IFERROR(VLOOKUP($D451,'ACAH Capital Tracker'!$A:$H,8,FALSE()),""))</f>
        <v/>
      </c>
      <c r="F451" s="24"/>
      <c r="G451" s="25" t="str">
        <f>IF($D451="","",IFERROR(VLOOKUP($D451,'ACAH Capital Tracker'!$A:$D,4,FALSE()),""))</f>
        <v/>
      </c>
      <c r="H451" s="22"/>
    </row>
    <row r="452" spans="1:8">
      <c r="A452" s="21"/>
      <c r="B452" s="22"/>
      <c r="C452" s="22"/>
      <c r="D452" s="22"/>
      <c r="E452" s="23" t="str">
        <f>IF($D452="","",IFERROR(VLOOKUP($D452,'ACAH Capital Tracker'!$A:$H,8,FALSE()),""))</f>
        <v/>
      </c>
      <c r="F452" s="24"/>
      <c r="G452" s="25" t="str">
        <f>IF($D452="","",IFERROR(VLOOKUP($D452,'ACAH Capital Tracker'!$A:$D,4,FALSE()),""))</f>
        <v/>
      </c>
      <c r="H452" s="22"/>
    </row>
    <row r="453" spans="1:8">
      <c r="A453" s="21"/>
      <c r="B453" s="22"/>
      <c r="C453" s="22"/>
      <c r="D453" s="22"/>
      <c r="E453" s="23" t="str">
        <f>IF($D453="","",IFERROR(VLOOKUP($D453,'ACAH Capital Tracker'!$A:$H,8,FALSE()),""))</f>
        <v/>
      </c>
      <c r="F453" s="24"/>
      <c r="G453" s="25" t="str">
        <f>IF($D453="","",IFERROR(VLOOKUP($D453,'ACAH Capital Tracker'!$A:$D,4,FALSE()),""))</f>
        <v/>
      </c>
      <c r="H453" s="22"/>
    </row>
    <row r="454" spans="1:8">
      <c r="A454" s="21"/>
      <c r="B454" s="22"/>
      <c r="C454" s="22"/>
      <c r="D454" s="22"/>
      <c r="E454" s="23" t="str">
        <f>IF($D454="","",IFERROR(VLOOKUP($D454,'ACAH Capital Tracker'!$A:$H,8,FALSE()),""))</f>
        <v/>
      </c>
      <c r="F454" s="24"/>
      <c r="G454" s="25" t="str">
        <f>IF($D454="","",IFERROR(VLOOKUP($D454,'ACAH Capital Tracker'!$A:$D,4,FALSE()),""))</f>
        <v/>
      </c>
      <c r="H454" s="22"/>
    </row>
    <row r="455" spans="1:8">
      <c r="A455" s="21"/>
      <c r="B455" s="22"/>
      <c r="C455" s="22"/>
      <c r="D455" s="22"/>
      <c r="E455" s="23" t="str">
        <f>IF($D455="","",IFERROR(VLOOKUP($D455,'ACAH Capital Tracker'!$A:$H,8,FALSE()),""))</f>
        <v/>
      </c>
      <c r="F455" s="24"/>
      <c r="G455" s="25" t="str">
        <f>IF($D455="","",IFERROR(VLOOKUP($D455,'ACAH Capital Tracker'!$A:$D,4,FALSE()),""))</f>
        <v/>
      </c>
      <c r="H455" s="22"/>
    </row>
    <row r="456" spans="1:8">
      <c r="A456" s="21"/>
      <c r="B456" s="22"/>
      <c r="C456" s="22"/>
      <c r="D456" s="22"/>
      <c r="E456" s="23" t="str">
        <f>IF($D456="","",IFERROR(VLOOKUP($D456,'ACAH Capital Tracker'!$A:$H,8,FALSE()),""))</f>
        <v/>
      </c>
      <c r="F456" s="24"/>
      <c r="G456" s="25" t="str">
        <f>IF($D456="","",IFERROR(VLOOKUP($D456,'ACAH Capital Tracker'!$A:$D,4,FALSE()),""))</f>
        <v/>
      </c>
      <c r="H456" s="22"/>
    </row>
    <row r="457" spans="1:8">
      <c r="A457" s="21"/>
      <c r="B457" s="22"/>
      <c r="C457" s="22"/>
      <c r="D457" s="22"/>
      <c r="E457" s="23" t="str">
        <f>IF($D457="","",IFERROR(VLOOKUP($D457,'ACAH Capital Tracker'!$A:$H,8,FALSE()),""))</f>
        <v/>
      </c>
      <c r="F457" s="24"/>
      <c r="G457" s="25" t="str">
        <f>IF($D457="","",IFERROR(VLOOKUP($D457,'ACAH Capital Tracker'!$A:$D,4,FALSE()),""))</f>
        <v/>
      </c>
      <c r="H457" s="22"/>
    </row>
    <row r="458" spans="1:8">
      <c r="A458" s="21"/>
      <c r="B458" s="22"/>
      <c r="C458" s="22"/>
      <c r="D458" s="22"/>
      <c r="E458" s="23" t="str">
        <f>IF($D458="","",IFERROR(VLOOKUP($D458,'ACAH Capital Tracker'!$A:$H,8,FALSE()),""))</f>
        <v/>
      </c>
      <c r="F458" s="24"/>
      <c r="G458" s="25" t="str">
        <f>IF($D458="","",IFERROR(VLOOKUP($D458,'ACAH Capital Tracker'!$A:$D,4,FALSE()),""))</f>
        <v/>
      </c>
      <c r="H458" s="22"/>
    </row>
    <row r="459" spans="1:8">
      <c r="A459" s="21"/>
      <c r="B459" s="22"/>
      <c r="C459" s="22"/>
      <c r="D459" s="22"/>
      <c r="E459" s="23" t="str">
        <f>IF($D459="","",IFERROR(VLOOKUP($D459,'ACAH Capital Tracker'!$A:$H,8,FALSE()),""))</f>
        <v/>
      </c>
      <c r="F459" s="24"/>
      <c r="G459" s="25" t="str">
        <f>IF($D459="","",IFERROR(VLOOKUP($D459,'ACAH Capital Tracker'!$A:$D,4,FALSE()),""))</f>
        <v/>
      </c>
      <c r="H459" s="22"/>
    </row>
    <row r="460" spans="1:8">
      <c r="A460" s="21"/>
      <c r="B460" s="22"/>
      <c r="C460" s="22"/>
      <c r="D460" s="22"/>
      <c r="E460" s="23" t="str">
        <f>IF($D460="","",IFERROR(VLOOKUP($D460,'ACAH Capital Tracker'!$A:$H,8,FALSE()),""))</f>
        <v/>
      </c>
      <c r="F460" s="24"/>
      <c r="G460" s="25" t="str">
        <f>IF($D460="","",IFERROR(VLOOKUP($D460,'ACAH Capital Tracker'!$A:$D,4,FALSE()),""))</f>
        <v/>
      </c>
      <c r="H460" s="22"/>
    </row>
    <row r="461" spans="1:8">
      <c r="A461" s="21"/>
      <c r="B461" s="22"/>
      <c r="C461" s="22"/>
      <c r="D461" s="22"/>
      <c r="E461" s="23" t="str">
        <f>IF($D461="","",IFERROR(VLOOKUP($D461,'ACAH Capital Tracker'!$A:$H,8,FALSE()),""))</f>
        <v/>
      </c>
      <c r="F461" s="24"/>
      <c r="G461" s="25" t="str">
        <f>IF($D461="","",IFERROR(VLOOKUP($D461,'ACAH Capital Tracker'!$A:$D,4,FALSE()),""))</f>
        <v/>
      </c>
      <c r="H461" s="22"/>
    </row>
    <row r="462" spans="1:8">
      <c r="A462" s="21"/>
      <c r="B462" s="22"/>
      <c r="C462" s="22"/>
      <c r="D462" s="22"/>
      <c r="E462" s="23" t="str">
        <f>IF($D462="","",IFERROR(VLOOKUP($D462,'ACAH Capital Tracker'!$A:$H,8,FALSE()),""))</f>
        <v/>
      </c>
      <c r="F462" s="24"/>
      <c r="G462" s="25" t="str">
        <f>IF($D462="","",IFERROR(VLOOKUP($D462,'ACAH Capital Tracker'!$A:$D,4,FALSE()),""))</f>
        <v/>
      </c>
      <c r="H462" s="22"/>
    </row>
    <row r="463" spans="1:8">
      <c r="A463" s="21"/>
      <c r="B463" s="22"/>
      <c r="C463" s="22"/>
      <c r="D463" s="22"/>
      <c r="E463" s="23" t="str">
        <f>IF($D463="","",IFERROR(VLOOKUP($D463,'ACAH Capital Tracker'!$A:$H,8,FALSE()),""))</f>
        <v/>
      </c>
      <c r="F463" s="24"/>
      <c r="G463" s="25" t="str">
        <f>IF($D463="","",IFERROR(VLOOKUP($D463,'ACAH Capital Tracker'!$A:$D,4,FALSE()),""))</f>
        <v/>
      </c>
      <c r="H463" s="22"/>
    </row>
    <row r="464" spans="1:8">
      <c r="A464" s="21"/>
      <c r="B464" s="22"/>
      <c r="C464" s="22"/>
      <c r="D464" s="22"/>
      <c r="E464" s="23" t="str">
        <f>IF($D464="","",IFERROR(VLOOKUP($D464,'ACAH Capital Tracker'!$A:$H,8,FALSE()),""))</f>
        <v/>
      </c>
      <c r="F464" s="24"/>
      <c r="G464" s="25" t="str">
        <f>IF($D464="","",IFERROR(VLOOKUP($D464,'ACAH Capital Tracker'!$A:$D,4,FALSE()),""))</f>
        <v/>
      </c>
      <c r="H464" s="22"/>
    </row>
    <row r="465" spans="1:8">
      <c r="A465" s="21"/>
      <c r="B465" s="22"/>
      <c r="C465" s="22"/>
      <c r="D465" s="22"/>
      <c r="E465" s="23" t="str">
        <f>IF($D465="","",IFERROR(VLOOKUP($D465,'ACAH Capital Tracker'!$A:$H,8,FALSE()),""))</f>
        <v/>
      </c>
      <c r="F465" s="24"/>
      <c r="G465" s="25" t="str">
        <f>IF($D465="","",IFERROR(VLOOKUP($D465,'ACAH Capital Tracker'!$A:$D,4,FALSE()),""))</f>
        <v/>
      </c>
      <c r="H465" s="22"/>
    </row>
    <row r="466" spans="1:8">
      <c r="A466" s="21"/>
      <c r="B466" s="22"/>
      <c r="C466" s="22"/>
      <c r="D466" s="22"/>
      <c r="E466" s="23" t="str">
        <f>IF($D466="","",IFERROR(VLOOKUP($D466,'ACAH Capital Tracker'!$A:$H,8,FALSE()),""))</f>
        <v/>
      </c>
      <c r="F466" s="24"/>
      <c r="G466" s="25" t="str">
        <f>IF($D466="","",IFERROR(VLOOKUP($D466,'ACAH Capital Tracker'!$A:$D,4,FALSE()),""))</f>
        <v/>
      </c>
      <c r="H466" s="22"/>
    </row>
    <row r="467" spans="1:8">
      <c r="A467" s="21"/>
      <c r="B467" s="22"/>
      <c r="C467" s="22"/>
      <c r="D467" s="22"/>
      <c r="E467" s="23" t="str">
        <f>IF($D467="","",IFERROR(VLOOKUP($D467,'ACAH Capital Tracker'!$A:$H,8,FALSE()),""))</f>
        <v/>
      </c>
      <c r="F467" s="24"/>
      <c r="G467" s="25" t="str">
        <f>IF($D467="","",IFERROR(VLOOKUP($D467,'ACAH Capital Tracker'!$A:$D,4,FALSE()),""))</f>
        <v/>
      </c>
      <c r="H467" s="22"/>
    </row>
    <row r="468" spans="1:8">
      <c r="A468" s="21"/>
      <c r="B468" s="22"/>
      <c r="C468" s="22"/>
      <c r="D468" s="22"/>
      <c r="E468" s="23" t="str">
        <f>IF($D468="","",IFERROR(VLOOKUP($D468,'ACAH Capital Tracker'!$A:$H,8,FALSE()),""))</f>
        <v/>
      </c>
      <c r="F468" s="24"/>
      <c r="G468" s="25" t="str">
        <f>IF($D468="","",IFERROR(VLOOKUP($D468,'ACAH Capital Tracker'!$A:$D,4,FALSE()),""))</f>
        <v/>
      </c>
      <c r="H468" s="22"/>
    </row>
    <row r="469" spans="1:8">
      <c r="A469" s="21"/>
      <c r="B469" s="22"/>
      <c r="C469" s="22"/>
      <c r="D469" s="22"/>
      <c r="E469" s="23" t="str">
        <f>IF($D469="","",IFERROR(VLOOKUP($D469,'ACAH Capital Tracker'!$A:$H,8,FALSE()),""))</f>
        <v/>
      </c>
      <c r="F469" s="24"/>
      <c r="G469" s="25" t="str">
        <f>IF($D469="","",IFERROR(VLOOKUP($D469,'ACAH Capital Tracker'!$A:$D,4,FALSE()),""))</f>
        <v/>
      </c>
      <c r="H469" s="22"/>
    </row>
    <row r="470" spans="1:8">
      <c r="A470" s="21"/>
      <c r="B470" s="22"/>
      <c r="C470" s="22"/>
      <c r="D470" s="22"/>
      <c r="E470" s="23" t="str">
        <f>IF($D470="","",IFERROR(VLOOKUP($D470,'ACAH Capital Tracker'!$A:$H,8,FALSE()),""))</f>
        <v/>
      </c>
      <c r="F470" s="24"/>
      <c r="G470" s="25" t="str">
        <f>IF($D470="","",IFERROR(VLOOKUP($D470,'ACAH Capital Tracker'!$A:$D,4,FALSE()),""))</f>
        <v/>
      </c>
      <c r="H470" s="22"/>
    </row>
    <row r="471" spans="1:8">
      <c r="A471" s="21"/>
      <c r="B471" s="22"/>
      <c r="C471" s="22"/>
      <c r="D471" s="22"/>
      <c r="E471" s="23" t="str">
        <f>IF($D471="","",IFERROR(VLOOKUP($D471,'ACAH Capital Tracker'!$A:$H,8,FALSE()),""))</f>
        <v/>
      </c>
      <c r="F471" s="24"/>
      <c r="G471" s="25" t="str">
        <f>IF($D471="","",IFERROR(VLOOKUP($D471,'ACAH Capital Tracker'!$A:$D,4,FALSE()),""))</f>
        <v/>
      </c>
      <c r="H471" s="22"/>
    </row>
    <row r="472" spans="1:8">
      <c r="A472" s="21"/>
      <c r="B472" s="22"/>
      <c r="C472" s="22"/>
      <c r="D472" s="22"/>
      <c r="E472" s="23" t="str">
        <f>IF($D472="","",IFERROR(VLOOKUP($D472,'ACAH Capital Tracker'!$A:$H,8,FALSE()),""))</f>
        <v/>
      </c>
      <c r="F472" s="24"/>
      <c r="G472" s="25" t="str">
        <f>IF($D472="","",IFERROR(VLOOKUP($D472,'ACAH Capital Tracker'!$A:$D,4,FALSE()),""))</f>
        <v/>
      </c>
      <c r="H472" s="22"/>
    </row>
    <row r="473" spans="1:8">
      <c r="A473" s="21"/>
      <c r="B473" s="22"/>
      <c r="C473" s="22"/>
      <c r="D473" s="22"/>
      <c r="E473" s="23" t="str">
        <f>IF($D473="","",IFERROR(VLOOKUP($D473,'ACAH Capital Tracker'!$A:$H,8,FALSE()),""))</f>
        <v/>
      </c>
      <c r="F473" s="24"/>
      <c r="G473" s="25" t="str">
        <f>IF($D473="","",IFERROR(VLOOKUP($D473,'ACAH Capital Tracker'!$A:$D,4,FALSE()),""))</f>
        <v/>
      </c>
      <c r="H473" s="22"/>
    </row>
    <row r="474" spans="1:8">
      <c r="A474" s="21"/>
      <c r="B474" s="22"/>
      <c r="C474" s="22"/>
      <c r="D474" s="22"/>
      <c r="E474" s="23" t="str">
        <f>IF($D474="","",IFERROR(VLOOKUP($D474,'ACAH Capital Tracker'!$A:$H,8,FALSE()),""))</f>
        <v/>
      </c>
      <c r="F474" s="24"/>
      <c r="G474" s="25" t="str">
        <f>IF($D474="","",IFERROR(VLOOKUP($D474,'ACAH Capital Tracker'!$A:$D,4,FALSE()),""))</f>
        <v/>
      </c>
      <c r="H474" s="22"/>
    </row>
    <row r="475" spans="1:8">
      <c r="A475" s="21"/>
      <c r="B475" s="22"/>
      <c r="C475" s="22"/>
      <c r="D475" s="22"/>
      <c r="E475" s="23" t="str">
        <f>IF($D475="","",IFERROR(VLOOKUP($D475,'ACAH Capital Tracker'!$A:$H,8,FALSE()),""))</f>
        <v/>
      </c>
      <c r="F475" s="24"/>
      <c r="G475" s="25" t="str">
        <f>IF($D475="","",IFERROR(VLOOKUP($D475,'ACAH Capital Tracker'!$A:$D,4,FALSE()),""))</f>
        <v/>
      </c>
      <c r="H475" s="22"/>
    </row>
    <row r="476" spans="1:8">
      <c r="A476" s="21"/>
      <c r="B476" s="22"/>
      <c r="C476" s="22"/>
      <c r="D476" s="22"/>
      <c r="E476" s="23" t="str">
        <f>IF($D476="","",IFERROR(VLOOKUP($D476,'ACAH Capital Tracker'!$A:$H,8,FALSE()),""))</f>
        <v/>
      </c>
      <c r="F476" s="24"/>
      <c r="G476" s="25" t="str">
        <f>IF($D476="","",IFERROR(VLOOKUP($D476,'ACAH Capital Tracker'!$A:$D,4,FALSE()),""))</f>
        <v/>
      </c>
      <c r="H476" s="22"/>
    </row>
    <row r="477" spans="1:8">
      <c r="A477" s="21"/>
      <c r="B477" s="22"/>
      <c r="C477" s="22"/>
      <c r="D477" s="22"/>
      <c r="E477" s="23" t="str">
        <f>IF($D477="","",IFERROR(VLOOKUP($D477,'ACAH Capital Tracker'!$A:$H,8,FALSE()),""))</f>
        <v/>
      </c>
      <c r="F477" s="24"/>
      <c r="G477" s="25" t="str">
        <f>IF($D477="","",IFERROR(VLOOKUP($D477,'ACAH Capital Tracker'!$A:$D,4,FALSE()),""))</f>
        <v/>
      </c>
      <c r="H477" s="22"/>
    </row>
    <row r="478" spans="1:8">
      <c r="A478" s="21"/>
      <c r="B478" s="22"/>
      <c r="C478" s="22"/>
      <c r="D478" s="22"/>
      <c r="E478" s="23" t="str">
        <f>IF($D478="","",IFERROR(VLOOKUP($D478,'ACAH Capital Tracker'!$A:$H,8,FALSE()),""))</f>
        <v/>
      </c>
      <c r="F478" s="24"/>
      <c r="G478" s="25" t="str">
        <f>IF($D478="","",IFERROR(VLOOKUP($D478,'ACAH Capital Tracker'!$A:$D,4,FALSE()),""))</f>
        <v/>
      </c>
      <c r="H478" s="22"/>
    </row>
    <row r="479" spans="1:8">
      <c r="A479" s="21"/>
      <c r="B479" s="22"/>
      <c r="C479" s="22"/>
      <c r="D479" s="22"/>
      <c r="E479" s="23" t="str">
        <f>IF($D479="","",IFERROR(VLOOKUP($D479,'ACAH Capital Tracker'!$A:$H,8,FALSE()),""))</f>
        <v/>
      </c>
      <c r="F479" s="24"/>
      <c r="G479" s="25" t="str">
        <f>IF($D479="","",IFERROR(VLOOKUP($D479,'ACAH Capital Tracker'!$A:$D,4,FALSE()),""))</f>
        <v/>
      </c>
      <c r="H479" s="22"/>
    </row>
    <row r="480" spans="1:8">
      <c r="A480" s="21"/>
      <c r="B480" s="22"/>
      <c r="C480" s="22"/>
      <c r="D480" s="22"/>
      <c r="E480" s="23" t="str">
        <f>IF($D480="","",IFERROR(VLOOKUP($D480,'ACAH Capital Tracker'!$A:$H,8,FALSE()),""))</f>
        <v/>
      </c>
      <c r="F480" s="24"/>
      <c r="G480" s="25" t="str">
        <f>IF($D480="","",IFERROR(VLOOKUP($D480,'ACAH Capital Tracker'!$A:$D,4,FALSE()),""))</f>
        <v/>
      </c>
      <c r="H480" s="22"/>
    </row>
    <row r="481" spans="1:8">
      <c r="A481" s="21"/>
      <c r="B481" s="22"/>
      <c r="C481" s="22"/>
      <c r="D481" s="22"/>
      <c r="E481" s="23" t="str">
        <f>IF($D481="","",IFERROR(VLOOKUP($D481,'ACAH Capital Tracker'!$A:$H,8,FALSE()),""))</f>
        <v/>
      </c>
      <c r="F481" s="24"/>
      <c r="G481" s="25" t="str">
        <f>IF($D481="","",IFERROR(VLOOKUP($D481,'ACAH Capital Tracker'!$A:$D,4,FALSE()),""))</f>
        <v/>
      </c>
      <c r="H481" s="22"/>
    </row>
    <row r="482" spans="1:8">
      <c r="A482" s="21"/>
      <c r="B482" s="22"/>
      <c r="C482" s="22"/>
      <c r="D482" s="22"/>
      <c r="E482" s="23" t="str">
        <f>IF($D482="","",IFERROR(VLOOKUP($D482,'ACAH Capital Tracker'!$A:$H,8,FALSE()),""))</f>
        <v/>
      </c>
      <c r="F482" s="24"/>
      <c r="G482" s="25" t="str">
        <f>IF($D482="","",IFERROR(VLOOKUP($D482,'ACAH Capital Tracker'!$A:$D,4,FALSE()),""))</f>
        <v/>
      </c>
      <c r="H482" s="22"/>
    </row>
    <row r="483" spans="1:8">
      <c r="A483" s="21"/>
      <c r="B483" s="22"/>
      <c r="C483" s="22"/>
      <c r="D483" s="22"/>
      <c r="E483" s="23" t="str">
        <f>IF($D483="","",IFERROR(VLOOKUP($D483,'ACAH Capital Tracker'!$A:$H,8,FALSE()),""))</f>
        <v/>
      </c>
      <c r="F483" s="24"/>
      <c r="G483" s="25" t="str">
        <f>IF($D483="","",IFERROR(VLOOKUP($D483,'ACAH Capital Tracker'!$A:$D,4,FALSE()),""))</f>
        <v/>
      </c>
      <c r="H483" s="22"/>
    </row>
    <row r="484" spans="1:8">
      <c r="A484" s="21"/>
      <c r="B484" s="22"/>
      <c r="C484" s="22"/>
      <c r="D484" s="22"/>
      <c r="E484" s="23" t="str">
        <f>IF($D484="","",IFERROR(VLOOKUP($D484,'ACAH Capital Tracker'!$A:$H,8,FALSE()),""))</f>
        <v/>
      </c>
      <c r="F484" s="24"/>
      <c r="G484" s="25" t="str">
        <f>IF($D484="","",IFERROR(VLOOKUP($D484,'ACAH Capital Tracker'!$A:$D,4,FALSE()),""))</f>
        <v/>
      </c>
      <c r="H484" s="22"/>
    </row>
    <row r="485" spans="1:8">
      <c r="A485" s="21"/>
      <c r="B485" s="22"/>
      <c r="C485" s="22"/>
      <c r="D485" s="22"/>
      <c r="E485" s="23" t="str">
        <f>IF($D485="","",IFERROR(VLOOKUP($D485,'ACAH Capital Tracker'!$A:$H,8,FALSE()),""))</f>
        <v/>
      </c>
      <c r="F485" s="24"/>
      <c r="G485" s="25" t="str">
        <f>IF($D485="","",IFERROR(VLOOKUP($D485,'ACAH Capital Tracker'!$A:$D,4,FALSE()),""))</f>
        <v/>
      </c>
      <c r="H485" s="22"/>
    </row>
    <row r="486" spans="1:8">
      <c r="A486" s="21"/>
      <c r="B486" s="22"/>
      <c r="C486" s="22"/>
      <c r="D486" s="22"/>
      <c r="E486" s="23" t="str">
        <f>IF($D486="","",IFERROR(VLOOKUP($D486,'ACAH Capital Tracker'!$A:$H,8,FALSE()),""))</f>
        <v/>
      </c>
      <c r="F486" s="24"/>
      <c r="G486" s="25" t="str">
        <f>IF($D486="","",IFERROR(VLOOKUP($D486,'ACAH Capital Tracker'!$A:$D,4,FALSE()),""))</f>
        <v/>
      </c>
      <c r="H486" s="22"/>
    </row>
    <row r="487" spans="1:8">
      <c r="A487" s="21"/>
      <c r="B487" s="22"/>
      <c r="C487" s="22"/>
      <c r="D487" s="22"/>
      <c r="E487" s="23" t="str">
        <f>IF($D487="","",IFERROR(VLOOKUP($D487,'ACAH Capital Tracker'!$A:$H,8,FALSE()),""))</f>
        <v/>
      </c>
      <c r="F487" s="24"/>
      <c r="G487" s="25" t="str">
        <f>IF($D487="","",IFERROR(VLOOKUP($D487,'ACAH Capital Tracker'!$A:$D,4,FALSE()),""))</f>
        <v/>
      </c>
      <c r="H487" s="22"/>
    </row>
    <row r="488" spans="1:8">
      <c r="A488" s="21"/>
      <c r="B488" s="22"/>
      <c r="C488" s="22"/>
      <c r="D488" s="22"/>
      <c r="E488" s="23" t="str">
        <f>IF($D488="","",IFERROR(VLOOKUP($D488,'ACAH Capital Tracker'!$A:$H,8,FALSE()),""))</f>
        <v/>
      </c>
      <c r="F488" s="24"/>
      <c r="G488" s="25" t="str">
        <f>IF($D488="","",IFERROR(VLOOKUP($D488,'ACAH Capital Tracker'!$A:$D,4,FALSE()),""))</f>
        <v/>
      </c>
      <c r="H488" s="22"/>
    </row>
    <row r="489" spans="1:8">
      <c r="A489" s="21"/>
      <c r="B489" s="22"/>
      <c r="C489" s="22"/>
      <c r="D489" s="22"/>
      <c r="E489" s="23" t="str">
        <f>IF($D489="","",IFERROR(VLOOKUP($D489,'ACAH Capital Tracker'!$A:$H,8,FALSE()),""))</f>
        <v/>
      </c>
      <c r="F489" s="24"/>
      <c r="G489" s="25" t="str">
        <f>IF($D489="","",IFERROR(VLOOKUP($D489,'ACAH Capital Tracker'!$A:$D,4,FALSE()),""))</f>
        <v/>
      </c>
      <c r="H489" s="22"/>
    </row>
    <row r="490" spans="1:8">
      <c r="A490" s="21"/>
      <c r="B490" s="22"/>
      <c r="C490" s="22"/>
      <c r="D490" s="22"/>
      <c r="E490" s="23" t="str">
        <f>IF($D490="","",IFERROR(VLOOKUP($D490,'ACAH Capital Tracker'!$A:$H,8,FALSE()),""))</f>
        <v/>
      </c>
      <c r="F490" s="24"/>
      <c r="G490" s="25" t="str">
        <f>IF($D490="","",IFERROR(VLOOKUP($D490,'ACAH Capital Tracker'!$A:$D,4,FALSE()),""))</f>
        <v/>
      </c>
      <c r="H490" s="22"/>
    </row>
    <row r="491" spans="1:8">
      <c r="A491" s="21"/>
      <c r="B491" s="22"/>
      <c r="C491" s="22"/>
      <c r="D491" s="22"/>
      <c r="E491" s="23" t="str">
        <f>IF($D491="","",IFERROR(VLOOKUP($D491,'ACAH Capital Tracker'!$A:$H,8,FALSE()),""))</f>
        <v/>
      </c>
      <c r="F491" s="24"/>
      <c r="G491" s="25" t="str">
        <f>IF($D491="","",IFERROR(VLOOKUP($D491,'ACAH Capital Tracker'!$A:$D,4,FALSE()),""))</f>
        <v/>
      </c>
      <c r="H491" s="22"/>
    </row>
    <row r="492" spans="1:8">
      <c r="A492" s="21"/>
      <c r="B492" s="22"/>
      <c r="C492" s="22"/>
      <c r="D492" s="22"/>
      <c r="E492" s="23" t="str">
        <f>IF($D492="","",IFERROR(VLOOKUP($D492,'ACAH Capital Tracker'!$A:$H,8,FALSE()),""))</f>
        <v/>
      </c>
      <c r="F492" s="24"/>
      <c r="G492" s="25" t="str">
        <f>IF($D492="","",IFERROR(VLOOKUP($D492,'ACAH Capital Tracker'!$A:$D,4,FALSE()),""))</f>
        <v/>
      </c>
      <c r="H492" s="22"/>
    </row>
    <row r="493" spans="1:8">
      <c r="A493" s="21"/>
      <c r="B493" s="22"/>
      <c r="C493" s="22"/>
      <c r="D493" s="22"/>
      <c r="E493" s="23" t="str">
        <f>IF($D493="","",IFERROR(VLOOKUP($D493,'ACAH Capital Tracker'!$A:$H,8,FALSE()),""))</f>
        <v/>
      </c>
      <c r="F493" s="24"/>
      <c r="G493" s="25" t="str">
        <f>IF($D493="","",IFERROR(VLOOKUP($D493,'ACAH Capital Tracker'!$A:$D,4,FALSE()),""))</f>
        <v/>
      </c>
      <c r="H493" s="22"/>
    </row>
    <row r="494" spans="1:8">
      <c r="A494" s="21"/>
      <c r="B494" s="22"/>
      <c r="C494" s="22"/>
      <c r="D494" s="22"/>
      <c r="E494" s="23" t="str">
        <f>IF($D494="","",IFERROR(VLOOKUP($D494,'ACAH Capital Tracker'!$A:$H,8,FALSE()),""))</f>
        <v/>
      </c>
      <c r="F494" s="24"/>
      <c r="G494" s="25" t="str">
        <f>IF($D494="","",IFERROR(VLOOKUP($D494,'ACAH Capital Tracker'!$A:$D,4,FALSE()),""))</f>
        <v/>
      </c>
      <c r="H494" s="22"/>
    </row>
    <row r="495" spans="1:8">
      <c r="A495" s="21"/>
      <c r="B495" s="22"/>
      <c r="C495" s="22"/>
      <c r="D495" s="22"/>
      <c r="E495" s="23" t="str">
        <f>IF($D495="","",IFERROR(VLOOKUP($D495,'ACAH Capital Tracker'!$A:$H,8,FALSE()),""))</f>
        <v/>
      </c>
      <c r="F495" s="24"/>
      <c r="G495" s="25" t="str">
        <f>IF($D495="","",IFERROR(VLOOKUP($D495,'ACAH Capital Tracker'!$A:$D,4,FALSE()),""))</f>
        <v/>
      </c>
      <c r="H495" s="22"/>
    </row>
    <row r="496" spans="1:8">
      <c r="A496" s="21"/>
      <c r="B496" s="22"/>
      <c r="C496" s="22"/>
      <c r="D496" s="22"/>
      <c r="E496" s="23" t="str">
        <f>IF($D496="","",IFERROR(VLOOKUP($D496,'ACAH Capital Tracker'!$A:$H,8,FALSE()),""))</f>
        <v/>
      </c>
      <c r="F496" s="24"/>
      <c r="G496" s="25" t="str">
        <f>IF($D496="","",IFERROR(VLOOKUP($D496,'ACAH Capital Tracker'!$A:$D,4,FALSE()),""))</f>
        <v/>
      </c>
      <c r="H496" s="22"/>
    </row>
    <row r="497" spans="1:8">
      <c r="A497" s="21"/>
      <c r="B497" s="22"/>
      <c r="C497" s="22"/>
      <c r="D497" s="22"/>
      <c r="E497" s="23" t="str">
        <f>IF($D497="","",IFERROR(VLOOKUP($D497,'ACAH Capital Tracker'!$A:$H,8,FALSE()),""))</f>
        <v/>
      </c>
      <c r="F497" s="24"/>
      <c r="G497" s="25" t="str">
        <f>IF($D497="","",IFERROR(VLOOKUP($D497,'ACAH Capital Tracker'!$A:$D,4,FALSE()),""))</f>
        <v/>
      </c>
      <c r="H497" s="22"/>
    </row>
    <row r="498" spans="1:8">
      <c r="A498" s="21"/>
      <c r="B498" s="22"/>
      <c r="C498" s="22"/>
      <c r="D498" s="22"/>
      <c r="E498" s="23" t="str">
        <f>IF($D498="","",IFERROR(VLOOKUP($D498,'ACAH Capital Tracker'!$A:$H,8,FALSE()),""))</f>
        <v/>
      </c>
      <c r="F498" s="24"/>
      <c r="G498" s="25" t="str">
        <f>IF($D498="","",IFERROR(VLOOKUP($D498,'ACAH Capital Tracker'!$A:$D,4,FALSE()),""))</f>
        <v/>
      </c>
      <c r="H498" s="22"/>
    </row>
    <row r="499" spans="1:8">
      <c r="A499" s="21"/>
      <c r="B499" s="22"/>
      <c r="C499" s="22"/>
      <c r="D499" s="22"/>
      <c r="E499" s="23" t="str">
        <f>IF($D499="","",IFERROR(VLOOKUP($D499,'ACAH Capital Tracker'!$A:$H,8,FALSE()),""))</f>
        <v/>
      </c>
      <c r="F499" s="24"/>
      <c r="G499" s="25" t="str">
        <f>IF($D499="","",IFERROR(VLOOKUP($D499,'ACAH Capital Tracker'!$A:$D,4,FALSE()),""))</f>
        <v/>
      </c>
      <c r="H499" s="22"/>
    </row>
    <row r="500" spans="1:8">
      <c r="A500" s="21"/>
      <c r="B500" s="22"/>
      <c r="C500" s="22"/>
      <c r="D500" s="22"/>
      <c r="E500" s="23" t="str">
        <f>IF($D500="","",IFERROR(VLOOKUP($D500,'ACAH Capital Tracker'!$A:$H,8,FALSE()),""))</f>
        <v/>
      </c>
      <c r="F500" s="24"/>
      <c r="G500" s="25" t="str">
        <f>IF($D500="","",IFERROR(VLOOKUP($D500,'ACAH Capital Tracker'!$A:$D,4,FALSE()),""))</f>
        <v/>
      </c>
      <c r="H500" s="22"/>
    </row>
    <row r="501" spans="1:8">
      <c r="A501" s="21"/>
      <c r="B501" s="22"/>
      <c r="C501" s="22"/>
      <c r="D501" s="22"/>
      <c r="E501" s="23" t="str">
        <f>IF($D501="","",IFERROR(VLOOKUP($D501,'ACAH Capital Tracker'!$A:$H,8,FALSE()),""))</f>
        <v/>
      </c>
      <c r="F501" s="24"/>
      <c r="G501" s="25" t="str">
        <f>IF($D501="","",IFERROR(VLOOKUP($D501,'ACAH Capital Tracker'!$A:$D,4,FALSE()),""))</f>
        <v/>
      </c>
      <c r="H501" s="22"/>
    </row>
    <row r="502" spans="1:8">
      <c r="A502" s="21"/>
      <c r="B502" s="22"/>
      <c r="C502" s="22"/>
      <c r="D502" s="22"/>
      <c r="E502" s="23" t="str">
        <f>IF($D502="","",IFERROR(VLOOKUP($D502,'ACAH Capital Tracker'!$A:$H,8,FALSE()),""))</f>
        <v/>
      </c>
      <c r="F502" s="24"/>
      <c r="G502" s="25" t="str">
        <f>IF($D502="","",IFERROR(VLOOKUP($D502,'ACAH Capital Tracker'!$A:$D,4,FALSE()),""))</f>
        <v/>
      </c>
      <c r="H502" s="22"/>
    </row>
    <row r="503" spans="1:8">
      <c r="A503" s="21"/>
      <c r="B503" s="22"/>
      <c r="C503" s="22"/>
      <c r="D503" s="22"/>
      <c r="E503" s="23" t="str">
        <f>IF($D503="","",IFERROR(VLOOKUP($D503,'ACAH Capital Tracker'!$A:$H,8,FALSE()),""))</f>
        <v/>
      </c>
      <c r="F503" s="24"/>
      <c r="G503" s="25" t="str">
        <f>IF($D503="","",IFERROR(VLOOKUP($D503,'ACAH Capital Tracker'!$A:$D,4,FALSE()),""))</f>
        <v/>
      </c>
      <c r="H503" s="22"/>
    </row>
    <row r="504" spans="1:8">
      <c r="A504" s="21"/>
      <c r="B504" s="22"/>
      <c r="C504" s="22"/>
      <c r="D504" s="22"/>
      <c r="E504" s="23" t="str">
        <f>IF($D504="","",IFERROR(VLOOKUP($D504,'ACAH Capital Tracker'!$A:$H,8,FALSE()),""))</f>
        <v/>
      </c>
      <c r="F504" s="24"/>
      <c r="G504" s="25" t="str">
        <f>IF($D504="","",IFERROR(VLOOKUP($D504,'ACAH Capital Tracker'!$A:$D,4,FALSE()),""))</f>
        <v/>
      </c>
      <c r="H504" s="22"/>
    </row>
    <row r="505" spans="1:8">
      <c r="A505" s="21"/>
      <c r="B505" s="22"/>
      <c r="C505" s="22"/>
      <c r="D505" s="22"/>
      <c r="E505" s="23" t="str">
        <f>IF($D505="","",IFERROR(VLOOKUP($D505,'ACAH Capital Tracker'!$A:$H,8,FALSE()),""))</f>
        <v/>
      </c>
      <c r="F505" s="24"/>
      <c r="G505" s="25" t="str">
        <f>IF($D505="","",IFERROR(VLOOKUP($D505,'ACAH Capital Tracker'!$A:$D,4,FALSE()),""))</f>
        <v/>
      </c>
      <c r="H505" s="22"/>
    </row>
    <row r="506" spans="1:8">
      <c r="A506" s="21"/>
      <c r="B506" s="22"/>
      <c r="C506" s="22"/>
      <c r="D506" s="22"/>
      <c r="E506" s="23" t="str">
        <f>IF($D506="","",IFERROR(VLOOKUP($D506,'ACAH Capital Tracker'!$A:$H,8,FALSE()),""))</f>
        <v/>
      </c>
      <c r="F506" s="24"/>
      <c r="G506" s="25" t="str">
        <f>IF($D506="","",IFERROR(VLOOKUP($D506,'ACAH Capital Tracker'!$A:$D,4,FALSE()),""))</f>
        <v/>
      </c>
      <c r="H506" s="22"/>
    </row>
    <row r="507" spans="1:8">
      <c r="A507" s="21"/>
      <c r="B507" s="22"/>
      <c r="C507" s="22"/>
      <c r="D507" s="22"/>
      <c r="E507" s="23" t="str">
        <f>IF($D507="","",IFERROR(VLOOKUP($D507,'ACAH Capital Tracker'!$A:$H,8,FALSE()),""))</f>
        <v/>
      </c>
      <c r="F507" s="24"/>
      <c r="G507" s="25" t="str">
        <f>IF($D507="","",IFERROR(VLOOKUP($D507,'ACAH Capital Tracker'!$A:$D,4,FALSE()),""))</f>
        <v/>
      </c>
      <c r="H507" s="22"/>
    </row>
    <row r="508" spans="1:8">
      <c r="A508" s="21"/>
      <c r="B508" s="22"/>
      <c r="C508" s="22"/>
      <c r="D508" s="22"/>
      <c r="E508" s="23" t="str">
        <f>IF($D508="","",IFERROR(VLOOKUP($D508,'ACAH Capital Tracker'!$A:$H,8,FALSE()),""))</f>
        <v/>
      </c>
      <c r="F508" s="24"/>
      <c r="G508" s="25" t="str">
        <f>IF($D508="","",IFERROR(VLOOKUP($D508,'ACAH Capital Tracker'!$A:$D,4,FALSE()),""))</f>
        <v/>
      </c>
      <c r="H508" s="22"/>
    </row>
    <row r="509" spans="1:8">
      <c r="A509" s="21"/>
      <c r="B509" s="22"/>
      <c r="C509" s="22"/>
      <c r="D509" s="22"/>
      <c r="E509" s="23" t="str">
        <f>IF($D509="","",IFERROR(VLOOKUP($D509,'ACAH Capital Tracker'!$A:$H,8,FALSE()),""))</f>
        <v/>
      </c>
      <c r="F509" s="24"/>
      <c r="G509" s="25" t="str">
        <f>IF($D509="","",IFERROR(VLOOKUP($D509,'ACAH Capital Tracker'!$A:$D,4,FALSE()),""))</f>
        <v/>
      </c>
      <c r="H509" s="22"/>
    </row>
    <row r="510" spans="1:8">
      <c r="A510" s="21"/>
      <c r="B510" s="22"/>
      <c r="C510" s="22"/>
      <c r="D510" s="22"/>
      <c r="E510" s="23" t="str">
        <f>IF($D510="","",IFERROR(VLOOKUP($D510,'ACAH Capital Tracker'!$A:$H,8,FALSE()),""))</f>
        <v/>
      </c>
      <c r="F510" s="24"/>
      <c r="G510" s="25" t="str">
        <f>IF($D510="","",IFERROR(VLOOKUP($D510,'ACAH Capital Tracker'!$A:$D,4,FALSE()),""))</f>
        <v/>
      </c>
      <c r="H510" s="22"/>
    </row>
    <row r="511" spans="1:8">
      <c r="A511" s="21"/>
      <c r="B511" s="22"/>
      <c r="C511" s="22"/>
      <c r="D511" s="22"/>
      <c r="E511" s="23" t="str">
        <f>IF($D511="","",IFERROR(VLOOKUP($D511,'ACAH Capital Tracker'!$A:$H,8,FALSE()),""))</f>
        <v/>
      </c>
      <c r="F511" s="24"/>
      <c r="G511" s="25" t="str">
        <f>IF($D511="","",IFERROR(VLOOKUP($D511,'ACAH Capital Tracker'!$A:$D,4,FALSE()),""))</f>
        <v/>
      </c>
      <c r="H511" s="22"/>
    </row>
    <row r="512" spans="1:8">
      <c r="A512" s="21"/>
      <c r="B512" s="22"/>
      <c r="C512" s="22"/>
      <c r="D512" s="22"/>
      <c r="E512" s="23" t="str">
        <f>IF($D512="","",IFERROR(VLOOKUP($D512,'ACAH Capital Tracker'!$A:$H,8,FALSE()),""))</f>
        <v/>
      </c>
      <c r="F512" s="24"/>
      <c r="G512" s="25" t="str">
        <f>IF($D512="","",IFERROR(VLOOKUP($D512,'ACAH Capital Tracker'!$A:$D,4,FALSE()),""))</f>
        <v/>
      </c>
      <c r="H512" s="22"/>
    </row>
    <row r="513" spans="1:8">
      <c r="A513" s="21"/>
      <c r="B513" s="22"/>
      <c r="C513" s="22"/>
      <c r="D513" s="22"/>
      <c r="E513" s="23" t="str">
        <f>IF($D513="","",IFERROR(VLOOKUP($D513,'ACAH Capital Tracker'!$A:$H,8,FALSE()),""))</f>
        <v/>
      </c>
      <c r="F513" s="24"/>
      <c r="G513" s="25" t="str">
        <f>IF($D513="","",IFERROR(VLOOKUP($D513,'ACAH Capital Tracker'!$A:$D,4,FALSE()),""))</f>
        <v/>
      </c>
      <c r="H513" s="22"/>
    </row>
    <row r="514" spans="1:8">
      <c r="A514" s="21"/>
      <c r="B514" s="22"/>
      <c r="C514" s="22"/>
      <c r="D514" s="22"/>
      <c r="E514" s="23" t="str">
        <f>IF($D514="","",IFERROR(VLOOKUP($D514,'ACAH Capital Tracker'!$A:$H,8,FALSE()),""))</f>
        <v/>
      </c>
      <c r="F514" s="24"/>
      <c r="G514" s="25" t="str">
        <f>IF($D514="","",IFERROR(VLOOKUP($D514,'ACAH Capital Tracker'!$A:$D,4,FALSE()),""))</f>
        <v/>
      </c>
      <c r="H514" s="22"/>
    </row>
    <row r="515" spans="1:8">
      <c r="A515" s="21"/>
      <c r="B515" s="22"/>
      <c r="C515" s="22"/>
      <c r="D515" s="22"/>
      <c r="E515" s="23" t="str">
        <f>IF($D515="","",IFERROR(VLOOKUP($D515,'ACAH Capital Tracker'!$A:$H,8,FALSE()),""))</f>
        <v/>
      </c>
      <c r="F515" s="24"/>
      <c r="G515" s="25" t="str">
        <f>IF($D515="","",IFERROR(VLOOKUP($D515,'ACAH Capital Tracker'!$A:$D,4,FALSE()),""))</f>
        <v/>
      </c>
      <c r="H515" s="22"/>
    </row>
    <row r="516" spans="1:8">
      <c r="A516" s="21"/>
      <c r="B516" s="22"/>
      <c r="C516" s="22"/>
      <c r="D516" s="22"/>
      <c r="E516" s="23" t="str">
        <f>IF($D516="","",IFERROR(VLOOKUP($D516,'ACAH Capital Tracker'!$A:$H,8,FALSE()),""))</f>
        <v/>
      </c>
      <c r="F516" s="24"/>
      <c r="G516" s="25" t="str">
        <f>IF($D516="","",IFERROR(VLOOKUP($D516,'ACAH Capital Tracker'!$A:$D,4,FALSE()),""))</f>
        <v/>
      </c>
      <c r="H516" s="22"/>
    </row>
    <row r="517" spans="1:8">
      <c r="A517" s="21"/>
      <c r="B517" s="22"/>
      <c r="C517" s="22"/>
      <c r="D517" s="22"/>
      <c r="E517" s="23" t="str">
        <f>IF($D517="","",IFERROR(VLOOKUP($D517,'ACAH Capital Tracker'!$A:$H,8,FALSE()),""))</f>
        <v/>
      </c>
      <c r="F517" s="24"/>
      <c r="G517" s="25" t="str">
        <f>IF($D517="","",IFERROR(VLOOKUP($D517,'ACAH Capital Tracker'!$A:$D,4,FALSE()),""))</f>
        <v/>
      </c>
      <c r="H517" s="22"/>
    </row>
    <row r="518" spans="1:8">
      <c r="A518" s="21"/>
      <c r="B518" s="22"/>
      <c r="C518" s="22"/>
      <c r="D518" s="22"/>
      <c r="E518" s="23" t="str">
        <f>IF($D518="","",IFERROR(VLOOKUP($D518,'ACAH Capital Tracker'!$A:$H,8,FALSE()),""))</f>
        <v/>
      </c>
      <c r="F518" s="24"/>
      <c r="G518" s="25" t="str">
        <f>IF($D518="","",IFERROR(VLOOKUP($D518,'ACAH Capital Tracker'!$A:$D,4,FALSE()),""))</f>
        <v/>
      </c>
      <c r="H518" s="22"/>
    </row>
    <row r="519" spans="1:8">
      <c r="A519" s="21"/>
      <c r="B519" s="22"/>
      <c r="C519" s="22"/>
      <c r="D519" s="22"/>
      <c r="E519" s="23" t="str">
        <f>IF($D519="","",IFERROR(VLOOKUP($D519,'ACAH Capital Tracker'!$A:$H,8,FALSE()),""))</f>
        <v/>
      </c>
      <c r="F519" s="24"/>
      <c r="G519" s="25" t="str">
        <f>IF($D519="","",IFERROR(VLOOKUP($D519,'ACAH Capital Tracker'!$A:$D,4,FALSE()),""))</f>
        <v/>
      </c>
      <c r="H519" s="22"/>
    </row>
    <row r="520" spans="1:8">
      <c r="A520" s="21"/>
      <c r="B520" s="22"/>
      <c r="C520" s="22"/>
      <c r="D520" s="22"/>
      <c r="E520" s="23" t="str">
        <f>IF($D520="","",IFERROR(VLOOKUP($D520,'ACAH Capital Tracker'!$A:$H,8,FALSE()),""))</f>
        <v/>
      </c>
      <c r="F520" s="24"/>
      <c r="G520" s="25" t="str">
        <f>IF($D520="","",IFERROR(VLOOKUP($D520,'ACAH Capital Tracker'!$A:$D,4,FALSE()),""))</f>
        <v/>
      </c>
      <c r="H520" s="22"/>
    </row>
    <row r="521" spans="1:8">
      <c r="A521" s="21"/>
      <c r="B521" s="22"/>
      <c r="C521" s="22"/>
      <c r="D521" s="22"/>
      <c r="E521" s="23" t="str">
        <f>IF($D521="","",IFERROR(VLOOKUP($D521,'ACAH Capital Tracker'!$A:$H,8,FALSE()),""))</f>
        <v/>
      </c>
      <c r="F521" s="24"/>
      <c r="G521" s="25" t="str">
        <f>IF($D521="","",IFERROR(VLOOKUP($D521,'ACAH Capital Tracker'!$A:$D,4,FALSE()),""))</f>
        <v/>
      </c>
      <c r="H521" s="22"/>
    </row>
    <row r="522" spans="1:8">
      <c r="A522" s="21"/>
      <c r="B522" s="22"/>
      <c r="C522" s="22"/>
      <c r="D522" s="22"/>
      <c r="E522" s="23" t="str">
        <f>IF($D522="","",IFERROR(VLOOKUP($D522,'ACAH Capital Tracker'!$A:$H,8,FALSE()),""))</f>
        <v/>
      </c>
      <c r="F522" s="24"/>
      <c r="G522" s="25" t="str">
        <f>IF($D522="","",IFERROR(VLOOKUP($D522,'ACAH Capital Tracker'!$A:$D,4,FALSE()),""))</f>
        <v/>
      </c>
      <c r="H522" s="22"/>
    </row>
    <row r="523" spans="1:8">
      <c r="A523" s="21"/>
      <c r="B523" s="22"/>
      <c r="C523" s="22"/>
      <c r="D523" s="22"/>
      <c r="E523" s="23" t="str">
        <f>IF($D523="","",IFERROR(VLOOKUP($D523,'ACAH Capital Tracker'!$A:$H,8,FALSE()),""))</f>
        <v/>
      </c>
      <c r="F523" s="24"/>
      <c r="G523" s="25" t="str">
        <f>IF($D523="","",IFERROR(VLOOKUP($D523,'ACAH Capital Tracker'!$A:$D,4,FALSE()),""))</f>
        <v/>
      </c>
      <c r="H523" s="22"/>
    </row>
    <row r="524" spans="1:8">
      <c r="A524" s="21"/>
      <c r="B524" s="22"/>
      <c r="C524" s="22"/>
      <c r="D524" s="22"/>
      <c r="E524" s="23" t="str">
        <f>IF($D524="","",IFERROR(VLOOKUP($D524,'ACAH Capital Tracker'!$A:$H,8,FALSE()),""))</f>
        <v/>
      </c>
      <c r="F524" s="24"/>
      <c r="G524" s="25" t="str">
        <f>IF($D524="","",IFERROR(VLOOKUP($D524,'ACAH Capital Tracker'!$A:$D,4,FALSE()),""))</f>
        <v/>
      </c>
      <c r="H524" s="22"/>
    </row>
    <row r="525" spans="1:8">
      <c r="A525" s="21"/>
      <c r="B525" s="22"/>
      <c r="C525" s="22"/>
      <c r="D525" s="22"/>
      <c r="E525" s="23" t="str">
        <f>IF($D525="","",IFERROR(VLOOKUP($D525,'ACAH Capital Tracker'!$A:$H,8,FALSE()),""))</f>
        <v/>
      </c>
      <c r="F525" s="24"/>
      <c r="G525" s="25" t="str">
        <f>IF($D525="","",IFERROR(VLOOKUP($D525,'ACAH Capital Tracker'!$A:$D,4,FALSE()),""))</f>
        <v/>
      </c>
      <c r="H525" s="22"/>
    </row>
    <row r="526" spans="1:8">
      <c r="A526" s="21"/>
      <c r="B526" s="22"/>
      <c r="C526" s="22"/>
      <c r="D526" s="22"/>
      <c r="E526" s="23" t="str">
        <f>IF($D526="","",IFERROR(VLOOKUP($D526,'ACAH Capital Tracker'!$A:$H,8,FALSE()),""))</f>
        <v/>
      </c>
      <c r="F526" s="24"/>
      <c r="G526" s="25" t="str">
        <f>IF($D526="","",IFERROR(VLOOKUP($D526,'ACAH Capital Tracker'!$A:$D,4,FALSE()),""))</f>
        <v/>
      </c>
      <c r="H526" s="22"/>
    </row>
    <row r="527" spans="1:8">
      <c r="A527" s="21"/>
      <c r="B527" s="22"/>
      <c r="C527" s="22"/>
      <c r="D527" s="22"/>
      <c r="E527" s="23" t="str">
        <f>IF($D527="","",IFERROR(VLOOKUP($D527,'ACAH Capital Tracker'!$A:$H,8,FALSE()),""))</f>
        <v/>
      </c>
      <c r="F527" s="24"/>
      <c r="G527" s="25" t="str">
        <f>IF($D527="","",IFERROR(VLOOKUP($D527,'ACAH Capital Tracker'!$A:$D,4,FALSE()),""))</f>
        <v/>
      </c>
      <c r="H527" s="22"/>
    </row>
    <row r="528" spans="1:8">
      <c r="A528" s="21"/>
      <c r="B528" s="22"/>
      <c r="C528" s="22"/>
      <c r="D528" s="22"/>
      <c r="E528" s="23" t="str">
        <f>IF($D528="","",IFERROR(VLOOKUP($D528,'ACAH Capital Tracker'!$A:$H,8,FALSE()),""))</f>
        <v/>
      </c>
      <c r="F528" s="24"/>
      <c r="G528" s="25" t="str">
        <f>IF($D528="","",IFERROR(VLOOKUP($D528,'ACAH Capital Tracker'!$A:$D,4,FALSE()),""))</f>
        <v/>
      </c>
      <c r="H528" s="22"/>
    </row>
    <row r="529" spans="1:8">
      <c r="A529" s="21"/>
      <c r="B529" s="22"/>
      <c r="C529" s="22"/>
      <c r="D529" s="22"/>
      <c r="E529" s="23" t="str">
        <f>IF($D529="","",IFERROR(VLOOKUP($D529,'ACAH Capital Tracker'!$A:$H,8,FALSE()),""))</f>
        <v/>
      </c>
      <c r="F529" s="24"/>
      <c r="G529" s="25" t="str">
        <f>IF($D529="","",IFERROR(VLOOKUP($D529,'ACAH Capital Tracker'!$A:$D,4,FALSE()),""))</f>
        <v/>
      </c>
      <c r="H529" s="22"/>
    </row>
    <row r="530" spans="1:8">
      <c r="A530" s="21"/>
      <c r="B530" s="22"/>
      <c r="C530" s="22"/>
      <c r="D530" s="22"/>
      <c r="E530" s="23" t="str">
        <f>IF($D530="","",IFERROR(VLOOKUP($D530,'ACAH Capital Tracker'!$A:$H,8,FALSE()),""))</f>
        <v/>
      </c>
      <c r="F530" s="24"/>
      <c r="G530" s="25" t="str">
        <f>IF($D530="","",IFERROR(VLOOKUP($D530,'ACAH Capital Tracker'!$A:$D,4,FALSE()),""))</f>
        <v/>
      </c>
      <c r="H530" s="22"/>
    </row>
    <row r="531" spans="1:8">
      <c r="A531" s="21"/>
      <c r="B531" s="22"/>
      <c r="C531" s="22"/>
      <c r="D531" s="22"/>
      <c r="E531" s="23" t="str">
        <f>IF($D531="","",IFERROR(VLOOKUP($D531,'ACAH Capital Tracker'!$A:$H,8,FALSE()),""))</f>
        <v/>
      </c>
      <c r="F531" s="24"/>
      <c r="G531" s="25" t="str">
        <f>IF($D531="","",IFERROR(VLOOKUP($D531,'ACAH Capital Tracker'!$A:$D,4,FALSE()),""))</f>
        <v/>
      </c>
      <c r="H531" s="22"/>
    </row>
    <row r="532" spans="1:8">
      <c r="A532" s="21"/>
      <c r="B532" s="22"/>
      <c r="C532" s="22"/>
      <c r="D532" s="22"/>
      <c r="E532" s="23" t="str">
        <f>IF($D532="","",IFERROR(VLOOKUP($D532,'ACAH Capital Tracker'!$A:$H,8,FALSE()),""))</f>
        <v/>
      </c>
      <c r="F532" s="24"/>
      <c r="G532" s="25" t="str">
        <f>IF($D532="","",IFERROR(VLOOKUP($D532,'ACAH Capital Tracker'!$A:$D,4,FALSE()),""))</f>
        <v/>
      </c>
      <c r="H532" s="22"/>
    </row>
    <row r="533" spans="1:8">
      <c r="A533" s="21"/>
      <c r="B533" s="22"/>
      <c r="C533" s="22"/>
      <c r="D533" s="22"/>
      <c r="E533" s="23" t="str">
        <f>IF($D533="","",IFERROR(VLOOKUP($D533,'ACAH Capital Tracker'!$A:$H,8,FALSE()),""))</f>
        <v/>
      </c>
      <c r="F533" s="24"/>
      <c r="G533" s="25" t="str">
        <f>IF($D533="","",IFERROR(VLOOKUP($D533,'ACAH Capital Tracker'!$A:$D,4,FALSE()),""))</f>
        <v/>
      </c>
      <c r="H533" s="22"/>
    </row>
    <row r="534" spans="1:8">
      <c r="A534" s="21"/>
      <c r="B534" s="22"/>
      <c r="C534" s="22"/>
      <c r="D534" s="22"/>
      <c r="E534" s="23" t="str">
        <f>IF($D534="","",IFERROR(VLOOKUP($D534,'ACAH Capital Tracker'!$A:$H,8,FALSE()),""))</f>
        <v/>
      </c>
      <c r="F534" s="24"/>
      <c r="G534" s="25" t="str">
        <f>IF($D534="","",IFERROR(VLOOKUP($D534,'ACAH Capital Tracker'!$A:$D,4,FALSE()),""))</f>
        <v/>
      </c>
      <c r="H534" s="22"/>
    </row>
    <row r="535" spans="1:8">
      <c r="A535" s="21"/>
      <c r="B535" s="22"/>
      <c r="C535" s="22"/>
      <c r="D535" s="22"/>
      <c r="E535" s="23" t="str">
        <f>IF($D535="","",IFERROR(VLOOKUP($D535,'ACAH Capital Tracker'!$A:$H,8,FALSE()),""))</f>
        <v/>
      </c>
      <c r="F535" s="24"/>
      <c r="G535" s="25" t="str">
        <f>IF($D535="","",IFERROR(VLOOKUP($D535,'ACAH Capital Tracker'!$A:$D,4,FALSE()),""))</f>
        <v/>
      </c>
      <c r="H535" s="22"/>
    </row>
    <row r="536" spans="1:8">
      <c r="A536" s="21"/>
      <c r="B536" s="22"/>
      <c r="C536" s="22"/>
      <c r="D536" s="22"/>
      <c r="E536" s="23" t="str">
        <f>IF($D536="","",IFERROR(VLOOKUP($D536,'ACAH Capital Tracker'!$A:$H,8,FALSE()),""))</f>
        <v/>
      </c>
      <c r="F536" s="24"/>
      <c r="G536" s="25" t="str">
        <f>IF($D536="","",IFERROR(VLOOKUP($D536,'ACAH Capital Tracker'!$A:$D,4,FALSE()),""))</f>
        <v/>
      </c>
      <c r="H536" s="22"/>
    </row>
    <row r="537" spans="1:8">
      <c r="A537" s="21"/>
      <c r="B537" s="22"/>
      <c r="C537" s="22"/>
      <c r="D537" s="22"/>
      <c r="E537" s="23" t="str">
        <f>IF($D537="","",IFERROR(VLOOKUP($D537,'ACAH Capital Tracker'!$A:$H,8,FALSE()),""))</f>
        <v/>
      </c>
      <c r="F537" s="24"/>
      <c r="G537" s="25" t="str">
        <f>IF($D537="","",IFERROR(VLOOKUP($D537,'ACAH Capital Tracker'!$A:$D,4,FALSE()),""))</f>
        <v/>
      </c>
      <c r="H537" s="22"/>
    </row>
    <row r="538" spans="1:8">
      <c r="A538" s="21"/>
      <c r="B538" s="22"/>
      <c r="C538" s="22"/>
      <c r="D538" s="22"/>
      <c r="E538" s="23" t="str">
        <f>IF($D538="","",IFERROR(VLOOKUP($D538,'ACAH Capital Tracker'!$A:$H,8,FALSE()),""))</f>
        <v/>
      </c>
      <c r="F538" s="24"/>
      <c r="G538" s="25" t="str">
        <f>IF($D538="","",IFERROR(VLOOKUP($D538,'ACAH Capital Tracker'!$A:$D,4,FALSE()),""))</f>
        <v/>
      </c>
      <c r="H538" s="22"/>
    </row>
    <row r="539" spans="1:8">
      <c r="A539" s="21"/>
      <c r="B539" s="22"/>
      <c r="C539" s="22"/>
      <c r="D539" s="22"/>
      <c r="E539" s="23" t="str">
        <f>IF($D539="","",IFERROR(VLOOKUP($D539,'ACAH Capital Tracker'!$A:$H,8,FALSE()),""))</f>
        <v/>
      </c>
      <c r="F539" s="24"/>
      <c r="G539" s="25" t="str">
        <f>IF($D539="","",IFERROR(VLOOKUP($D539,'ACAH Capital Tracker'!$A:$D,4,FALSE()),""))</f>
        <v/>
      </c>
      <c r="H539" s="22"/>
    </row>
    <row r="540" spans="1:8">
      <c r="A540" s="21"/>
      <c r="B540" s="22"/>
      <c r="C540" s="22"/>
      <c r="D540" s="22"/>
      <c r="E540" s="23" t="str">
        <f>IF($D540="","",IFERROR(VLOOKUP($D540,'ACAH Capital Tracker'!$A:$H,8,FALSE()),""))</f>
        <v/>
      </c>
      <c r="F540" s="24"/>
      <c r="G540" s="25" t="str">
        <f>IF($D540="","",IFERROR(VLOOKUP($D540,'ACAH Capital Tracker'!$A:$D,4,FALSE()),""))</f>
        <v/>
      </c>
      <c r="H540" s="22"/>
    </row>
    <row r="541" spans="1:8">
      <c r="A541" s="21"/>
      <c r="B541" s="22"/>
      <c r="C541" s="22"/>
      <c r="D541" s="22"/>
      <c r="E541" s="23" t="str">
        <f>IF($D541="","",IFERROR(VLOOKUP($D541,'ACAH Capital Tracker'!$A:$H,8,FALSE()),""))</f>
        <v/>
      </c>
      <c r="F541" s="24"/>
      <c r="G541" s="25" t="str">
        <f>IF($D541="","",IFERROR(VLOOKUP($D541,'ACAH Capital Tracker'!$A:$D,4,FALSE()),""))</f>
        <v/>
      </c>
      <c r="H541" s="22"/>
    </row>
    <row r="542" spans="1:8">
      <c r="A542" s="21"/>
      <c r="B542" s="22"/>
      <c r="C542" s="22"/>
      <c r="D542" s="22"/>
      <c r="E542" s="23" t="str">
        <f>IF($D542="","",IFERROR(VLOOKUP($D542,'ACAH Capital Tracker'!$A:$H,8,FALSE()),""))</f>
        <v/>
      </c>
      <c r="F542" s="24"/>
      <c r="G542" s="25" t="str">
        <f>IF($D542="","",IFERROR(VLOOKUP($D542,'ACAH Capital Tracker'!$A:$D,4,FALSE()),""))</f>
        <v/>
      </c>
      <c r="H542" s="22"/>
    </row>
    <row r="543" spans="1:8">
      <c r="A543" s="21"/>
      <c r="B543" s="22"/>
      <c r="C543" s="22"/>
      <c r="D543" s="22"/>
      <c r="E543" s="23" t="str">
        <f>IF($D543="","",IFERROR(VLOOKUP($D543,'ACAH Capital Tracker'!$A:$H,8,FALSE()),""))</f>
        <v/>
      </c>
      <c r="F543" s="24"/>
      <c r="G543" s="25" t="str">
        <f>IF($D543="","",IFERROR(VLOOKUP($D543,'ACAH Capital Tracker'!$A:$D,4,FALSE()),""))</f>
        <v/>
      </c>
      <c r="H543" s="22"/>
    </row>
    <row r="544" spans="1:8">
      <c r="A544" s="21"/>
      <c r="B544" s="22"/>
      <c r="C544" s="22"/>
      <c r="D544" s="22"/>
      <c r="E544" s="23" t="str">
        <f>IF($D544="","",IFERROR(VLOOKUP($D544,'ACAH Capital Tracker'!$A:$H,8,FALSE()),""))</f>
        <v/>
      </c>
      <c r="F544" s="24"/>
      <c r="G544" s="25" t="str">
        <f>IF($D544="","",IFERROR(VLOOKUP($D544,'ACAH Capital Tracker'!$A:$D,4,FALSE()),""))</f>
        <v/>
      </c>
      <c r="H544" s="22"/>
    </row>
    <row r="545" spans="1:8">
      <c r="A545" s="21"/>
      <c r="B545" s="22"/>
      <c r="C545" s="22"/>
      <c r="D545" s="22"/>
      <c r="E545" s="23" t="str">
        <f>IF($D545="","",IFERROR(VLOOKUP($D545,'ACAH Capital Tracker'!$A:$H,8,FALSE()),""))</f>
        <v/>
      </c>
      <c r="F545" s="24"/>
      <c r="G545" s="25" t="str">
        <f>IF($D545="","",IFERROR(VLOOKUP($D545,'ACAH Capital Tracker'!$A:$D,4,FALSE()),""))</f>
        <v/>
      </c>
      <c r="H545" s="22"/>
    </row>
    <row r="546" spans="1:8">
      <c r="A546" s="21"/>
      <c r="B546" s="22"/>
      <c r="C546" s="22"/>
      <c r="D546" s="22"/>
      <c r="E546" s="23" t="str">
        <f>IF($D546="","",IFERROR(VLOOKUP($D546,'ACAH Capital Tracker'!$A:$H,8,FALSE()),""))</f>
        <v/>
      </c>
      <c r="F546" s="24"/>
      <c r="G546" s="25" t="str">
        <f>IF($D546="","",IFERROR(VLOOKUP($D546,'ACAH Capital Tracker'!$A:$D,4,FALSE()),""))</f>
        <v/>
      </c>
      <c r="H546" s="22"/>
    </row>
    <row r="547" spans="1:8">
      <c r="A547" s="21"/>
      <c r="B547" s="22"/>
      <c r="C547" s="22"/>
      <c r="D547" s="22"/>
      <c r="E547" s="23" t="str">
        <f>IF($D547="","",IFERROR(VLOOKUP($D547,'ACAH Capital Tracker'!$A:$H,8,FALSE()),""))</f>
        <v/>
      </c>
      <c r="F547" s="24"/>
      <c r="G547" s="25" t="str">
        <f>IF($D547="","",IFERROR(VLOOKUP($D547,'ACAH Capital Tracker'!$A:$D,4,FALSE()),""))</f>
        <v/>
      </c>
      <c r="H547" s="22"/>
    </row>
    <row r="548" spans="1:8">
      <c r="A548" s="21"/>
      <c r="B548" s="22"/>
      <c r="C548" s="22"/>
      <c r="D548" s="22"/>
      <c r="E548" s="23" t="str">
        <f>IF($D548="","",IFERROR(VLOOKUP($D548,'ACAH Capital Tracker'!$A:$H,8,FALSE()),""))</f>
        <v/>
      </c>
      <c r="F548" s="24"/>
      <c r="G548" s="25" t="str">
        <f>IF($D548="","",IFERROR(VLOOKUP($D548,'ACAH Capital Tracker'!$A:$D,4,FALSE()),""))</f>
        <v/>
      </c>
      <c r="H548" s="22"/>
    </row>
    <row r="549" spans="1:8">
      <c r="A549" s="21"/>
      <c r="B549" s="22"/>
      <c r="C549" s="22"/>
      <c r="D549" s="22"/>
      <c r="E549" s="23" t="str">
        <f>IF($D549="","",IFERROR(VLOOKUP($D549,'ACAH Capital Tracker'!$A:$H,8,FALSE()),""))</f>
        <v/>
      </c>
      <c r="F549" s="24"/>
      <c r="G549" s="25" t="str">
        <f>IF($D549="","",IFERROR(VLOOKUP($D549,'ACAH Capital Tracker'!$A:$D,4,FALSE()),""))</f>
        <v/>
      </c>
      <c r="H549" s="22"/>
    </row>
    <row r="550" spans="1:8">
      <c r="A550" s="21"/>
      <c r="B550" s="22"/>
      <c r="C550" s="22"/>
      <c r="D550" s="22"/>
      <c r="E550" s="23" t="str">
        <f>IF($D550="","",IFERROR(VLOOKUP($D550,'ACAH Capital Tracker'!$A:$H,8,FALSE()),""))</f>
        <v/>
      </c>
      <c r="F550" s="24"/>
      <c r="G550" s="25" t="str">
        <f>IF($D550="","",IFERROR(VLOOKUP($D550,'ACAH Capital Tracker'!$A:$D,4,FALSE()),""))</f>
        <v/>
      </c>
      <c r="H550" s="22"/>
    </row>
    <row r="551" spans="1:8">
      <c r="A551" s="21"/>
      <c r="B551" s="22"/>
      <c r="C551" s="22"/>
      <c r="D551" s="22"/>
      <c r="E551" s="23" t="str">
        <f>IF($D551="","",IFERROR(VLOOKUP($D551,'ACAH Capital Tracker'!$A:$H,8,FALSE()),""))</f>
        <v/>
      </c>
      <c r="F551" s="24"/>
      <c r="G551" s="25" t="str">
        <f>IF($D551="","",IFERROR(VLOOKUP($D551,'ACAH Capital Tracker'!$A:$D,4,FALSE()),""))</f>
        <v/>
      </c>
      <c r="H551" s="22"/>
    </row>
    <row r="552" spans="1:8">
      <c r="A552" s="21"/>
      <c r="B552" s="22"/>
      <c r="C552" s="22"/>
      <c r="D552" s="22"/>
      <c r="E552" s="23" t="str">
        <f>IF($D552="","",IFERROR(VLOOKUP($D552,'ACAH Capital Tracker'!$A:$H,8,FALSE()),""))</f>
        <v/>
      </c>
      <c r="F552" s="24"/>
      <c r="G552" s="25" t="str">
        <f>IF($D552="","",IFERROR(VLOOKUP($D552,'ACAH Capital Tracker'!$A:$D,4,FALSE()),""))</f>
        <v/>
      </c>
      <c r="H552" s="22"/>
    </row>
    <row r="553" spans="1:8">
      <c r="A553" s="21"/>
      <c r="B553" s="22"/>
      <c r="C553" s="22"/>
      <c r="D553" s="22"/>
      <c r="E553" s="23" t="str">
        <f>IF($D553="","",IFERROR(VLOOKUP($D553,'ACAH Capital Tracker'!$A:$H,8,FALSE()),""))</f>
        <v/>
      </c>
      <c r="F553" s="24"/>
      <c r="G553" s="25" t="str">
        <f>IF($D553="","",IFERROR(VLOOKUP($D553,'ACAH Capital Tracker'!$A:$D,4,FALSE()),""))</f>
        <v/>
      </c>
      <c r="H553" s="22"/>
    </row>
    <row r="554" spans="1:8">
      <c r="A554" s="21"/>
      <c r="B554" s="22"/>
      <c r="C554" s="22"/>
      <c r="D554" s="22"/>
      <c r="E554" s="23" t="str">
        <f>IF($D554="","",IFERROR(VLOOKUP($D554,'ACAH Capital Tracker'!$A:$H,8,FALSE()),""))</f>
        <v/>
      </c>
      <c r="F554" s="24"/>
      <c r="G554" s="25" t="str">
        <f>IF($D554="","",IFERROR(VLOOKUP($D554,'ACAH Capital Tracker'!$A:$D,4,FALSE()),""))</f>
        <v/>
      </c>
      <c r="H554" s="22"/>
    </row>
    <row r="555" spans="1:8">
      <c r="A555" s="21"/>
      <c r="B555" s="22"/>
      <c r="C555" s="22"/>
      <c r="D555" s="22"/>
      <c r="E555" s="23" t="str">
        <f>IF($D555="","",IFERROR(VLOOKUP($D555,'ACAH Capital Tracker'!$A:$H,8,FALSE()),""))</f>
        <v/>
      </c>
      <c r="F555" s="24"/>
      <c r="G555" s="25" t="str">
        <f>IF($D555="","",IFERROR(VLOOKUP($D555,'ACAH Capital Tracker'!$A:$D,4,FALSE()),""))</f>
        <v/>
      </c>
      <c r="H555" s="22"/>
    </row>
    <row r="556" spans="1:8">
      <c r="A556" s="21"/>
      <c r="B556" s="22"/>
      <c r="C556" s="22"/>
      <c r="D556" s="22"/>
      <c r="E556" s="23" t="str">
        <f>IF($D556="","",IFERROR(VLOOKUP($D556,'ACAH Capital Tracker'!$A:$H,8,FALSE()),""))</f>
        <v/>
      </c>
      <c r="F556" s="24"/>
      <c r="G556" s="25" t="str">
        <f>IF($D556="","",IFERROR(VLOOKUP($D556,'ACAH Capital Tracker'!$A:$D,4,FALSE()),""))</f>
        <v/>
      </c>
      <c r="H556" s="22"/>
    </row>
    <row r="557" spans="1:8">
      <c r="A557" s="21"/>
      <c r="B557" s="22"/>
      <c r="C557" s="22"/>
      <c r="D557" s="22"/>
      <c r="E557" s="23" t="str">
        <f>IF($D557="","",IFERROR(VLOOKUP($D557,'ACAH Capital Tracker'!$A:$H,8,FALSE()),""))</f>
        <v/>
      </c>
      <c r="F557" s="24"/>
      <c r="G557" s="25" t="str">
        <f>IF($D557="","",IFERROR(VLOOKUP($D557,'ACAH Capital Tracker'!$A:$D,4,FALSE()),""))</f>
        <v/>
      </c>
      <c r="H557" s="22"/>
    </row>
    <row r="558" spans="1:8">
      <c r="A558" s="21"/>
      <c r="B558" s="22"/>
      <c r="C558" s="22"/>
      <c r="D558" s="22"/>
      <c r="E558" s="23" t="str">
        <f>IF($D558="","",IFERROR(VLOOKUP($D558,'ACAH Capital Tracker'!$A:$H,8,FALSE()),""))</f>
        <v/>
      </c>
      <c r="F558" s="24"/>
      <c r="G558" s="25" t="str">
        <f>IF($D558="","",IFERROR(VLOOKUP($D558,'ACAH Capital Tracker'!$A:$D,4,FALSE()),""))</f>
        <v/>
      </c>
      <c r="H558" s="22"/>
    </row>
    <row r="559" spans="1:8">
      <c r="A559" s="21"/>
      <c r="B559" s="22"/>
      <c r="C559" s="22"/>
      <c r="D559" s="22"/>
      <c r="E559" s="23" t="str">
        <f>IF($D559="","",IFERROR(VLOOKUP($D559,'ACAH Capital Tracker'!$A:$H,8,FALSE()),""))</f>
        <v/>
      </c>
      <c r="F559" s="24"/>
      <c r="G559" s="25" t="str">
        <f>IF($D559="","",IFERROR(VLOOKUP($D559,'ACAH Capital Tracker'!$A:$D,4,FALSE()),""))</f>
        <v/>
      </c>
      <c r="H559" s="22"/>
    </row>
    <row r="560" spans="1:8">
      <c r="A560" s="21"/>
      <c r="B560" s="22"/>
      <c r="C560" s="22"/>
      <c r="D560" s="22"/>
      <c r="E560" s="23" t="str">
        <f>IF($D560="","",IFERROR(VLOOKUP($D560,'ACAH Capital Tracker'!$A:$H,8,FALSE()),""))</f>
        <v/>
      </c>
      <c r="F560" s="24"/>
      <c r="G560" s="25" t="str">
        <f>IF($D560="","",IFERROR(VLOOKUP($D560,'ACAH Capital Tracker'!$A:$D,4,FALSE()),""))</f>
        <v/>
      </c>
      <c r="H560" s="22"/>
    </row>
    <row r="561" spans="1:8">
      <c r="A561" s="21"/>
      <c r="B561" s="22"/>
      <c r="C561" s="22"/>
      <c r="D561" s="22"/>
      <c r="E561" s="23" t="str">
        <f>IF($D561="","",IFERROR(VLOOKUP($D561,'ACAH Capital Tracker'!$A:$H,8,FALSE()),""))</f>
        <v/>
      </c>
      <c r="F561" s="24"/>
      <c r="G561" s="25" t="str">
        <f>IF($D561="","",IFERROR(VLOOKUP($D561,'ACAH Capital Tracker'!$A:$D,4,FALSE()),""))</f>
        <v/>
      </c>
      <c r="H561" s="22"/>
    </row>
    <row r="562" spans="1:8">
      <c r="A562" s="21"/>
      <c r="B562" s="22"/>
      <c r="C562" s="22"/>
      <c r="D562" s="22"/>
      <c r="E562" s="23" t="str">
        <f>IF($D562="","",IFERROR(VLOOKUP($D562,'ACAH Capital Tracker'!$A:$H,8,FALSE()),""))</f>
        <v/>
      </c>
      <c r="F562" s="24"/>
      <c r="G562" s="25" t="str">
        <f>IF($D562="","",IFERROR(VLOOKUP($D562,'ACAH Capital Tracker'!$A:$D,4,FALSE()),""))</f>
        <v/>
      </c>
      <c r="H562" s="22"/>
    </row>
    <row r="563" spans="1:8">
      <c r="A563" s="21"/>
      <c r="B563" s="22"/>
      <c r="C563" s="22"/>
      <c r="D563" s="22"/>
      <c r="E563" s="23" t="str">
        <f>IF($D563="","",IFERROR(VLOOKUP($D563,'ACAH Capital Tracker'!$A:$H,8,FALSE()),""))</f>
        <v/>
      </c>
      <c r="F563" s="24"/>
      <c r="G563" s="25" t="str">
        <f>IF($D563="","",IFERROR(VLOOKUP($D563,'ACAH Capital Tracker'!$A:$D,4,FALSE()),""))</f>
        <v/>
      </c>
      <c r="H563" s="22"/>
    </row>
    <row r="564" spans="1:8">
      <c r="A564" s="21"/>
      <c r="B564" s="22"/>
      <c r="C564" s="22"/>
      <c r="D564" s="22"/>
      <c r="E564" s="23" t="str">
        <f>IF($D564="","",IFERROR(VLOOKUP($D564,'ACAH Capital Tracker'!$A:$H,8,FALSE()),""))</f>
        <v/>
      </c>
      <c r="F564" s="24"/>
      <c r="G564" s="25" t="str">
        <f>IF($D564="","",IFERROR(VLOOKUP($D564,'ACAH Capital Tracker'!$A:$D,4,FALSE()),""))</f>
        <v/>
      </c>
      <c r="H564" s="22"/>
    </row>
    <row r="565" spans="1:8">
      <c r="A565" s="21"/>
      <c r="B565" s="22"/>
      <c r="C565" s="22"/>
      <c r="D565" s="22"/>
      <c r="E565" s="23" t="str">
        <f>IF($D565="","",IFERROR(VLOOKUP($D565,'ACAH Capital Tracker'!$A:$H,8,FALSE()),""))</f>
        <v/>
      </c>
      <c r="F565" s="24"/>
      <c r="G565" s="25" t="str">
        <f>IF($D565="","",IFERROR(VLOOKUP($D565,'ACAH Capital Tracker'!$A:$D,4,FALSE()),""))</f>
        <v/>
      </c>
      <c r="H565" s="22"/>
    </row>
    <row r="566" spans="1:8">
      <c r="A566" s="21"/>
      <c r="B566" s="22"/>
      <c r="C566" s="22"/>
      <c r="D566" s="22"/>
      <c r="E566" s="23" t="str">
        <f>IF($D566="","",IFERROR(VLOOKUP($D566,'ACAH Capital Tracker'!$A:$H,8,FALSE()),""))</f>
        <v/>
      </c>
      <c r="F566" s="24"/>
      <c r="G566" s="25" t="str">
        <f>IF($D566="","",IFERROR(VLOOKUP($D566,'ACAH Capital Tracker'!$A:$D,4,FALSE()),""))</f>
        <v/>
      </c>
      <c r="H566" s="22"/>
    </row>
    <row r="567" spans="1:8">
      <c r="A567" s="21"/>
      <c r="B567" s="22"/>
      <c r="C567" s="22"/>
      <c r="D567" s="22"/>
      <c r="E567" s="23" t="str">
        <f>IF($D567="","",IFERROR(VLOOKUP($D567,'ACAH Capital Tracker'!$A:$H,8,FALSE()),""))</f>
        <v/>
      </c>
      <c r="F567" s="24"/>
      <c r="G567" s="25" t="str">
        <f>IF($D567="","",IFERROR(VLOOKUP($D567,'ACAH Capital Tracker'!$A:$D,4,FALSE()),""))</f>
        <v/>
      </c>
      <c r="H567" s="22"/>
    </row>
    <row r="568" spans="1:8">
      <c r="A568" s="21"/>
      <c r="B568" s="22"/>
      <c r="C568" s="22"/>
      <c r="D568" s="22"/>
      <c r="E568" s="23" t="str">
        <f>IF($D568="","",IFERROR(VLOOKUP($D568,'ACAH Capital Tracker'!$A:$H,8,FALSE()),""))</f>
        <v/>
      </c>
      <c r="F568" s="24"/>
      <c r="G568" s="25" t="str">
        <f>IF($D568="","",IFERROR(VLOOKUP($D568,'ACAH Capital Tracker'!$A:$D,4,FALSE()),""))</f>
        <v/>
      </c>
      <c r="H568" s="22"/>
    </row>
    <row r="569" spans="1:8">
      <c r="A569" s="21"/>
      <c r="B569" s="22"/>
      <c r="C569" s="22"/>
      <c r="D569" s="22"/>
      <c r="E569" s="23" t="str">
        <f>IF($D569="","",IFERROR(VLOOKUP($D569,'ACAH Capital Tracker'!$A:$H,8,FALSE()),""))</f>
        <v/>
      </c>
      <c r="F569" s="24"/>
      <c r="G569" s="25" t="str">
        <f>IF($D569="","",IFERROR(VLOOKUP($D569,'ACAH Capital Tracker'!$A:$D,4,FALSE()),""))</f>
        <v/>
      </c>
      <c r="H569" s="22"/>
    </row>
    <row r="570" spans="1:8">
      <c r="A570" s="21"/>
      <c r="B570" s="22"/>
      <c r="C570" s="22"/>
      <c r="D570" s="22"/>
      <c r="E570" s="23" t="str">
        <f>IF($D570="","",IFERROR(VLOOKUP($D570,'ACAH Capital Tracker'!$A:$H,8,FALSE()),""))</f>
        <v/>
      </c>
      <c r="F570" s="24"/>
      <c r="G570" s="25" t="str">
        <f>IF($D570="","",IFERROR(VLOOKUP($D570,'ACAH Capital Tracker'!$A:$D,4,FALSE()),""))</f>
        <v/>
      </c>
      <c r="H570" s="22"/>
    </row>
    <row r="571" spans="1:8">
      <c r="A571" s="21"/>
      <c r="B571" s="22"/>
      <c r="C571" s="22"/>
      <c r="D571" s="22"/>
      <c r="E571" s="23" t="str">
        <f>IF($D571="","",IFERROR(VLOOKUP($D571,'ACAH Capital Tracker'!$A:$H,8,FALSE()),""))</f>
        <v/>
      </c>
      <c r="F571" s="24"/>
      <c r="G571" s="25" t="str">
        <f>IF($D571="","",IFERROR(VLOOKUP($D571,'ACAH Capital Tracker'!$A:$D,4,FALSE()),""))</f>
        <v/>
      </c>
      <c r="H571" s="22"/>
    </row>
    <row r="572" spans="1:8">
      <c r="A572" s="21"/>
      <c r="B572" s="22"/>
      <c r="C572" s="22"/>
      <c r="D572" s="22"/>
      <c r="E572" s="23" t="str">
        <f>IF($D572="","",IFERROR(VLOOKUP($D572,'ACAH Capital Tracker'!$A:$H,8,FALSE()),""))</f>
        <v/>
      </c>
      <c r="F572" s="24"/>
      <c r="G572" s="25" t="str">
        <f>IF($D572="","",IFERROR(VLOOKUP($D572,'ACAH Capital Tracker'!$A:$D,4,FALSE()),""))</f>
        <v/>
      </c>
      <c r="H572" s="22"/>
    </row>
    <row r="573" spans="1:8">
      <c r="A573" s="21"/>
      <c r="B573" s="22"/>
      <c r="C573" s="22"/>
      <c r="D573" s="22"/>
      <c r="E573" s="23" t="str">
        <f>IF($D573="","",IFERROR(VLOOKUP($D573,'ACAH Capital Tracker'!$A:$H,8,FALSE()),""))</f>
        <v/>
      </c>
      <c r="F573" s="24"/>
      <c r="G573" s="25" t="str">
        <f>IF($D573="","",IFERROR(VLOOKUP($D573,'ACAH Capital Tracker'!$A:$D,4,FALSE()),""))</f>
        <v/>
      </c>
      <c r="H573" s="22"/>
    </row>
    <row r="574" spans="1:8">
      <c r="A574" s="21"/>
      <c r="B574" s="22"/>
      <c r="C574" s="22"/>
      <c r="D574" s="22"/>
      <c r="E574" s="23" t="str">
        <f>IF($D574="","",IFERROR(VLOOKUP($D574,'ACAH Capital Tracker'!$A:$H,8,FALSE()),""))</f>
        <v/>
      </c>
      <c r="F574" s="24"/>
      <c r="G574" s="25" t="str">
        <f>IF($D574="","",IFERROR(VLOOKUP($D574,'ACAH Capital Tracker'!$A:$D,4,FALSE()),""))</f>
        <v/>
      </c>
      <c r="H574" s="22"/>
    </row>
    <row r="575" spans="1:8">
      <c r="A575" s="21"/>
      <c r="B575" s="22"/>
      <c r="C575" s="22"/>
      <c r="D575" s="22"/>
      <c r="E575" s="23" t="str">
        <f>IF($D575="","",IFERROR(VLOOKUP($D575,'ACAH Capital Tracker'!$A:$H,8,FALSE()),""))</f>
        <v/>
      </c>
      <c r="F575" s="24"/>
      <c r="G575" s="25" t="str">
        <f>IF($D575="","",IFERROR(VLOOKUP($D575,'ACAH Capital Tracker'!$A:$D,4,FALSE()),""))</f>
        <v/>
      </c>
      <c r="H575" s="22"/>
    </row>
    <row r="576" spans="1:8">
      <c r="A576" s="21"/>
      <c r="B576" s="22"/>
      <c r="C576" s="22"/>
      <c r="D576" s="22"/>
      <c r="E576" s="23" t="str">
        <f>IF($D576="","",IFERROR(VLOOKUP($D576,'ACAH Capital Tracker'!$A:$H,8,FALSE()),""))</f>
        <v/>
      </c>
      <c r="F576" s="24"/>
      <c r="G576" s="25" t="str">
        <f>IF($D576="","",IFERROR(VLOOKUP($D576,'ACAH Capital Tracker'!$A:$D,4,FALSE()),""))</f>
        <v/>
      </c>
      <c r="H576" s="22"/>
    </row>
    <row r="577" spans="1:8">
      <c r="A577" s="21"/>
      <c r="B577" s="22"/>
      <c r="C577" s="22"/>
      <c r="D577" s="22"/>
      <c r="E577" s="23" t="str">
        <f>IF($D577="","",IFERROR(VLOOKUP($D577,'ACAH Capital Tracker'!$A:$H,8,FALSE()),""))</f>
        <v/>
      </c>
      <c r="F577" s="24"/>
      <c r="G577" s="25" t="str">
        <f>IF($D577="","",IFERROR(VLOOKUP($D577,'ACAH Capital Tracker'!$A:$D,4,FALSE()),""))</f>
        <v/>
      </c>
      <c r="H577" s="22"/>
    </row>
    <row r="578" spans="1:8">
      <c r="A578" s="21"/>
      <c r="B578" s="22"/>
      <c r="C578" s="22"/>
      <c r="D578" s="22"/>
      <c r="E578" s="23" t="str">
        <f>IF($D578="","",IFERROR(VLOOKUP($D578,'ACAH Capital Tracker'!$A:$H,8,FALSE()),""))</f>
        <v/>
      </c>
      <c r="F578" s="24"/>
      <c r="G578" s="25" t="str">
        <f>IF($D578="","",IFERROR(VLOOKUP($D578,'ACAH Capital Tracker'!$A:$D,4,FALSE()),""))</f>
        <v/>
      </c>
      <c r="H578" s="22"/>
    </row>
    <row r="579" spans="1:8">
      <c r="A579" s="21"/>
      <c r="B579" s="22"/>
      <c r="C579" s="22"/>
      <c r="D579" s="22"/>
      <c r="E579" s="23" t="str">
        <f>IF($D579="","",IFERROR(VLOOKUP($D579,'ACAH Capital Tracker'!$A:$H,8,FALSE()),""))</f>
        <v/>
      </c>
      <c r="F579" s="24"/>
      <c r="G579" s="25" t="str">
        <f>IF($D579="","",IFERROR(VLOOKUP($D579,'ACAH Capital Tracker'!$A:$D,4,FALSE()),""))</f>
        <v/>
      </c>
      <c r="H579" s="22"/>
    </row>
    <row r="580" spans="1:8">
      <c r="A580" s="21"/>
      <c r="B580" s="22"/>
      <c r="C580" s="22"/>
      <c r="D580" s="22"/>
      <c r="E580" s="23" t="str">
        <f>IF($D580="","",IFERROR(VLOOKUP($D580,'ACAH Capital Tracker'!$A:$H,8,FALSE()),""))</f>
        <v/>
      </c>
      <c r="F580" s="24"/>
      <c r="G580" s="25" t="str">
        <f>IF($D580="","",IFERROR(VLOOKUP($D580,'ACAH Capital Tracker'!$A:$D,4,FALSE()),""))</f>
        <v/>
      </c>
      <c r="H580" s="22"/>
    </row>
    <row r="581" spans="1:8">
      <c r="A581" s="21"/>
      <c r="B581" s="22"/>
      <c r="C581" s="22"/>
      <c r="D581" s="22"/>
      <c r="E581" s="23" t="str">
        <f>IF($D581="","",IFERROR(VLOOKUP($D581,'ACAH Capital Tracker'!$A:$H,8,FALSE()),""))</f>
        <v/>
      </c>
      <c r="F581" s="24"/>
      <c r="G581" s="25" t="str">
        <f>IF($D581="","",IFERROR(VLOOKUP($D581,'ACAH Capital Tracker'!$A:$D,4,FALSE()),""))</f>
        <v/>
      </c>
      <c r="H581" s="22"/>
    </row>
    <row r="582" spans="1:8">
      <c r="A582" s="21"/>
      <c r="B582" s="22"/>
      <c r="C582" s="22"/>
      <c r="D582" s="22"/>
      <c r="E582" s="23" t="str">
        <f>IF($D582="","",IFERROR(VLOOKUP($D582,'ACAH Capital Tracker'!$A:$H,8,FALSE()),""))</f>
        <v/>
      </c>
      <c r="F582" s="24"/>
      <c r="G582" s="25" t="str">
        <f>IF($D582="","",IFERROR(VLOOKUP($D582,'ACAH Capital Tracker'!$A:$D,4,FALSE()),""))</f>
        <v/>
      </c>
      <c r="H582" s="22"/>
    </row>
    <row r="583" spans="1:8">
      <c r="A583" s="21"/>
      <c r="B583" s="22"/>
      <c r="C583" s="22"/>
      <c r="D583" s="22"/>
      <c r="E583" s="23" t="str">
        <f>IF($D583="","",IFERROR(VLOOKUP($D583,'ACAH Capital Tracker'!$A:$H,8,FALSE()),""))</f>
        <v/>
      </c>
      <c r="F583" s="24"/>
      <c r="G583" s="25" t="str">
        <f>IF($D583="","",IFERROR(VLOOKUP($D583,'ACAH Capital Tracker'!$A:$D,4,FALSE()),""))</f>
        <v/>
      </c>
      <c r="H583" s="22"/>
    </row>
    <row r="584" spans="1:8">
      <c r="A584" s="21"/>
      <c r="B584" s="22"/>
      <c r="C584" s="22"/>
      <c r="D584" s="22"/>
      <c r="E584" s="23" t="str">
        <f>IF($D584="","",IFERROR(VLOOKUP($D584,'ACAH Capital Tracker'!$A:$H,8,FALSE()),""))</f>
        <v/>
      </c>
      <c r="F584" s="24"/>
      <c r="G584" s="25" t="str">
        <f>IF($D584="","",IFERROR(VLOOKUP($D584,'ACAH Capital Tracker'!$A:$D,4,FALSE()),""))</f>
        <v/>
      </c>
      <c r="H584" s="22"/>
    </row>
    <row r="585" spans="1:8">
      <c r="A585" s="21"/>
      <c r="B585" s="22"/>
      <c r="C585" s="22"/>
      <c r="D585" s="22"/>
      <c r="E585" s="23" t="str">
        <f>IF($D585="","",IFERROR(VLOOKUP($D585,'ACAH Capital Tracker'!$A:$H,8,FALSE()),""))</f>
        <v/>
      </c>
      <c r="F585" s="24"/>
      <c r="G585" s="25" t="str">
        <f>IF($D585="","",IFERROR(VLOOKUP($D585,'ACAH Capital Tracker'!$A:$D,4,FALSE()),""))</f>
        <v/>
      </c>
      <c r="H585" s="22"/>
    </row>
    <row r="586" spans="1:8">
      <c r="A586" s="21"/>
      <c r="B586" s="22"/>
      <c r="C586" s="22"/>
      <c r="D586" s="22"/>
      <c r="E586" s="23" t="str">
        <f>IF($D586="","",IFERROR(VLOOKUP($D586,'ACAH Capital Tracker'!$A:$H,8,FALSE()),""))</f>
        <v/>
      </c>
      <c r="F586" s="24"/>
      <c r="G586" s="25" t="str">
        <f>IF($D586="","",IFERROR(VLOOKUP($D586,'ACAH Capital Tracker'!$A:$D,4,FALSE()),""))</f>
        <v/>
      </c>
      <c r="H586" s="22"/>
    </row>
    <row r="587" spans="1:8">
      <c r="A587" s="21"/>
      <c r="B587" s="22"/>
      <c r="C587" s="22"/>
      <c r="D587" s="22"/>
      <c r="E587" s="23" t="str">
        <f>IF($D587="","",IFERROR(VLOOKUP($D587,'ACAH Capital Tracker'!$A:$H,8,FALSE()),""))</f>
        <v/>
      </c>
      <c r="F587" s="24"/>
      <c r="G587" s="25" t="str">
        <f>IF($D587="","",IFERROR(VLOOKUP($D587,'ACAH Capital Tracker'!$A:$D,4,FALSE()),""))</f>
        <v/>
      </c>
      <c r="H587" s="22"/>
    </row>
    <row r="588" spans="1:8">
      <c r="A588" s="21"/>
      <c r="B588" s="22"/>
      <c r="C588" s="22"/>
      <c r="D588" s="22"/>
      <c r="E588" s="23" t="str">
        <f>IF($D588="","",IFERROR(VLOOKUP($D588,'ACAH Capital Tracker'!$A:$H,8,FALSE()),""))</f>
        <v/>
      </c>
      <c r="F588" s="24"/>
      <c r="G588" s="25" t="str">
        <f>IF($D588="","",IFERROR(VLOOKUP($D588,'ACAH Capital Tracker'!$A:$D,4,FALSE()),""))</f>
        <v/>
      </c>
      <c r="H588" s="22"/>
    </row>
    <row r="589" spans="1:8">
      <c r="A589" s="21"/>
      <c r="B589" s="22"/>
      <c r="C589" s="22"/>
      <c r="D589" s="22"/>
      <c r="E589" s="23" t="str">
        <f>IF($D589="","",IFERROR(VLOOKUP($D589,'ACAH Capital Tracker'!$A:$H,8,FALSE()),""))</f>
        <v/>
      </c>
      <c r="F589" s="24"/>
      <c r="G589" s="25" t="str">
        <f>IF($D589="","",IFERROR(VLOOKUP($D589,'ACAH Capital Tracker'!$A:$D,4,FALSE()),""))</f>
        <v/>
      </c>
      <c r="H589" s="22"/>
    </row>
    <row r="590" spans="1:8">
      <c r="A590" s="21"/>
      <c r="B590" s="22"/>
      <c r="C590" s="22"/>
      <c r="D590" s="22"/>
      <c r="E590" s="23" t="str">
        <f>IF($D590="","",IFERROR(VLOOKUP($D590,'ACAH Capital Tracker'!$A:$H,8,FALSE()),""))</f>
        <v/>
      </c>
      <c r="F590" s="24"/>
      <c r="G590" s="25" t="str">
        <f>IF($D590="","",IFERROR(VLOOKUP($D590,'ACAH Capital Tracker'!$A:$D,4,FALSE()),""))</f>
        <v/>
      </c>
      <c r="H590" s="22"/>
    </row>
    <row r="591" spans="1:8">
      <c r="A591" s="21"/>
      <c r="B591" s="22"/>
      <c r="C591" s="22"/>
      <c r="D591" s="22"/>
      <c r="E591" s="23" t="str">
        <f>IF($D591="","",IFERROR(VLOOKUP($D591,'ACAH Capital Tracker'!$A:$H,8,FALSE()),""))</f>
        <v/>
      </c>
      <c r="F591" s="24"/>
      <c r="G591" s="25" t="str">
        <f>IF($D591="","",IFERROR(VLOOKUP($D591,'ACAH Capital Tracker'!$A:$D,4,FALSE()),""))</f>
        <v/>
      </c>
      <c r="H591" s="22"/>
    </row>
    <row r="592" spans="1:8">
      <c r="A592" s="21"/>
      <c r="B592" s="22"/>
      <c r="C592" s="22"/>
      <c r="D592" s="22"/>
      <c r="E592" s="23" t="str">
        <f>IF($D592="","",IFERROR(VLOOKUP($D592,'ACAH Capital Tracker'!$A:$H,8,FALSE()),""))</f>
        <v/>
      </c>
      <c r="F592" s="24"/>
      <c r="G592" s="25" t="str">
        <f>IF($D592="","",IFERROR(VLOOKUP($D592,'ACAH Capital Tracker'!$A:$D,4,FALSE()),""))</f>
        <v/>
      </c>
      <c r="H592" s="22"/>
    </row>
    <row r="593" spans="1:8">
      <c r="A593" s="21"/>
      <c r="B593" s="22"/>
      <c r="C593" s="22"/>
      <c r="D593" s="22"/>
      <c r="E593" s="23" t="str">
        <f>IF($D593="","",IFERROR(VLOOKUP($D593,'ACAH Capital Tracker'!$A:$H,8,FALSE()),""))</f>
        <v/>
      </c>
      <c r="F593" s="24"/>
      <c r="G593" s="25" t="str">
        <f>IF($D593="","",IFERROR(VLOOKUP($D593,'ACAH Capital Tracker'!$A:$D,4,FALSE()),""))</f>
        <v/>
      </c>
      <c r="H593" s="22"/>
    </row>
    <row r="594" spans="1:8">
      <c r="A594" s="21"/>
      <c r="B594" s="22"/>
      <c r="C594" s="22"/>
      <c r="D594" s="22"/>
      <c r="E594" s="23" t="str">
        <f>IF($D594="","",IFERROR(VLOOKUP($D594,'ACAH Capital Tracker'!$A:$H,8,FALSE()),""))</f>
        <v/>
      </c>
      <c r="F594" s="24"/>
      <c r="G594" s="25" t="str">
        <f>IF($D594="","",IFERROR(VLOOKUP($D594,'ACAH Capital Tracker'!$A:$D,4,FALSE()),""))</f>
        <v/>
      </c>
      <c r="H594" s="22"/>
    </row>
    <row r="595" spans="1:8">
      <c r="A595" s="21"/>
      <c r="B595" s="22"/>
      <c r="C595" s="22"/>
      <c r="D595" s="22"/>
      <c r="E595" s="23" t="str">
        <f>IF($D595="","",IFERROR(VLOOKUP($D595,'ACAH Capital Tracker'!$A:$H,8,FALSE()),""))</f>
        <v/>
      </c>
      <c r="F595" s="24"/>
      <c r="G595" s="25" t="str">
        <f>IF($D595="","",IFERROR(VLOOKUP($D595,'ACAH Capital Tracker'!$A:$D,4,FALSE()),""))</f>
        <v/>
      </c>
      <c r="H595" s="22"/>
    </row>
    <row r="596" spans="1:8">
      <c r="A596" s="21"/>
      <c r="B596" s="22"/>
      <c r="C596" s="22"/>
      <c r="D596" s="22"/>
      <c r="E596" s="23" t="str">
        <f>IF($D596="","",IFERROR(VLOOKUP($D596,'ACAH Capital Tracker'!$A:$H,8,FALSE()),""))</f>
        <v/>
      </c>
      <c r="F596" s="24"/>
      <c r="G596" s="25" t="str">
        <f>IF($D596="","",IFERROR(VLOOKUP($D596,'ACAH Capital Tracker'!$A:$D,4,FALSE()),""))</f>
        <v/>
      </c>
      <c r="H596" s="22"/>
    </row>
    <row r="597" spans="1:8">
      <c r="A597" s="21"/>
      <c r="B597" s="22"/>
      <c r="C597" s="22"/>
      <c r="D597" s="22"/>
      <c r="E597" s="23" t="str">
        <f>IF($D597="","",IFERROR(VLOOKUP($D597,'ACAH Capital Tracker'!$A:$H,8,FALSE()),""))</f>
        <v/>
      </c>
      <c r="F597" s="24"/>
      <c r="G597" s="25" t="str">
        <f>IF($D597="","",IFERROR(VLOOKUP($D597,'ACAH Capital Tracker'!$A:$D,4,FALSE()),""))</f>
        <v/>
      </c>
      <c r="H597" s="22"/>
    </row>
    <row r="598" spans="1:8">
      <c r="A598" s="21"/>
      <c r="B598" s="22"/>
      <c r="C598" s="22"/>
      <c r="D598" s="22"/>
      <c r="E598" s="23" t="str">
        <f>IF($D598="","",IFERROR(VLOOKUP($D598,'ACAH Capital Tracker'!$A:$H,8,FALSE()),""))</f>
        <v/>
      </c>
      <c r="F598" s="24"/>
      <c r="G598" s="25" t="str">
        <f>IF($D598="","",IFERROR(VLOOKUP($D598,'ACAH Capital Tracker'!$A:$D,4,FALSE()),""))</f>
        <v/>
      </c>
      <c r="H598" s="22"/>
    </row>
    <row r="599" spans="1:8">
      <c r="A599" s="21"/>
      <c r="B599" s="22"/>
      <c r="C599" s="22"/>
      <c r="D599" s="22"/>
      <c r="E599" s="23" t="str">
        <f>IF($D599="","",IFERROR(VLOOKUP($D599,'ACAH Capital Tracker'!$A:$H,8,FALSE()),""))</f>
        <v/>
      </c>
      <c r="F599" s="24"/>
      <c r="G599" s="25" t="str">
        <f>IF($D599="","",IFERROR(VLOOKUP($D599,'ACAH Capital Tracker'!$A:$D,4,FALSE()),""))</f>
        <v/>
      </c>
      <c r="H599" s="22"/>
    </row>
    <row r="600" spans="1:8">
      <c r="A600" s="21"/>
      <c r="B600" s="22"/>
      <c r="C600" s="22"/>
      <c r="D600" s="22"/>
      <c r="E600" s="23" t="str">
        <f>IF($D600="","",IFERROR(VLOOKUP($D600,'ACAH Capital Tracker'!$A:$H,8,FALSE()),""))</f>
        <v/>
      </c>
      <c r="F600" s="24"/>
      <c r="G600" s="25" t="str">
        <f>IF($D600="","",IFERROR(VLOOKUP($D600,'ACAH Capital Tracker'!$A:$D,4,FALSE()),""))</f>
        <v/>
      </c>
      <c r="H600" s="22"/>
    </row>
    <row r="601" spans="1:8">
      <c r="A601" s="21"/>
      <c r="B601" s="22"/>
      <c r="C601" s="22"/>
      <c r="D601" s="22"/>
      <c r="E601" s="23" t="str">
        <f>IF($D601="","",IFERROR(VLOOKUP($D601,'ACAH Capital Tracker'!$A:$H,8,FALSE()),""))</f>
        <v/>
      </c>
      <c r="F601" s="24"/>
      <c r="G601" s="25" t="str">
        <f>IF($D601="","",IFERROR(VLOOKUP($D601,'ACAH Capital Tracker'!$A:$D,4,FALSE()),""))</f>
        <v/>
      </c>
      <c r="H601" s="22"/>
    </row>
    <row r="602" spans="1:8">
      <c r="A602" s="21"/>
      <c r="B602" s="22"/>
      <c r="C602" s="22"/>
      <c r="D602" s="22"/>
      <c r="E602" s="23" t="str">
        <f>IF($D602="","",IFERROR(VLOOKUP($D602,'ACAH Capital Tracker'!$A:$H,8,FALSE()),""))</f>
        <v/>
      </c>
      <c r="F602" s="24"/>
      <c r="G602" s="25" t="str">
        <f>IF($D602="","",IFERROR(VLOOKUP($D602,'ACAH Capital Tracker'!$A:$D,4,FALSE()),""))</f>
        <v/>
      </c>
      <c r="H602" s="22"/>
    </row>
    <row r="603" spans="1:8">
      <c r="A603" s="21"/>
      <c r="B603" s="22"/>
      <c r="C603" s="22"/>
      <c r="D603" s="22"/>
      <c r="E603" s="23" t="str">
        <f>IF($D603="","",IFERROR(VLOOKUP($D603,'ACAH Capital Tracker'!$A:$H,8,FALSE()),""))</f>
        <v/>
      </c>
      <c r="F603" s="24"/>
      <c r="G603" s="25" t="str">
        <f>IF($D603="","",IFERROR(VLOOKUP($D603,'ACAH Capital Tracker'!$A:$D,4,FALSE()),""))</f>
        <v/>
      </c>
      <c r="H603" s="22"/>
    </row>
    <row r="604" spans="1:8">
      <c r="A604" s="21"/>
      <c r="B604" s="22"/>
      <c r="C604" s="22"/>
      <c r="D604" s="22"/>
      <c r="E604" s="23" t="str">
        <f>IF($D604="","",IFERROR(VLOOKUP($D604,'ACAH Capital Tracker'!$A:$H,8,FALSE()),""))</f>
        <v/>
      </c>
      <c r="F604" s="24"/>
      <c r="G604" s="25" t="str">
        <f>IF($D604="","",IFERROR(VLOOKUP($D604,'ACAH Capital Tracker'!$A:$D,4,FALSE()),""))</f>
        <v/>
      </c>
      <c r="H604" s="22"/>
    </row>
    <row r="605" spans="1:8">
      <c r="A605" s="21"/>
      <c r="B605" s="22"/>
      <c r="C605" s="22"/>
      <c r="D605" s="22"/>
      <c r="E605" s="23" t="str">
        <f>IF($D605="","",IFERROR(VLOOKUP($D605,'ACAH Capital Tracker'!$A:$H,8,FALSE()),""))</f>
        <v/>
      </c>
      <c r="F605" s="24"/>
      <c r="G605" s="25" t="str">
        <f>IF($D605="","",IFERROR(VLOOKUP($D605,'ACAH Capital Tracker'!$A:$D,4,FALSE()),""))</f>
        <v/>
      </c>
      <c r="H605" s="22"/>
    </row>
    <row r="606" spans="1:8">
      <c r="A606" s="21"/>
      <c r="B606" s="22"/>
      <c r="C606" s="22"/>
      <c r="D606" s="22"/>
      <c r="E606" s="23" t="str">
        <f>IF($D606="","",IFERROR(VLOOKUP($D606,'ACAH Capital Tracker'!$A:$H,8,FALSE()),""))</f>
        <v/>
      </c>
      <c r="F606" s="24"/>
      <c r="G606" s="25" t="str">
        <f>IF($D606="","",IFERROR(VLOOKUP($D606,'ACAH Capital Tracker'!$A:$D,4,FALSE()),""))</f>
        <v/>
      </c>
      <c r="H606" s="22"/>
    </row>
    <row r="607" spans="1:8">
      <c r="A607" s="21"/>
      <c r="B607" s="22"/>
      <c r="C607" s="22"/>
      <c r="D607" s="22"/>
      <c r="E607" s="23" t="str">
        <f>IF($D607="","",IFERROR(VLOOKUP($D607,'ACAH Capital Tracker'!$A:$H,8,FALSE()),""))</f>
        <v/>
      </c>
      <c r="F607" s="24"/>
      <c r="G607" s="25" t="str">
        <f>IF($D607="","",IFERROR(VLOOKUP($D607,'ACAH Capital Tracker'!$A:$D,4,FALSE()),""))</f>
        <v/>
      </c>
      <c r="H607" s="22"/>
    </row>
    <row r="608" spans="1:8">
      <c r="A608" s="21"/>
      <c r="B608" s="22"/>
      <c r="C608" s="22"/>
      <c r="D608" s="22"/>
      <c r="E608" s="23" t="str">
        <f>IF($D608="","",IFERROR(VLOOKUP($D608,'ACAH Capital Tracker'!$A:$H,8,FALSE()),""))</f>
        <v/>
      </c>
      <c r="F608" s="24"/>
      <c r="G608" s="25" t="str">
        <f>IF($D608="","",IFERROR(VLOOKUP($D608,'ACAH Capital Tracker'!$A:$D,4,FALSE()),""))</f>
        <v/>
      </c>
      <c r="H608" s="22"/>
    </row>
    <row r="609" spans="1:8">
      <c r="A609" s="21"/>
      <c r="B609" s="22"/>
      <c r="C609" s="22"/>
      <c r="D609" s="22"/>
      <c r="E609" s="23" t="str">
        <f>IF($D609="","",IFERROR(VLOOKUP($D609,'ACAH Capital Tracker'!$A:$H,8,FALSE()),""))</f>
        <v/>
      </c>
      <c r="F609" s="24"/>
      <c r="G609" s="25" t="str">
        <f>IF($D609="","",IFERROR(VLOOKUP($D609,'ACAH Capital Tracker'!$A:$D,4,FALSE()),""))</f>
        <v/>
      </c>
      <c r="H609" s="22"/>
    </row>
    <row r="610" spans="1:8">
      <c r="A610" s="21"/>
      <c r="B610" s="22"/>
      <c r="C610" s="22"/>
      <c r="D610" s="22"/>
      <c r="E610" s="23" t="str">
        <f>IF($D610="","",IFERROR(VLOOKUP($D610,'ACAH Capital Tracker'!$A:$H,8,FALSE()),""))</f>
        <v/>
      </c>
      <c r="F610" s="24"/>
      <c r="G610" s="25" t="str">
        <f>IF($D610="","",IFERROR(VLOOKUP($D610,'ACAH Capital Tracker'!$A:$D,4,FALSE()),""))</f>
        <v/>
      </c>
      <c r="H610" s="22"/>
    </row>
    <row r="611" spans="1:8">
      <c r="A611" s="21"/>
      <c r="B611" s="22"/>
      <c r="C611" s="22"/>
      <c r="D611" s="22"/>
      <c r="E611" s="23" t="str">
        <f>IF($D611="","",IFERROR(VLOOKUP($D611,'ACAH Capital Tracker'!$A:$H,8,FALSE()),""))</f>
        <v/>
      </c>
      <c r="F611" s="24"/>
      <c r="G611" s="25" t="str">
        <f>IF($D611="","",IFERROR(VLOOKUP($D611,'ACAH Capital Tracker'!$A:$D,4,FALSE()),""))</f>
        <v/>
      </c>
      <c r="H611" s="22"/>
    </row>
    <row r="612" spans="1:8">
      <c r="A612" s="21"/>
      <c r="B612" s="22"/>
      <c r="C612" s="22"/>
      <c r="D612" s="22"/>
      <c r="E612" s="23" t="str">
        <f>IF($D612="","",IFERROR(VLOOKUP($D612,'ACAH Capital Tracker'!$A:$H,8,FALSE()),""))</f>
        <v/>
      </c>
      <c r="F612" s="24"/>
      <c r="G612" s="25" t="str">
        <f>IF($D612="","",IFERROR(VLOOKUP($D612,'ACAH Capital Tracker'!$A:$D,4,FALSE()),""))</f>
        <v/>
      </c>
      <c r="H612" s="22"/>
    </row>
    <row r="613" spans="1:8">
      <c r="A613" s="21"/>
      <c r="B613" s="22"/>
      <c r="C613" s="22"/>
      <c r="D613" s="22"/>
      <c r="E613" s="23" t="str">
        <f>IF($D613="","",IFERROR(VLOOKUP($D613,'ACAH Capital Tracker'!$A:$H,8,FALSE()),""))</f>
        <v/>
      </c>
      <c r="F613" s="24"/>
      <c r="G613" s="25" t="str">
        <f>IF($D613="","",IFERROR(VLOOKUP($D613,'ACAH Capital Tracker'!$A:$D,4,FALSE()),""))</f>
        <v/>
      </c>
      <c r="H613" s="22"/>
    </row>
    <row r="614" spans="1:8">
      <c r="A614" s="21"/>
      <c r="B614" s="22"/>
      <c r="C614" s="22"/>
      <c r="D614" s="22"/>
      <c r="E614" s="23" t="str">
        <f>IF($D614="","",IFERROR(VLOOKUP($D614,'ACAH Capital Tracker'!$A:$H,8,FALSE()),""))</f>
        <v/>
      </c>
      <c r="F614" s="24"/>
      <c r="G614" s="25" t="str">
        <f>IF($D614="","",IFERROR(VLOOKUP($D614,'ACAH Capital Tracker'!$A:$D,4,FALSE()),""))</f>
        <v/>
      </c>
      <c r="H614" s="22"/>
    </row>
    <row r="615" spans="1:8">
      <c r="A615" s="21"/>
      <c r="B615" s="22"/>
      <c r="C615" s="22"/>
      <c r="D615" s="22"/>
      <c r="E615" s="23" t="str">
        <f>IF($D615="","",IFERROR(VLOOKUP($D615,'ACAH Capital Tracker'!$A:$H,8,FALSE()),""))</f>
        <v/>
      </c>
      <c r="F615" s="24"/>
      <c r="G615" s="25" t="str">
        <f>IF($D615="","",IFERROR(VLOOKUP($D615,'ACAH Capital Tracker'!$A:$D,4,FALSE()),""))</f>
        <v/>
      </c>
      <c r="H615" s="22"/>
    </row>
    <row r="616" spans="1:8">
      <c r="A616" s="21"/>
      <c r="B616" s="22"/>
      <c r="C616" s="22"/>
      <c r="D616" s="22"/>
      <c r="E616" s="23" t="str">
        <f>IF($D616="","",IFERROR(VLOOKUP($D616,'ACAH Capital Tracker'!$A:$H,8,FALSE()),""))</f>
        <v/>
      </c>
      <c r="F616" s="24"/>
      <c r="G616" s="25" t="str">
        <f>IF($D616="","",IFERROR(VLOOKUP($D616,'ACAH Capital Tracker'!$A:$D,4,FALSE()),""))</f>
        <v/>
      </c>
      <c r="H616" s="22"/>
    </row>
    <row r="617" spans="1:8">
      <c r="A617" s="21"/>
      <c r="B617" s="22"/>
      <c r="C617" s="22"/>
      <c r="D617" s="22"/>
      <c r="E617" s="23" t="str">
        <f>IF($D617="","",IFERROR(VLOOKUP($D617,'ACAH Capital Tracker'!$A:$H,8,FALSE()),""))</f>
        <v/>
      </c>
      <c r="F617" s="24"/>
      <c r="G617" s="25" t="str">
        <f>IF($D617="","",IFERROR(VLOOKUP($D617,'ACAH Capital Tracker'!$A:$D,4,FALSE()),""))</f>
        <v/>
      </c>
      <c r="H617" s="22"/>
    </row>
    <row r="618" spans="1:8">
      <c r="A618" s="21"/>
      <c r="B618" s="22"/>
      <c r="C618" s="22"/>
      <c r="D618" s="22"/>
      <c r="E618" s="23" t="str">
        <f>IF($D618="","",IFERROR(VLOOKUP($D618,'ACAH Capital Tracker'!$A:$H,8,FALSE()),""))</f>
        <v/>
      </c>
      <c r="F618" s="24"/>
      <c r="G618" s="25" t="str">
        <f>IF($D618="","",IFERROR(VLOOKUP($D618,'ACAH Capital Tracker'!$A:$D,4,FALSE()),""))</f>
        <v/>
      </c>
      <c r="H618" s="22"/>
    </row>
    <row r="619" spans="1:8">
      <c r="A619" s="21"/>
      <c r="B619" s="22"/>
      <c r="C619" s="22"/>
      <c r="D619" s="22"/>
      <c r="E619" s="23" t="str">
        <f>IF($D619="","",IFERROR(VLOOKUP($D619,'ACAH Capital Tracker'!$A:$H,8,FALSE()),""))</f>
        <v/>
      </c>
      <c r="F619" s="24"/>
      <c r="G619" s="25" t="str">
        <f>IF($D619="","",IFERROR(VLOOKUP($D619,'ACAH Capital Tracker'!$A:$D,4,FALSE()),""))</f>
        <v/>
      </c>
      <c r="H619" s="22"/>
    </row>
    <row r="620" spans="1:8">
      <c r="A620" s="21"/>
      <c r="B620" s="22"/>
      <c r="C620" s="22"/>
      <c r="D620" s="22"/>
      <c r="E620" s="23" t="str">
        <f>IF($D620="","",IFERROR(VLOOKUP($D620,'ACAH Capital Tracker'!$A:$H,8,FALSE()),""))</f>
        <v/>
      </c>
      <c r="F620" s="24"/>
      <c r="G620" s="25" t="str">
        <f>IF($D620="","",IFERROR(VLOOKUP($D620,'ACAH Capital Tracker'!$A:$D,4,FALSE()),""))</f>
        <v/>
      </c>
      <c r="H620" s="22"/>
    </row>
    <row r="621" spans="1:8">
      <c r="A621" s="21"/>
      <c r="B621" s="22"/>
      <c r="C621" s="22"/>
      <c r="D621" s="22"/>
      <c r="E621" s="23" t="str">
        <f>IF($D621="","",IFERROR(VLOOKUP($D621,'ACAH Capital Tracker'!$A:$H,8,FALSE()),""))</f>
        <v/>
      </c>
      <c r="F621" s="24"/>
      <c r="G621" s="25" t="str">
        <f>IF($D621="","",IFERROR(VLOOKUP($D621,'ACAH Capital Tracker'!$A:$D,4,FALSE()),""))</f>
        <v/>
      </c>
      <c r="H621" s="22"/>
    </row>
    <row r="622" spans="1:8">
      <c r="A622" s="21"/>
      <c r="B622" s="22"/>
      <c r="C622" s="22"/>
      <c r="D622" s="22"/>
      <c r="E622" s="23" t="str">
        <f>IF($D622="","",IFERROR(VLOOKUP($D622,'ACAH Capital Tracker'!$A:$H,8,FALSE()),""))</f>
        <v/>
      </c>
      <c r="F622" s="24"/>
      <c r="G622" s="25" t="str">
        <f>IF($D622="","",IFERROR(VLOOKUP($D622,'ACAH Capital Tracker'!$A:$D,4,FALSE()),""))</f>
        <v/>
      </c>
      <c r="H622" s="22"/>
    </row>
    <row r="623" spans="1:8">
      <c r="A623" s="21"/>
      <c r="B623" s="22"/>
      <c r="C623" s="22"/>
      <c r="D623" s="22"/>
      <c r="E623" s="23" t="str">
        <f>IF($D623="","",IFERROR(VLOOKUP($D623,'ACAH Capital Tracker'!$A:$H,8,FALSE()),""))</f>
        <v/>
      </c>
      <c r="F623" s="24"/>
      <c r="G623" s="25" t="str">
        <f>IF($D623="","",IFERROR(VLOOKUP($D623,'ACAH Capital Tracker'!$A:$D,4,FALSE()),""))</f>
        <v/>
      </c>
      <c r="H623" s="22"/>
    </row>
    <row r="624" spans="1:8">
      <c r="A624" s="21"/>
      <c r="B624" s="22"/>
      <c r="C624" s="22"/>
      <c r="D624" s="22"/>
      <c r="E624" s="23" t="str">
        <f>IF($D624="","",IFERROR(VLOOKUP($D624,'ACAH Capital Tracker'!$A:$H,8,FALSE()),""))</f>
        <v/>
      </c>
      <c r="F624" s="24"/>
      <c r="G624" s="25" t="str">
        <f>IF($D624="","",IFERROR(VLOOKUP($D624,'ACAH Capital Tracker'!$A:$D,4,FALSE()),""))</f>
        <v/>
      </c>
      <c r="H624" s="22"/>
    </row>
    <row r="625" spans="1:8">
      <c r="A625" s="21"/>
      <c r="B625" s="22"/>
      <c r="C625" s="22"/>
      <c r="D625" s="22"/>
      <c r="E625" s="23" t="str">
        <f>IF($D625="","",IFERROR(VLOOKUP($D625,'ACAH Capital Tracker'!$A:$H,8,FALSE()),""))</f>
        <v/>
      </c>
      <c r="F625" s="24"/>
      <c r="G625" s="25" t="str">
        <f>IF($D625="","",IFERROR(VLOOKUP($D625,'ACAH Capital Tracker'!$A:$D,4,FALSE()),""))</f>
        <v/>
      </c>
      <c r="H625" s="22"/>
    </row>
    <row r="626" spans="1:8">
      <c r="A626" s="21"/>
      <c r="B626" s="22"/>
      <c r="C626" s="22"/>
      <c r="D626" s="22"/>
      <c r="E626" s="23" t="str">
        <f>IF($D626="","",IFERROR(VLOOKUP($D626,'ACAH Capital Tracker'!$A:$H,8,FALSE()),""))</f>
        <v/>
      </c>
      <c r="F626" s="24"/>
      <c r="G626" s="25" t="str">
        <f>IF($D626="","",IFERROR(VLOOKUP($D626,'ACAH Capital Tracker'!$A:$D,4,FALSE()),""))</f>
        <v/>
      </c>
      <c r="H626" s="22"/>
    </row>
    <row r="627" spans="1:8">
      <c r="A627" s="21"/>
      <c r="B627" s="22"/>
      <c r="C627" s="22"/>
      <c r="D627" s="22"/>
      <c r="E627" s="23" t="str">
        <f>IF($D627="","",IFERROR(VLOOKUP($D627,'ACAH Capital Tracker'!$A:$H,8,FALSE()),""))</f>
        <v/>
      </c>
      <c r="F627" s="24"/>
      <c r="G627" s="25" t="str">
        <f>IF($D627="","",IFERROR(VLOOKUP($D627,'ACAH Capital Tracker'!$A:$D,4,FALSE()),""))</f>
        <v/>
      </c>
      <c r="H627" s="22"/>
    </row>
    <row r="628" spans="1:8">
      <c r="A628" s="21"/>
      <c r="B628" s="22"/>
      <c r="C628" s="22"/>
      <c r="D628" s="22"/>
      <c r="E628" s="23" t="str">
        <f>IF($D628="","",IFERROR(VLOOKUP($D628,'ACAH Capital Tracker'!$A:$H,8,FALSE()),""))</f>
        <v/>
      </c>
      <c r="F628" s="24"/>
      <c r="G628" s="25" t="str">
        <f>IF($D628="","",IFERROR(VLOOKUP($D628,'ACAH Capital Tracker'!$A:$D,4,FALSE()),""))</f>
        <v/>
      </c>
      <c r="H628" s="22"/>
    </row>
    <row r="629" spans="1:8">
      <c r="A629" s="21"/>
      <c r="B629" s="22"/>
      <c r="C629" s="22"/>
      <c r="D629" s="22"/>
      <c r="E629" s="23" t="str">
        <f>IF($D629="","",IFERROR(VLOOKUP($D629,'ACAH Capital Tracker'!$A:$H,8,FALSE()),""))</f>
        <v/>
      </c>
      <c r="F629" s="24"/>
      <c r="G629" s="25" t="str">
        <f>IF($D629="","",IFERROR(VLOOKUP($D629,'ACAH Capital Tracker'!$A:$D,4,FALSE()),""))</f>
        <v/>
      </c>
      <c r="H629" s="22"/>
    </row>
    <row r="630" spans="1:8">
      <c r="A630" s="21"/>
      <c r="B630" s="22"/>
      <c r="C630" s="22"/>
      <c r="D630" s="22"/>
      <c r="E630" s="23" t="str">
        <f>IF($D630="","",IFERROR(VLOOKUP($D630,'ACAH Capital Tracker'!$A:$H,8,FALSE()),""))</f>
        <v/>
      </c>
      <c r="F630" s="24"/>
      <c r="G630" s="25" t="str">
        <f>IF($D630="","",IFERROR(VLOOKUP($D630,'ACAH Capital Tracker'!$A:$D,4,FALSE()),""))</f>
        <v/>
      </c>
      <c r="H630" s="22"/>
    </row>
    <row r="631" spans="1:8">
      <c r="A631" s="21"/>
      <c r="B631" s="22"/>
      <c r="C631" s="22"/>
      <c r="D631" s="22"/>
      <c r="E631" s="23" t="str">
        <f>IF($D631="","",IFERROR(VLOOKUP($D631,'ACAH Capital Tracker'!$A:$H,8,FALSE()),""))</f>
        <v/>
      </c>
      <c r="F631" s="24"/>
      <c r="G631" s="25" t="str">
        <f>IF($D631="","",IFERROR(VLOOKUP($D631,'ACAH Capital Tracker'!$A:$D,4,FALSE()),""))</f>
        <v/>
      </c>
      <c r="H631" s="22"/>
    </row>
    <row r="632" spans="1:8">
      <c r="A632" s="21"/>
      <c r="B632" s="22"/>
      <c r="C632" s="22"/>
      <c r="D632" s="22"/>
      <c r="E632" s="23" t="str">
        <f>IF($D632="","",IFERROR(VLOOKUP($D632,'ACAH Capital Tracker'!$A:$H,8,FALSE()),""))</f>
        <v/>
      </c>
      <c r="F632" s="24"/>
      <c r="G632" s="25" t="str">
        <f>IF($D632="","",IFERROR(VLOOKUP($D632,'ACAH Capital Tracker'!$A:$D,4,FALSE()),""))</f>
        <v/>
      </c>
      <c r="H632" s="22"/>
    </row>
    <row r="633" spans="1:8">
      <c r="A633" s="21"/>
      <c r="B633" s="22"/>
      <c r="C633" s="22"/>
      <c r="D633" s="22"/>
      <c r="E633" s="23" t="str">
        <f>IF($D633="","",IFERROR(VLOOKUP($D633,'ACAH Capital Tracker'!$A:$H,8,FALSE()),""))</f>
        <v/>
      </c>
      <c r="F633" s="24"/>
      <c r="G633" s="25" t="str">
        <f>IF($D633="","",IFERROR(VLOOKUP($D633,'ACAH Capital Tracker'!$A:$D,4,FALSE()),""))</f>
        <v/>
      </c>
      <c r="H633" s="22"/>
    </row>
    <row r="634" spans="1:8">
      <c r="A634" s="21"/>
      <c r="B634" s="22"/>
      <c r="C634" s="22"/>
      <c r="D634" s="22"/>
      <c r="E634" s="23" t="str">
        <f>IF($D634="","",IFERROR(VLOOKUP($D634,'ACAH Capital Tracker'!$A:$H,8,FALSE()),""))</f>
        <v/>
      </c>
      <c r="F634" s="24"/>
      <c r="G634" s="25" t="str">
        <f>IF($D634="","",IFERROR(VLOOKUP($D634,'ACAH Capital Tracker'!$A:$D,4,FALSE()),""))</f>
        <v/>
      </c>
      <c r="H634" s="22"/>
    </row>
    <row r="635" spans="1:8">
      <c r="A635" s="21"/>
      <c r="B635" s="22"/>
      <c r="C635" s="22"/>
      <c r="D635" s="22"/>
      <c r="E635" s="23" t="str">
        <f>IF($D635="","",IFERROR(VLOOKUP($D635,'ACAH Capital Tracker'!$A:$H,8,FALSE()),""))</f>
        <v/>
      </c>
      <c r="F635" s="24"/>
      <c r="G635" s="25" t="str">
        <f>IF($D635="","",IFERROR(VLOOKUP($D635,'ACAH Capital Tracker'!$A:$D,4,FALSE()),""))</f>
        <v/>
      </c>
      <c r="H635" s="22"/>
    </row>
    <row r="636" spans="1:8">
      <c r="A636" s="21"/>
      <c r="B636" s="22"/>
      <c r="C636" s="22"/>
      <c r="D636" s="22"/>
      <c r="E636" s="23" t="str">
        <f>IF($D636="","",IFERROR(VLOOKUP($D636,'ACAH Capital Tracker'!$A:$H,8,FALSE()),""))</f>
        <v/>
      </c>
      <c r="F636" s="24"/>
      <c r="G636" s="25" t="str">
        <f>IF($D636="","",IFERROR(VLOOKUP($D636,'ACAH Capital Tracker'!$A:$D,4,FALSE()),""))</f>
        <v/>
      </c>
      <c r="H636" s="22"/>
    </row>
    <row r="637" spans="1:8">
      <c r="A637" s="21"/>
      <c r="B637" s="22"/>
      <c r="C637" s="22"/>
      <c r="D637" s="22"/>
      <c r="E637" s="23" t="str">
        <f>IF($D637="","",IFERROR(VLOOKUP($D637,'ACAH Capital Tracker'!$A:$H,8,FALSE()),""))</f>
        <v/>
      </c>
      <c r="F637" s="24"/>
      <c r="G637" s="25" t="str">
        <f>IF($D637="","",IFERROR(VLOOKUP($D637,'ACAH Capital Tracker'!$A:$D,4,FALSE()),""))</f>
        <v/>
      </c>
      <c r="H637" s="22"/>
    </row>
    <row r="638" spans="1:8">
      <c r="A638" s="21"/>
      <c r="B638" s="22"/>
      <c r="C638" s="22"/>
      <c r="D638" s="22"/>
      <c r="E638" s="23" t="str">
        <f>IF($D638="","",IFERROR(VLOOKUP($D638,'ACAH Capital Tracker'!$A:$H,8,FALSE()),""))</f>
        <v/>
      </c>
      <c r="F638" s="24"/>
      <c r="G638" s="25" t="str">
        <f>IF($D638="","",IFERROR(VLOOKUP($D638,'ACAH Capital Tracker'!$A:$D,4,FALSE()),""))</f>
        <v/>
      </c>
      <c r="H638" s="22"/>
    </row>
    <row r="639" spans="1:8">
      <c r="A639" s="21"/>
      <c r="B639" s="22"/>
      <c r="C639" s="22"/>
      <c r="D639" s="22"/>
      <c r="E639" s="23" t="str">
        <f>IF($D639="","",IFERROR(VLOOKUP($D639,'ACAH Capital Tracker'!$A:$H,8,FALSE()),""))</f>
        <v/>
      </c>
      <c r="F639" s="24"/>
      <c r="G639" s="25" t="str">
        <f>IF($D639="","",IFERROR(VLOOKUP($D639,'ACAH Capital Tracker'!$A:$D,4,FALSE()),""))</f>
        <v/>
      </c>
      <c r="H639" s="22"/>
    </row>
    <row r="640" spans="1:8">
      <c r="A640" s="21"/>
      <c r="B640" s="22"/>
      <c r="C640" s="22"/>
      <c r="D640" s="22"/>
      <c r="E640" s="23" t="str">
        <f>IF($D640="","",IFERROR(VLOOKUP($D640,'ACAH Capital Tracker'!$A:$H,8,FALSE()),""))</f>
        <v/>
      </c>
      <c r="F640" s="24"/>
      <c r="G640" s="25" t="str">
        <f>IF($D640="","",IFERROR(VLOOKUP($D640,'ACAH Capital Tracker'!$A:$D,4,FALSE()),""))</f>
        <v/>
      </c>
      <c r="H640" s="22"/>
    </row>
    <row r="641" spans="1:8">
      <c r="A641" s="21"/>
      <c r="B641" s="22"/>
      <c r="C641" s="22"/>
      <c r="D641" s="22"/>
      <c r="E641" s="23" t="str">
        <f>IF($D641="","",IFERROR(VLOOKUP($D641,'ACAH Capital Tracker'!$A:$H,8,FALSE()),""))</f>
        <v/>
      </c>
      <c r="F641" s="24"/>
      <c r="G641" s="25" t="str">
        <f>IF($D641="","",IFERROR(VLOOKUP($D641,'ACAH Capital Tracker'!$A:$D,4,FALSE()),""))</f>
        <v/>
      </c>
      <c r="H641" s="22"/>
    </row>
    <row r="642" spans="1:8">
      <c r="A642" s="21"/>
      <c r="B642" s="22"/>
      <c r="C642" s="22"/>
      <c r="D642" s="22"/>
      <c r="E642" s="23" t="str">
        <f>IF($D642="","",IFERROR(VLOOKUP($D642,'ACAH Capital Tracker'!$A:$H,8,FALSE()),""))</f>
        <v/>
      </c>
      <c r="F642" s="24"/>
      <c r="G642" s="25" t="str">
        <f>IF($D642="","",IFERROR(VLOOKUP($D642,'ACAH Capital Tracker'!$A:$D,4,FALSE()),""))</f>
        <v/>
      </c>
      <c r="H642" s="22"/>
    </row>
    <row r="643" spans="1:8">
      <c r="A643" s="21"/>
      <c r="B643" s="22"/>
      <c r="C643" s="22"/>
      <c r="D643" s="22"/>
      <c r="E643" s="23" t="str">
        <f>IF($D643="","",IFERROR(VLOOKUP($D643,'ACAH Capital Tracker'!$A:$H,8,FALSE()),""))</f>
        <v/>
      </c>
      <c r="F643" s="24"/>
      <c r="G643" s="25" t="str">
        <f>IF($D643="","",IFERROR(VLOOKUP($D643,'ACAH Capital Tracker'!$A:$D,4,FALSE()),""))</f>
        <v/>
      </c>
      <c r="H643" s="22"/>
    </row>
    <row r="644" spans="1:8">
      <c r="A644" s="21"/>
      <c r="B644" s="22"/>
      <c r="C644" s="22"/>
      <c r="D644" s="22"/>
      <c r="E644" s="23" t="str">
        <f>IF($D644="","",IFERROR(VLOOKUP($D644,'ACAH Capital Tracker'!$A:$H,8,FALSE()),""))</f>
        <v/>
      </c>
      <c r="F644" s="24"/>
      <c r="G644" s="25" t="str">
        <f>IF($D644="","",IFERROR(VLOOKUP($D644,'ACAH Capital Tracker'!$A:$D,4,FALSE()),""))</f>
        <v/>
      </c>
      <c r="H644" s="22"/>
    </row>
    <row r="645" spans="1:8">
      <c r="A645" s="21"/>
      <c r="B645" s="22"/>
      <c r="C645" s="22"/>
      <c r="D645" s="22"/>
      <c r="E645" s="23" t="str">
        <f>IF($D645="","",IFERROR(VLOOKUP($D645,'ACAH Capital Tracker'!$A:$H,8,FALSE()),""))</f>
        <v/>
      </c>
      <c r="F645" s="24"/>
      <c r="G645" s="25" t="str">
        <f>IF($D645="","",IFERROR(VLOOKUP($D645,'ACAH Capital Tracker'!$A:$D,4,FALSE()),""))</f>
        <v/>
      </c>
      <c r="H645" s="22"/>
    </row>
    <row r="646" spans="1:8">
      <c r="A646" s="21"/>
      <c r="B646" s="22"/>
      <c r="C646" s="22"/>
      <c r="D646" s="22"/>
      <c r="E646" s="23" t="str">
        <f>IF($D646="","",IFERROR(VLOOKUP($D646,'ACAH Capital Tracker'!$A:$H,8,FALSE()),""))</f>
        <v/>
      </c>
      <c r="F646" s="24"/>
      <c r="G646" s="25" t="str">
        <f>IF($D646="","",IFERROR(VLOOKUP($D646,'ACAH Capital Tracker'!$A:$D,4,FALSE()),""))</f>
        <v/>
      </c>
      <c r="H646" s="22"/>
    </row>
    <row r="647" spans="1:8">
      <c r="A647" s="21"/>
      <c r="B647" s="22"/>
      <c r="C647" s="22"/>
      <c r="D647" s="22"/>
      <c r="E647" s="23" t="str">
        <f>IF($D647="","",IFERROR(VLOOKUP($D647,'ACAH Capital Tracker'!$A:$H,8,FALSE()),""))</f>
        <v/>
      </c>
      <c r="F647" s="24"/>
      <c r="G647" s="25" t="str">
        <f>IF($D647="","",IFERROR(VLOOKUP($D647,'ACAH Capital Tracker'!$A:$D,4,FALSE()),""))</f>
        <v/>
      </c>
      <c r="H647" s="22"/>
    </row>
    <row r="648" spans="1:8">
      <c r="A648" s="21"/>
      <c r="B648" s="22"/>
      <c r="C648" s="22"/>
      <c r="D648" s="22"/>
      <c r="E648" s="23" t="str">
        <f>IF($D648="","",IFERROR(VLOOKUP($D648,'ACAH Capital Tracker'!$A:$H,8,FALSE()),""))</f>
        <v/>
      </c>
      <c r="F648" s="24"/>
      <c r="G648" s="25" t="str">
        <f>IF($D648="","",IFERROR(VLOOKUP($D648,'ACAH Capital Tracker'!$A:$D,4,FALSE()),""))</f>
        <v/>
      </c>
      <c r="H648" s="22"/>
    </row>
    <row r="649" spans="1:8">
      <c r="A649" s="21"/>
      <c r="B649" s="22"/>
      <c r="C649" s="22"/>
      <c r="D649" s="22"/>
      <c r="E649" s="23" t="str">
        <f>IF($D649="","",IFERROR(VLOOKUP($D649,'ACAH Capital Tracker'!$A:$H,8,FALSE()),""))</f>
        <v/>
      </c>
      <c r="F649" s="24"/>
      <c r="G649" s="25" t="str">
        <f>IF($D649="","",IFERROR(VLOOKUP($D649,'ACAH Capital Tracker'!$A:$D,4,FALSE()),""))</f>
        <v/>
      </c>
      <c r="H649" s="22"/>
    </row>
    <row r="650" spans="1:8">
      <c r="A650" s="21"/>
      <c r="B650" s="22"/>
      <c r="C650" s="22"/>
      <c r="D650" s="22"/>
      <c r="E650" s="23" t="str">
        <f>IF($D650="","",IFERROR(VLOOKUP($D650,'ACAH Capital Tracker'!$A:$H,8,FALSE()),""))</f>
        <v/>
      </c>
      <c r="F650" s="24"/>
      <c r="G650" s="25" t="str">
        <f>IF($D650="","",IFERROR(VLOOKUP($D650,'ACAH Capital Tracker'!$A:$D,4,FALSE()),""))</f>
        <v/>
      </c>
      <c r="H650" s="22"/>
    </row>
    <row r="651" spans="1:8">
      <c r="A651" s="21"/>
      <c r="B651" s="22"/>
      <c r="C651" s="22"/>
      <c r="D651" s="22"/>
      <c r="E651" s="23" t="str">
        <f>IF($D651="","",IFERROR(VLOOKUP($D651,'ACAH Capital Tracker'!$A:$H,8,FALSE()),""))</f>
        <v/>
      </c>
      <c r="F651" s="24"/>
      <c r="G651" s="25" t="str">
        <f>IF($D651="","",IFERROR(VLOOKUP($D651,'ACAH Capital Tracker'!$A:$D,4,FALSE()),""))</f>
        <v/>
      </c>
      <c r="H651" s="22"/>
    </row>
    <row r="652" spans="1:8">
      <c r="A652" s="21"/>
      <c r="B652" s="22"/>
      <c r="C652" s="22"/>
      <c r="D652" s="22"/>
      <c r="E652" s="23" t="str">
        <f>IF($D652="","",IFERROR(VLOOKUP($D652,'ACAH Capital Tracker'!$A:$H,8,FALSE()),""))</f>
        <v/>
      </c>
      <c r="F652" s="24"/>
      <c r="G652" s="25" t="str">
        <f>IF($D652="","",IFERROR(VLOOKUP($D652,'ACAH Capital Tracker'!$A:$D,4,FALSE()),""))</f>
        <v/>
      </c>
      <c r="H652" s="22"/>
    </row>
    <row r="653" spans="1:8">
      <c r="A653" s="21"/>
      <c r="B653" s="22"/>
      <c r="C653" s="22"/>
      <c r="D653" s="22"/>
      <c r="E653" s="23" t="str">
        <f>IF($D653="","",IFERROR(VLOOKUP($D653,'ACAH Capital Tracker'!$A:$H,8,FALSE()),""))</f>
        <v/>
      </c>
      <c r="F653" s="24"/>
      <c r="G653" s="25" t="str">
        <f>IF($D653="","",IFERROR(VLOOKUP($D653,'ACAH Capital Tracker'!$A:$D,4,FALSE()),""))</f>
        <v/>
      </c>
      <c r="H653" s="22"/>
    </row>
    <row r="654" spans="1:8">
      <c r="A654" s="21"/>
      <c r="B654" s="22"/>
      <c r="C654" s="22"/>
      <c r="D654" s="22"/>
      <c r="E654" s="23" t="str">
        <f>IF($D654="","",IFERROR(VLOOKUP($D654,'ACAH Capital Tracker'!$A:$H,8,FALSE()),""))</f>
        <v/>
      </c>
      <c r="F654" s="24"/>
      <c r="G654" s="25" t="str">
        <f>IF($D654="","",IFERROR(VLOOKUP($D654,'ACAH Capital Tracker'!$A:$D,4,FALSE()),""))</f>
        <v/>
      </c>
      <c r="H654" s="22"/>
    </row>
    <row r="655" spans="1:8">
      <c r="A655" s="21"/>
      <c r="B655" s="22"/>
      <c r="C655" s="22"/>
      <c r="D655" s="22"/>
      <c r="E655" s="23" t="str">
        <f>IF($D655="","",IFERROR(VLOOKUP($D655,'ACAH Capital Tracker'!$A:$H,8,FALSE()),""))</f>
        <v/>
      </c>
      <c r="F655" s="24"/>
      <c r="G655" s="25" t="str">
        <f>IF($D655="","",IFERROR(VLOOKUP($D655,'ACAH Capital Tracker'!$A:$D,4,FALSE()),""))</f>
        <v/>
      </c>
      <c r="H655" s="22"/>
    </row>
    <row r="656" spans="1:8">
      <c r="A656" s="21"/>
      <c r="B656" s="22"/>
      <c r="C656" s="22"/>
      <c r="D656" s="22"/>
      <c r="E656" s="23" t="str">
        <f>IF($D656="","",IFERROR(VLOOKUP($D656,'ACAH Capital Tracker'!$A:$H,8,FALSE()),""))</f>
        <v/>
      </c>
      <c r="F656" s="24"/>
      <c r="G656" s="25" t="str">
        <f>IF($D656="","",IFERROR(VLOOKUP($D656,'ACAH Capital Tracker'!$A:$D,4,FALSE()),""))</f>
        <v/>
      </c>
      <c r="H656" s="22"/>
    </row>
    <row r="657" spans="1:8">
      <c r="A657" s="21"/>
      <c r="B657" s="22"/>
      <c r="C657" s="22"/>
      <c r="D657" s="22"/>
      <c r="E657" s="23" t="str">
        <f>IF($D657="","",IFERROR(VLOOKUP($D657,'ACAH Capital Tracker'!$A:$H,8,FALSE()),""))</f>
        <v/>
      </c>
      <c r="F657" s="24"/>
      <c r="G657" s="25" t="str">
        <f>IF($D657="","",IFERROR(VLOOKUP($D657,'ACAH Capital Tracker'!$A:$D,4,FALSE()),""))</f>
        <v/>
      </c>
      <c r="H657" s="22"/>
    </row>
    <row r="658" spans="1:8">
      <c r="A658" s="21"/>
      <c r="B658" s="22"/>
      <c r="C658" s="22"/>
      <c r="D658" s="22"/>
      <c r="E658" s="23" t="str">
        <f>IF($D658="","",IFERROR(VLOOKUP($D658,'ACAH Capital Tracker'!$A:$H,8,FALSE()),""))</f>
        <v/>
      </c>
      <c r="F658" s="24"/>
      <c r="G658" s="25" t="str">
        <f>IF($D658="","",IFERROR(VLOOKUP($D658,'ACAH Capital Tracker'!$A:$D,4,FALSE()),""))</f>
        <v/>
      </c>
      <c r="H658" s="22"/>
    </row>
    <row r="659" spans="1:8">
      <c r="A659" s="21"/>
      <c r="B659" s="22"/>
      <c r="C659" s="22"/>
      <c r="D659" s="22"/>
      <c r="E659" s="23" t="str">
        <f>IF($D659="","",IFERROR(VLOOKUP($D659,'ACAH Capital Tracker'!$A:$H,8,FALSE()),""))</f>
        <v/>
      </c>
      <c r="F659" s="24"/>
      <c r="G659" s="25" t="str">
        <f>IF($D659="","",IFERROR(VLOOKUP($D659,'ACAH Capital Tracker'!$A:$D,4,FALSE()),""))</f>
        <v/>
      </c>
      <c r="H659" s="22"/>
    </row>
    <row r="660" spans="1:8">
      <c r="A660" s="21"/>
      <c r="B660" s="22"/>
      <c r="C660" s="22"/>
      <c r="D660" s="22"/>
      <c r="E660" s="23" t="str">
        <f>IF($D660="","",IFERROR(VLOOKUP($D660,'ACAH Capital Tracker'!$A:$H,8,FALSE()),""))</f>
        <v/>
      </c>
      <c r="F660" s="24"/>
      <c r="G660" s="25" t="str">
        <f>IF($D660="","",IFERROR(VLOOKUP($D660,'ACAH Capital Tracker'!$A:$D,4,FALSE()),""))</f>
        <v/>
      </c>
      <c r="H660" s="22"/>
    </row>
    <row r="661" spans="1:8">
      <c r="A661" s="21"/>
      <c r="B661" s="22"/>
      <c r="C661" s="22"/>
      <c r="D661" s="22"/>
      <c r="E661" s="23" t="str">
        <f>IF($D661="","",IFERROR(VLOOKUP($D661,'ACAH Capital Tracker'!$A:$H,8,FALSE()),""))</f>
        <v/>
      </c>
      <c r="F661" s="24"/>
      <c r="G661" s="25" t="str">
        <f>IF($D661="","",IFERROR(VLOOKUP($D661,'ACAH Capital Tracker'!$A:$D,4,FALSE()),""))</f>
        <v/>
      </c>
      <c r="H661" s="22"/>
    </row>
    <row r="662" spans="1:8">
      <c r="A662" s="21"/>
      <c r="B662" s="22"/>
      <c r="C662" s="22"/>
      <c r="D662" s="22"/>
      <c r="E662" s="23" t="str">
        <f>IF($D662="","",IFERROR(VLOOKUP($D662,'ACAH Capital Tracker'!$A:$H,8,FALSE()),""))</f>
        <v/>
      </c>
      <c r="F662" s="24"/>
      <c r="G662" s="25" t="str">
        <f>IF($D662="","",IFERROR(VLOOKUP($D662,'ACAH Capital Tracker'!$A:$D,4,FALSE()),""))</f>
        <v/>
      </c>
      <c r="H662" s="22"/>
    </row>
    <row r="663" spans="1:8">
      <c r="A663" s="21"/>
      <c r="B663" s="22"/>
      <c r="C663" s="22"/>
      <c r="D663" s="22"/>
      <c r="E663" s="23" t="str">
        <f>IF($D663="","",IFERROR(VLOOKUP($D663,'ACAH Capital Tracker'!$A:$H,8,FALSE()),""))</f>
        <v/>
      </c>
      <c r="F663" s="24"/>
      <c r="G663" s="25" t="str">
        <f>IF($D663="","",IFERROR(VLOOKUP($D663,'ACAH Capital Tracker'!$A:$D,4,FALSE()),""))</f>
        <v/>
      </c>
      <c r="H663" s="22"/>
    </row>
    <row r="664" spans="1:8">
      <c r="A664" s="21"/>
      <c r="B664" s="22"/>
      <c r="C664" s="22"/>
      <c r="D664" s="22"/>
      <c r="E664" s="23" t="str">
        <f>IF($D664="","",IFERROR(VLOOKUP($D664,'ACAH Capital Tracker'!$A:$H,8,FALSE()),""))</f>
        <v/>
      </c>
      <c r="F664" s="24"/>
      <c r="G664" s="25" t="str">
        <f>IF($D664="","",IFERROR(VLOOKUP($D664,'ACAH Capital Tracker'!$A:$D,4,FALSE()),""))</f>
        <v/>
      </c>
      <c r="H664" s="22"/>
    </row>
    <row r="665" spans="1:8">
      <c r="A665" s="21"/>
      <c r="B665" s="22"/>
      <c r="C665" s="22"/>
      <c r="D665" s="22"/>
      <c r="E665" s="23" t="str">
        <f>IF($D665="","",IFERROR(VLOOKUP($D665,'ACAH Capital Tracker'!$A:$H,8,FALSE()),""))</f>
        <v/>
      </c>
      <c r="F665" s="24"/>
      <c r="G665" s="25" t="str">
        <f>IF($D665="","",IFERROR(VLOOKUP($D665,'ACAH Capital Tracker'!$A:$D,4,FALSE()),""))</f>
        <v/>
      </c>
      <c r="H665" s="22"/>
    </row>
    <row r="666" spans="1:8">
      <c r="A666" s="21"/>
      <c r="B666" s="22"/>
      <c r="C666" s="22"/>
      <c r="D666" s="22"/>
      <c r="E666" s="23" t="str">
        <f>IF($D666="","",IFERROR(VLOOKUP($D666,'ACAH Capital Tracker'!$A:$H,8,FALSE()),""))</f>
        <v/>
      </c>
      <c r="F666" s="24"/>
      <c r="G666" s="25" t="str">
        <f>IF($D666="","",IFERROR(VLOOKUP($D666,'ACAH Capital Tracker'!$A:$D,4,FALSE()),""))</f>
        <v/>
      </c>
      <c r="H666" s="22"/>
    </row>
    <row r="667" spans="1:8">
      <c r="A667" s="21"/>
      <c r="B667" s="22"/>
      <c r="C667" s="22"/>
      <c r="D667" s="22"/>
      <c r="E667" s="23" t="str">
        <f>IF($D667="","",IFERROR(VLOOKUP($D667,'ACAH Capital Tracker'!$A:$H,8,FALSE()),""))</f>
        <v/>
      </c>
      <c r="F667" s="24"/>
      <c r="G667" s="25" t="str">
        <f>IF($D667="","",IFERROR(VLOOKUP($D667,'ACAH Capital Tracker'!$A:$D,4,FALSE()),""))</f>
        <v/>
      </c>
      <c r="H667" s="22"/>
    </row>
    <row r="668" spans="1:8">
      <c r="A668" s="21"/>
      <c r="B668" s="22"/>
      <c r="C668" s="22"/>
      <c r="D668" s="22"/>
      <c r="E668" s="23" t="str">
        <f>IF($D668="","",IFERROR(VLOOKUP($D668,'ACAH Capital Tracker'!$A:$H,8,FALSE()),""))</f>
        <v/>
      </c>
      <c r="F668" s="24"/>
      <c r="G668" s="25" t="str">
        <f>IF($D668="","",IFERROR(VLOOKUP($D668,'ACAH Capital Tracker'!$A:$D,4,FALSE()),""))</f>
        <v/>
      </c>
      <c r="H668" s="22"/>
    </row>
    <row r="669" spans="1:8">
      <c r="A669" s="21"/>
      <c r="B669" s="22"/>
      <c r="C669" s="22"/>
      <c r="D669" s="22"/>
      <c r="E669" s="23" t="str">
        <f>IF($D669="","",IFERROR(VLOOKUP($D669,'ACAH Capital Tracker'!$A:$H,8,FALSE()),""))</f>
        <v/>
      </c>
      <c r="F669" s="24"/>
      <c r="G669" s="25" t="str">
        <f>IF($D669="","",IFERROR(VLOOKUP($D669,'ACAH Capital Tracker'!$A:$D,4,FALSE()),""))</f>
        <v/>
      </c>
      <c r="H669" s="22"/>
    </row>
    <row r="670" spans="1:8">
      <c r="A670" s="21"/>
      <c r="B670" s="22"/>
      <c r="C670" s="22"/>
      <c r="D670" s="22"/>
      <c r="E670" s="23" t="str">
        <f>IF($D670="","",IFERROR(VLOOKUP($D670,'ACAH Capital Tracker'!$A:$H,8,FALSE()),""))</f>
        <v/>
      </c>
      <c r="F670" s="24"/>
      <c r="G670" s="25" t="str">
        <f>IF($D670="","",IFERROR(VLOOKUP($D670,'ACAH Capital Tracker'!$A:$D,4,FALSE()),""))</f>
        <v/>
      </c>
      <c r="H670" s="22"/>
    </row>
    <row r="671" spans="1:8">
      <c r="A671" s="21"/>
      <c r="B671" s="22"/>
      <c r="C671" s="22"/>
      <c r="D671" s="22"/>
      <c r="E671" s="23" t="str">
        <f>IF($D671="","",IFERROR(VLOOKUP($D671,'ACAH Capital Tracker'!$A:$H,8,FALSE()),""))</f>
        <v/>
      </c>
      <c r="F671" s="24"/>
      <c r="G671" s="25" t="str">
        <f>IF($D671="","",IFERROR(VLOOKUP($D671,'ACAH Capital Tracker'!$A:$D,4,FALSE()),""))</f>
        <v/>
      </c>
      <c r="H671" s="22"/>
    </row>
    <row r="672" spans="1:8">
      <c r="A672" s="21"/>
      <c r="B672" s="22"/>
      <c r="C672" s="22"/>
      <c r="D672" s="22"/>
      <c r="E672" s="23" t="str">
        <f>IF($D672="","",IFERROR(VLOOKUP($D672,'ACAH Capital Tracker'!$A:$H,8,FALSE()),""))</f>
        <v/>
      </c>
      <c r="F672" s="24"/>
      <c r="G672" s="25" t="str">
        <f>IF($D672="","",IFERROR(VLOOKUP($D672,'ACAH Capital Tracker'!$A:$D,4,FALSE()),""))</f>
        <v/>
      </c>
      <c r="H672" s="22"/>
    </row>
    <row r="673" spans="1:8">
      <c r="A673" s="21"/>
      <c r="B673" s="22"/>
      <c r="C673" s="22"/>
      <c r="D673" s="22"/>
      <c r="E673" s="23" t="str">
        <f>IF($D673="","",IFERROR(VLOOKUP($D673,'ACAH Capital Tracker'!$A:$H,8,FALSE()),""))</f>
        <v/>
      </c>
      <c r="F673" s="24"/>
      <c r="G673" s="25" t="str">
        <f>IF($D673="","",IFERROR(VLOOKUP($D673,'ACAH Capital Tracker'!$A:$D,4,FALSE()),""))</f>
        <v/>
      </c>
      <c r="H673" s="22"/>
    </row>
    <row r="674" spans="1:8">
      <c r="A674" s="21"/>
      <c r="B674" s="22"/>
      <c r="C674" s="22"/>
      <c r="D674" s="22"/>
      <c r="E674" s="23" t="str">
        <f>IF($D674="","",IFERROR(VLOOKUP($D674,'ACAH Capital Tracker'!$A:$H,8,FALSE()),""))</f>
        <v/>
      </c>
      <c r="F674" s="24"/>
      <c r="G674" s="25" t="str">
        <f>IF($D674="","",IFERROR(VLOOKUP($D674,'ACAH Capital Tracker'!$A:$D,4,FALSE()),""))</f>
        <v/>
      </c>
      <c r="H674" s="22"/>
    </row>
    <row r="675" spans="1:8">
      <c r="A675" s="21"/>
      <c r="B675" s="22"/>
      <c r="C675" s="22"/>
      <c r="D675" s="22"/>
      <c r="E675" s="23" t="str">
        <f>IF($D675="","",IFERROR(VLOOKUP($D675,'ACAH Capital Tracker'!$A:$H,8,FALSE()),""))</f>
        <v/>
      </c>
      <c r="F675" s="24"/>
      <c r="G675" s="25" t="str">
        <f>IF($D675="","",IFERROR(VLOOKUP($D675,'ACAH Capital Tracker'!$A:$D,4,FALSE()),""))</f>
        <v/>
      </c>
      <c r="H675" s="22"/>
    </row>
    <row r="676" spans="1:8">
      <c r="A676" s="21"/>
      <c r="B676" s="22"/>
      <c r="C676" s="22"/>
      <c r="D676" s="22"/>
      <c r="E676" s="23" t="str">
        <f>IF($D676="","",IFERROR(VLOOKUP($D676,'ACAH Capital Tracker'!$A:$H,8,FALSE()),""))</f>
        <v/>
      </c>
      <c r="F676" s="24"/>
      <c r="G676" s="25" t="str">
        <f>IF($D676="","",IFERROR(VLOOKUP($D676,'ACAH Capital Tracker'!$A:$D,4,FALSE()),""))</f>
        <v/>
      </c>
      <c r="H676" s="22"/>
    </row>
    <row r="677" spans="1:8">
      <c r="A677" s="21"/>
      <c r="B677" s="22"/>
      <c r="C677" s="22"/>
      <c r="D677" s="22"/>
      <c r="E677" s="23" t="str">
        <f>IF($D677="","",IFERROR(VLOOKUP($D677,'ACAH Capital Tracker'!$A:$H,8,FALSE()),""))</f>
        <v/>
      </c>
      <c r="F677" s="24"/>
      <c r="G677" s="25" t="str">
        <f>IF($D677="","",IFERROR(VLOOKUP($D677,'ACAH Capital Tracker'!$A:$D,4,FALSE()),""))</f>
        <v/>
      </c>
      <c r="H677" s="22"/>
    </row>
    <row r="678" spans="1:8">
      <c r="A678" s="21"/>
      <c r="B678" s="22"/>
      <c r="C678" s="22"/>
      <c r="D678" s="22"/>
      <c r="E678" s="23" t="str">
        <f>IF($D678="","",IFERROR(VLOOKUP($D678,'ACAH Capital Tracker'!$A:$H,8,FALSE()),""))</f>
        <v/>
      </c>
      <c r="F678" s="24"/>
      <c r="G678" s="25" t="str">
        <f>IF($D678="","",IFERROR(VLOOKUP($D678,'ACAH Capital Tracker'!$A:$D,4,FALSE()),""))</f>
        <v/>
      </c>
      <c r="H678" s="22"/>
    </row>
    <row r="679" spans="1:8">
      <c r="A679" s="21"/>
      <c r="B679" s="22"/>
      <c r="C679" s="22"/>
      <c r="D679" s="22"/>
      <c r="E679" s="23" t="str">
        <f>IF($D679="","",IFERROR(VLOOKUP($D679,'ACAH Capital Tracker'!$A:$H,8,FALSE()),""))</f>
        <v/>
      </c>
      <c r="F679" s="24"/>
      <c r="G679" s="25" t="str">
        <f>IF($D679="","",IFERROR(VLOOKUP($D679,'ACAH Capital Tracker'!$A:$D,4,FALSE()),""))</f>
        <v/>
      </c>
      <c r="H679" s="22"/>
    </row>
    <row r="680" spans="1:8">
      <c r="A680" s="21"/>
      <c r="B680" s="22"/>
      <c r="C680" s="22"/>
      <c r="D680" s="22"/>
      <c r="E680" s="23" t="str">
        <f>IF($D680="","",IFERROR(VLOOKUP($D680,'ACAH Capital Tracker'!$A:$H,8,FALSE()),""))</f>
        <v/>
      </c>
      <c r="F680" s="24"/>
      <c r="G680" s="25" t="str">
        <f>IF($D680="","",IFERROR(VLOOKUP($D680,'ACAH Capital Tracker'!$A:$D,4,FALSE()),""))</f>
        <v/>
      </c>
      <c r="H680" s="22"/>
    </row>
    <row r="681" spans="1:8">
      <c r="A681" s="21"/>
      <c r="B681" s="22"/>
      <c r="C681" s="22"/>
      <c r="D681" s="22"/>
      <c r="E681" s="23" t="str">
        <f>IF($D681="","",IFERROR(VLOOKUP($D681,'ACAH Capital Tracker'!$A:$H,8,FALSE()),""))</f>
        <v/>
      </c>
      <c r="F681" s="24"/>
      <c r="G681" s="25" t="str">
        <f>IF($D681="","",IFERROR(VLOOKUP($D681,'ACAH Capital Tracker'!$A:$D,4,FALSE()),""))</f>
        <v/>
      </c>
      <c r="H681" s="22"/>
    </row>
    <row r="682" spans="1:8">
      <c r="A682" s="21"/>
      <c r="B682" s="22"/>
      <c r="C682" s="22"/>
      <c r="D682" s="22"/>
      <c r="E682" s="23" t="str">
        <f>IF($D682="","",IFERROR(VLOOKUP($D682,'ACAH Capital Tracker'!$A:$H,8,FALSE()),""))</f>
        <v/>
      </c>
      <c r="F682" s="24"/>
      <c r="G682" s="25" t="str">
        <f>IF($D682="","",IFERROR(VLOOKUP($D682,'ACAH Capital Tracker'!$A:$D,4,FALSE()),""))</f>
        <v/>
      </c>
      <c r="H682" s="22"/>
    </row>
    <row r="683" spans="1:8">
      <c r="A683" s="21"/>
      <c r="B683" s="22"/>
      <c r="C683" s="22"/>
      <c r="D683" s="22"/>
      <c r="E683" s="23" t="str">
        <f>IF($D683="","",IFERROR(VLOOKUP($D683,'ACAH Capital Tracker'!$A:$H,8,FALSE()),""))</f>
        <v/>
      </c>
      <c r="F683" s="24"/>
      <c r="G683" s="25" t="str">
        <f>IF($D683="","",IFERROR(VLOOKUP($D683,'ACAH Capital Tracker'!$A:$D,4,FALSE()),""))</f>
        <v/>
      </c>
      <c r="H683" s="22"/>
    </row>
    <row r="684" spans="1:8">
      <c r="A684" s="21"/>
      <c r="B684" s="22"/>
      <c r="C684" s="22"/>
      <c r="D684" s="22"/>
      <c r="E684" s="23" t="str">
        <f>IF($D684="","",IFERROR(VLOOKUP($D684,'ACAH Capital Tracker'!$A:$H,8,FALSE()),""))</f>
        <v/>
      </c>
      <c r="F684" s="24"/>
      <c r="G684" s="25" t="str">
        <f>IF($D684="","",IFERROR(VLOOKUP($D684,'ACAH Capital Tracker'!$A:$D,4,FALSE()),""))</f>
        <v/>
      </c>
      <c r="H684" s="22"/>
    </row>
    <row r="685" spans="1:8">
      <c r="A685" s="21"/>
      <c r="B685" s="22"/>
      <c r="C685" s="22"/>
      <c r="D685" s="22"/>
      <c r="E685" s="23" t="str">
        <f>IF($D685="","",IFERROR(VLOOKUP($D685,'ACAH Capital Tracker'!$A:$H,8,FALSE()),""))</f>
        <v/>
      </c>
      <c r="F685" s="24"/>
      <c r="G685" s="25" t="str">
        <f>IF($D685="","",IFERROR(VLOOKUP($D685,'ACAH Capital Tracker'!$A:$D,4,FALSE()),""))</f>
        <v/>
      </c>
      <c r="H685" s="22"/>
    </row>
    <row r="686" spans="1:8">
      <c r="A686" s="21"/>
      <c r="B686" s="22"/>
      <c r="C686" s="22"/>
      <c r="D686" s="22"/>
      <c r="E686" s="23" t="str">
        <f>IF($D686="","",IFERROR(VLOOKUP($D686,'ACAH Capital Tracker'!$A:$H,8,FALSE()),""))</f>
        <v/>
      </c>
      <c r="F686" s="24"/>
      <c r="G686" s="25" t="str">
        <f>IF($D686="","",IFERROR(VLOOKUP($D686,'ACAH Capital Tracker'!$A:$D,4,FALSE()),""))</f>
        <v/>
      </c>
      <c r="H686" s="22"/>
    </row>
    <row r="687" spans="1:8">
      <c r="A687" s="21"/>
      <c r="B687" s="22"/>
      <c r="C687" s="22"/>
      <c r="D687" s="22"/>
      <c r="E687" s="23" t="str">
        <f>IF($D687="","",IFERROR(VLOOKUP($D687,'ACAH Capital Tracker'!$A:$H,8,FALSE()),""))</f>
        <v/>
      </c>
      <c r="F687" s="24"/>
      <c r="G687" s="25" t="str">
        <f>IF($D687="","",IFERROR(VLOOKUP($D687,'ACAH Capital Tracker'!$A:$D,4,FALSE()),""))</f>
        <v/>
      </c>
      <c r="H687" s="22"/>
    </row>
    <row r="688" spans="1:8">
      <c r="A688" s="21"/>
      <c r="B688" s="22"/>
      <c r="C688" s="22"/>
      <c r="D688" s="22"/>
      <c r="E688" s="23" t="str">
        <f>IF($D688="","",IFERROR(VLOOKUP($D688,'ACAH Capital Tracker'!$A:$H,8,FALSE()),""))</f>
        <v/>
      </c>
      <c r="F688" s="24"/>
      <c r="G688" s="25" t="str">
        <f>IF($D688="","",IFERROR(VLOOKUP($D688,'ACAH Capital Tracker'!$A:$D,4,FALSE()),""))</f>
        <v/>
      </c>
      <c r="H688" s="22"/>
    </row>
    <row r="689" spans="1:8">
      <c r="A689" s="21"/>
      <c r="B689" s="22"/>
      <c r="C689" s="22"/>
      <c r="D689" s="22"/>
      <c r="E689" s="23" t="str">
        <f>IF($D689="","",IFERROR(VLOOKUP($D689,'ACAH Capital Tracker'!$A:$H,8,FALSE()),""))</f>
        <v/>
      </c>
      <c r="F689" s="24"/>
      <c r="G689" s="25" t="str">
        <f>IF($D689="","",IFERROR(VLOOKUP($D689,'ACAH Capital Tracker'!$A:$D,4,FALSE()),""))</f>
        <v/>
      </c>
      <c r="H689" s="22"/>
    </row>
    <row r="690" spans="1:8">
      <c r="A690" s="21"/>
      <c r="B690" s="22"/>
      <c r="C690" s="22"/>
      <c r="D690" s="22"/>
      <c r="E690" s="23" t="str">
        <f>IF($D690="","",IFERROR(VLOOKUP($D690,'ACAH Capital Tracker'!$A:$H,8,FALSE()),""))</f>
        <v/>
      </c>
      <c r="F690" s="24"/>
      <c r="G690" s="25" t="str">
        <f>IF($D690="","",IFERROR(VLOOKUP($D690,'ACAH Capital Tracker'!$A:$D,4,FALSE()),""))</f>
        <v/>
      </c>
      <c r="H690" s="22"/>
    </row>
    <row r="691" spans="1:8">
      <c r="A691" s="21"/>
      <c r="B691" s="22"/>
      <c r="C691" s="22"/>
      <c r="D691" s="22"/>
      <c r="E691" s="23" t="str">
        <f>IF($D691="","",IFERROR(VLOOKUP($D691,'ACAH Capital Tracker'!$A:$H,8,FALSE()),""))</f>
        <v/>
      </c>
      <c r="F691" s="24"/>
      <c r="G691" s="25" t="str">
        <f>IF($D691="","",IFERROR(VLOOKUP($D691,'ACAH Capital Tracker'!$A:$D,4,FALSE()),""))</f>
        <v/>
      </c>
      <c r="H691" s="22"/>
    </row>
    <row r="692" spans="1:8">
      <c r="A692" s="21"/>
      <c r="B692" s="22"/>
      <c r="C692" s="22"/>
      <c r="D692" s="22"/>
      <c r="E692" s="23" t="str">
        <f>IF($D692="","",IFERROR(VLOOKUP($D692,'ACAH Capital Tracker'!$A:$H,8,FALSE()),""))</f>
        <v/>
      </c>
      <c r="F692" s="24"/>
      <c r="G692" s="25" t="str">
        <f>IF($D692="","",IFERROR(VLOOKUP($D692,'ACAH Capital Tracker'!$A:$D,4,FALSE()),""))</f>
        <v/>
      </c>
      <c r="H692" s="22"/>
    </row>
    <row r="693" spans="1:8">
      <c r="A693" s="21"/>
      <c r="B693" s="22"/>
      <c r="C693" s="22"/>
      <c r="D693" s="22"/>
      <c r="E693" s="23" t="str">
        <f>IF($D693="","",IFERROR(VLOOKUP($D693,'ACAH Capital Tracker'!$A:$H,8,FALSE()),""))</f>
        <v/>
      </c>
      <c r="F693" s="24"/>
      <c r="G693" s="25" t="str">
        <f>IF($D693="","",IFERROR(VLOOKUP($D693,'ACAH Capital Tracker'!$A:$D,4,FALSE()),""))</f>
        <v/>
      </c>
      <c r="H693" s="22"/>
    </row>
    <row r="694" spans="1:8">
      <c r="A694" s="21"/>
      <c r="B694" s="22"/>
      <c r="C694" s="22"/>
      <c r="D694" s="22"/>
      <c r="E694" s="23" t="str">
        <f>IF($D694="","",IFERROR(VLOOKUP($D694,'ACAH Capital Tracker'!$A:$H,8,FALSE()),""))</f>
        <v/>
      </c>
      <c r="F694" s="24"/>
      <c r="G694" s="25" t="str">
        <f>IF($D694="","",IFERROR(VLOOKUP($D694,'ACAH Capital Tracker'!$A:$D,4,FALSE()),""))</f>
        <v/>
      </c>
      <c r="H694" s="22"/>
    </row>
    <row r="695" spans="1:8">
      <c r="A695" s="21"/>
      <c r="B695" s="22"/>
      <c r="C695" s="22"/>
      <c r="D695" s="22"/>
      <c r="E695" s="23" t="str">
        <f>IF($D695="","",IFERROR(VLOOKUP($D695,'ACAH Capital Tracker'!$A:$H,8,FALSE()),""))</f>
        <v/>
      </c>
      <c r="F695" s="24"/>
      <c r="G695" s="25" t="str">
        <f>IF($D695="","",IFERROR(VLOOKUP($D695,'ACAH Capital Tracker'!$A:$D,4,FALSE()),""))</f>
        <v/>
      </c>
      <c r="H695" s="22"/>
    </row>
    <row r="696" spans="1:8">
      <c r="A696" s="21"/>
      <c r="B696" s="22"/>
      <c r="C696" s="22"/>
      <c r="D696" s="22"/>
      <c r="E696" s="23" t="str">
        <f>IF($D696="","",IFERROR(VLOOKUP($D696,'ACAH Capital Tracker'!$A:$H,8,FALSE()),""))</f>
        <v/>
      </c>
      <c r="F696" s="24"/>
      <c r="G696" s="25" t="str">
        <f>IF($D696="","",IFERROR(VLOOKUP($D696,'ACAH Capital Tracker'!$A:$D,4,FALSE()),""))</f>
        <v/>
      </c>
      <c r="H696" s="22"/>
    </row>
    <row r="697" spans="1:8">
      <c r="A697" s="21"/>
      <c r="B697" s="22"/>
      <c r="C697" s="22"/>
      <c r="D697" s="22"/>
      <c r="E697" s="23" t="str">
        <f>IF($D697="","",IFERROR(VLOOKUP($D697,'ACAH Capital Tracker'!$A:$H,8,FALSE()),""))</f>
        <v/>
      </c>
      <c r="F697" s="24"/>
      <c r="G697" s="25" t="str">
        <f>IF($D697="","",IFERROR(VLOOKUP($D697,'ACAH Capital Tracker'!$A:$D,4,FALSE()),""))</f>
        <v/>
      </c>
      <c r="H697" s="22"/>
    </row>
    <row r="698" spans="1:8">
      <c r="A698" s="21"/>
      <c r="B698" s="22"/>
      <c r="C698" s="22"/>
      <c r="D698" s="22"/>
      <c r="E698" s="23" t="str">
        <f>IF($D698="","",IFERROR(VLOOKUP($D698,'ACAH Capital Tracker'!$A:$H,8,FALSE()),""))</f>
        <v/>
      </c>
      <c r="F698" s="24"/>
      <c r="G698" s="25" t="str">
        <f>IF($D698="","",IFERROR(VLOOKUP($D698,'ACAH Capital Tracker'!$A:$D,4,FALSE()),""))</f>
        <v/>
      </c>
      <c r="H698" s="22"/>
    </row>
    <row r="699" spans="1:8">
      <c r="A699" s="21"/>
      <c r="B699" s="22"/>
      <c r="C699" s="22"/>
      <c r="D699" s="22"/>
      <c r="E699" s="23" t="str">
        <f>IF($D699="","",IFERROR(VLOOKUP($D699,'ACAH Capital Tracker'!$A:$H,8,FALSE()),""))</f>
        <v/>
      </c>
      <c r="F699" s="24"/>
      <c r="G699" s="25" t="str">
        <f>IF($D699="","",IFERROR(VLOOKUP($D699,'ACAH Capital Tracker'!$A:$D,4,FALSE()),""))</f>
        <v/>
      </c>
      <c r="H699" s="22"/>
    </row>
    <row r="700" spans="1:8">
      <c r="A700" s="21"/>
      <c r="B700" s="22"/>
      <c r="C700" s="22"/>
      <c r="D700" s="22"/>
      <c r="E700" s="23" t="str">
        <f>IF($D700="","",IFERROR(VLOOKUP($D700,'ACAH Capital Tracker'!$A:$H,8,FALSE()),""))</f>
        <v/>
      </c>
      <c r="F700" s="24"/>
      <c r="G700" s="25" t="str">
        <f>IF($D700="","",IFERROR(VLOOKUP($D700,'ACAH Capital Tracker'!$A:$D,4,FALSE()),""))</f>
        <v/>
      </c>
      <c r="H700" s="22"/>
    </row>
    <row r="701" spans="1:8">
      <c r="A701" s="21"/>
      <c r="B701" s="22"/>
      <c r="C701" s="22"/>
      <c r="D701" s="22"/>
      <c r="E701" s="23" t="str">
        <f>IF($D701="","",IFERROR(VLOOKUP($D701,'ACAH Capital Tracker'!$A:$H,8,FALSE()),""))</f>
        <v/>
      </c>
      <c r="F701" s="24"/>
      <c r="G701" s="25" t="str">
        <f>IF($D701="","",IFERROR(VLOOKUP($D701,'ACAH Capital Tracker'!$A:$D,4,FALSE()),""))</f>
        <v/>
      </c>
      <c r="H701" s="22"/>
    </row>
    <row r="702" spans="1:8">
      <c r="A702" s="21"/>
      <c r="B702" s="22"/>
      <c r="C702" s="22"/>
      <c r="D702" s="22"/>
      <c r="E702" s="23" t="str">
        <f>IF($D702="","",IFERROR(VLOOKUP($D702,'ACAH Capital Tracker'!$A:$H,8,FALSE()),""))</f>
        <v/>
      </c>
      <c r="F702" s="24"/>
      <c r="G702" s="25" t="str">
        <f>IF($D702="","",IFERROR(VLOOKUP($D702,'ACAH Capital Tracker'!$A:$D,4,FALSE()),""))</f>
        <v/>
      </c>
      <c r="H702" s="22"/>
    </row>
    <row r="703" spans="1:8">
      <c r="A703" s="21"/>
      <c r="B703" s="22"/>
      <c r="C703" s="22"/>
      <c r="D703" s="22"/>
      <c r="E703" s="23" t="str">
        <f>IF($D703="","",IFERROR(VLOOKUP($D703,'ACAH Capital Tracker'!$A:$H,8,FALSE()),""))</f>
        <v/>
      </c>
      <c r="F703" s="24"/>
      <c r="G703" s="25" t="str">
        <f>IF($D703="","",IFERROR(VLOOKUP($D703,'ACAH Capital Tracker'!$A:$D,4,FALSE()),""))</f>
        <v/>
      </c>
      <c r="H703" s="22"/>
    </row>
    <row r="704" spans="1:8">
      <c r="A704" s="21"/>
      <c r="B704" s="22"/>
      <c r="C704" s="22"/>
      <c r="D704" s="22"/>
      <c r="E704" s="23" t="str">
        <f>IF($D704="","",IFERROR(VLOOKUP($D704,'ACAH Capital Tracker'!$A:$H,8,FALSE()),""))</f>
        <v/>
      </c>
      <c r="F704" s="24"/>
      <c r="G704" s="25" t="str">
        <f>IF($D704="","",IFERROR(VLOOKUP($D704,'ACAH Capital Tracker'!$A:$D,4,FALSE()),""))</f>
        <v/>
      </c>
      <c r="H704" s="22"/>
    </row>
    <row r="705" spans="1:8">
      <c r="A705" s="21"/>
      <c r="B705" s="22"/>
      <c r="C705" s="22"/>
      <c r="D705" s="22"/>
      <c r="E705" s="23" t="str">
        <f>IF($D705="","",IFERROR(VLOOKUP($D705,'ACAH Capital Tracker'!$A:$H,8,FALSE()),""))</f>
        <v/>
      </c>
      <c r="F705" s="24"/>
      <c r="G705" s="25" t="str">
        <f>IF($D705="","",IFERROR(VLOOKUP($D705,'ACAH Capital Tracker'!$A:$D,4,FALSE()),""))</f>
        <v/>
      </c>
      <c r="H705" s="22"/>
    </row>
    <row r="706" spans="1:8">
      <c r="A706" s="21"/>
      <c r="B706" s="22"/>
      <c r="C706" s="22"/>
      <c r="D706" s="22"/>
      <c r="E706" s="23" t="str">
        <f>IF($D706="","",IFERROR(VLOOKUP($D706,'ACAH Capital Tracker'!$A:$H,8,FALSE()),""))</f>
        <v/>
      </c>
      <c r="F706" s="24"/>
      <c r="G706" s="25" t="str">
        <f>IF($D706="","",IFERROR(VLOOKUP($D706,'ACAH Capital Tracker'!$A:$D,4,FALSE()),""))</f>
        <v/>
      </c>
      <c r="H706" s="22"/>
    </row>
    <row r="707" spans="1:8">
      <c r="A707" s="21"/>
      <c r="B707" s="22"/>
      <c r="C707" s="22"/>
      <c r="D707" s="22"/>
      <c r="E707" s="23" t="str">
        <f>IF($D707="","",IFERROR(VLOOKUP($D707,'ACAH Capital Tracker'!$A:$H,8,FALSE()),""))</f>
        <v/>
      </c>
      <c r="F707" s="24"/>
      <c r="G707" s="25" t="str">
        <f>IF($D707="","",IFERROR(VLOOKUP($D707,'ACAH Capital Tracker'!$A:$D,4,FALSE()),""))</f>
        <v/>
      </c>
      <c r="H707" s="22"/>
    </row>
    <row r="708" spans="1:8">
      <c r="A708" s="21"/>
      <c r="B708" s="22"/>
      <c r="C708" s="22"/>
      <c r="D708" s="22"/>
      <c r="E708" s="23" t="str">
        <f>IF($D708="","",IFERROR(VLOOKUP($D708,'ACAH Capital Tracker'!$A:$H,8,FALSE()),""))</f>
        <v/>
      </c>
      <c r="F708" s="24"/>
      <c r="G708" s="25" t="str">
        <f>IF($D708="","",IFERROR(VLOOKUP($D708,'ACAH Capital Tracker'!$A:$D,4,FALSE()),""))</f>
        <v/>
      </c>
      <c r="H708" s="22"/>
    </row>
    <row r="709" spans="1:8">
      <c r="A709" s="21"/>
      <c r="B709" s="22"/>
      <c r="C709" s="22"/>
      <c r="D709" s="22"/>
      <c r="E709" s="23" t="str">
        <f>IF($D709="","",IFERROR(VLOOKUP($D709,'ACAH Capital Tracker'!$A:$H,8,FALSE()),""))</f>
        <v/>
      </c>
      <c r="F709" s="24"/>
      <c r="G709" s="25" t="str">
        <f>IF($D709="","",IFERROR(VLOOKUP($D709,'ACAH Capital Tracker'!$A:$D,4,FALSE()),""))</f>
        <v/>
      </c>
      <c r="H709" s="22"/>
    </row>
    <row r="710" spans="1:8">
      <c r="A710" s="21"/>
      <c r="B710" s="22"/>
      <c r="C710" s="22"/>
      <c r="D710" s="22"/>
      <c r="E710" s="23" t="str">
        <f>IF($D710="","",IFERROR(VLOOKUP($D710,'ACAH Capital Tracker'!$A:$H,8,FALSE()),""))</f>
        <v/>
      </c>
      <c r="F710" s="24"/>
      <c r="G710" s="25" t="str">
        <f>IF($D710="","",IFERROR(VLOOKUP($D710,'ACAH Capital Tracker'!$A:$D,4,FALSE()),""))</f>
        <v/>
      </c>
      <c r="H710" s="22"/>
    </row>
    <row r="711" spans="1:8">
      <c r="A711" s="21"/>
      <c r="B711" s="22"/>
      <c r="C711" s="22"/>
      <c r="D711" s="22"/>
      <c r="E711" s="23" t="str">
        <f>IF($D711="","",IFERROR(VLOOKUP($D711,'ACAH Capital Tracker'!$A:$H,8,FALSE()),""))</f>
        <v/>
      </c>
      <c r="F711" s="24"/>
      <c r="G711" s="25" t="str">
        <f>IF($D711="","",IFERROR(VLOOKUP($D711,'ACAH Capital Tracker'!$A:$D,4,FALSE()),""))</f>
        <v/>
      </c>
      <c r="H711" s="22"/>
    </row>
    <row r="712" spans="1:8">
      <c r="A712" s="21"/>
      <c r="B712" s="22"/>
      <c r="C712" s="22"/>
      <c r="D712" s="22"/>
      <c r="E712" s="23" t="str">
        <f>IF($D712="","",IFERROR(VLOOKUP($D712,'ACAH Capital Tracker'!$A:$H,8,FALSE()),""))</f>
        <v/>
      </c>
      <c r="F712" s="24"/>
      <c r="G712" s="25" t="str">
        <f>IF($D712="","",IFERROR(VLOOKUP($D712,'ACAH Capital Tracker'!$A:$D,4,FALSE()),""))</f>
        <v/>
      </c>
      <c r="H712" s="22"/>
    </row>
    <row r="713" spans="1:8">
      <c r="A713" s="21"/>
      <c r="B713" s="22"/>
      <c r="C713" s="22"/>
      <c r="D713" s="22"/>
      <c r="E713" s="23" t="str">
        <f>IF($D713="","",IFERROR(VLOOKUP($D713,'ACAH Capital Tracker'!$A:$H,8,FALSE()),""))</f>
        <v/>
      </c>
      <c r="F713" s="24"/>
      <c r="G713" s="25" t="str">
        <f>IF($D713="","",IFERROR(VLOOKUP($D713,'ACAH Capital Tracker'!$A:$D,4,FALSE()),""))</f>
        <v/>
      </c>
      <c r="H713" s="22"/>
    </row>
    <row r="714" spans="1:8">
      <c r="A714" s="21"/>
      <c r="B714" s="22"/>
      <c r="C714" s="22"/>
      <c r="D714" s="22"/>
      <c r="E714" s="23" t="str">
        <f>IF($D714="","",IFERROR(VLOOKUP($D714,'ACAH Capital Tracker'!$A:$H,8,FALSE()),""))</f>
        <v/>
      </c>
      <c r="F714" s="24"/>
      <c r="G714" s="25" t="str">
        <f>IF($D714="","",IFERROR(VLOOKUP($D714,'ACAH Capital Tracker'!$A:$D,4,FALSE()),""))</f>
        <v/>
      </c>
      <c r="H714" s="22"/>
    </row>
    <row r="715" spans="1:8">
      <c r="A715" s="21"/>
      <c r="B715" s="22"/>
      <c r="C715" s="22"/>
      <c r="D715" s="22"/>
      <c r="E715" s="23" t="str">
        <f>IF($D715="","",IFERROR(VLOOKUP($D715,'ACAH Capital Tracker'!$A:$H,8,FALSE()),""))</f>
        <v/>
      </c>
      <c r="F715" s="24"/>
      <c r="G715" s="25" t="str">
        <f>IF($D715="","",IFERROR(VLOOKUP($D715,'ACAH Capital Tracker'!$A:$D,4,FALSE()),""))</f>
        <v/>
      </c>
      <c r="H715" s="22"/>
    </row>
    <row r="716" spans="1:8">
      <c r="A716" s="21"/>
      <c r="B716" s="22"/>
      <c r="C716" s="22"/>
      <c r="D716" s="22"/>
      <c r="E716" s="23" t="str">
        <f>IF($D716="","",IFERROR(VLOOKUP($D716,'ACAH Capital Tracker'!$A:$H,8,FALSE()),""))</f>
        <v/>
      </c>
      <c r="F716" s="24"/>
      <c r="G716" s="25" t="str">
        <f>IF($D716="","",IFERROR(VLOOKUP($D716,'ACAH Capital Tracker'!$A:$D,4,FALSE()),""))</f>
        <v/>
      </c>
      <c r="H716" s="22"/>
    </row>
    <row r="717" spans="1:8">
      <c r="A717" s="21"/>
      <c r="B717" s="22"/>
      <c r="C717" s="22"/>
      <c r="D717" s="22"/>
      <c r="E717" s="23" t="str">
        <f>IF($D717="","",IFERROR(VLOOKUP($D717,'ACAH Capital Tracker'!$A:$H,8,FALSE()),""))</f>
        <v/>
      </c>
      <c r="F717" s="24"/>
      <c r="G717" s="25" t="str">
        <f>IF($D717="","",IFERROR(VLOOKUP($D717,'ACAH Capital Tracker'!$A:$D,4,FALSE()),""))</f>
        <v/>
      </c>
      <c r="H717" s="22"/>
    </row>
    <row r="718" spans="1:8">
      <c r="A718" s="21"/>
      <c r="B718" s="22"/>
      <c r="C718" s="22"/>
      <c r="D718" s="22"/>
      <c r="E718" s="23" t="str">
        <f>IF($D718="","",IFERROR(VLOOKUP($D718,'ACAH Capital Tracker'!$A:$H,8,FALSE()),""))</f>
        <v/>
      </c>
      <c r="F718" s="24"/>
      <c r="G718" s="25" t="str">
        <f>IF($D718="","",IFERROR(VLOOKUP($D718,'ACAH Capital Tracker'!$A:$D,4,FALSE()),""))</f>
        <v/>
      </c>
      <c r="H718" s="22"/>
    </row>
    <row r="719" spans="1:8">
      <c r="A719" s="21"/>
      <c r="B719" s="22"/>
      <c r="C719" s="22"/>
      <c r="D719" s="22"/>
      <c r="E719" s="23" t="str">
        <f>IF($D719="","",IFERROR(VLOOKUP($D719,'ACAH Capital Tracker'!$A:$H,8,FALSE()),""))</f>
        <v/>
      </c>
      <c r="F719" s="24"/>
      <c r="G719" s="25" t="str">
        <f>IF($D719="","",IFERROR(VLOOKUP($D719,'ACAH Capital Tracker'!$A:$D,4,FALSE()),""))</f>
        <v/>
      </c>
      <c r="H719" s="22"/>
    </row>
    <row r="720" spans="1:8">
      <c r="A720" s="21"/>
      <c r="B720" s="22"/>
      <c r="C720" s="22"/>
      <c r="D720" s="22"/>
      <c r="E720" s="23" t="str">
        <f>IF($D720="","",IFERROR(VLOOKUP($D720,'ACAH Capital Tracker'!$A:$H,8,FALSE()),""))</f>
        <v/>
      </c>
      <c r="F720" s="24"/>
      <c r="G720" s="25" t="str">
        <f>IF($D720="","",IFERROR(VLOOKUP($D720,'ACAH Capital Tracker'!$A:$D,4,FALSE()),""))</f>
        <v/>
      </c>
      <c r="H720" s="22"/>
    </row>
    <row r="721" spans="1:8">
      <c r="A721" s="21"/>
      <c r="B721" s="22"/>
      <c r="C721" s="22"/>
      <c r="D721" s="22"/>
      <c r="E721" s="23" t="str">
        <f>IF($D721="","",IFERROR(VLOOKUP($D721,'ACAH Capital Tracker'!$A:$H,8,FALSE()),""))</f>
        <v/>
      </c>
      <c r="F721" s="24"/>
      <c r="G721" s="25" t="str">
        <f>IF($D721="","",IFERROR(VLOOKUP($D721,'ACAH Capital Tracker'!$A:$D,4,FALSE()),""))</f>
        <v/>
      </c>
      <c r="H721" s="22"/>
    </row>
    <row r="722" spans="1:8">
      <c r="A722" s="21"/>
      <c r="B722" s="22"/>
      <c r="C722" s="22"/>
      <c r="D722" s="22"/>
      <c r="E722" s="23" t="str">
        <f>IF($D722="","",IFERROR(VLOOKUP($D722,'ACAH Capital Tracker'!$A:$H,8,FALSE()),""))</f>
        <v/>
      </c>
      <c r="F722" s="24"/>
      <c r="G722" s="25" t="str">
        <f>IF($D722="","",IFERROR(VLOOKUP($D722,'ACAH Capital Tracker'!$A:$D,4,FALSE()),""))</f>
        <v/>
      </c>
      <c r="H722" s="22"/>
    </row>
    <row r="723" spans="1:8">
      <c r="A723" s="21"/>
      <c r="B723" s="22"/>
      <c r="C723" s="22"/>
      <c r="D723" s="22"/>
      <c r="E723" s="23" t="str">
        <f>IF($D723="","",IFERROR(VLOOKUP($D723,'ACAH Capital Tracker'!$A:$H,8,FALSE()),""))</f>
        <v/>
      </c>
      <c r="F723" s="24"/>
      <c r="G723" s="25" t="str">
        <f>IF($D723="","",IFERROR(VLOOKUP($D723,'ACAH Capital Tracker'!$A:$D,4,FALSE()),""))</f>
        <v/>
      </c>
      <c r="H723" s="22"/>
    </row>
    <row r="724" spans="1:8">
      <c r="A724" s="21"/>
      <c r="B724" s="22"/>
      <c r="C724" s="22"/>
      <c r="D724" s="22"/>
      <c r="E724" s="23" t="str">
        <f>IF($D724="","",IFERROR(VLOOKUP($D724,'ACAH Capital Tracker'!$A:$H,8,FALSE()),""))</f>
        <v/>
      </c>
      <c r="F724" s="24"/>
      <c r="G724" s="25" t="str">
        <f>IF($D724="","",IFERROR(VLOOKUP($D724,'ACAH Capital Tracker'!$A:$D,4,FALSE()),""))</f>
        <v/>
      </c>
      <c r="H724" s="22"/>
    </row>
    <row r="725" spans="1:8">
      <c r="A725" s="21"/>
      <c r="B725" s="22"/>
      <c r="C725" s="22"/>
      <c r="D725" s="22"/>
      <c r="E725" s="23" t="str">
        <f>IF($D725="","",IFERROR(VLOOKUP($D725,'ACAH Capital Tracker'!$A:$H,8,FALSE()),""))</f>
        <v/>
      </c>
      <c r="F725" s="24"/>
      <c r="G725" s="25" t="str">
        <f>IF($D725="","",IFERROR(VLOOKUP($D725,'ACAH Capital Tracker'!$A:$D,4,FALSE()),""))</f>
        <v/>
      </c>
      <c r="H725" s="22"/>
    </row>
    <row r="726" spans="1:8">
      <c r="A726" s="21"/>
      <c r="B726" s="22"/>
      <c r="C726" s="22"/>
      <c r="D726" s="22"/>
      <c r="E726" s="23" t="str">
        <f>IF($D726="","",IFERROR(VLOOKUP($D726,'ACAH Capital Tracker'!$A:$H,8,FALSE()),""))</f>
        <v/>
      </c>
      <c r="F726" s="24"/>
      <c r="G726" s="25" t="str">
        <f>IF($D726="","",IFERROR(VLOOKUP($D726,'ACAH Capital Tracker'!$A:$D,4,FALSE()),""))</f>
        <v/>
      </c>
      <c r="H726" s="22"/>
    </row>
    <row r="727" spans="1:8">
      <c r="A727" s="21"/>
      <c r="B727" s="22"/>
      <c r="C727" s="22"/>
      <c r="D727" s="22"/>
      <c r="E727" s="23" t="str">
        <f>IF($D727="","",IFERROR(VLOOKUP($D727,'ACAH Capital Tracker'!$A:$H,8,FALSE()),""))</f>
        <v/>
      </c>
      <c r="F727" s="24"/>
      <c r="G727" s="25" t="str">
        <f>IF($D727="","",IFERROR(VLOOKUP($D727,'ACAH Capital Tracker'!$A:$D,4,FALSE()),""))</f>
        <v/>
      </c>
      <c r="H727" s="22"/>
    </row>
    <row r="728" spans="1:8">
      <c r="A728" s="21"/>
      <c r="B728" s="22"/>
      <c r="C728" s="22"/>
      <c r="D728" s="22"/>
      <c r="E728" s="23" t="str">
        <f>IF($D728="","",IFERROR(VLOOKUP($D728,'ACAH Capital Tracker'!$A:$H,8,FALSE()),""))</f>
        <v/>
      </c>
      <c r="F728" s="24"/>
      <c r="G728" s="25" t="str">
        <f>IF($D728="","",IFERROR(VLOOKUP($D728,'ACAH Capital Tracker'!$A:$D,4,FALSE()),""))</f>
        <v/>
      </c>
      <c r="H728" s="22"/>
    </row>
    <row r="729" spans="1:8">
      <c r="A729" s="21"/>
      <c r="B729" s="22"/>
      <c r="C729" s="22"/>
      <c r="D729" s="22"/>
      <c r="E729" s="23" t="str">
        <f>IF($D729="","",IFERROR(VLOOKUP($D729,'ACAH Capital Tracker'!$A:$H,8,FALSE()),""))</f>
        <v/>
      </c>
      <c r="F729" s="24"/>
      <c r="G729" s="25" t="str">
        <f>IF($D729="","",IFERROR(VLOOKUP($D729,'ACAH Capital Tracker'!$A:$D,4,FALSE()),""))</f>
        <v/>
      </c>
      <c r="H729" s="22"/>
    </row>
    <row r="730" spans="1:8">
      <c r="A730" s="21"/>
      <c r="B730" s="22"/>
      <c r="C730" s="22"/>
      <c r="D730" s="22"/>
      <c r="E730" s="23" t="str">
        <f>IF($D730="","",IFERROR(VLOOKUP($D730,'ACAH Capital Tracker'!$A:$H,8,FALSE()),""))</f>
        <v/>
      </c>
      <c r="F730" s="24"/>
      <c r="G730" s="25" t="str">
        <f>IF($D730="","",IFERROR(VLOOKUP($D730,'ACAH Capital Tracker'!$A:$D,4,FALSE()),""))</f>
        <v/>
      </c>
      <c r="H730" s="22"/>
    </row>
    <row r="731" spans="1:8">
      <c r="A731" s="21"/>
      <c r="B731" s="22"/>
      <c r="C731" s="22"/>
      <c r="D731" s="22"/>
      <c r="E731" s="23" t="str">
        <f>IF($D731="","",IFERROR(VLOOKUP($D731,'ACAH Capital Tracker'!$A:$H,8,FALSE()),""))</f>
        <v/>
      </c>
      <c r="F731" s="24"/>
      <c r="G731" s="25" t="str">
        <f>IF($D731="","",IFERROR(VLOOKUP($D731,'ACAH Capital Tracker'!$A:$D,4,FALSE()),""))</f>
        <v/>
      </c>
      <c r="H731" s="22"/>
    </row>
    <row r="732" spans="1:8">
      <c r="A732" s="21"/>
      <c r="B732" s="22"/>
      <c r="C732" s="22"/>
      <c r="D732" s="22"/>
      <c r="E732" s="23" t="str">
        <f>IF($D732="","",IFERROR(VLOOKUP($D732,'ACAH Capital Tracker'!$A:$H,8,FALSE()),""))</f>
        <v/>
      </c>
      <c r="F732" s="24"/>
      <c r="G732" s="25" t="str">
        <f>IF($D732="","",IFERROR(VLOOKUP($D732,'ACAH Capital Tracker'!$A:$D,4,FALSE()),""))</f>
        <v/>
      </c>
      <c r="H732" s="22"/>
    </row>
    <row r="733" spans="1:8">
      <c r="A733" s="21"/>
      <c r="B733" s="22"/>
      <c r="C733" s="22"/>
      <c r="D733" s="22"/>
      <c r="E733" s="23" t="str">
        <f>IF($D733="","",IFERROR(VLOOKUP($D733,'ACAH Capital Tracker'!$A:$H,8,FALSE()),""))</f>
        <v/>
      </c>
      <c r="F733" s="24"/>
      <c r="G733" s="25" t="str">
        <f>IF($D733="","",IFERROR(VLOOKUP($D733,'ACAH Capital Tracker'!$A:$D,4,FALSE()),""))</f>
        <v/>
      </c>
      <c r="H733" s="22"/>
    </row>
    <row r="734" spans="1:8">
      <c r="A734" s="21"/>
      <c r="B734" s="22"/>
      <c r="C734" s="22"/>
      <c r="D734" s="22"/>
      <c r="E734" s="23" t="str">
        <f>IF($D734="","",IFERROR(VLOOKUP($D734,'ACAH Capital Tracker'!$A:$H,8,FALSE()),""))</f>
        <v/>
      </c>
      <c r="F734" s="24"/>
      <c r="G734" s="25" t="str">
        <f>IF($D734="","",IFERROR(VLOOKUP($D734,'ACAH Capital Tracker'!$A:$D,4,FALSE()),""))</f>
        <v/>
      </c>
      <c r="H734" s="22"/>
    </row>
    <row r="735" spans="1:8">
      <c r="A735" s="21"/>
      <c r="B735" s="22"/>
      <c r="C735" s="22"/>
      <c r="D735" s="22"/>
      <c r="E735" s="23" t="str">
        <f>IF($D735="","",IFERROR(VLOOKUP($D735,'ACAH Capital Tracker'!$A:$H,8,FALSE()),""))</f>
        <v/>
      </c>
      <c r="F735" s="24"/>
      <c r="G735" s="25" t="str">
        <f>IF($D735="","",IFERROR(VLOOKUP($D735,'ACAH Capital Tracker'!$A:$D,4,FALSE()),""))</f>
        <v/>
      </c>
      <c r="H735" s="22"/>
    </row>
    <row r="736" spans="1:8">
      <c r="A736" s="21"/>
      <c r="B736" s="22"/>
      <c r="C736" s="22"/>
      <c r="D736" s="22"/>
      <c r="E736" s="23" t="str">
        <f>IF($D736="","",IFERROR(VLOOKUP($D736,'ACAH Capital Tracker'!$A:$H,8,FALSE()),""))</f>
        <v/>
      </c>
      <c r="F736" s="24"/>
      <c r="G736" s="25" t="str">
        <f>IF($D736="","",IFERROR(VLOOKUP($D736,'ACAH Capital Tracker'!$A:$D,4,FALSE()),""))</f>
        <v/>
      </c>
      <c r="H736" s="22"/>
    </row>
    <row r="737" spans="1:8">
      <c r="A737" s="21"/>
      <c r="B737" s="22"/>
      <c r="C737" s="22"/>
      <c r="D737" s="22"/>
      <c r="E737" s="23" t="str">
        <f>IF($D737="","",IFERROR(VLOOKUP($D737,'ACAH Capital Tracker'!$A:$H,8,FALSE()),""))</f>
        <v/>
      </c>
      <c r="F737" s="24"/>
      <c r="G737" s="25" t="str">
        <f>IF($D737="","",IFERROR(VLOOKUP($D737,'ACAH Capital Tracker'!$A:$D,4,FALSE()),""))</f>
        <v/>
      </c>
      <c r="H737" s="22"/>
    </row>
    <row r="738" spans="1:8">
      <c r="A738" s="21"/>
      <c r="B738" s="22"/>
      <c r="C738" s="22"/>
      <c r="D738" s="22"/>
      <c r="E738" s="23" t="str">
        <f>IF($D738="","",IFERROR(VLOOKUP($D738,'ACAH Capital Tracker'!$A:$H,8,FALSE()),""))</f>
        <v/>
      </c>
      <c r="F738" s="24"/>
      <c r="G738" s="25" t="str">
        <f>IF($D738="","",IFERROR(VLOOKUP($D738,'ACAH Capital Tracker'!$A:$D,4,FALSE()),""))</f>
        <v/>
      </c>
      <c r="H738" s="22"/>
    </row>
    <row r="739" spans="1:8">
      <c r="A739" s="21"/>
      <c r="B739" s="22"/>
      <c r="C739" s="22"/>
      <c r="D739" s="22"/>
      <c r="E739" s="23" t="str">
        <f>IF($D739="","",IFERROR(VLOOKUP($D739,'ACAH Capital Tracker'!$A:$H,8,FALSE()),""))</f>
        <v/>
      </c>
      <c r="F739" s="24"/>
      <c r="G739" s="25" t="str">
        <f>IF($D739="","",IFERROR(VLOOKUP($D739,'ACAH Capital Tracker'!$A:$D,4,FALSE()),""))</f>
        <v/>
      </c>
      <c r="H739" s="22"/>
    </row>
    <row r="740" spans="1:8">
      <c r="A740" s="21"/>
      <c r="B740" s="22"/>
      <c r="C740" s="22"/>
      <c r="D740" s="22"/>
      <c r="E740" s="23" t="str">
        <f>IF($D740="","",IFERROR(VLOOKUP($D740,'ACAH Capital Tracker'!$A:$H,8,FALSE()),""))</f>
        <v/>
      </c>
      <c r="F740" s="24"/>
      <c r="G740" s="25" t="str">
        <f>IF($D740="","",IFERROR(VLOOKUP($D740,'ACAH Capital Tracker'!$A:$D,4,FALSE()),""))</f>
        <v/>
      </c>
      <c r="H740" s="22"/>
    </row>
    <row r="741" spans="1:8">
      <c r="A741" s="21"/>
      <c r="B741" s="22"/>
      <c r="C741" s="22"/>
      <c r="D741" s="22"/>
      <c r="E741" s="23" t="str">
        <f>IF($D741="","",IFERROR(VLOOKUP($D741,'ACAH Capital Tracker'!$A:$H,8,FALSE()),""))</f>
        <v/>
      </c>
      <c r="F741" s="24"/>
      <c r="G741" s="25" t="str">
        <f>IF($D741="","",IFERROR(VLOOKUP($D741,'ACAH Capital Tracker'!$A:$D,4,FALSE()),""))</f>
        <v/>
      </c>
      <c r="H741" s="22"/>
    </row>
    <row r="742" spans="1:8">
      <c r="A742" s="21"/>
      <c r="B742" s="22"/>
      <c r="C742" s="22"/>
      <c r="D742" s="22"/>
      <c r="E742" s="23" t="str">
        <f>IF($D742="","",IFERROR(VLOOKUP($D742,'ACAH Capital Tracker'!$A:$H,8,FALSE()),""))</f>
        <v/>
      </c>
      <c r="F742" s="24"/>
      <c r="G742" s="25" t="str">
        <f>IF($D742="","",IFERROR(VLOOKUP($D742,'ACAH Capital Tracker'!$A:$D,4,FALSE()),""))</f>
        <v/>
      </c>
      <c r="H742" s="22"/>
    </row>
    <row r="743" spans="1:8">
      <c r="A743" s="21"/>
      <c r="B743" s="22"/>
      <c r="C743" s="22"/>
      <c r="D743" s="22"/>
      <c r="E743" s="23" t="str">
        <f>IF($D743="","",IFERROR(VLOOKUP($D743,'ACAH Capital Tracker'!$A:$H,8,FALSE()),""))</f>
        <v/>
      </c>
      <c r="F743" s="24"/>
      <c r="G743" s="25" t="str">
        <f>IF($D743="","",IFERROR(VLOOKUP($D743,'ACAH Capital Tracker'!$A:$D,4,FALSE()),""))</f>
        <v/>
      </c>
      <c r="H743" s="22"/>
    </row>
    <row r="744" spans="1:8">
      <c r="A744" s="21"/>
      <c r="B744" s="22"/>
      <c r="C744" s="22"/>
      <c r="D744" s="22"/>
      <c r="E744" s="23" t="str">
        <f>IF($D744="","",IFERROR(VLOOKUP($D744,'ACAH Capital Tracker'!$A:$H,8,FALSE()),""))</f>
        <v/>
      </c>
      <c r="F744" s="24"/>
      <c r="G744" s="25" t="str">
        <f>IF($D744="","",IFERROR(VLOOKUP($D744,'ACAH Capital Tracker'!$A:$D,4,FALSE()),""))</f>
        <v/>
      </c>
      <c r="H744" s="22"/>
    </row>
    <row r="745" spans="1:8">
      <c r="A745" s="21"/>
      <c r="B745" s="22"/>
      <c r="C745" s="22"/>
      <c r="D745" s="22"/>
      <c r="E745" s="23" t="str">
        <f>IF($D745="","",IFERROR(VLOOKUP($D745,'ACAH Capital Tracker'!$A:$H,8,FALSE()),""))</f>
        <v/>
      </c>
      <c r="F745" s="24"/>
      <c r="G745" s="25" t="str">
        <f>IF($D745="","",IFERROR(VLOOKUP($D745,'ACAH Capital Tracker'!$A:$D,4,FALSE()),""))</f>
        <v/>
      </c>
      <c r="H745" s="22"/>
    </row>
    <row r="746" spans="1:8">
      <c r="A746" s="21"/>
      <c r="B746" s="22"/>
      <c r="C746" s="22"/>
      <c r="D746" s="22"/>
      <c r="E746" s="23" t="str">
        <f>IF($D746="","",IFERROR(VLOOKUP($D746,'ACAH Capital Tracker'!$A:$H,8,FALSE()),""))</f>
        <v/>
      </c>
      <c r="F746" s="24"/>
      <c r="G746" s="25" t="str">
        <f>IF($D746="","",IFERROR(VLOOKUP($D746,'ACAH Capital Tracker'!$A:$D,4,FALSE()),""))</f>
        <v/>
      </c>
      <c r="H746" s="22"/>
    </row>
    <row r="747" spans="1:8">
      <c r="A747" s="21"/>
      <c r="B747" s="22"/>
      <c r="C747" s="22"/>
      <c r="D747" s="22"/>
      <c r="E747" s="23" t="str">
        <f>IF($D747="","",IFERROR(VLOOKUP($D747,'ACAH Capital Tracker'!$A:$H,8,FALSE()),""))</f>
        <v/>
      </c>
      <c r="F747" s="24"/>
      <c r="G747" s="25" t="str">
        <f>IF($D747="","",IFERROR(VLOOKUP($D747,'ACAH Capital Tracker'!$A:$D,4,FALSE()),""))</f>
        <v/>
      </c>
      <c r="H747" s="22"/>
    </row>
    <row r="748" spans="1:8">
      <c r="A748" s="21"/>
      <c r="B748" s="22"/>
      <c r="C748" s="22"/>
      <c r="D748" s="22"/>
      <c r="E748" s="23" t="str">
        <f>IF($D748="","",IFERROR(VLOOKUP($D748,'ACAH Capital Tracker'!$A:$H,8,FALSE()),""))</f>
        <v/>
      </c>
      <c r="F748" s="24"/>
      <c r="G748" s="25" t="str">
        <f>IF($D748="","",IFERROR(VLOOKUP($D748,'ACAH Capital Tracker'!$A:$D,4,FALSE()),""))</f>
        <v/>
      </c>
      <c r="H748" s="22"/>
    </row>
    <row r="749" spans="1:8">
      <c r="A749" s="21"/>
      <c r="B749" s="22"/>
      <c r="C749" s="22"/>
      <c r="D749" s="22"/>
      <c r="E749" s="23" t="str">
        <f>IF($D749="","",IFERROR(VLOOKUP($D749,'ACAH Capital Tracker'!$A:$H,8,FALSE()),""))</f>
        <v/>
      </c>
      <c r="F749" s="24"/>
      <c r="G749" s="25" t="str">
        <f>IF($D749="","",IFERROR(VLOOKUP($D749,'ACAH Capital Tracker'!$A:$D,4,FALSE()),""))</f>
        <v/>
      </c>
      <c r="H749" s="22"/>
    </row>
    <row r="750" spans="1:8">
      <c r="A750" s="21"/>
      <c r="B750" s="22"/>
      <c r="C750" s="22"/>
      <c r="D750" s="22"/>
      <c r="E750" s="23" t="str">
        <f>IF($D750="","",IFERROR(VLOOKUP($D750,'ACAH Capital Tracker'!$A:$H,8,FALSE()),""))</f>
        <v/>
      </c>
      <c r="F750" s="24"/>
      <c r="G750" s="25" t="str">
        <f>IF($D750="","",IFERROR(VLOOKUP($D750,'ACAH Capital Tracker'!$A:$D,4,FALSE()),""))</f>
        <v/>
      </c>
      <c r="H750" s="22"/>
    </row>
    <row r="751" spans="1:8">
      <c r="A751" s="21"/>
      <c r="B751" s="22"/>
      <c r="C751" s="22"/>
      <c r="D751" s="22"/>
      <c r="E751" s="23" t="str">
        <f>IF($D751="","",IFERROR(VLOOKUP($D751,'ACAH Capital Tracker'!$A:$H,8,FALSE()),""))</f>
        <v/>
      </c>
      <c r="F751" s="24"/>
      <c r="G751" s="25" t="str">
        <f>IF($D751="","",IFERROR(VLOOKUP($D751,'ACAH Capital Tracker'!$A:$D,4,FALSE()),""))</f>
        <v/>
      </c>
      <c r="H751" s="22"/>
    </row>
    <row r="752" spans="1:8">
      <c r="A752" s="21"/>
      <c r="B752" s="22"/>
      <c r="C752" s="22"/>
      <c r="D752" s="22"/>
      <c r="E752" s="23" t="str">
        <f>IF($D752="","",IFERROR(VLOOKUP($D752,'ACAH Capital Tracker'!$A:$H,8,FALSE()),""))</f>
        <v/>
      </c>
      <c r="F752" s="24"/>
      <c r="G752" s="25" t="str">
        <f>IF($D752="","",IFERROR(VLOOKUP($D752,'ACAH Capital Tracker'!$A:$D,4,FALSE()),""))</f>
        <v/>
      </c>
      <c r="H752" s="22"/>
    </row>
    <row r="753" spans="1:8">
      <c r="A753" s="21"/>
      <c r="B753" s="22"/>
      <c r="C753" s="22"/>
      <c r="D753" s="22"/>
      <c r="E753" s="23" t="str">
        <f>IF($D753="","",IFERROR(VLOOKUP($D753,'ACAH Capital Tracker'!$A:$H,8,FALSE()),""))</f>
        <v/>
      </c>
      <c r="F753" s="24"/>
      <c r="G753" s="25" t="str">
        <f>IF($D753="","",IFERROR(VLOOKUP($D753,'ACAH Capital Tracker'!$A:$D,4,FALSE()),""))</f>
        <v/>
      </c>
      <c r="H753" s="22"/>
    </row>
    <row r="754" spans="1:8">
      <c r="A754" s="21"/>
      <c r="B754" s="22"/>
      <c r="C754" s="22"/>
      <c r="D754" s="22"/>
      <c r="E754" s="23" t="str">
        <f>IF($D754="","",IFERROR(VLOOKUP($D754,'ACAH Capital Tracker'!$A:$H,8,FALSE()),""))</f>
        <v/>
      </c>
      <c r="F754" s="24"/>
      <c r="G754" s="25" t="str">
        <f>IF($D754="","",IFERROR(VLOOKUP($D754,'ACAH Capital Tracker'!$A:$D,4,FALSE()),""))</f>
        <v/>
      </c>
      <c r="H754" s="22"/>
    </row>
    <row r="755" spans="1:8">
      <c r="A755" s="21"/>
      <c r="B755" s="22"/>
      <c r="C755" s="22"/>
      <c r="D755" s="22"/>
      <c r="E755" s="23" t="str">
        <f>IF($D755="","",IFERROR(VLOOKUP($D755,'ACAH Capital Tracker'!$A:$H,8,FALSE()),""))</f>
        <v/>
      </c>
      <c r="F755" s="24"/>
      <c r="G755" s="25" t="str">
        <f>IF($D755="","",IFERROR(VLOOKUP($D755,'ACAH Capital Tracker'!$A:$D,4,FALSE()),""))</f>
        <v/>
      </c>
      <c r="H755" s="22"/>
    </row>
    <row r="756" spans="1:8">
      <c r="A756" s="21"/>
      <c r="B756" s="22"/>
      <c r="C756" s="22"/>
      <c r="D756" s="22"/>
      <c r="E756" s="23" t="str">
        <f>IF($D756="","",IFERROR(VLOOKUP($D756,'ACAH Capital Tracker'!$A:$H,8,FALSE()),""))</f>
        <v/>
      </c>
      <c r="F756" s="24"/>
      <c r="G756" s="25" t="str">
        <f>IF($D756="","",IFERROR(VLOOKUP($D756,'ACAH Capital Tracker'!$A:$D,4,FALSE()),""))</f>
        <v/>
      </c>
      <c r="H756" s="22"/>
    </row>
    <row r="757" spans="1:8">
      <c r="A757" s="21"/>
      <c r="B757" s="22"/>
      <c r="C757" s="22"/>
      <c r="D757" s="22"/>
      <c r="E757" s="23" t="str">
        <f>IF($D757="","",IFERROR(VLOOKUP($D757,'ACAH Capital Tracker'!$A:$H,8,FALSE()),""))</f>
        <v/>
      </c>
      <c r="F757" s="24"/>
      <c r="G757" s="25" t="str">
        <f>IF($D757="","",IFERROR(VLOOKUP($D757,'ACAH Capital Tracker'!$A:$D,4,FALSE()),""))</f>
        <v/>
      </c>
      <c r="H757" s="22"/>
    </row>
    <row r="758" spans="1:8">
      <c r="A758" s="21"/>
      <c r="B758" s="22"/>
      <c r="C758" s="22"/>
      <c r="D758" s="22"/>
      <c r="E758" s="23" t="str">
        <f>IF($D758="","",IFERROR(VLOOKUP($D758,'ACAH Capital Tracker'!$A:$H,8,FALSE()),""))</f>
        <v/>
      </c>
      <c r="F758" s="24"/>
      <c r="G758" s="25" t="str">
        <f>IF($D758="","",IFERROR(VLOOKUP($D758,'ACAH Capital Tracker'!$A:$D,4,FALSE()),""))</f>
        <v/>
      </c>
      <c r="H758" s="22"/>
    </row>
    <row r="759" spans="1:8">
      <c r="A759" s="21"/>
      <c r="B759" s="22"/>
      <c r="C759" s="22"/>
      <c r="D759" s="22"/>
      <c r="E759" s="23" t="str">
        <f>IF($D759="","",IFERROR(VLOOKUP($D759,'ACAH Capital Tracker'!$A:$H,8,FALSE()),""))</f>
        <v/>
      </c>
      <c r="F759" s="24"/>
      <c r="G759" s="25" t="str">
        <f>IF($D759="","",IFERROR(VLOOKUP($D759,'ACAH Capital Tracker'!$A:$D,4,FALSE()),""))</f>
        <v/>
      </c>
      <c r="H759" s="22"/>
    </row>
    <row r="760" spans="1:8">
      <c r="A760" s="21"/>
      <c r="B760" s="22"/>
      <c r="C760" s="22"/>
      <c r="D760" s="22"/>
      <c r="E760" s="23" t="str">
        <f>IF($D760="","",IFERROR(VLOOKUP($D760,'ACAH Capital Tracker'!$A:$H,8,FALSE()),""))</f>
        <v/>
      </c>
      <c r="F760" s="24"/>
      <c r="G760" s="25" t="str">
        <f>IF($D760="","",IFERROR(VLOOKUP($D760,'ACAH Capital Tracker'!$A:$D,4,FALSE()),""))</f>
        <v/>
      </c>
      <c r="H760" s="22"/>
    </row>
    <row r="761" spans="1:8">
      <c r="A761" s="21"/>
      <c r="B761" s="22"/>
      <c r="C761" s="22"/>
      <c r="D761" s="22"/>
      <c r="E761" s="23" t="str">
        <f>IF($D761="","",IFERROR(VLOOKUP($D761,'ACAH Capital Tracker'!$A:$H,8,FALSE()),""))</f>
        <v/>
      </c>
      <c r="F761" s="24"/>
      <c r="G761" s="25" t="str">
        <f>IF($D761="","",IFERROR(VLOOKUP($D761,'ACAH Capital Tracker'!$A:$D,4,FALSE()),""))</f>
        <v/>
      </c>
      <c r="H761" s="22"/>
    </row>
    <row r="762" spans="1:8">
      <c r="A762" s="21"/>
      <c r="B762" s="22"/>
      <c r="C762" s="22"/>
      <c r="D762" s="22"/>
      <c r="E762" s="23" t="str">
        <f>IF($D762="","",IFERROR(VLOOKUP($D762,'ACAH Capital Tracker'!$A:$H,8,FALSE()),""))</f>
        <v/>
      </c>
      <c r="F762" s="24"/>
      <c r="G762" s="25" t="str">
        <f>IF($D762="","",IFERROR(VLOOKUP($D762,'ACAH Capital Tracker'!$A:$D,4,FALSE()),""))</f>
        <v/>
      </c>
      <c r="H762" s="22"/>
    </row>
    <row r="763" spans="1:8">
      <c r="A763" s="21"/>
      <c r="B763" s="22"/>
      <c r="C763" s="22"/>
      <c r="D763" s="22"/>
      <c r="E763" s="23" t="str">
        <f>IF($D763="","",IFERROR(VLOOKUP($D763,'ACAH Capital Tracker'!$A:$H,8,FALSE()),""))</f>
        <v/>
      </c>
      <c r="F763" s="24"/>
      <c r="G763" s="25" t="str">
        <f>IF($D763="","",IFERROR(VLOOKUP($D763,'ACAH Capital Tracker'!$A:$D,4,FALSE()),""))</f>
        <v/>
      </c>
      <c r="H763" s="22"/>
    </row>
    <row r="764" spans="1:8">
      <c r="A764" s="21"/>
      <c r="B764" s="22"/>
      <c r="C764" s="22"/>
      <c r="D764" s="22"/>
      <c r="E764" s="23" t="str">
        <f>IF($D764="","",IFERROR(VLOOKUP($D764,'ACAH Capital Tracker'!$A:$H,8,FALSE()),""))</f>
        <v/>
      </c>
      <c r="F764" s="24"/>
      <c r="G764" s="25" t="str">
        <f>IF($D764="","",IFERROR(VLOOKUP($D764,'ACAH Capital Tracker'!$A:$D,4,FALSE()),""))</f>
        <v/>
      </c>
      <c r="H764" s="22"/>
    </row>
    <row r="765" spans="1:8">
      <c r="A765" s="21"/>
      <c r="B765" s="22"/>
      <c r="C765" s="22"/>
      <c r="D765" s="22"/>
      <c r="E765" s="23" t="str">
        <f>IF($D765="","",IFERROR(VLOOKUP($D765,'ACAH Capital Tracker'!$A:$H,8,FALSE()),""))</f>
        <v/>
      </c>
      <c r="F765" s="24"/>
      <c r="G765" s="25" t="str">
        <f>IF($D765="","",IFERROR(VLOOKUP($D765,'ACAH Capital Tracker'!$A:$D,4,FALSE()),""))</f>
        <v/>
      </c>
      <c r="H765" s="22"/>
    </row>
    <row r="766" spans="1:8">
      <c r="A766" s="21"/>
      <c r="B766" s="22"/>
      <c r="C766" s="22"/>
      <c r="D766" s="22"/>
      <c r="E766" s="23" t="str">
        <f>IF($D766="","",IFERROR(VLOOKUP($D766,'ACAH Capital Tracker'!$A:$H,8,FALSE()),""))</f>
        <v/>
      </c>
      <c r="F766" s="24"/>
      <c r="G766" s="25" t="str">
        <f>IF($D766="","",IFERROR(VLOOKUP($D766,'ACAH Capital Tracker'!$A:$D,4,FALSE()),""))</f>
        <v/>
      </c>
      <c r="H766" s="22"/>
    </row>
    <row r="767" spans="1:8">
      <c r="A767" s="21"/>
      <c r="B767" s="22"/>
      <c r="C767" s="22"/>
      <c r="D767" s="22"/>
      <c r="E767" s="23" t="str">
        <f>IF($D767="","",IFERROR(VLOOKUP($D767,'ACAH Capital Tracker'!$A:$H,8,FALSE()),""))</f>
        <v/>
      </c>
      <c r="F767" s="24"/>
      <c r="G767" s="25" t="str">
        <f>IF($D767="","",IFERROR(VLOOKUP($D767,'ACAH Capital Tracker'!$A:$D,4,FALSE()),""))</f>
        <v/>
      </c>
      <c r="H767" s="22"/>
    </row>
    <row r="768" spans="1:8">
      <c r="A768" s="21"/>
      <c r="B768" s="22"/>
      <c r="C768" s="22"/>
      <c r="D768" s="22"/>
      <c r="E768" s="23" t="str">
        <f>IF($D768="","",IFERROR(VLOOKUP($D768,'ACAH Capital Tracker'!$A:$H,8,FALSE()),""))</f>
        <v/>
      </c>
      <c r="F768" s="24"/>
      <c r="G768" s="25" t="str">
        <f>IF($D768="","",IFERROR(VLOOKUP($D768,'ACAH Capital Tracker'!$A:$D,4,FALSE()),""))</f>
        <v/>
      </c>
      <c r="H768" s="22"/>
    </row>
    <row r="769" spans="1:8">
      <c r="A769" s="21"/>
      <c r="B769" s="22"/>
      <c r="C769" s="22"/>
      <c r="D769" s="22"/>
      <c r="E769" s="23" t="str">
        <f>IF($D769="","",IFERROR(VLOOKUP($D769,'ACAH Capital Tracker'!$A:$H,8,FALSE()),""))</f>
        <v/>
      </c>
      <c r="F769" s="24"/>
      <c r="G769" s="25" t="str">
        <f>IF($D769="","",IFERROR(VLOOKUP($D769,'ACAH Capital Tracker'!$A:$D,4,FALSE()),""))</f>
        <v/>
      </c>
      <c r="H769" s="22"/>
    </row>
    <row r="770" spans="1:8">
      <c r="A770" s="21"/>
      <c r="B770" s="22"/>
      <c r="C770" s="22"/>
      <c r="D770" s="22"/>
      <c r="E770" s="23" t="str">
        <f>IF($D770="","",IFERROR(VLOOKUP($D770,'ACAH Capital Tracker'!$A:$H,8,FALSE()),""))</f>
        <v/>
      </c>
      <c r="F770" s="24"/>
      <c r="G770" s="25" t="str">
        <f>IF($D770="","",IFERROR(VLOOKUP($D770,'ACAH Capital Tracker'!$A:$D,4,FALSE()),""))</f>
        <v/>
      </c>
      <c r="H770" s="22"/>
    </row>
    <row r="771" spans="1:8">
      <c r="A771" s="21"/>
      <c r="B771" s="22"/>
      <c r="C771" s="22"/>
      <c r="D771" s="22"/>
      <c r="E771" s="23" t="str">
        <f>IF($D771="","",IFERROR(VLOOKUP($D771,'ACAH Capital Tracker'!$A:$H,8,FALSE()),""))</f>
        <v/>
      </c>
      <c r="F771" s="24"/>
      <c r="G771" s="25" t="str">
        <f>IF($D771="","",IFERROR(VLOOKUP($D771,'ACAH Capital Tracker'!$A:$D,4,FALSE()),""))</f>
        <v/>
      </c>
      <c r="H771" s="22"/>
    </row>
    <row r="772" spans="1:8">
      <c r="A772" s="21"/>
      <c r="B772" s="22"/>
      <c r="C772" s="22"/>
      <c r="D772" s="22"/>
      <c r="E772" s="23" t="str">
        <f>IF($D772="","",IFERROR(VLOOKUP($D772,'ACAH Capital Tracker'!$A:$H,8,FALSE()),""))</f>
        <v/>
      </c>
      <c r="F772" s="24"/>
      <c r="G772" s="25" t="str">
        <f>IF($D772="","",IFERROR(VLOOKUP($D772,'ACAH Capital Tracker'!$A:$D,4,FALSE()),""))</f>
        <v/>
      </c>
      <c r="H772" s="22"/>
    </row>
    <row r="773" spans="1:8">
      <c r="A773" s="21"/>
      <c r="B773" s="22"/>
      <c r="C773" s="22"/>
      <c r="D773" s="22"/>
      <c r="E773" s="23" t="str">
        <f>IF($D773="","",IFERROR(VLOOKUP($D773,'ACAH Capital Tracker'!$A:$H,8,FALSE()),""))</f>
        <v/>
      </c>
      <c r="F773" s="24"/>
      <c r="G773" s="25" t="str">
        <f>IF($D773="","",IFERROR(VLOOKUP($D773,'ACAH Capital Tracker'!$A:$D,4,FALSE()),""))</f>
        <v/>
      </c>
      <c r="H773" s="22"/>
    </row>
    <row r="774" spans="1:8">
      <c r="A774" s="21"/>
      <c r="B774" s="22"/>
      <c r="C774" s="22"/>
      <c r="D774" s="22"/>
      <c r="E774" s="23" t="str">
        <f>IF($D774="","",IFERROR(VLOOKUP($D774,'ACAH Capital Tracker'!$A:$H,8,FALSE()),""))</f>
        <v/>
      </c>
      <c r="F774" s="24"/>
      <c r="G774" s="25" t="str">
        <f>IF($D774="","",IFERROR(VLOOKUP($D774,'ACAH Capital Tracker'!$A:$D,4,FALSE()),""))</f>
        <v/>
      </c>
      <c r="H774" s="22"/>
    </row>
    <row r="775" spans="1:8">
      <c r="A775" s="21"/>
      <c r="B775" s="22"/>
      <c r="C775" s="22"/>
      <c r="D775" s="22"/>
      <c r="E775" s="23" t="str">
        <f>IF($D775="","",IFERROR(VLOOKUP($D775,'ACAH Capital Tracker'!$A:$H,8,FALSE()),""))</f>
        <v/>
      </c>
      <c r="F775" s="24"/>
      <c r="G775" s="25" t="str">
        <f>IF($D775="","",IFERROR(VLOOKUP($D775,'ACAH Capital Tracker'!$A:$D,4,FALSE()),""))</f>
        <v/>
      </c>
      <c r="H775" s="22"/>
    </row>
    <row r="776" spans="1:8">
      <c r="A776" s="21"/>
      <c r="B776" s="22"/>
      <c r="C776" s="22"/>
      <c r="D776" s="22"/>
      <c r="E776" s="23" t="str">
        <f>IF($D776="","",IFERROR(VLOOKUP($D776,'ACAH Capital Tracker'!$A:$H,8,FALSE()),""))</f>
        <v/>
      </c>
      <c r="F776" s="24"/>
      <c r="G776" s="25" t="str">
        <f>IF($D776="","",IFERROR(VLOOKUP($D776,'ACAH Capital Tracker'!$A:$D,4,FALSE()),""))</f>
        <v/>
      </c>
      <c r="H776" s="22"/>
    </row>
    <row r="777" spans="1:8">
      <c r="A777" s="21"/>
      <c r="B777" s="22"/>
      <c r="C777" s="22"/>
      <c r="D777" s="22"/>
      <c r="E777" s="23" t="str">
        <f>IF($D777="","",IFERROR(VLOOKUP($D777,'ACAH Capital Tracker'!$A:$H,8,FALSE()),""))</f>
        <v/>
      </c>
      <c r="F777" s="24"/>
      <c r="G777" s="25" t="str">
        <f>IF($D777="","",IFERROR(VLOOKUP($D777,'ACAH Capital Tracker'!$A:$D,4,FALSE()),""))</f>
        <v/>
      </c>
      <c r="H777" s="22"/>
    </row>
    <row r="778" spans="1:8">
      <c r="A778" s="21"/>
      <c r="B778" s="22"/>
      <c r="C778" s="22"/>
      <c r="D778" s="22"/>
      <c r="E778" s="23" t="str">
        <f>IF($D778="","",IFERROR(VLOOKUP($D778,'ACAH Capital Tracker'!$A:$H,8,FALSE()),""))</f>
        <v/>
      </c>
      <c r="F778" s="24"/>
      <c r="G778" s="25" t="str">
        <f>IF($D778="","",IFERROR(VLOOKUP($D778,'ACAH Capital Tracker'!$A:$D,4,FALSE()),""))</f>
        <v/>
      </c>
      <c r="H778" s="22"/>
    </row>
    <row r="779" spans="1:8">
      <c r="A779" s="21"/>
      <c r="B779" s="22"/>
      <c r="C779" s="22"/>
      <c r="D779" s="22"/>
      <c r="E779" s="23" t="str">
        <f>IF($D779="","",IFERROR(VLOOKUP($D779,'ACAH Capital Tracker'!$A:$H,8,FALSE()),""))</f>
        <v/>
      </c>
      <c r="F779" s="24"/>
      <c r="G779" s="25" t="str">
        <f>IF($D779="","",IFERROR(VLOOKUP($D779,'ACAH Capital Tracker'!$A:$D,4,FALSE()),""))</f>
        <v/>
      </c>
      <c r="H779" s="22"/>
    </row>
    <row r="780" spans="1:8">
      <c r="A780" s="21"/>
      <c r="B780" s="22"/>
      <c r="C780" s="22"/>
      <c r="D780" s="22"/>
      <c r="E780" s="23" t="str">
        <f>IF($D780="","",IFERROR(VLOOKUP($D780,'ACAH Capital Tracker'!$A:$H,8,FALSE()),""))</f>
        <v/>
      </c>
      <c r="F780" s="24"/>
      <c r="G780" s="25" t="str">
        <f>IF($D780="","",IFERROR(VLOOKUP($D780,'ACAH Capital Tracker'!$A:$D,4,FALSE()),""))</f>
        <v/>
      </c>
      <c r="H780" s="22"/>
    </row>
    <row r="781" spans="1:8">
      <c r="A781" s="21"/>
      <c r="B781" s="22"/>
      <c r="C781" s="22"/>
      <c r="D781" s="22"/>
      <c r="E781" s="23" t="str">
        <f>IF($D781="","",IFERROR(VLOOKUP($D781,'ACAH Capital Tracker'!$A:$H,8,FALSE()),""))</f>
        <v/>
      </c>
      <c r="F781" s="24"/>
      <c r="G781" s="25" t="str">
        <f>IF($D781="","",IFERROR(VLOOKUP($D781,'ACAH Capital Tracker'!$A:$D,4,FALSE()),""))</f>
        <v/>
      </c>
      <c r="H781" s="22"/>
    </row>
    <row r="782" spans="1:8">
      <c r="A782" s="21"/>
      <c r="B782" s="22"/>
      <c r="C782" s="22"/>
      <c r="D782" s="22"/>
      <c r="E782" s="23" t="str">
        <f>IF($D782="","",IFERROR(VLOOKUP($D782,'ACAH Capital Tracker'!$A:$H,8,FALSE()),""))</f>
        <v/>
      </c>
      <c r="F782" s="24"/>
      <c r="G782" s="25" t="str">
        <f>IF($D782="","",IFERROR(VLOOKUP($D782,'ACAH Capital Tracker'!$A:$D,4,FALSE()),""))</f>
        <v/>
      </c>
      <c r="H782" s="22"/>
    </row>
    <row r="783" spans="1:8">
      <c r="A783" s="21"/>
      <c r="B783" s="22"/>
      <c r="C783" s="22"/>
      <c r="D783" s="22"/>
      <c r="E783" s="23" t="str">
        <f>IF($D783="","",IFERROR(VLOOKUP($D783,'ACAH Capital Tracker'!$A:$H,8,FALSE()),""))</f>
        <v/>
      </c>
      <c r="F783" s="24"/>
      <c r="G783" s="25" t="str">
        <f>IF($D783="","",IFERROR(VLOOKUP($D783,'ACAH Capital Tracker'!$A:$D,4,FALSE()),""))</f>
        <v/>
      </c>
      <c r="H783" s="22"/>
    </row>
    <row r="784" spans="1:8">
      <c r="A784" s="21"/>
      <c r="B784" s="22"/>
      <c r="C784" s="22"/>
      <c r="D784" s="22"/>
      <c r="E784" s="23" t="str">
        <f>IF($D784="","",IFERROR(VLOOKUP($D784,'ACAH Capital Tracker'!$A:$H,8,FALSE()),""))</f>
        <v/>
      </c>
      <c r="F784" s="24"/>
      <c r="G784" s="25" t="str">
        <f>IF($D784="","",IFERROR(VLOOKUP($D784,'ACAH Capital Tracker'!$A:$D,4,FALSE()),""))</f>
        <v/>
      </c>
      <c r="H784" s="22"/>
    </row>
    <row r="785" spans="1:8">
      <c r="A785" s="21"/>
      <c r="B785" s="22"/>
      <c r="C785" s="22"/>
      <c r="D785" s="22"/>
      <c r="E785" s="23" t="str">
        <f>IF($D785="","",IFERROR(VLOOKUP($D785,'ACAH Capital Tracker'!$A:$H,8,FALSE()),""))</f>
        <v/>
      </c>
      <c r="F785" s="24"/>
      <c r="G785" s="25" t="str">
        <f>IF($D785="","",IFERROR(VLOOKUP($D785,'ACAH Capital Tracker'!$A:$D,4,FALSE()),""))</f>
        <v/>
      </c>
      <c r="H785" s="22"/>
    </row>
    <row r="786" spans="1:8">
      <c r="A786" s="21"/>
      <c r="B786" s="22"/>
      <c r="C786" s="22"/>
      <c r="D786" s="22"/>
      <c r="E786" s="23" t="str">
        <f>IF($D786="","",IFERROR(VLOOKUP($D786,'ACAH Capital Tracker'!$A:$H,8,FALSE()),""))</f>
        <v/>
      </c>
      <c r="F786" s="24"/>
      <c r="G786" s="25" t="str">
        <f>IF($D786="","",IFERROR(VLOOKUP($D786,'ACAH Capital Tracker'!$A:$D,4,FALSE()),""))</f>
        <v/>
      </c>
      <c r="H786" s="22"/>
    </row>
    <row r="787" spans="1:8">
      <c r="A787" s="21"/>
      <c r="B787" s="22"/>
      <c r="C787" s="22"/>
      <c r="D787" s="22"/>
      <c r="E787" s="23" t="str">
        <f>IF($D787="","",IFERROR(VLOOKUP($D787,'ACAH Capital Tracker'!$A:$H,8,FALSE()),""))</f>
        <v/>
      </c>
      <c r="F787" s="24"/>
      <c r="G787" s="25" t="str">
        <f>IF($D787="","",IFERROR(VLOOKUP($D787,'ACAH Capital Tracker'!$A:$D,4,FALSE()),""))</f>
        <v/>
      </c>
      <c r="H787" s="22"/>
    </row>
    <row r="788" spans="1:8">
      <c r="A788" s="21"/>
      <c r="B788" s="22"/>
      <c r="C788" s="22"/>
      <c r="D788" s="22"/>
      <c r="E788" s="23" t="str">
        <f>IF($D788="","",IFERROR(VLOOKUP($D788,'ACAH Capital Tracker'!$A:$H,8,FALSE()),""))</f>
        <v/>
      </c>
      <c r="F788" s="24"/>
      <c r="G788" s="25" t="str">
        <f>IF($D788="","",IFERROR(VLOOKUP($D788,'ACAH Capital Tracker'!$A:$D,4,FALSE()),""))</f>
        <v/>
      </c>
      <c r="H788" s="22"/>
    </row>
    <row r="789" spans="1:8">
      <c r="A789" s="21"/>
      <c r="B789" s="22"/>
      <c r="C789" s="22"/>
      <c r="D789" s="22"/>
      <c r="E789" s="23" t="str">
        <f>IF($D789="","",IFERROR(VLOOKUP($D789,'ACAH Capital Tracker'!$A:$H,8,FALSE()),""))</f>
        <v/>
      </c>
      <c r="F789" s="24"/>
      <c r="G789" s="25" t="str">
        <f>IF($D789="","",IFERROR(VLOOKUP($D789,'ACAH Capital Tracker'!$A:$D,4,FALSE()),""))</f>
        <v/>
      </c>
      <c r="H789" s="22"/>
    </row>
    <row r="790" spans="1:8">
      <c r="A790" s="21"/>
      <c r="B790" s="22"/>
      <c r="C790" s="22"/>
      <c r="D790" s="22"/>
      <c r="E790" s="23" t="str">
        <f>IF($D790="","",IFERROR(VLOOKUP($D790,'ACAH Capital Tracker'!$A:$H,8,FALSE()),""))</f>
        <v/>
      </c>
      <c r="F790" s="24"/>
      <c r="G790" s="25" t="str">
        <f>IF($D790="","",IFERROR(VLOOKUP($D790,'ACAH Capital Tracker'!$A:$D,4,FALSE()),""))</f>
        <v/>
      </c>
      <c r="H790" s="22"/>
    </row>
    <row r="791" spans="1:8">
      <c r="A791" s="21"/>
      <c r="B791" s="22"/>
      <c r="C791" s="22"/>
      <c r="D791" s="22"/>
      <c r="E791" s="23" t="str">
        <f>IF($D791="","",IFERROR(VLOOKUP($D791,'ACAH Capital Tracker'!$A:$H,8,FALSE()),""))</f>
        <v/>
      </c>
      <c r="F791" s="24"/>
      <c r="G791" s="25" t="str">
        <f>IF($D791="","",IFERROR(VLOOKUP($D791,'ACAH Capital Tracker'!$A:$D,4,FALSE()),""))</f>
        <v/>
      </c>
      <c r="H791" s="22"/>
    </row>
    <row r="792" spans="1:8">
      <c r="A792" s="21"/>
      <c r="B792" s="22"/>
      <c r="C792" s="22"/>
      <c r="D792" s="22"/>
      <c r="E792" s="23" t="str">
        <f>IF($D792="","",IFERROR(VLOOKUP($D792,'ACAH Capital Tracker'!$A:$H,8,FALSE()),""))</f>
        <v/>
      </c>
      <c r="F792" s="24"/>
      <c r="G792" s="25" t="str">
        <f>IF($D792="","",IFERROR(VLOOKUP($D792,'ACAH Capital Tracker'!$A:$D,4,FALSE()),""))</f>
        <v/>
      </c>
      <c r="H792" s="22"/>
    </row>
    <row r="793" spans="1:8">
      <c r="A793" s="21"/>
      <c r="B793" s="22"/>
      <c r="C793" s="22"/>
      <c r="D793" s="22"/>
      <c r="E793" s="23" t="str">
        <f>IF($D793="","",IFERROR(VLOOKUP($D793,'ACAH Capital Tracker'!$A:$H,8,FALSE()),""))</f>
        <v/>
      </c>
      <c r="F793" s="24"/>
      <c r="G793" s="25" t="str">
        <f>IF($D793="","",IFERROR(VLOOKUP($D793,'ACAH Capital Tracker'!$A:$D,4,FALSE()),""))</f>
        <v/>
      </c>
      <c r="H793" s="22"/>
    </row>
    <row r="794" spans="1:8">
      <c r="A794" s="21"/>
      <c r="B794" s="22"/>
      <c r="C794" s="22"/>
      <c r="D794" s="22"/>
      <c r="E794" s="23" t="str">
        <f>IF($D794="","",IFERROR(VLOOKUP($D794,'ACAH Capital Tracker'!$A:$H,8,FALSE()),""))</f>
        <v/>
      </c>
      <c r="F794" s="24"/>
      <c r="G794" s="25" t="str">
        <f>IF($D794="","",IFERROR(VLOOKUP($D794,'ACAH Capital Tracker'!$A:$D,4,FALSE()),""))</f>
        <v/>
      </c>
      <c r="H794" s="22"/>
    </row>
    <row r="795" spans="1:8">
      <c r="A795" s="21"/>
      <c r="B795" s="22"/>
      <c r="C795" s="22"/>
      <c r="D795" s="22"/>
      <c r="E795" s="23" t="str">
        <f>IF($D795="","",IFERROR(VLOOKUP($D795,'ACAH Capital Tracker'!$A:$H,8,FALSE()),""))</f>
        <v/>
      </c>
      <c r="F795" s="24"/>
      <c r="G795" s="25" t="str">
        <f>IF($D795="","",IFERROR(VLOOKUP($D795,'ACAH Capital Tracker'!$A:$D,4,FALSE()),""))</f>
        <v/>
      </c>
      <c r="H795" s="22"/>
    </row>
    <row r="796" spans="1:8">
      <c r="A796" s="21"/>
      <c r="B796" s="22"/>
      <c r="C796" s="22"/>
      <c r="D796" s="22"/>
      <c r="E796" s="23" t="str">
        <f>IF($D796="","",IFERROR(VLOOKUP($D796,'ACAH Capital Tracker'!$A:$H,8,FALSE()),""))</f>
        <v/>
      </c>
      <c r="F796" s="24"/>
      <c r="G796" s="25" t="str">
        <f>IF($D796="","",IFERROR(VLOOKUP($D796,'ACAH Capital Tracker'!$A:$D,4,FALSE()),""))</f>
        <v/>
      </c>
      <c r="H796" s="22"/>
    </row>
    <row r="797" spans="1:8">
      <c r="A797" s="21"/>
      <c r="B797" s="22"/>
      <c r="C797" s="22"/>
      <c r="D797" s="22"/>
      <c r="E797" s="23" t="str">
        <f>IF($D797="","",IFERROR(VLOOKUP($D797,'ACAH Capital Tracker'!$A:$H,8,FALSE()),""))</f>
        <v/>
      </c>
      <c r="F797" s="24"/>
      <c r="G797" s="25" t="str">
        <f>IF($D797="","",IFERROR(VLOOKUP($D797,'ACAH Capital Tracker'!$A:$D,4,FALSE()),""))</f>
        <v/>
      </c>
      <c r="H797" s="22"/>
    </row>
    <row r="798" spans="1:8">
      <c r="A798" s="21"/>
      <c r="B798" s="22"/>
      <c r="C798" s="22"/>
      <c r="D798" s="22"/>
      <c r="E798" s="23" t="str">
        <f>IF($D798="","",IFERROR(VLOOKUP($D798,'ACAH Capital Tracker'!$A:$H,8,FALSE()),""))</f>
        <v/>
      </c>
      <c r="F798" s="24"/>
      <c r="G798" s="25" t="str">
        <f>IF($D798="","",IFERROR(VLOOKUP($D798,'ACAH Capital Tracker'!$A:$D,4,FALSE()),""))</f>
        <v/>
      </c>
      <c r="H798" s="22"/>
    </row>
    <row r="799" spans="1:8">
      <c r="A799" s="21"/>
      <c r="B799" s="22"/>
      <c r="C799" s="22"/>
      <c r="D799" s="22"/>
      <c r="E799" s="23" t="str">
        <f>IF($D799="","",IFERROR(VLOOKUP($D799,'ACAH Capital Tracker'!$A:$H,8,FALSE()),""))</f>
        <v/>
      </c>
      <c r="F799" s="24"/>
      <c r="G799" s="25" t="str">
        <f>IF($D799="","",IFERROR(VLOOKUP($D799,'ACAH Capital Tracker'!$A:$D,4,FALSE()),""))</f>
        <v/>
      </c>
      <c r="H799" s="22"/>
    </row>
    <row r="800" spans="1:8">
      <c r="A800" s="21"/>
      <c r="B800" s="22"/>
      <c r="C800" s="22"/>
      <c r="D800" s="22"/>
      <c r="E800" s="23" t="str">
        <f>IF($D800="","",IFERROR(VLOOKUP($D800,'ACAH Capital Tracker'!$A:$H,8,FALSE()),""))</f>
        <v/>
      </c>
      <c r="F800" s="24"/>
      <c r="G800" s="25" t="str">
        <f>IF($D800="","",IFERROR(VLOOKUP($D800,'ACAH Capital Tracker'!$A:$D,4,FALSE()),""))</f>
        <v/>
      </c>
      <c r="H800" s="22"/>
    </row>
    <row r="801" spans="1:8">
      <c r="A801" s="21"/>
      <c r="B801" s="22"/>
      <c r="C801" s="22"/>
      <c r="D801" s="22"/>
      <c r="E801" s="23" t="str">
        <f>IF($D801="","",IFERROR(VLOOKUP($D801,'ACAH Capital Tracker'!$A:$H,8,FALSE()),""))</f>
        <v/>
      </c>
      <c r="F801" s="24"/>
      <c r="G801" s="25" t="str">
        <f>IF($D801="","",IFERROR(VLOOKUP($D801,'ACAH Capital Tracker'!$A:$D,4,FALSE()),""))</f>
        <v/>
      </c>
      <c r="H801" s="22"/>
    </row>
    <row r="802" spans="1:8">
      <c r="A802" s="21"/>
      <c r="B802" s="22"/>
      <c r="C802" s="22"/>
      <c r="D802" s="22"/>
      <c r="E802" s="23" t="str">
        <f>IF($D802="","",IFERROR(VLOOKUP($D802,'ACAH Capital Tracker'!$A:$H,8,FALSE()),""))</f>
        <v/>
      </c>
      <c r="F802" s="24"/>
      <c r="G802" s="25" t="str">
        <f>IF($D802="","",IFERROR(VLOOKUP($D802,'ACAH Capital Tracker'!$A:$D,4,FALSE()),""))</f>
        <v/>
      </c>
      <c r="H802" s="22"/>
    </row>
    <row r="803" spans="1:8">
      <c r="A803" s="21"/>
      <c r="B803" s="22"/>
      <c r="C803" s="22"/>
      <c r="D803" s="22"/>
      <c r="E803" s="23" t="str">
        <f>IF($D803="","",IFERROR(VLOOKUP($D803,'ACAH Capital Tracker'!$A:$H,8,FALSE()),""))</f>
        <v/>
      </c>
      <c r="F803" s="24"/>
      <c r="G803" s="25" t="str">
        <f>IF($D803="","",IFERROR(VLOOKUP($D803,'ACAH Capital Tracker'!$A:$D,4,FALSE()),""))</f>
        <v/>
      </c>
      <c r="H803" s="22"/>
    </row>
    <row r="804" spans="1:8">
      <c r="A804" s="21"/>
      <c r="B804" s="22"/>
      <c r="C804" s="22"/>
      <c r="D804" s="22"/>
      <c r="E804" s="23" t="str">
        <f>IF($D804="","",IFERROR(VLOOKUP($D804,'ACAH Capital Tracker'!$A:$H,8,FALSE()),""))</f>
        <v/>
      </c>
      <c r="F804" s="24"/>
      <c r="G804" s="25" t="str">
        <f>IF($D804="","",IFERROR(VLOOKUP($D804,'ACAH Capital Tracker'!$A:$D,4,FALSE()),""))</f>
        <v/>
      </c>
      <c r="H804" s="22"/>
    </row>
    <row r="805" spans="1:8">
      <c r="A805" s="21"/>
      <c r="B805" s="22"/>
      <c r="C805" s="22"/>
      <c r="D805" s="22"/>
      <c r="E805" s="23" t="str">
        <f>IF($D805="","",IFERROR(VLOOKUP($D805,'ACAH Capital Tracker'!$A:$H,8,FALSE()),""))</f>
        <v/>
      </c>
      <c r="F805" s="24"/>
      <c r="G805" s="25" t="str">
        <f>IF($D805="","",IFERROR(VLOOKUP($D805,'ACAH Capital Tracker'!$A:$D,4,FALSE()),""))</f>
        <v/>
      </c>
      <c r="H805" s="22"/>
    </row>
    <row r="806" spans="1:8">
      <c r="A806" s="21"/>
      <c r="B806" s="22"/>
      <c r="C806" s="22"/>
      <c r="D806" s="22"/>
      <c r="E806" s="23" t="str">
        <f>IF($D806="","",IFERROR(VLOOKUP($D806,'ACAH Capital Tracker'!$A:$H,8,FALSE()),""))</f>
        <v/>
      </c>
      <c r="F806" s="24"/>
      <c r="G806" s="25" t="str">
        <f>IF($D806="","",IFERROR(VLOOKUP($D806,'ACAH Capital Tracker'!$A:$D,4,FALSE()),""))</f>
        <v/>
      </c>
      <c r="H806" s="22"/>
    </row>
    <row r="807" spans="1:8">
      <c r="A807" s="21"/>
      <c r="B807" s="22"/>
      <c r="C807" s="22"/>
      <c r="D807" s="22"/>
      <c r="E807" s="23" t="str">
        <f>IF($D807="","",IFERROR(VLOOKUP($D807,'ACAH Capital Tracker'!$A:$H,8,FALSE()),""))</f>
        <v/>
      </c>
      <c r="F807" s="24"/>
      <c r="G807" s="25" t="str">
        <f>IF($D807="","",IFERROR(VLOOKUP($D807,'ACAH Capital Tracker'!$A:$D,4,FALSE()),""))</f>
        <v/>
      </c>
      <c r="H807" s="22"/>
    </row>
    <row r="808" spans="1:8">
      <c r="A808" s="21"/>
      <c r="B808" s="22"/>
      <c r="C808" s="22"/>
      <c r="D808" s="22"/>
      <c r="E808" s="23" t="str">
        <f>IF($D808="","",IFERROR(VLOOKUP($D808,'ACAH Capital Tracker'!$A:$H,8,FALSE()),""))</f>
        <v/>
      </c>
      <c r="F808" s="24"/>
      <c r="G808" s="25" t="str">
        <f>IF($D808="","",IFERROR(VLOOKUP($D808,'ACAH Capital Tracker'!$A:$D,4,FALSE()),""))</f>
        <v/>
      </c>
      <c r="H808" s="22"/>
    </row>
    <row r="809" spans="1:8">
      <c r="A809" s="21"/>
      <c r="B809" s="22"/>
      <c r="C809" s="22"/>
      <c r="D809" s="22"/>
      <c r="E809" s="23" t="str">
        <f>IF($D809="","",IFERROR(VLOOKUP($D809,'ACAH Capital Tracker'!$A:$H,8,FALSE()),""))</f>
        <v/>
      </c>
      <c r="F809" s="24"/>
      <c r="G809" s="25" t="str">
        <f>IF($D809="","",IFERROR(VLOOKUP($D809,'ACAH Capital Tracker'!$A:$D,4,FALSE()),""))</f>
        <v/>
      </c>
      <c r="H809" s="22"/>
    </row>
    <row r="810" spans="1:8">
      <c r="A810" s="21"/>
      <c r="B810" s="22"/>
      <c r="C810" s="22"/>
      <c r="D810" s="22"/>
      <c r="E810" s="23" t="str">
        <f>IF($D810="","",IFERROR(VLOOKUP($D810,'ACAH Capital Tracker'!$A:$H,8,FALSE()),""))</f>
        <v/>
      </c>
      <c r="F810" s="24"/>
      <c r="G810" s="25" t="str">
        <f>IF($D810="","",IFERROR(VLOOKUP($D810,'ACAH Capital Tracker'!$A:$D,4,FALSE()),""))</f>
        <v/>
      </c>
      <c r="H810" s="22"/>
    </row>
    <row r="811" spans="1:8">
      <c r="A811" s="21"/>
      <c r="B811" s="22"/>
      <c r="C811" s="22"/>
      <c r="D811" s="22"/>
      <c r="E811" s="23" t="str">
        <f>IF($D811="","",IFERROR(VLOOKUP($D811,'ACAH Capital Tracker'!$A:$H,8,FALSE()),""))</f>
        <v/>
      </c>
      <c r="F811" s="24"/>
      <c r="G811" s="25" t="str">
        <f>IF($D811="","",IFERROR(VLOOKUP($D811,'ACAH Capital Tracker'!$A:$D,4,FALSE()),""))</f>
        <v/>
      </c>
      <c r="H811" s="22"/>
    </row>
    <row r="812" spans="1:8">
      <c r="A812" s="21"/>
      <c r="B812" s="22"/>
      <c r="C812" s="22"/>
      <c r="D812" s="22"/>
      <c r="E812" s="23" t="str">
        <f>IF($D812="","",IFERROR(VLOOKUP($D812,'ACAH Capital Tracker'!$A:$H,8,FALSE()),""))</f>
        <v/>
      </c>
      <c r="F812" s="24"/>
      <c r="G812" s="25" t="str">
        <f>IF($D812="","",IFERROR(VLOOKUP($D812,'ACAH Capital Tracker'!$A:$D,4,FALSE()),""))</f>
        <v/>
      </c>
      <c r="H812" s="22"/>
    </row>
    <row r="813" spans="1:8">
      <c r="A813" s="21"/>
      <c r="B813" s="22"/>
      <c r="C813" s="22"/>
      <c r="D813" s="22"/>
      <c r="E813" s="23" t="str">
        <f>IF($D813="","",IFERROR(VLOOKUP($D813,'ACAH Capital Tracker'!$A:$H,8,FALSE()),""))</f>
        <v/>
      </c>
      <c r="F813" s="24"/>
      <c r="G813" s="25" t="str">
        <f>IF($D813="","",IFERROR(VLOOKUP($D813,'ACAH Capital Tracker'!$A:$D,4,FALSE()),""))</f>
        <v/>
      </c>
      <c r="H813" s="22"/>
    </row>
    <row r="814" spans="1:8">
      <c r="A814" s="21"/>
      <c r="B814" s="22"/>
      <c r="C814" s="22"/>
      <c r="D814" s="22"/>
      <c r="E814" s="23" t="str">
        <f>IF($D814="","",IFERROR(VLOOKUP($D814,'ACAH Capital Tracker'!$A:$H,8,FALSE()),""))</f>
        <v/>
      </c>
      <c r="F814" s="24"/>
      <c r="G814" s="25" t="str">
        <f>IF($D814="","",IFERROR(VLOOKUP($D814,'ACAH Capital Tracker'!$A:$D,4,FALSE()),""))</f>
        <v/>
      </c>
      <c r="H814" s="22"/>
    </row>
    <row r="815" spans="1:8">
      <c r="A815" s="21"/>
      <c r="B815" s="22"/>
      <c r="C815" s="22"/>
      <c r="D815" s="22"/>
      <c r="E815" s="23" t="str">
        <f>IF($D815="","",IFERROR(VLOOKUP($D815,'ACAH Capital Tracker'!$A:$H,8,FALSE()),""))</f>
        <v/>
      </c>
      <c r="F815" s="24"/>
      <c r="G815" s="25" t="str">
        <f>IF($D815="","",IFERROR(VLOOKUP($D815,'ACAH Capital Tracker'!$A:$D,4,FALSE()),""))</f>
        <v/>
      </c>
      <c r="H815" s="22"/>
    </row>
    <row r="816" spans="1:8">
      <c r="A816" s="21"/>
      <c r="B816" s="22"/>
      <c r="C816" s="22"/>
      <c r="D816" s="22"/>
      <c r="E816" s="23" t="str">
        <f>IF($D816="","",IFERROR(VLOOKUP($D816,'ACAH Capital Tracker'!$A:$H,8,FALSE()),""))</f>
        <v/>
      </c>
      <c r="F816" s="24"/>
      <c r="G816" s="25" t="str">
        <f>IF($D816="","",IFERROR(VLOOKUP($D816,'ACAH Capital Tracker'!$A:$D,4,FALSE()),""))</f>
        <v/>
      </c>
      <c r="H816" s="22"/>
    </row>
    <row r="817" spans="1:8">
      <c r="A817" s="21"/>
      <c r="B817" s="22"/>
      <c r="C817" s="22"/>
      <c r="D817" s="22"/>
      <c r="E817" s="23" t="str">
        <f>IF($D817="","",IFERROR(VLOOKUP($D817,'ACAH Capital Tracker'!$A:$H,8,FALSE()),""))</f>
        <v/>
      </c>
      <c r="F817" s="24"/>
      <c r="G817" s="25" t="str">
        <f>IF($D817="","",IFERROR(VLOOKUP($D817,'ACAH Capital Tracker'!$A:$D,4,FALSE()),""))</f>
        <v/>
      </c>
      <c r="H817" s="22"/>
    </row>
    <row r="818" spans="1:8">
      <c r="A818" s="21"/>
      <c r="B818" s="22"/>
      <c r="C818" s="22"/>
      <c r="D818" s="22"/>
      <c r="E818" s="23" t="str">
        <f>IF($D818="","",IFERROR(VLOOKUP($D818,'ACAH Capital Tracker'!$A:$H,8,FALSE()),""))</f>
        <v/>
      </c>
      <c r="F818" s="24"/>
      <c r="G818" s="25" t="str">
        <f>IF($D818="","",IFERROR(VLOOKUP($D818,'ACAH Capital Tracker'!$A:$D,4,FALSE()),""))</f>
        <v/>
      </c>
      <c r="H818" s="22"/>
    </row>
    <row r="819" spans="1:8">
      <c r="A819" s="21"/>
      <c r="B819" s="22"/>
      <c r="C819" s="22"/>
      <c r="D819" s="22"/>
      <c r="E819" s="23" t="str">
        <f>IF($D819="","",IFERROR(VLOOKUP($D819,'ACAH Capital Tracker'!$A:$H,8,FALSE()),""))</f>
        <v/>
      </c>
      <c r="F819" s="24"/>
      <c r="G819" s="25" t="str">
        <f>IF($D819="","",IFERROR(VLOOKUP($D819,'ACAH Capital Tracker'!$A:$D,4,FALSE()),""))</f>
        <v/>
      </c>
      <c r="H819" s="22"/>
    </row>
    <row r="820" spans="1:8">
      <c r="A820" s="21"/>
      <c r="B820" s="22"/>
      <c r="C820" s="22"/>
      <c r="D820" s="22"/>
      <c r="E820" s="23" t="str">
        <f>IF($D820="","",IFERROR(VLOOKUP($D820,'ACAH Capital Tracker'!$A:$H,8,FALSE()),""))</f>
        <v/>
      </c>
      <c r="F820" s="24"/>
      <c r="G820" s="25" t="str">
        <f>IF($D820="","",IFERROR(VLOOKUP($D820,'ACAH Capital Tracker'!$A:$D,4,FALSE()),""))</f>
        <v/>
      </c>
      <c r="H820" s="22"/>
    </row>
    <row r="821" spans="1:8">
      <c r="A821" s="21"/>
      <c r="B821" s="22"/>
      <c r="C821" s="22"/>
      <c r="D821" s="22"/>
      <c r="E821" s="23" t="str">
        <f>IF($D821="","",IFERROR(VLOOKUP($D821,'ACAH Capital Tracker'!$A:$H,8,FALSE()),""))</f>
        <v/>
      </c>
      <c r="F821" s="24"/>
      <c r="G821" s="25" t="str">
        <f>IF($D821="","",IFERROR(VLOOKUP($D821,'ACAH Capital Tracker'!$A:$D,4,FALSE()),""))</f>
        <v/>
      </c>
      <c r="H821" s="22"/>
    </row>
    <row r="822" spans="1:8">
      <c r="A822" s="21"/>
      <c r="B822" s="22"/>
      <c r="C822" s="22"/>
      <c r="D822" s="22"/>
      <c r="E822" s="23" t="str">
        <f>IF($D822="","",IFERROR(VLOOKUP($D822,'ACAH Capital Tracker'!$A:$H,8,FALSE()),""))</f>
        <v/>
      </c>
      <c r="F822" s="24"/>
      <c r="G822" s="25" t="str">
        <f>IF($D822="","",IFERROR(VLOOKUP($D822,'ACAH Capital Tracker'!$A:$D,4,FALSE()),""))</f>
        <v/>
      </c>
      <c r="H822" s="22"/>
    </row>
    <row r="823" spans="1:8">
      <c r="A823" s="21"/>
      <c r="B823" s="22"/>
      <c r="C823" s="22"/>
      <c r="D823" s="22"/>
      <c r="E823" s="23" t="str">
        <f>IF($D823="","",IFERROR(VLOOKUP($D823,'ACAH Capital Tracker'!$A:$H,8,FALSE()),""))</f>
        <v/>
      </c>
      <c r="F823" s="24"/>
      <c r="G823" s="25" t="str">
        <f>IF($D823="","",IFERROR(VLOOKUP($D823,'ACAH Capital Tracker'!$A:$D,4,FALSE()),""))</f>
        <v/>
      </c>
      <c r="H823" s="22"/>
    </row>
    <row r="824" spans="1:8">
      <c r="A824" s="21"/>
      <c r="B824" s="22"/>
      <c r="C824" s="22"/>
      <c r="D824" s="22"/>
      <c r="E824" s="23" t="str">
        <f>IF($D824="","",IFERROR(VLOOKUP($D824,'ACAH Capital Tracker'!$A:$H,8,FALSE()),""))</f>
        <v/>
      </c>
      <c r="F824" s="24"/>
      <c r="G824" s="25" t="str">
        <f>IF($D824="","",IFERROR(VLOOKUP($D824,'ACAH Capital Tracker'!$A:$D,4,FALSE()),""))</f>
        <v/>
      </c>
      <c r="H824" s="22"/>
    </row>
    <row r="825" spans="1:8">
      <c r="A825" s="21"/>
      <c r="B825" s="22"/>
      <c r="C825" s="22"/>
      <c r="D825" s="22"/>
      <c r="E825" s="23" t="str">
        <f>IF($D825="","",IFERROR(VLOOKUP($D825,'ACAH Capital Tracker'!$A:$H,8,FALSE()),""))</f>
        <v/>
      </c>
      <c r="F825" s="24"/>
      <c r="G825" s="25" t="str">
        <f>IF($D825="","",IFERROR(VLOOKUP($D825,'ACAH Capital Tracker'!$A:$D,4,FALSE()),""))</f>
        <v/>
      </c>
      <c r="H825" s="22"/>
    </row>
    <row r="826" spans="1:8">
      <c r="A826" s="21"/>
      <c r="B826" s="22"/>
      <c r="C826" s="22"/>
      <c r="D826" s="22"/>
      <c r="E826" s="23" t="str">
        <f>IF($D826="","",IFERROR(VLOOKUP($D826,'ACAH Capital Tracker'!$A:$H,8,FALSE()),""))</f>
        <v/>
      </c>
      <c r="F826" s="24"/>
      <c r="G826" s="25" t="str">
        <f>IF($D826="","",IFERROR(VLOOKUP($D826,'ACAH Capital Tracker'!$A:$D,4,FALSE()),""))</f>
        <v/>
      </c>
      <c r="H826" s="22"/>
    </row>
    <row r="827" spans="1:8">
      <c r="A827" s="21"/>
      <c r="B827" s="22"/>
      <c r="C827" s="22"/>
      <c r="D827" s="22"/>
      <c r="E827" s="23" t="str">
        <f>IF($D827="","",IFERROR(VLOOKUP($D827,'ACAH Capital Tracker'!$A:$H,8,FALSE()),""))</f>
        <v/>
      </c>
      <c r="F827" s="24"/>
      <c r="G827" s="25" t="str">
        <f>IF($D827="","",IFERROR(VLOOKUP($D827,'ACAH Capital Tracker'!$A:$D,4,FALSE()),""))</f>
        <v/>
      </c>
      <c r="H827" s="22"/>
    </row>
    <row r="828" spans="1:8">
      <c r="A828" s="21"/>
      <c r="B828" s="22"/>
      <c r="C828" s="22"/>
      <c r="D828" s="22"/>
      <c r="E828" s="23" t="str">
        <f>IF($D828="","",IFERROR(VLOOKUP($D828,'ACAH Capital Tracker'!$A:$H,8,FALSE()),""))</f>
        <v/>
      </c>
      <c r="F828" s="24"/>
      <c r="G828" s="25" t="str">
        <f>IF($D828="","",IFERROR(VLOOKUP($D828,'ACAH Capital Tracker'!$A:$D,4,FALSE()),""))</f>
        <v/>
      </c>
      <c r="H828" s="22"/>
    </row>
    <row r="829" spans="1:8">
      <c r="A829" s="21"/>
      <c r="B829" s="22"/>
      <c r="C829" s="22"/>
      <c r="D829" s="22"/>
      <c r="E829" s="23" t="str">
        <f>IF($D829="","",IFERROR(VLOOKUP($D829,'ACAH Capital Tracker'!$A:$H,8,FALSE()),""))</f>
        <v/>
      </c>
      <c r="F829" s="24"/>
      <c r="G829" s="25" t="str">
        <f>IF($D829="","",IFERROR(VLOOKUP($D829,'ACAH Capital Tracker'!$A:$D,4,FALSE()),""))</f>
        <v/>
      </c>
      <c r="H829" s="22"/>
    </row>
    <row r="830" spans="1:8">
      <c r="A830" s="21"/>
      <c r="B830" s="22"/>
      <c r="C830" s="22"/>
      <c r="D830" s="22"/>
      <c r="E830" s="23" t="str">
        <f>IF($D830="","",IFERROR(VLOOKUP($D830,'ACAH Capital Tracker'!$A:$H,8,FALSE()),""))</f>
        <v/>
      </c>
      <c r="F830" s="24"/>
      <c r="G830" s="25" t="str">
        <f>IF($D830="","",IFERROR(VLOOKUP($D830,'ACAH Capital Tracker'!$A:$D,4,FALSE()),""))</f>
        <v/>
      </c>
      <c r="H830" s="22"/>
    </row>
    <row r="831" spans="1:8">
      <c r="A831" s="21"/>
      <c r="B831" s="22"/>
      <c r="C831" s="22"/>
      <c r="D831" s="22"/>
      <c r="E831" s="23" t="str">
        <f>IF($D831="","",IFERROR(VLOOKUP($D831,'ACAH Capital Tracker'!$A:$H,8,FALSE()),""))</f>
        <v/>
      </c>
      <c r="F831" s="24"/>
      <c r="G831" s="25" t="str">
        <f>IF($D831="","",IFERROR(VLOOKUP($D831,'ACAH Capital Tracker'!$A:$D,4,FALSE()),""))</f>
        <v/>
      </c>
      <c r="H831" s="22"/>
    </row>
    <row r="832" spans="1:8">
      <c r="A832" s="21"/>
      <c r="B832" s="22"/>
      <c r="C832" s="22"/>
      <c r="D832" s="22"/>
      <c r="E832" s="23" t="str">
        <f>IF($D832="","",IFERROR(VLOOKUP($D832,'ACAH Capital Tracker'!$A:$H,8,FALSE()),""))</f>
        <v/>
      </c>
      <c r="F832" s="24"/>
      <c r="G832" s="25" t="str">
        <f>IF($D832="","",IFERROR(VLOOKUP($D832,'ACAH Capital Tracker'!$A:$D,4,FALSE()),""))</f>
        <v/>
      </c>
      <c r="H832" s="22"/>
    </row>
    <row r="833" spans="1:8">
      <c r="A833" s="21"/>
      <c r="B833" s="22"/>
      <c r="C833" s="22"/>
      <c r="D833" s="22"/>
      <c r="E833" s="23" t="str">
        <f>IF($D833="","",IFERROR(VLOOKUP($D833,'ACAH Capital Tracker'!$A:$H,8,FALSE()),""))</f>
        <v/>
      </c>
      <c r="F833" s="24"/>
      <c r="G833" s="25" t="str">
        <f>IF($D833="","",IFERROR(VLOOKUP($D833,'ACAH Capital Tracker'!$A:$D,4,FALSE()),""))</f>
        <v/>
      </c>
      <c r="H833" s="22"/>
    </row>
    <row r="834" spans="1:8">
      <c r="A834" s="21"/>
      <c r="B834" s="22"/>
      <c r="C834" s="22"/>
      <c r="D834" s="22"/>
      <c r="E834" s="23" t="str">
        <f>IF($D834="","",IFERROR(VLOOKUP($D834,'ACAH Capital Tracker'!$A:$H,8,FALSE()),""))</f>
        <v/>
      </c>
      <c r="F834" s="24"/>
      <c r="G834" s="25" t="str">
        <f>IF($D834="","",IFERROR(VLOOKUP($D834,'ACAH Capital Tracker'!$A:$D,4,FALSE()),""))</f>
        <v/>
      </c>
      <c r="H834" s="22"/>
    </row>
    <row r="835" spans="1:8">
      <c r="A835" s="21"/>
      <c r="B835" s="22"/>
      <c r="C835" s="22"/>
      <c r="D835" s="22"/>
      <c r="E835" s="23" t="str">
        <f>IF($D835="","",IFERROR(VLOOKUP($D835,'ACAH Capital Tracker'!$A:$H,8,FALSE()),""))</f>
        <v/>
      </c>
      <c r="F835" s="24"/>
      <c r="G835" s="25" t="str">
        <f>IF($D835="","",IFERROR(VLOOKUP($D835,'ACAH Capital Tracker'!$A:$D,4,FALSE()),""))</f>
        <v/>
      </c>
      <c r="H835" s="22"/>
    </row>
    <row r="836" spans="1:8">
      <c r="A836" s="21"/>
      <c r="B836" s="22"/>
      <c r="C836" s="22"/>
      <c r="D836" s="22"/>
      <c r="E836" s="23" t="str">
        <f>IF($D836="","",IFERROR(VLOOKUP($D836,'ACAH Capital Tracker'!$A:$H,8,FALSE()),""))</f>
        <v/>
      </c>
      <c r="F836" s="24"/>
      <c r="G836" s="25" t="str">
        <f>IF($D836="","",IFERROR(VLOOKUP($D836,'ACAH Capital Tracker'!$A:$D,4,FALSE()),""))</f>
        <v/>
      </c>
      <c r="H836" s="22"/>
    </row>
    <row r="837" spans="1:8">
      <c r="A837" s="21"/>
      <c r="B837" s="22"/>
      <c r="C837" s="22"/>
      <c r="D837" s="22"/>
      <c r="E837" s="23" t="str">
        <f>IF($D837="","",IFERROR(VLOOKUP($D837,'ACAH Capital Tracker'!$A:$H,8,FALSE()),""))</f>
        <v/>
      </c>
      <c r="F837" s="24"/>
      <c r="G837" s="25" t="str">
        <f>IF($D837="","",IFERROR(VLOOKUP($D837,'ACAH Capital Tracker'!$A:$D,4,FALSE()),""))</f>
        <v/>
      </c>
      <c r="H837" s="22"/>
    </row>
    <row r="838" spans="1:8">
      <c r="A838" s="21"/>
      <c r="B838" s="22"/>
      <c r="C838" s="22"/>
      <c r="D838" s="22"/>
      <c r="E838" s="23" t="str">
        <f>IF($D838="","",IFERROR(VLOOKUP($D838,'ACAH Capital Tracker'!$A:$H,8,FALSE()),""))</f>
        <v/>
      </c>
      <c r="F838" s="24"/>
      <c r="G838" s="25" t="str">
        <f>IF($D838="","",IFERROR(VLOOKUP($D838,'ACAH Capital Tracker'!$A:$D,4,FALSE()),""))</f>
        <v/>
      </c>
      <c r="H838" s="22"/>
    </row>
    <row r="839" spans="1:8">
      <c r="A839" s="21"/>
      <c r="B839" s="22"/>
      <c r="C839" s="22"/>
      <c r="D839" s="22"/>
      <c r="E839" s="23" t="str">
        <f>IF($D839="","",IFERROR(VLOOKUP($D839,'ACAH Capital Tracker'!$A:$H,8,FALSE()),""))</f>
        <v/>
      </c>
      <c r="F839" s="24"/>
      <c r="G839" s="25" t="str">
        <f>IF($D839="","",IFERROR(VLOOKUP($D839,'ACAH Capital Tracker'!$A:$D,4,FALSE()),""))</f>
        <v/>
      </c>
      <c r="H839" s="22"/>
    </row>
    <row r="840" spans="1:8">
      <c r="A840" s="21"/>
      <c r="B840" s="22"/>
      <c r="C840" s="22"/>
      <c r="D840" s="22"/>
      <c r="E840" s="23" t="str">
        <f>IF($D840="","",IFERROR(VLOOKUP($D840,'ACAH Capital Tracker'!$A:$H,8,FALSE()),""))</f>
        <v/>
      </c>
      <c r="F840" s="24"/>
      <c r="G840" s="25" t="str">
        <f>IF($D840="","",IFERROR(VLOOKUP($D840,'ACAH Capital Tracker'!$A:$D,4,FALSE()),""))</f>
        <v/>
      </c>
      <c r="H840" s="22"/>
    </row>
    <row r="841" spans="1:8">
      <c r="A841" s="21"/>
      <c r="B841" s="22"/>
      <c r="C841" s="22"/>
      <c r="D841" s="22"/>
      <c r="E841" s="23" t="str">
        <f>IF($D841="","",IFERROR(VLOOKUP($D841,'ACAH Capital Tracker'!$A:$H,8,FALSE()),""))</f>
        <v/>
      </c>
      <c r="F841" s="24"/>
      <c r="G841" s="25" t="str">
        <f>IF($D841="","",IFERROR(VLOOKUP($D841,'ACAH Capital Tracker'!$A:$D,4,FALSE()),""))</f>
        <v/>
      </c>
      <c r="H841" s="22"/>
    </row>
    <row r="842" spans="1:8">
      <c r="A842" s="21"/>
      <c r="B842" s="22"/>
      <c r="C842" s="22"/>
      <c r="D842" s="22"/>
      <c r="E842" s="23" t="str">
        <f>IF($D842="","",IFERROR(VLOOKUP($D842,'ACAH Capital Tracker'!$A:$H,8,FALSE()),""))</f>
        <v/>
      </c>
      <c r="F842" s="24"/>
      <c r="G842" s="25" t="str">
        <f>IF($D842="","",IFERROR(VLOOKUP($D842,'ACAH Capital Tracker'!$A:$D,4,FALSE()),""))</f>
        <v/>
      </c>
      <c r="H842" s="22"/>
    </row>
    <row r="843" spans="1:8">
      <c r="A843" s="21"/>
      <c r="B843" s="22"/>
      <c r="C843" s="22"/>
      <c r="D843" s="22"/>
      <c r="E843" s="23" t="str">
        <f>IF($D843="","",IFERROR(VLOOKUP($D843,'ACAH Capital Tracker'!$A:$H,8,FALSE()),""))</f>
        <v/>
      </c>
      <c r="F843" s="24"/>
      <c r="G843" s="25" t="str">
        <f>IF($D843="","",IFERROR(VLOOKUP($D843,'ACAH Capital Tracker'!$A:$D,4,FALSE()),""))</f>
        <v/>
      </c>
      <c r="H843" s="22"/>
    </row>
    <row r="844" spans="1:8">
      <c r="A844" s="21"/>
      <c r="B844" s="22"/>
      <c r="C844" s="22"/>
      <c r="D844" s="22"/>
      <c r="E844" s="23" t="str">
        <f>IF($D844="","",IFERROR(VLOOKUP($D844,'ACAH Capital Tracker'!$A:$H,8,FALSE()),""))</f>
        <v/>
      </c>
      <c r="F844" s="24"/>
      <c r="G844" s="25" t="str">
        <f>IF($D844="","",IFERROR(VLOOKUP($D844,'ACAH Capital Tracker'!$A:$D,4,FALSE()),""))</f>
        <v/>
      </c>
      <c r="H844" s="22"/>
    </row>
    <row r="845" spans="1:8">
      <c r="A845" s="21"/>
      <c r="B845" s="22"/>
      <c r="C845" s="22"/>
      <c r="D845" s="22"/>
      <c r="E845" s="23" t="str">
        <f>IF($D845="","",IFERROR(VLOOKUP($D845,'ACAH Capital Tracker'!$A:$H,8,FALSE()),""))</f>
        <v/>
      </c>
      <c r="F845" s="24"/>
      <c r="G845" s="25" t="str">
        <f>IF($D845="","",IFERROR(VLOOKUP($D845,'ACAH Capital Tracker'!$A:$D,4,FALSE()),""))</f>
        <v/>
      </c>
      <c r="H845" s="22"/>
    </row>
    <row r="846" spans="1:8">
      <c r="A846" s="21"/>
      <c r="B846" s="22"/>
      <c r="C846" s="22"/>
      <c r="D846" s="22"/>
      <c r="E846" s="23" t="str">
        <f>IF($D846="","",IFERROR(VLOOKUP($D846,'ACAH Capital Tracker'!$A:$H,8,FALSE()),""))</f>
        <v/>
      </c>
      <c r="F846" s="24"/>
      <c r="G846" s="25" t="str">
        <f>IF($D846="","",IFERROR(VLOOKUP($D846,'ACAH Capital Tracker'!$A:$D,4,FALSE()),""))</f>
        <v/>
      </c>
      <c r="H846" s="22"/>
    </row>
    <row r="847" spans="1:8">
      <c r="A847" s="21"/>
      <c r="B847" s="22"/>
      <c r="C847" s="22"/>
      <c r="D847" s="22"/>
      <c r="E847" s="23" t="str">
        <f>IF($D847="","",IFERROR(VLOOKUP($D847,'ACAH Capital Tracker'!$A:$H,8,FALSE()),""))</f>
        <v/>
      </c>
      <c r="F847" s="24"/>
      <c r="G847" s="25" t="str">
        <f>IF($D847="","",IFERROR(VLOOKUP($D847,'ACAH Capital Tracker'!$A:$D,4,FALSE()),""))</f>
        <v/>
      </c>
      <c r="H847" s="22"/>
    </row>
    <row r="848" spans="1:8">
      <c r="A848" s="21"/>
      <c r="B848" s="22"/>
      <c r="C848" s="22"/>
      <c r="D848" s="22"/>
      <c r="E848" s="23" t="str">
        <f>IF($D848="","",IFERROR(VLOOKUP($D848,'ACAH Capital Tracker'!$A:$H,8,FALSE()),""))</f>
        <v/>
      </c>
      <c r="F848" s="24"/>
      <c r="G848" s="25" t="str">
        <f>IF($D848="","",IFERROR(VLOOKUP($D848,'ACAH Capital Tracker'!$A:$D,4,FALSE()),""))</f>
        <v/>
      </c>
      <c r="H848" s="22"/>
    </row>
    <row r="849" spans="1:8">
      <c r="A849" s="21"/>
      <c r="B849" s="22"/>
      <c r="C849" s="22"/>
      <c r="D849" s="22"/>
      <c r="E849" s="23" t="str">
        <f>IF($D849="","",IFERROR(VLOOKUP($D849,'ACAH Capital Tracker'!$A:$H,8,FALSE()),""))</f>
        <v/>
      </c>
      <c r="F849" s="24"/>
      <c r="G849" s="25" t="str">
        <f>IF($D849="","",IFERROR(VLOOKUP($D849,'ACAH Capital Tracker'!$A:$D,4,FALSE()),""))</f>
        <v/>
      </c>
      <c r="H849" s="22"/>
    </row>
    <row r="850" spans="1:8">
      <c r="A850" s="21"/>
      <c r="B850" s="22"/>
      <c r="C850" s="22"/>
      <c r="D850" s="22"/>
      <c r="E850" s="23" t="str">
        <f>IF($D850="","",IFERROR(VLOOKUP($D850,'ACAH Capital Tracker'!$A:$H,8,FALSE()),""))</f>
        <v/>
      </c>
      <c r="F850" s="24"/>
      <c r="G850" s="25" t="str">
        <f>IF($D850="","",IFERROR(VLOOKUP($D850,'ACAH Capital Tracker'!$A:$D,4,FALSE()),""))</f>
        <v/>
      </c>
      <c r="H850" s="22"/>
    </row>
    <row r="851" spans="1:8">
      <c r="A851" s="21"/>
      <c r="B851" s="22"/>
      <c r="C851" s="22"/>
      <c r="D851" s="22"/>
      <c r="E851" s="23" t="str">
        <f>IF($D851="","",IFERROR(VLOOKUP($D851,'ACAH Capital Tracker'!$A:$H,8,FALSE()),""))</f>
        <v/>
      </c>
      <c r="F851" s="24"/>
      <c r="G851" s="25" t="str">
        <f>IF($D851="","",IFERROR(VLOOKUP($D851,'ACAH Capital Tracker'!$A:$D,4,FALSE()),""))</f>
        <v/>
      </c>
      <c r="H851" s="22"/>
    </row>
    <row r="852" spans="1:8">
      <c r="A852" s="21"/>
      <c r="B852" s="22"/>
      <c r="C852" s="22"/>
      <c r="D852" s="22"/>
      <c r="E852" s="23" t="str">
        <f>IF($D852="","",IFERROR(VLOOKUP($D852,'ACAH Capital Tracker'!$A:$H,8,FALSE()),""))</f>
        <v/>
      </c>
      <c r="F852" s="24"/>
      <c r="G852" s="25" t="str">
        <f>IF($D852="","",IFERROR(VLOOKUP($D852,'ACAH Capital Tracker'!$A:$D,4,FALSE()),""))</f>
        <v/>
      </c>
      <c r="H852" s="22"/>
    </row>
    <row r="853" spans="1:8">
      <c r="A853" s="21"/>
      <c r="B853" s="22"/>
      <c r="C853" s="22"/>
      <c r="D853" s="22"/>
      <c r="E853" s="23" t="str">
        <f>IF($D853="","",IFERROR(VLOOKUP($D853,'ACAH Capital Tracker'!$A:$H,8,FALSE()),""))</f>
        <v/>
      </c>
      <c r="F853" s="24"/>
      <c r="G853" s="25" t="str">
        <f>IF($D853="","",IFERROR(VLOOKUP($D853,'ACAH Capital Tracker'!$A:$D,4,FALSE()),""))</f>
        <v/>
      </c>
      <c r="H853" s="22"/>
    </row>
    <row r="854" spans="1:8">
      <c r="A854" s="21"/>
      <c r="B854" s="22"/>
      <c r="C854" s="22"/>
      <c r="D854" s="22"/>
      <c r="E854" s="23" t="str">
        <f>IF($D854="","",IFERROR(VLOOKUP($D854,'ACAH Capital Tracker'!$A:$H,8,FALSE()),""))</f>
        <v/>
      </c>
      <c r="F854" s="24"/>
      <c r="G854" s="25" t="str">
        <f>IF($D854="","",IFERROR(VLOOKUP($D854,'ACAH Capital Tracker'!$A:$D,4,FALSE()),""))</f>
        <v/>
      </c>
      <c r="H854" s="22"/>
    </row>
    <row r="855" spans="1:8">
      <c r="A855" s="21"/>
      <c r="B855" s="22"/>
      <c r="C855" s="22"/>
      <c r="D855" s="22"/>
      <c r="E855" s="23" t="str">
        <f>IF($D855="","",IFERROR(VLOOKUP($D855,'ACAH Capital Tracker'!$A:$H,8,FALSE()),""))</f>
        <v/>
      </c>
      <c r="F855" s="24"/>
      <c r="G855" s="25" t="str">
        <f>IF($D855="","",IFERROR(VLOOKUP($D855,'ACAH Capital Tracker'!$A:$D,4,FALSE()),""))</f>
        <v/>
      </c>
      <c r="H855" s="22"/>
    </row>
    <row r="856" spans="1:8">
      <c r="A856" s="21"/>
      <c r="B856" s="22"/>
      <c r="C856" s="22"/>
      <c r="D856" s="22"/>
      <c r="E856" s="23" t="str">
        <f>IF($D856="","",IFERROR(VLOOKUP($D856,'ACAH Capital Tracker'!$A:$H,8,FALSE()),""))</f>
        <v/>
      </c>
      <c r="F856" s="24"/>
      <c r="G856" s="25" t="str">
        <f>IF($D856="","",IFERROR(VLOOKUP($D856,'ACAH Capital Tracker'!$A:$D,4,FALSE()),""))</f>
        <v/>
      </c>
      <c r="H856" s="22"/>
    </row>
    <row r="857" spans="1:8">
      <c r="A857" s="21"/>
      <c r="B857" s="22"/>
      <c r="C857" s="22"/>
      <c r="D857" s="22"/>
      <c r="E857" s="23" t="str">
        <f>IF($D857="","",IFERROR(VLOOKUP($D857,'ACAH Capital Tracker'!$A:$H,8,FALSE()),""))</f>
        <v/>
      </c>
      <c r="F857" s="24"/>
      <c r="G857" s="25" t="str">
        <f>IF($D857="","",IFERROR(VLOOKUP($D857,'ACAH Capital Tracker'!$A:$D,4,FALSE()),""))</f>
        <v/>
      </c>
      <c r="H857" s="22"/>
    </row>
    <row r="858" spans="1:8">
      <c r="A858" s="21"/>
      <c r="B858" s="22"/>
      <c r="C858" s="22"/>
      <c r="D858" s="22"/>
      <c r="E858" s="23" t="str">
        <f>IF($D858="","",IFERROR(VLOOKUP($D858,'ACAH Capital Tracker'!$A:$H,8,FALSE()),""))</f>
        <v/>
      </c>
      <c r="F858" s="24"/>
      <c r="G858" s="25" t="str">
        <f>IF($D858="","",IFERROR(VLOOKUP($D858,'ACAH Capital Tracker'!$A:$D,4,FALSE()),""))</f>
        <v/>
      </c>
      <c r="H858" s="22"/>
    </row>
    <row r="859" spans="1:8">
      <c r="A859" s="21"/>
      <c r="B859" s="22"/>
      <c r="C859" s="22"/>
      <c r="D859" s="22"/>
      <c r="E859" s="23" t="str">
        <f>IF($D859="","",IFERROR(VLOOKUP($D859,'ACAH Capital Tracker'!$A:$H,8,FALSE()),""))</f>
        <v/>
      </c>
      <c r="F859" s="24"/>
      <c r="G859" s="25" t="str">
        <f>IF($D859="","",IFERROR(VLOOKUP($D859,'ACAH Capital Tracker'!$A:$D,4,FALSE()),""))</f>
        <v/>
      </c>
      <c r="H859" s="22"/>
    </row>
    <row r="860" spans="1:8">
      <c r="A860" s="21"/>
      <c r="B860" s="22"/>
      <c r="C860" s="22"/>
      <c r="D860" s="22"/>
      <c r="E860" s="23" t="str">
        <f>IF($D860="","",IFERROR(VLOOKUP($D860,'ACAH Capital Tracker'!$A:$H,8,FALSE()),""))</f>
        <v/>
      </c>
      <c r="F860" s="24"/>
      <c r="G860" s="25" t="str">
        <f>IF($D860="","",IFERROR(VLOOKUP($D860,'ACAH Capital Tracker'!$A:$D,4,FALSE()),""))</f>
        <v/>
      </c>
      <c r="H860" s="22"/>
    </row>
    <row r="861" spans="1:8">
      <c r="A861" s="21"/>
      <c r="B861" s="22"/>
      <c r="C861" s="22"/>
      <c r="D861" s="22"/>
      <c r="E861" s="23" t="str">
        <f>IF($D861="","",IFERROR(VLOOKUP($D861,'ACAH Capital Tracker'!$A:$H,8,FALSE()),""))</f>
        <v/>
      </c>
      <c r="F861" s="24"/>
      <c r="G861" s="25" t="str">
        <f>IF($D861="","",IFERROR(VLOOKUP($D861,'ACAH Capital Tracker'!$A:$D,4,FALSE()),""))</f>
        <v/>
      </c>
      <c r="H861" s="22"/>
    </row>
    <row r="862" spans="1:8">
      <c r="A862" s="21"/>
      <c r="B862" s="22"/>
      <c r="C862" s="22"/>
      <c r="D862" s="22"/>
      <c r="E862" s="23" t="str">
        <f>IF($D862="","",IFERROR(VLOOKUP($D862,'ACAH Capital Tracker'!$A:$H,8,FALSE()),""))</f>
        <v/>
      </c>
      <c r="F862" s="24"/>
      <c r="G862" s="25" t="str">
        <f>IF($D862="","",IFERROR(VLOOKUP($D862,'ACAH Capital Tracker'!$A:$D,4,FALSE()),""))</f>
        <v/>
      </c>
      <c r="H862" s="22"/>
    </row>
    <row r="863" spans="1:8">
      <c r="A863" s="21"/>
      <c r="B863" s="22"/>
      <c r="C863" s="22"/>
      <c r="D863" s="22"/>
      <c r="E863" s="23" t="str">
        <f>IF($D863="","",IFERROR(VLOOKUP($D863,'ACAH Capital Tracker'!$A:$H,8,FALSE()),""))</f>
        <v/>
      </c>
      <c r="F863" s="24"/>
      <c r="G863" s="25" t="str">
        <f>IF($D863="","",IFERROR(VLOOKUP($D863,'ACAH Capital Tracker'!$A:$D,4,FALSE()),""))</f>
        <v/>
      </c>
      <c r="H863" s="22"/>
    </row>
    <row r="864" spans="1:8">
      <c r="A864" s="21"/>
      <c r="B864" s="22"/>
      <c r="C864" s="22"/>
      <c r="D864" s="22"/>
      <c r="E864" s="23" t="str">
        <f>IF($D864="","",IFERROR(VLOOKUP($D864,'ACAH Capital Tracker'!$A:$H,8,FALSE()),""))</f>
        <v/>
      </c>
      <c r="F864" s="24"/>
      <c r="G864" s="25" t="str">
        <f>IF($D864="","",IFERROR(VLOOKUP($D864,'ACAH Capital Tracker'!$A:$D,4,FALSE()),""))</f>
        <v/>
      </c>
      <c r="H864" s="22"/>
    </row>
    <row r="865" spans="1:8">
      <c r="A865" s="21"/>
      <c r="B865" s="22"/>
      <c r="C865" s="22"/>
      <c r="D865" s="22"/>
      <c r="E865" s="23" t="str">
        <f>IF($D865="","",IFERROR(VLOOKUP($D865,'ACAH Capital Tracker'!$A:$H,8,FALSE()),""))</f>
        <v/>
      </c>
      <c r="F865" s="24"/>
      <c r="G865" s="25" t="str">
        <f>IF($D865="","",IFERROR(VLOOKUP($D865,'ACAH Capital Tracker'!$A:$D,4,FALSE()),""))</f>
        <v/>
      </c>
      <c r="H865" s="22"/>
    </row>
    <row r="866" spans="1:8">
      <c r="A866" s="21"/>
      <c r="B866" s="22"/>
      <c r="C866" s="22"/>
      <c r="D866" s="22"/>
      <c r="E866" s="23" t="str">
        <f>IF($D866="","",IFERROR(VLOOKUP($D866,'ACAH Capital Tracker'!$A:$H,8,FALSE()),""))</f>
        <v/>
      </c>
      <c r="F866" s="24"/>
      <c r="G866" s="25" t="str">
        <f>IF($D866="","",IFERROR(VLOOKUP($D866,'ACAH Capital Tracker'!$A:$D,4,FALSE()),""))</f>
        <v/>
      </c>
      <c r="H866" s="22"/>
    </row>
    <row r="867" spans="1:8">
      <c r="A867" s="21"/>
      <c r="B867" s="22"/>
      <c r="C867" s="22"/>
      <c r="D867" s="22"/>
      <c r="E867" s="23" t="str">
        <f>IF($D867="","",IFERROR(VLOOKUP($D867,'ACAH Capital Tracker'!$A:$H,8,FALSE()),""))</f>
        <v/>
      </c>
      <c r="F867" s="24"/>
      <c r="G867" s="25" t="str">
        <f>IF($D867="","",IFERROR(VLOOKUP($D867,'ACAH Capital Tracker'!$A:$D,4,FALSE()),""))</f>
        <v/>
      </c>
      <c r="H867" s="22"/>
    </row>
    <row r="868" spans="1:8">
      <c r="A868" s="21"/>
      <c r="B868" s="22"/>
      <c r="C868" s="22"/>
      <c r="D868" s="22"/>
      <c r="E868" s="23" t="str">
        <f>IF($D868="","",IFERROR(VLOOKUP($D868,'ACAH Capital Tracker'!$A:$H,8,FALSE()),""))</f>
        <v/>
      </c>
      <c r="F868" s="24"/>
      <c r="G868" s="25" t="str">
        <f>IF($D868="","",IFERROR(VLOOKUP($D868,'ACAH Capital Tracker'!$A:$D,4,FALSE()),""))</f>
        <v/>
      </c>
      <c r="H868" s="22"/>
    </row>
    <row r="869" spans="1:8">
      <c r="A869" s="21"/>
      <c r="B869" s="22"/>
      <c r="C869" s="22"/>
      <c r="D869" s="22"/>
      <c r="E869" s="23" t="str">
        <f>IF($D869="","",IFERROR(VLOOKUP($D869,'ACAH Capital Tracker'!$A:$H,8,FALSE()),""))</f>
        <v/>
      </c>
      <c r="F869" s="24"/>
      <c r="G869" s="25" t="str">
        <f>IF($D869="","",IFERROR(VLOOKUP($D869,'ACAH Capital Tracker'!$A:$D,4,FALSE()),""))</f>
        <v/>
      </c>
      <c r="H869" s="22"/>
    </row>
    <row r="870" spans="1:8">
      <c r="A870" s="21"/>
      <c r="B870" s="22"/>
      <c r="C870" s="22"/>
      <c r="D870" s="22"/>
      <c r="E870" s="23" t="str">
        <f>IF($D870="","",IFERROR(VLOOKUP($D870,'ACAH Capital Tracker'!$A:$H,8,FALSE()),""))</f>
        <v/>
      </c>
      <c r="F870" s="24"/>
      <c r="G870" s="25" t="str">
        <f>IF($D870="","",IFERROR(VLOOKUP($D870,'ACAH Capital Tracker'!$A:$D,4,FALSE()),""))</f>
        <v/>
      </c>
      <c r="H870" s="22"/>
    </row>
    <row r="871" spans="1:8">
      <c r="A871" s="21"/>
      <c r="B871" s="22"/>
      <c r="C871" s="22"/>
      <c r="D871" s="22"/>
      <c r="E871" s="23" t="str">
        <f>IF($D871="","",IFERROR(VLOOKUP($D871,'ACAH Capital Tracker'!$A:$H,8,FALSE()),""))</f>
        <v/>
      </c>
      <c r="F871" s="24"/>
      <c r="G871" s="25" t="str">
        <f>IF($D871="","",IFERROR(VLOOKUP($D871,'ACAH Capital Tracker'!$A:$D,4,FALSE()),""))</f>
        <v/>
      </c>
      <c r="H871" s="22"/>
    </row>
    <row r="872" spans="1:8">
      <c r="A872" s="21"/>
      <c r="B872" s="22"/>
      <c r="C872" s="22"/>
      <c r="D872" s="22"/>
      <c r="E872" s="23" t="str">
        <f>IF($D872="","",IFERROR(VLOOKUP($D872,'ACAH Capital Tracker'!$A:$H,8,FALSE()),""))</f>
        <v/>
      </c>
      <c r="F872" s="24"/>
      <c r="G872" s="25" t="str">
        <f>IF($D872="","",IFERROR(VLOOKUP($D872,'ACAH Capital Tracker'!$A:$D,4,FALSE()),""))</f>
        <v/>
      </c>
      <c r="H872" s="22"/>
    </row>
    <row r="873" spans="1:8">
      <c r="A873" s="21"/>
      <c r="B873" s="22"/>
      <c r="C873" s="22"/>
      <c r="D873" s="22"/>
      <c r="E873" s="23" t="str">
        <f>IF($D873="","",IFERROR(VLOOKUP($D873,'ACAH Capital Tracker'!$A:$H,8,FALSE()),""))</f>
        <v/>
      </c>
      <c r="F873" s="24"/>
      <c r="G873" s="25" t="str">
        <f>IF($D873="","",IFERROR(VLOOKUP($D873,'ACAH Capital Tracker'!$A:$D,4,FALSE()),""))</f>
        <v/>
      </c>
      <c r="H873" s="22"/>
    </row>
    <row r="874" spans="1:8">
      <c r="A874" s="21"/>
      <c r="B874" s="22"/>
      <c r="C874" s="22"/>
      <c r="D874" s="22"/>
      <c r="E874" s="23" t="str">
        <f>IF($D874="","",IFERROR(VLOOKUP($D874,'ACAH Capital Tracker'!$A:$H,8,FALSE()),""))</f>
        <v/>
      </c>
      <c r="F874" s="24"/>
      <c r="G874" s="25" t="str">
        <f>IF($D874="","",IFERROR(VLOOKUP($D874,'ACAH Capital Tracker'!$A:$D,4,FALSE()),""))</f>
        <v/>
      </c>
      <c r="H874" s="22"/>
    </row>
    <row r="875" spans="1:8">
      <c r="A875" s="21"/>
      <c r="B875" s="22"/>
      <c r="C875" s="22"/>
      <c r="D875" s="22"/>
      <c r="E875" s="23" t="str">
        <f>IF($D875="","",IFERROR(VLOOKUP($D875,'ACAH Capital Tracker'!$A:$H,8,FALSE()),""))</f>
        <v/>
      </c>
      <c r="F875" s="24"/>
      <c r="G875" s="25" t="str">
        <f>IF($D875="","",IFERROR(VLOOKUP($D875,'ACAH Capital Tracker'!$A:$D,4,FALSE()),""))</f>
        <v/>
      </c>
      <c r="H875" s="22"/>
    </row>
    <row r="876" spans="1:8">
      <c r="A876" s="21"/>
      <c r="B876" s="22"/>
      <c r="C876" s="22"/>
      <c r="D876" s="22"/>
      <c r="E876" s="23" t="str">
        <f>IF($D876="","",IFERROR(VLOOKUP($D876,'ACAH Capital Tracker'!$A:$H,8,FALSE()),""))</f>
        <v/>
      </c>
      <c r="F876" s="24"/>
      <c r="G876" s="25" t="str">
        <f>IF($D876="","",IFERROR(VLOOKUP($D876,'ACAH Capital Tracker'!$A:$D,4,FALSE()),""))</f>
        <v/>
      </c>
      <c r="H876" s="22"/>
    </row>
    <row r="877" spans="1:8">
      <c r="A877" s="21"/>
      <c r="B877" s="22"/>
      <c r="C877" s="22"/>
      <c r="D877" s="22"/>
      <c r="E877" s="23" t="str">
        <f>IF($D877="","",IFERROR(VLOOKUP($D877,'ACAH Capital Tracker'!$A:$H,8,FALSE()),""))</f>
        <v/>
      </c>
      <c r="F877" s="24"/>
      <c r="G877" s="25" t="str">
        <f>IF($D877="","",IFERROR(VLOOKUP($D877,'ACAH Capital Tracker'!$A:$D,4,FALSE()),""))</f>
        <v/>
      </c>
      <c r="H877" s="22"/>
    </row>
    <row r="878" spans="1:8">
      <c r="A878" s="21"/>
      <c r="B878" s="22"/>
      <c r="C878" s="22"/>
      <c r="D878" s="22"/>
      <c r="E878" s="23" t="str">
        <f>IF($D878="","",IFERROR(VLOOKUP($D878,'ACAH Capital Tracker'!$A:$H,8,FALSE()),""))</f>
        <v/>
      </c>
      <c r="F878" s="24"/>
      <c r="G878" s="25" t="str">
        <f>IF($D878="","",IFERROR(VLOOKUP($D878,'ACAH Capital Tracker'!$A:$D,4,FALSE()),""))</f>
        <v/>
      </c>
      <c r="H878" s="22"/>
    </row>
    <row r="879" spans="1:8">
      <c r="A879" s="21"/>
      <c r="B879" s="22"/>
      <c r="C879" s="22"/>
      <c r="D879" s="22"/>
      <c r="E879" s="23" t="str">
        <f>IF($D879="","",IFERROR(VLOOKUP($D879,'ACAH Capital Tracker'!$A:$H,8,FALSE()),""))</f>
        <v/>
      </c>
      <c r="F879" s="24"/>
      <c r="G879" s="25" t="str">
        <f>IF($D879="","",IFERROR(VLOOKUP($D879,'ACAH Capital Tracker'!$A:$D,4,FALSE()),""))</f>
        <v/>
      </c>
      <c r="H879" s="22"/>
    </row>
    <row r="880" spans="1:8">
      <c r="A880" s="21"/>
      <c r="B880" s="22"/>
      <c r="C880" s="22"/>
      <c r="D880" s="22"/>
      <c r="E880" s="23" t="str">
        <f>IF($D880="","",IFERROR(VLOOKUP($D880,'ACAH Capital Tracker'!$A:$H,8,FALSE()),""))</f>
        <v/>
      </c>
      <c r="F880" s="24"/>
      <c r="G880" s="25" t="str">
        <f>IF($D880="","",IFERROR(VLOOKUP($D880,'ACAH Capital Tracker'!$A:$D,4,FALSE()),""))</f>
        <v/>
      </c>
      <c r="H880" s="22"/>
    </row>
    <row r="881" spans="1:8">
      <c r="A881" s="21"/>
      <c r="B881" s="22"/>
      <c r="C881" s="22"/>
      <c r="D881" s="22"/>
      <c r="E881" s="23" t="str">
        <f>IF($D881="","",IFERROR(VLOOKUP($D881,'ACAH Capital Tracker'!$A:$H,8,FALSE()),""))</f>
        <v/>
      </c>
      <c r="F881" s="24"/>
      <c r="G881" s="25" t="str">
        <f>IF($D881="","",IFERROR(VLOOKUP($D881,'ACAH Capital Tracker'!$A:$D,4,FALSE()),""))</f>
        <v/>
      </c>
      <c r="H881" s="22"/>
    </row>
    <row r="882" spans="1:8">
      <c r="A882" s="21"/>
      <c r="B882" s="22"/>
      <c r="C882" s="22"/>
      <c r="D882" s="22"/>
      <c r="E882" s="23" t="str">
        <f>IF($D882="","",IFERROR(VLOOKUP($D882,'ACAH Capital Tracker'!$A:$H,8,FALSE()),""))</f>
        <v/>
      </c>
      <c r="F882" s="24"/>
      <c r="G882" s="25" t="str">
        <f>IF($D882="","",IFERROR(VLOOKUP($D882,'ACAH Capital Tracker'!$A:$D,4,FALSE()),""))</f>
        <v/>
      </c>
      <c r="H882" s="22"/>
    </row>
    <row r="883" spans="1:8">
      <c r="A883" s="21"/>
      <c r="B883" s="22"/>
      <c r="C883" s="22"/>
      <c r="D883" s="22"/>
      <c r="E883" s="23" t="str">
        <f>IF($D883="","",IFERROR(VLOOKUP($D883,'ACAH Capital Tracker'!$A:$H,8,FALSE()),""))</f>
        <v/>
      </c>
      <c r="F883" s="24"/>
      <c r="G883" s="25" t="str">
        <f>IF($D883="","",IFERROR(VLOOKUP($D883,'ACAH Capital Tracker'!$A:$D,4,FALSE()),""))</f>
        <v/>
      </c>
      <c r="H883" s="22"/>
    </row>
    <row r="884" spans="1:8">
      <c r="A884" s="21"/>
      <c r="B884" s="22"/>
      <c r="C884" s="22"/>
      <c r="D884" s="22"/>
      <c r="E884" s="23" t="str">
        <f>IF($D884="","",IFERROR(VLOOKUP($D884,'ACAH Capital Tracker'!$A:$H,8,FALSE()),""))</f>
        <v/>
      </c>
      <c r="F884" s="24"/>
      <c r="G884" s="25" t="str">
        <f>IF($D884="","",IFERROR(VLOOKUP($D884,'ACAH Capital Tracker'!$A:$D,4,FALSE()),""))</f>
        <v/>
      </c>
      <c r="H884" s="22"/>
    </row>
    <row r="885" spans="1:8">
      <c r="A885" s="21"/>
      <c r="B885" s="22"/>
      <c r="C885" s="22"/>
      <c r="D885" s="22"/>
      <c r="E885" s="23" t="str">
        <f>IF($D885="","",IFERROR(VLOOKUP($D885,'ACAH Capital Tracker'!$A:$H,8,FALSE()),""))</f>
        <v/>
      </c>
      <c r="F885" s="24"/>
      <c r="G885" s="25" t="str">
        <f>IF($D885="","",IFERROR(VLOOKUP($D885,'ACAH Capital Tracker'!$A:$D,4,FALSE()),""))</f>
        <v/>
      </c>
      <c r="H885" s="22"/>
    </row>
    <row r="886" spans="1:8">
      <c r="A886" s="21"/>
      <c r="B886" s="22"/>
      <c r="C886" s="22"/>
      <c r="D886" s="22"/>
      <c r="E886" s="23" t="str">
        <f>IF($D886="","",IFERROR(VLOOKUP($D886,'ACAH Capital Tracker'!$A:$H,8,FALSE()),""))</f>
        <v/>
      </c>
      <c r="F886" s="24"/>
      <c r="G886" s="25" t="str">
        <f>IF($D886="","",IFERROR(VLOOKUP($D886,'ACAH Capital Tracker'!$A:$D,4,FALSE()),""))</f>
        <v/>
      </c>
      <c r="H886" s="22"/>
    </row>
    <row r="887" spans="1:8">
      <c r="A887" s="21"/>
      <c r="B887" s="22"/>
      <c r="C887" s="22"/>
      <c r="D887" s="22"/>
      <c r="E887" s="23" t="str">
        <f>IF($D887="","",IFERROR(VLOOKUP($D887,'ACAH Capital Tracker'!$A:$H,8,FALSE()),""))</f>
        <v/>
      </c>
      <c r="F887" s="24"/>
      <c r="G887" s="25" t="str">
        <f>IF($D887="","",IFERROR(VLOOKUP($D887,'ACAH Capital Tracker'!$A:$D,4,FALSE()),""))</f>
        <v/>
      </c>
      <c r="H887" s="22"/>
    </row>
    <row r="888" spans="1:8">
      <c r="A888" s="21"/>
      <c r="B888" s="22"/>
      <c r="C888" s="22"/>
      <c r="D888" s="22"/>
      <c r="E888" s="23" t="str">
        <f>IF($D888="","",IFERROR(VLOOKUP($D888,'ACAH Capital Tracker'!$A:$H,8,FALSE()),""))</f>
        <v/>
      </c>
      <c r="F888" s="24"/>
      <c r="G888" s="25" t="str">
        <f>IF($D888="","",IFERROR(VLOOKUP($D888,'ACAH Capital Tracker'!$A:$D,4,FALSE()),""))</f>
        <v/>
      </c>
      <c r="H888" s="22"/>
    </row>
    <row r="889" spans="1:8">
      <c r="A889" s="21"/>
      <c r="B889" s="22"/>
      <c r="C889" s="22"/>
      <c r="D889" s="22"/>
      <c r="E889" s="23" t="str">
        <f>IF($D889="","",IFERROR(VLOOKUP($D889,'ACAH Capital Tracker'!$A:$H,8,FALSE()),""))</f>
        <v/>
      </c>
      <c r="F889" s="24"/>
      <c r="G889" s="25" t="str">
        <f>IF($D889="","",IFERROR(VLOOKUP($D889,'ACAH Capital Tracker'!$A:$D,4,FALSE()),""))</f>
        <v/>
      </c>
      <c r="H889" s="22"/>
    </row>
    <row r="890" spans="1:8">
      <c r="A890" s="21"/>
      <c r="B890" s="22"/>
      <c r="C890" s="22"/>
      <c r="D890" s="22"/>
      <c r="E890" s="23" t="str">
        <f>IF($D890="","",IFERROR(VLOOKUP($D890,'ACAH Capital Tracker'!$A:$H,8,FALSE()),""))</f>
        <v/>
      </c>
      <c r="F890" s="24"/>
      <c r="G890" s="25" t="str">
        <f>IF($D890="","",IFERROR(VLOOKUP($D890,'ACAH Capital Tracker'!$A:$D,4,FALSE()),""))</f>
        <v/>
      </c>
      <c r="H890" s="22"/>
    </row>
    <row r="891" spans="1:8">
      <c r="A891" s="21"/>
      <c r="B891" s="22"/>
      <c r="C891" s="22"/>
      <c r="D891" s="22"/>
      <c r="E891" s="23" t="str">
        <f>IF($D891="","",IFERROR(VLOOKUP($D891,'ACAH Capital Tracker'!$A:$H,8,FALSE()),""))</f>
        <v/>
      </c>
      <c r="F891" s="24"/>
      <c r="G891" s="25" t="str">
        <f>IF($D891="","",IFERROR(VLOOKUP($D891,'ACAH Capital Tracker'!$A:$D,4,FALSE()),""))</f>
        <v/>
      </c>
      <c r="H891" s="22"/>
    </row>
    <row r="892" spans="1:8">
      <c r="A892" s="21"/>
      <c r="B892" s="22"/>
      <c r="C892" s="22"/>
      <c r="D892" s="22"/>
      <c r="E892" s="23" t="str">
        <f>IF($D892="","",IFERROR(VLOOKUP($D892,'ACAH Capital Tracker'!$A:$H,8,FALSE()),""))</f>
        <v/>
      </c>
      <c r="F892" s="24"/>
      <c r="G892" s="25" t="str">
        <f>IF($D892="","",IFERROR(VLOOKUP($D892,'ACAH Capital Tracker'!$A:$D,4,FALSE()),""))</f>
        <v/>
      </c>
      <c r="H892" s="22"/>
    </row>
    <row r="893" spans="1:8">
      <c r="A893" s="21"/>
      <c r="B893" s="22"/>
      <c r="C893" s="22"/>
      <c r="D893" s="22"/>
      <c r="E893" s="23" t="str">
        <f>IF($D893="","",IFERROR(VLOOKUP($D893,'ACAH Capital Tracker'!$A:$H,8,FALSE()),""))</f>
        <v/>
      </c>
      <c r="F893" s="24"/>
      <c r="G893" s="25" t="str">
        <f>IF($D893="","",IFERROR(VLOOKUP($D893,'ACAH Capital Tracker'!$A:$D,4,FALSE()),""))</f>
        <v/>
      </c>
      <c r="H893" s="22"/>
    </row>
    <row r="894" spans="1:8">
      <c r="A894" s="21"/>
      <c r="B894" s="22"/>
      <c r="C894" s="22"/>
      <c r="D894" s="22"/>
      <c r="E894" s="23" t="str">
        <f>IF($D894="","",IFERROR(VLOOKUP($D894,'ACAH Capital Tracker'!$A:$H,8,FALSE()),""))</f>
        <v/>
      </c>
      <c r="F894" s="24"/>
      <c r="G894" s="25" t="str">
        <f>IF($D894="","",IFERROR(VLOOKUP($D894,'ACAH Capital Tracker'!$A:$D,4,FALSE()),""))</f>
        <v/>
      </c>
      <c r="H894" s="22"/>
    </row>
    <row r="895" spans="1:8">
      <c r="A895" s="21"/>
      <c r="B895" s="22"/>
      <c r="C895" s="22"/>
      <c r="D895" s="22"/>
      <c r="E895" s="23" t="str">
        <f>IF($D895="","",IFERROR(VLOOKUP($D895,'ACAH Capital Tracker'!$A:$H,8,FALSE()),""))</f>
        <v/>
      </c>
      <c r="F895" s="24"/>
      <c r="G895" s="25" t="str">
        <f>IF($D895="","",IFERROR(VLOOKUP($D895,'ACAH Capital Tracker'!$A:$D,4,FALSE()),""))</f>
        <v/>
      </c>
      <c r="H895" s="22"/>
    </row>
    <row r="896" spans="1:8">
      <c r="A896" s="21"/>
      <c r="B896" s="22"/>
      <c r="C896" s="22"/>
      <c r="D896" s="22"/>
      <c r="E896" s="23" t="str">
        <f>IF($D896="","",IFERROR(VLOOKUP($D896,'ACAH Capital Tracker'!$A:$H,8,FALSE()),""))</f>
        <v/>
      </c>
      <c r="F896" s="24"/>
      <c r="G896" s="25" t="str">
        <f>IF($D896="","",IFERROR(VLOOKUP($D896,'ACAH Capital Tracker'!$A:$D,4,FALSE()),""))</f>
        <v/>
      </c>
      <c r="H896" s="22"/>
    </row>
    <row r="897" spans="1:8">
      <c r="A897" s="21"/>
      <c r="B897" s="22"/>
      <c r="C897" s="22"/>
      <c r="D897" s="22"/>
      <c r="E897" s="23" t="str">
        <f>IF($D897="","",IFERROR(VLOOKUP($D897,'ACAH Capital Tracker'!$A:$H,8,FALSE()),""))</f>
        <v/>
      </c>
      <c r="F897" s="24"/>
      <c r="G897" s="25" t="str">
        <f>IF($D897="","",IFERROR(VLOOKUP($D897,'ACAH Capital Tracker'!$A:$D,4,FALSE()),""))</f>
        <v/>
      </c>
      <c r="H897" s="22"/>
    </row>
    <row r="898" spans="1:8">
      <c r="A898" s="21"/>
      <c r="B898" s="22"/>
      <c r="C898" s="22"/>
      <c r="D898" s="22"/>
      <c r="E898" s="23" t="str">
        <f>IF($D898="","",IFERROR(VLOOKUP($D898,'ACAH Capital Tracker'!$A:$H,8,FALSE()),""))</f>
        <v/>
      </c>
      <c r="F898" s="24"/>
      <c r="G898" s="25" t="str">
        <f>IF($D898="","",IFERROR(VLOOKUP($D898,'ACAH Capital Tracker'!$A:$D,4,FALSE()),""))</f>
        <v/>
      </c>
      <c r="H898" s="22"/>
    </row>
    <row r="899" spans="1:8">
      <c r="A899" s="21"/>
      <c r="B899" s="22"/>
      <c r="C899" s="22"/>
      <c r="D899" s="22"/>
      <c r="E899" s="23" t="str">
        <f>IF($D899="","",IFERROR(VLOOKUP($D899,'ACAH Capital Tracker'!$A:$H,8,FALSE()),""))</f>
        <v/>
      </c>
      <c r="F899" s="24"/>
      <c r="G899" s="25" t="str">
        <f>IF($D899="","",IFERROR(VLOOKUP($D899,'ACAH Capital Tracker'!$A:$D,4,FALSE()),""))</f>
        <v/>
      </c>
      <c r="H899" s="22"/>
    </row>
    <row r="900" spans="1:8">
      <c r="A900" s="21"/>
      <c r="B900" s="22"/>
      <c r="C900" s="22"/>
      <c r="D900" s="22"/>
      <c r="E900" s="23" t="str">
        <f>IF($D900="","",IFERROR(VLOOKUP($D900,'ACAH Capital Tracker'!$A:$H,8,FALSE()),""))</f>
        <v/>
      </c>
      <c r="F900" s="24"/>
      <c r="G900" s="25" t="str">
        <f>IF($D900="","",IFERROR(VLOOKUP($D900,'ACAH Capital Tracker'!$A:$D,4,FALSE()),""))</f>
        <v/>
      </c>
      <c r="H900" s="22"/>
    </row>
    <row r="901" spans="1:8">
      <c r="A901" s="21"/>
      <c r="B901" s="22"/>
      <c r="C901" s="22"/>
      <c r="D901" s="22"/>
      <c r="E901" s="23" t="str">
        <f>IF($D901="","",IFERROR(VLOOKUP($D901,'ACAH Capital Tracker'!$A:$H,8,FALSE()),""))</f>
        <v/>
      </c>
      <c r="F901" s="24"/>
      <c r="G901" s="25" t="str">
        <f>IF($D901="","",IFERROR(VLOOKUP($D901,'ACAH Capital Tracker'!$A:$D,4,FALSE()),""))</f>
        <v/>
      </c>
      <c r="H901" s="22"/>
    </row>
    <row r="902" spans="1:8">
      <c r="A902" s="21"/>
      <c r="B902" s="22"/>
      <c r="C902" s="22"/>
      <c r="D902" s="22"/>
      <c r="E902" s="23" t="str">
        <f>IF($D902="","",IFERROR(VLOOKUP($D902,'ACAH Capital Tracker'!$A:$H,8,FALSE()),""))</f>
        <v/>
      </c>
      <c r="F902" s="24"/>
      <c r="G902" s="25" t="str">
        <f>IF($D902="","",IFERROR(VLOOKUP($D902,'ACAH Capital Tracker'!$A:$D,4,FALSE()),""))</f>
        <v/>
      </c>
      <c r="H902" s="22"/>
    </row>
    <row r="903" spans="1:8">
      <c r="A903" s="21"/>
      <c r="B903" s="22"/>
      <c r="C903" s="22"/>
      <c r="D903" s="22"/>
      <c r="E903" s="23" t="str">
        <f>IF($D903="","",IFERROR(VLOOKUP($D903,'ACAH Capital Tracker'!$A:$H,8,FALSE()),""))</f>
        <v/>
      </c>
      <c r="F903" s="24"/>
      <c r="G903" s="25" t="str">
        <f>IF($D903="","",IFERROR(VLOOKUP($D903,'ACAH Capital Tracker'!$A:$D,4,FALSE()),""))</f>
        <v/>
      </c>
      <c r="H903" s="22"/>
    </row>
    <row r="904" spans="1:8">
      <c r="A904" s="21"/>
      <c r="B904" s="22"/>
      <c r="C904" s="22"/>
      <c r="D904" s="22"/>
      <c r="E904" s="23" t="str">
        <f>IF($D904="","",IFERROR(VLOOKUP($D904,'ACAH Capital Tracker'!$A:$H,8,FALSE()),""))</f>
        <v/>
      </c>
      <c r="F904" s="24"/>
      <c r="G904" s="25" t="str">
        <f>IF($D904="","",IFERROR(VLOOKUP($D904,'ACAH Capital Tracker'!$A:$D,4,FALSE()),""))</f>
        <v/>
      </c>
      <c r="H904" s="22"/>
    </row>
    <row r="905" spans="1:8">
      <c r="A905" s="21"/>
      <c r="B905" s="22"/>
      <c r="C905" s="22"/>
      <c r="D905" s="22"/>
      <c r="E905" s="23" t="str">
        <f>IF($D905="","",IFERROR(VLOOKUP($D905,'ACAH Capital Tracker'!$A:$H,8,FALSE()),""))</f>
        <v/>
      </c>
      <c r="F905" s="24"/>
      <c r="G905" s="25" t="str">
        <f>IF($D905="","",IFERROR(VLOOKUP($D905,'ACAH Capital Tracker'!$A:$D,4,FALSE()),""))</f>
        <v/>
      </c>
      <c r="H905" s="22"/>
    </row>
    <row r="906" spans="1:8">
      <c r="A906" s="21"/>
      <c r="B906" s="22"/>
      <c r="C906" s="22"/>
      <c r="D906" s="22"/>
      <c r="E906" s="23" t="str">
        <f>IF($D906="","",IFERROR(VLOOKUP($D906,'ACAH Capital Tracker'!$A:$H,8,FALSE()),""))</f>
        <v/>
      </c>
      <c r="F906" s="24"/>
      <c r="G906" s="25" t="str">
        <f>IF($D906="","",IFERROR(VLOOKUP($D906,'ACAH Capital Tracker'!$A:$D,4,FALSE()),""))</f>
        <v/>
      </c>
      <c r="H906" s="22"/>
    </row>
    <row r="907" spans="1:8">
      <c r="A907" s="21"/>
      <c r="B907" s="22"/>
      <c r="C907" s="22"/>
      <c r="D907" s="22"/>
      <c r="E907" s="23" t="str">
        <f>IF($D907="","",IFERROR(VLOOKUP($D907,'ACAH Capital Tracker'!$A:$H,8,FALSE()),""))</f>
        <v/>
      </c>
      <c r="F907" s="24"/>
      <c r="G907" s="25" t="str">
        <f>IF($D907="","",IFERROR(VLOOKUP($D907,'ACAH Capital Tracker'!$A:$D,4,FALSE()),""))</f>
        <v/>
      </c>
      <c r="H907" s="22"/>
    </row>
    <row r="908" spans="1:8">
      <c r="A908" s="21"/>
      <c r="B908" s="22"/>
      <c r="C908" s="22"/>
      <c r="D908" s="22"/>
      <c r="E908" s="23" t="str">
        <f>IF($D908="","",IFERROR(VLOOKUP($D908,'ACAH Capital Tracker'!$A:$H,8,FALSE()),""))</f>
        <v/>
      </c>
      <c r="F908" s="24"/>
      <c r="G908" s="25" t="str">
        <f>IF($D908="","",IFERROR(VLOOKUP($D908,'ACAH Capital Tracker'!$A:$D,4,FALSE()),""))</f>
        <v/>
      </c>
      <c r="H908" s="22"/>
    </row>
    <row r="909" spans="1:8">
      <c r="A909" s="21"/>
      <c r="B909" s="22"/>
      <c r="C909" s="22"/>
      <c r="D909" s="22"/>
      <c r="E909" s="23" t="str">
        <f>IF($D909="","",IFERROR(VLOOKUP($D909,'ACAH Capital Tracker'!$A:$H,8,FALSE()),""))</f>
        <v/>
      </c>
      <c r="F909" s="24"/>
      <c r="G909" s="25" t="str">
        <f>IF($D909="","",IFERROR(VLOOKUP($D909,'ACAH Capital Tracker'!$A:$D,4,FALSE()),""))</f>
        <v/>
      </c>
      <c r="H909" s="22"/>
    </row>
    <row r="910" spans="1:8">
      <c r="A910" s="21"/>
      <c r="B910" s="22"/>
      <c r="C910" s="22"/>
      <c r="D910" s="22"/>
      <c r="E910" s="23" t="str">
        <f>IF($D910="","",IFERROR(VLOOKUP($D910,'ACAH Capital Tracker'!$A:$H,8,FALSE()),""))</f>
        <v/>
      </c>
      <c r="F910" s="24"/>
      <c r="G910" s="25" t="str">
        <f>IF($D910="","",IFERROR(VLOOKUP($D910,'ACAH Capital Tracker'!$A:$D,4,FALSE()),""))</f>
        <v/>
      </c>
      <c r="H910" s="22"/>
    </row>
    <row r="911" spans="1:8">
      <c r="A911" s="21"/>
      <c r="B911" s="22"/>
      <c r="C911" s="22"/>
      <c r="D911" s="22"/>
      <c r="E911" s="23" t="str">
        <f>IF($D911="","",IFERROR(VLOOKUP($D911,'ACAH Capital Tracker'!$A:$H,8,FALSE()),""))</f>
        <v/>
      </c>
      <c r="F911" s="24"/>
      <c r="G911" s="25" t="str">
        <f>IF($D911="","",IFERROR(VLOOKUP($D911,'ACAH Capital Tracker'!$A:$D,4,FALSE()),""))</f>
        <v/>
      </c>
      <c r="H911" s="22"/>
    </row>
    <row r="912" spans="1:8">
      <c r="A912" s="21"/>
      <c r="B912" s="22"/>
      <c r="C912" s="22"/>
      <c r="D912" s="22"/>
      <c r="E912" s="23" t="str">
        <f>IF($D912="","",IFERROR(VLOOKUP($D912,'ACAH Capital Tracker'!$A:$H,8,FALSE()),""))</f>
        <v/>
      </c>
      <c r="F912" s="24"/>
      <c r="G912" s="25" t="str">
        <f>IF($D912="","",IFERROR(VLOOKUP($D912,'ACAH Capital Tracker'!$A:$D,4,FALSE()),""))</f>
        <v/>
      </c>
      <c r="H912" s="22"/>
    </row>
    <row r="913" spans="1:8">
      <c r="A913" s="21"/>
      <c r="B913" s="22"/>
      <c r="C913" s="22"/>
      <c r="D913" s="22"/>
      <c r="E913" s="23" t="str">
        <f>IF($D913="","",IFERROR(VLOOKUP($D913,'ACAH Capital Tracker'!$A:$H,8,FALSE()),""))</f>
        <v/>
      </c>
      <c r="F913" s="24"/>
      <c r="G913" s="25" t="str">
        <f>IF($D913="","",IFERROR(VLOOKUP($D913,'ACAH Capital Tracker'!$A:$D,4,FALSE()),""))</f>
        <v/>
      </c>
      <c r="H913" s="22"/>
    </row>
    <row r="914" spans="1:8">
      <c r="A914" s="21"/>
      <c r="B914" s="22"/>
      <c r="C914" s="22"/>
      <c r="D914" s="22"/>
      <c r="E914" s="23" t="str">
        <f>IF($D914="","",IFERROR(VLOOKUP($D914,'ACAH Capital Tracker'!$A:$H,8,FALSE()),""))</f>
        <v/>
      </c>
      <c r="F914" s="24"/>
      <c r="G914" s="25" t="str">
        <f>IF($D914="","",IFERROR(VLOOKUP($D914,'ACAH Capital Tracker'!$A:$D,4,FALSE()),""))</f>
        <v/>
      </c>
      <c r="H914" s="22"/>
    </row>
    <row r="915" spans="1:8">
      <c r="A915" s="21"/>
      <c r="B915" s="22"/>
      <c r="C915" s="22"/>
      <c r="D915" s="22"/>
      <c r="E915" s="23" t="str">
        <f>IF($D915="","",IFERROR(VLOOKUP($D915,'ACAH Capital Tracker'!$A:$H,8,FALSE()),""))</f>
        <v/>
      </c>
      <c r="F915" s="24"/>
      <c r="G915" s="25" t="str">
        <f>IF($D915="","",IFERROR(VLOOKUP($D915,'ACAH Capital Tracker'!$A:$D,4,FALSE()),""))</f>
        <v/>
      </c>
      <c r="H915" s="22"/>
    </row>
    <row r="916" spans="1:8">
      <c r="A916" s="21"/>
      <c r="B916" s="22"/>
      <c r="C916" s="22"/>
      <c r="D916" s="22"/>
      <c r="E916" s="23" t="str">
        <f>IF($D916="","",IFERROR(VLOOKUP($D916,'ACAH Capital Tracker'!$A:$H,8,FALSE()),""))</f>
        <v/>
      </c>
      <c r="F916" s="24"/>
      <c r="G916" s="25" t="str">
        <f>IF($D916="","",IFERROR(VLOOKUP($D916,'ACAH Capital Tracker'!$A:$D,4,FALSE()),""))</f>
        <v/>
      </c>
      <c r="H916" s="22"/>
    </row>
    <row r="917" spans="1:8">
      <c r="A917" s="21"/>
      <c r="B917" s="22"/>
      <c r="C917" s="22"/>
      <c r="D917" s="22"/>
      <c r="E917" s="23" t="str">
        <f>IF($D917="","",IFERROR(VLOOKUP($D917,'ACAH Capital Tracker'!$A:$H,8,FALSE()),""))</f>
        <v/>
      </c>
      <c r="F917" s="24"/>
      <c r="G917" s="25" t="str">
        <f>IF($D917="","",IFERROR(VLOOKUP($D917,'ACAH Capital Tracker'!$A:$D,4,FALSE()),""))</f>
        <v/>
      </c>
      <c r="H917" s="22"/>
    </row>
    <row r="918" spans="1:8">
      <c r="A918" s="21"/>
      <c r="B918" s="22"/>
      <c r="C918" s="22"/>
      <c r="D918" s="22"/>
      <c r="E918" s="23" t="str">
        <f>IF($D918="","",IFERROR(VLOOKUP($D918,'ACAH Capital Tracker'!$A:$H,8,FALSE()),""))</f>
        <v/>
      </c>
      <c r="F918" s="24"/>
      <c r="G918" s="25" t="str">
        <f>IF($D918="","",IFERROR(VLOOKUP($D918,'ACAH Capital Tracker'!$A:$D,4,FALSE()),""))</f>
        <v/>
      </c>
      <c r="H918" s="22"/>
    </row>
    <row r="919" spans="1:8">
      <c r="A919" s="21"/>
      <c r="B919" s="22"/>
      <c r="C919" s="22"/>
      <c r="D919" s="22"/>
      <c r="E919" s="23" t="str">
        <f>IF($D919="","",IFERROR(VLOOKUP($D919,'ACAH Capital Tracker'!$A:$H,8,FALSE()),""))</f>
        <v/>
      </c>
      <c r="F919" s="24"/>
      <c r="G919" s="25" t="str">
        <f>IF($D919="","",IFERROR(VLOOKUP($D919,'ACAH Capital Tracker'!$A:$D,4,FALSE()),""))</f>
        <v/>
      </c>
      <c r="H919" s="22"/>
    </row>
    <row r="920" spans="1:8">
      <c r="A920" s="21"/>
      <c r="B920" s="22"/>
      <c r="C920" s="22"/>
      <c r="D920" s="22"/>
      <c r="E920" s="23" t="str">
        <f>IF($D920="","",IFERROR(VLOOKUP($D920,'ACAH Capital Tracker'!$A:$H,8,FALSE()),""))</f>
        <v/>
      </c>
      <c r="F920" s="24"/>
      <c r="G920" s="25" t="str">
        <f>IF($D920="","",IFERROR(VLOOKUP($D920,'ACAH Capital Tracker'!$A:$D,4,FALSE()),""))</f>
        <v/>
      </c>
      <c r="H920" s="22"/>
    </row>
    <row r="921" spans="1:8">
      <c r="A921" s="21"/>
      <c r="B921" s="22"/>
      <c r="C921" s="22"/>
      <c r="D921" s="22"/>
      <c r="E921" s="23" t="str">
        <f>IF($D921="","",IFERROR(VLOOKUP($D921,'ACAH Capital Tracker'!$A:$H,8,FALSE()),""))</f>
        <v/>
      </c>
      <c r="F921" s="24"/>
      <c r="G921" s="25" t="str">
        <f>IF($D921="","",IFERROR(VLOOKUP($D921,'ACAH Capital Tracker'!$A:$D,4,FALSE()),""))</f>
        <v/>
      </c>
      <c r="H921" s="22"/>
    </row>
    <row r="922" spans="1:8">
      <c r="A922" s="21"/>
      <c r="B922" s="22"/>
      <c r="C922" s="22"/>
      <c r="D922" s="22"/>
      <c r="E922" s="23" t="str">
        <f>IF($D922="","",IFERROR(VLOOKUP($D922,'ACAH Capital Tracker'!$A:$H,8,FALSE()),""))</f>
        <v/>
      </c>
      <c r="F922" s="24"/>
      <c r="G922" s="25" t="str">
        <f>IF($D922="","",IFERROR(VLOOKUP($D922,'ACAH Capital Tracker'!$A:$D,4,FALSE()),""))</f>
        <v/>
      </c>
      <c r="H922" s="22"/>
    </row>
    <row r="923" spans="1:8">
      <c r="A923" s="21"/>
      <c r="B923" s="22"/>
      <c r="C923" s="22"/>
      <c r="D923" s="22"/>
      <c r="E923" s="23" t="str">
        <f>IF($D923="","",IFERROR(VLOOKUP($D923,'ACAH Capital Tracker'!$A:$H,8,FALSE()),""))</f>
        <v/>
      </c>
      <c r="F923" s="24"/>
      <c r="G923" s="25" t="str">
        <f>IF($D923="","",IFERROR(VLOOKUP($D923,'ACAH Capital Tracker'!$A:$D,4,FALSE()),""))</f>
        <v/>
      </c>
      <c r="H923" s="22"/>
    </row>
    <row r="924" spans="1:8">
      <c r="A924" s="21"/>
      <c r="B924" s="22"/>
      <c r="C924" s="22"/>
      <c r="D924" s="22"/>
      <c r="E924" s="23" t="str">
        <f>IF($D924="","",IFERROR(VLOOKUP($D924,'ACAH Capital Tracker'!$A:$H,8,FALSE()),""))</f>
        <v/>
      </c>
      <c r="F924" s="24"/>
      <c r="G924" s="25" t="str">
        <f>IF($D924="","",IFERROR(VLOOKUP($D924,'ACAH Capital Tracker'!$A:$D,4,FALSE()),""))</f>
        <v/>
      </c>
      <c r="H924" s="22"/>
    </row>
    <row r="925" spans="1:8">
      <c r="A925" s="21"/>
      <c r="B925" s="22"/>
      <c r="C925" s="22"/>
      <c r="D925" s="22"/>
      <c r="E925" s="23" t="str">
        <f>IF($D925="","",IFERROR(VLOOKUP($D925,'ACAH Capital Tracker'!$A:$H,8,FALSE()),""))</f>
        <v/>
      </c>
      <c r="F925" s="24"/>
      <c r="G925" s="25" t="str">
        <f>IF($D925="","",IFERROR(VLOOKUP($D925,'ACAH Capital Tracker'!$A:$D,4,FALSE()),""))</f>
        <v/>
      </c>
      <c r="H925" s="22"/>
    </row>
    <row r="926" spans="1:8">
      <c r="A926" s="21"/>
      <c r="B926" s="22"/>
      <c r="C926" s="22"/>
      <c r="D926" s="22"/>
      <c r="E926" s="23" t="str">
        <f>IF($D926="","",IFERROR(VLOOKUP($D926,'ACAH Capital Tracker'!$A:$H,8,FALSE()),""))</f>
        <v/>
      </c>
      <c r="F926" s="24"/>
      <c r="G926" s="25" t="str">
        <f>IF($D926="","",IFERROR(VLOOKUP($D926,'ACAH Capital Tracker'!$A:$D,4,FALSE()),""))</f>
        <v/>
      </c>
      <c r="H926" s="22"/>
    </row>
    <row r="927" spans="1:8">
      <c r="A927" s="21"/>
      <c r="B927" s="22"/>
      <c r="C927" s="22"/>
      <c r="D927" s="22"/>
      <c r="E927" s="23" t="str">
        <f>IF($D927="","",IFERROR(VLOOKUP($D927,'ACAH Capital Tracker'!$A:$H,8,FALSE()),""))</f>
        <v/>
      </c>
      <c r="F927" s="24"/>
      <c r="G927" s="25" t="str">
        <f>IF($D927="","",IFERROR(VLOOKUP($D927,'ACAH Capital Tracker'!$A:$D,4,FALSE()),""))</f>
        <v/>
      </c>
      <c r="H927" s="22"/>
    </row>
    <row r="928" spans="1:8">
      <c r="A928" s="21"/>
      <c r="B928" s="22"/>
      <c r="C928" s="22"/>
      <c r="D928" s="22"/>
      <c r="E928" s="23" t="str">
        <f>IF($D928="","",IFERROR(VLOOKUP($D928,'ACAH Capital Tracker'!$A:$H,8,FALSE()),""))</f>
        <v/>
      </c>
      <c r="F928" s="24"/>
      <c r="G928" s="25" t="str">
        <f>IF($D928="","",IFERROR(VLOOKUP($D928,'ACAH Capital Tracker'!$A:$D,4,FALSE()),""))</f>
        <v/>
      </c>
      <c r="H928" s="22"/>
    </row>
    <row r="929" spans="1:8">
      <c r="A929" s="21"/>
      <c r="B929" s="22"/>
      <c r="C929" s="22"/>
      <c r="D929" s="22"/>
      <c r="E929" s="23" t="str">
        <f>IF($D929="","",IFERROR(VLOOKUP($D929,'ACAH Capital Tracker'!$A:$H,8,FALSE()),""))</f>
        <v/>
      </c>
      <c r="F929" s="24"/>
      <c r="G929" s="25" t="str">
        <f>IF($D929="","",IFERROR(VLOOKUP($D929,'ACAH Capital Tracker'!$A:$D,4,FALSE()),""))</f>
        <v/>
      </c>
      <c r="H929" s="22"/>
    </row>
    <row r="930" spans="1:8">
      <c r="A930" s="21"/>
      <c r="B930" s="22"/>
      <c r="C930" s="22"/>
      <c r="D930" s="22"/>
      <c r="E930" s="23" t="str">
        <f>IF($D930="","",IFERROR(VLOOKUP($D930,'ACAH Capital Tracker'!$A:$H,8,FALSE()),""))</f>
        <v/>
      </c>
      <c r="F930" s="24"/>
      <c r="G930" s="25" t="str">
        <f>IF($D930="","",IFERROR(VLOOKUP($D930,'ACAH Capital Tracker'!$A:$D,4,FALSE()),""))</f>
        <v/>
      </c>
      <c r="H930" s="22"/>
    </row>
    <row r="931" spans="1:8">
      <c r="A931" s="21"/>
      <c r="B931" s="22"/>
      <c r="C931" s="22"/>
      <c r="D931" s="22"/>
      <c r="E931" s="23" t="str">
        <f>IF($D931="","",IFERROR(VLOOKUP($D931,'ACAH Capital Tracker'!$A:$H,8,FALSE()),""))</f>
        <v/>
      </c>
      <c r="F931" s="24"/>
      <c r="G931" s="25" t="str">
        <f>IF($D931="","",IFERROR(VLOOKUP($D931,'ACAH Capital Tracker'!$A:$D,4,FALSE()),""))</f>
        <v/>
      </c>
      <c r="H931" s="22"/>
    </row>
    <row r="932" spans="1:8">
      <c r="A932" s="21"/>
      <c r="B932" s="22"/>
      <c r="C932" s="22"/>
      <c r="D932" s="22"/>
      <c r="E932" s="23" t="str">
        <f>IF($D932="","",IFERROR(VLOOKUP($D932,'ACAH Capital Tracker'!$A:$H,8,FALSE()),""))</f>
        <v/>
      </c>
      <c r="F932" s="24"/>
      <c r="G932" s="25" t="str">
        <f>IF($D932="","",IFERROR(VLOOKUP($D932,'ACAH Capital Tracker'!$A:$D,4,FALSE()),""))</f>
        <v/>
      </c>
      <c r="H932" s="22"/>
    </row>
    <row r="933" spans="1:8">
      <c r="A933" s="21"/>
      <c r="B933" s="22"/>
      <c r="C933" s="22"/>
      <c r="D933" s="22"/>
      <c r="E933" s="23" t="str">
        <f>IF($D933="","",IFERROR(VLOOKUP($D933,'ACAH Capital Tracker'!$A:$H,8,FALSE()),""))</f>
        <v/>
      </c>
      <c r="F933" s="24"/>
      <c r="G933" s="25" t="str">
        <f>IF($D933="","",IFERROR(VLOOKUP($D933,'ACAH Capital Tracker'!$A:$D,4,FALSE()),""))</f>
        <v/>
      </c>
      <c r="H933" s="22"/>
    </row>
    <row r="934" spans="1:8">
      <c r="A934" s="21"/>
      <c r="B934" s="22"/>
      <c r="C934" s="22"/>
      <c r="D934" s="22"/>
      <c r="E934" s="23" t="str">
        <f>IF($D934="","",IFERROR(VLOOKUP($D934,'ACAH Capital Tracker'!$A:$H,8,FALSE()),""))</f>
        <v/>
      </c>
      <c r="F934" s="24"/>
      <c r="G934" s="25" t="str">
        <f>IF($D934="","",IFERROR(VLOOKUP($D934,'ACAH Capital Tracker'!$A:$D,4,FALSE()),""))</f>
        <v/>
      </c>
      <c r="H934" s="22"/>
    </row>
    <row r="935" spans="1:8">
      <c r="A935" s="21"/>
      <c r="B935" s="22"/>
      <c r="C935" s="22"/>
      <c r="D935" s="22"/>
      <c r="E935" s="23" t="str">
        <f>IF($D935="","",IFERROR(VLOOKUP($D935,'ACAH Capital Tracker'!$A:$H,8,FALSE()),""))</f>
        <v/>
      </c>
      <c r="F935" s="24"/>
      <c r="G935" s="25" t="str">
        <f>IF($D935="","",IFERROR(VLOOKUP($D935,'ACAH Capital Tracker'!$A:$D,4,FALSE()),""))</f>
        <v/>
      </c>
      <c r="H935" s="22"/>
    </row>
    <row r="936" spans="1:8">
      <c r="A936" s="21"/>
      <c r="B936" s="22"/>
      <c r="C936" s="22"/>
      <c r="D936" s="22"/>
      <c r="E936" s="23" t="str">
        <f>IF($D936="","",IFERROR(VLOOKUP($D936,'ACAH Capital Tracker'!$A:$H,8,FALSE()),""))</f>
        <v/>
      </c>
      <c r="F936" s="24"/>
      <c r="G936" s="25" t="str">
        <f>IF($D936="","",IFERROR(VLOOKUP($D936,'ACAH Capital Tracker'!$A:$D,4,FALSE()),""))</f>
        <v/>
      </c>
      <c r="H936" s="22"/>
    </row>
    <row r="937" spans="1:8">
      <c r="A937" s="21"/>
      <c r="B937" s="22"/>
      <c r="C937" s="22"/>
      <c r="D937" s="22"/>
      <c r="E937" s="23" t="str">
        <f>IF($D937="","",IFERROR(VLOOKUP($D937,'ACAH Capital Tracker'!$A:$H,8,FALSE()),""))</f>
        <v/>
      </c>
      <c r="F937" s="24"/>
      <c r="G937" s="25" t="str">
        <f>IF($D937="","",IFERROR(VLOOKUP($D937,'ACAH Capital Tracker'!$A:$D,4,FALSE()),""))</f>
        <v/>
      </c>
      <c r="H937" s="22"/>
    </row>
    <row r="938" spans="1:8">
      <c r="A938" s="21"/>
      <c r="B938" s="22"/>
      <c r="C938" s="22"/>
      <c r="D938" s="22"/>
      <c r="E938" s="23" t="str">
        <f>IF($D938="","",IFERROR(VLOOKUP($D938,'ACAH Capital Tracker'!$A:$H,8,FALSE()),""))</f>
        <v/>
      </c>
      <c r="F938" s="24"/>
      <c r="G938" s="25" t="str">
        <f>IF($D938="","",IFERROR(VLOOKUP($D938,'ACAH Capital Tracker'!$A:$D,4,FALSE()),""))</f>
        <v/>
      </c>
      <c r="H938" s="22"/>
    </row>
    <row r="939" spans="1:8">
      <c r="A939" s="21"/>
      <c r="B939" s="22"/>
      <c r="C939" s="22"/>
      <c r="D939" s="22"/>
      <c r="E939" s="23" t="str">
        <f>IF($D939="","",IFERROR(VLOOKUP($D939,'ACAH Capital Tracker'!$A:$H,8,FALSE()),""))</f>
        <v/>
      </c>
      <c r="F939" s="24"/>
      <c r="G939" s="25" t="str">
        <f>IF($D939="","",IFERROR(VLOOKUP($D939,'ACAH Capital Tracker'!$A:$D,4,FALSE()),""))</f>
        <v/>
      </c>
      <c r="H939" s="22"/>
    </row>
    <row r="940" spans="1:8">
      <c r="A940" s="21"/>
      <c r="B940" s="22"/>
      <c r="C940" s="22"/>
      <c r="D940" s="22"/>
      <c r="E940" s="23" t="str">
        <f>IF($D940="","",IFERROR(VLOOKUP($D940,'ACAH Capital Tracker'!$A:$H,8,FALSE()),""))</f>
        <v/>
      </c>
      <c r="F940" s="24"/>
      <c r="G940" s="25" t="str">
        <f>IF($D940="","",IFERROR(VLOOKUP($D940,'ACAH Capital Tracker'!$A:$D,4,FALSE()),""))</f>
        <v/>
      </c>
      <c r="H940" s="22"/>
    </row>
    <row r="941" spans="1:8">
      <c r="A941" s="21"/>
      <c r="B941" s="22"/>
      <c r="C941" s="22"/>
      <c r="D941" s="22"/>
      <c r="E941" s="23" t="str">
        <f>IF($D941="","",IFERROR(VLOOKUP($D941,'ACAH Capital Tracker'!$A:$H,8,FALSE()),""))</f>
        <v/>
      </c>
      <c r="F941" s="24"/>
      <c r="G941" s="25" t="str">
        <f>IF($D941="","",IFERROR(VLOOKUP($D941,'ACAH Capital Tracker'!$A:$D,4,FALSE()),""))</f>
        <v/>
      </c>
      <c r="H941" s="22"/>
    </row>
    <row r="942" spans="1:8">
      <c r="A942" s="21"/>
      <c r="B942" s="22"/>
      <c r="C942" s="22"/>
      <c r="D942" s="22"/>
      <c r="E942" s="23" t="str">
        <f>IF($D942="","",IFERROR(VLOOKUP($D942,'ACAH Capital Tracker'!$A:$H,8,FALSE()),""))</f>
        <v/>
      </c>
      <c r="F942" s="24"/>
      <c r="G942" s="25" t="str">
        <f>IF($D942="","",IFERROR(VLOOKUP($D942,'ACAH Capital Tracker'!$A:$D,4,FALSE()),""))</f>
        <v/>
      </c>
      <c r="H942" s="22"/>
    </row>
    <row r="943" spans="1:8">
      <c r="A943" s="21"/>
      <c r="B943" s="22"/>
      <c r="C943" s="22"/>
      <c r="D943" s="22"/>
      <c r="E943" s="23" t="str">
        <f>IF($D943="","",IFERROR(VLOOKUP($D943,'ACAH Capital Tracker'!$A:$H,8,FALSE()),""))</f>
        <v/>
      </c>
      <c r="F943" s="24"/>
      <c r="G943" s="25" t="str">
        <f>IF($D943="","",IFERROR(VLOOKUP($D943,'ACAH Capital Tracker'!$A:$D,4,FALSE()),""))</f>
        <v/>
      </c>
      <c r="H943" s="22"/>
    </row>
    <row r="944" spans="1:8">
      <c r="A944" s="21"/>
      <c r="B944" s="22"/>
      <c r="C944" s="22"/>
      <c r="D944" s="22"/>
      <c r="E944" s="23" t="str">
        <f>IF($D944="","",IFERROR(VLOOKUP($D944,'ACAH Capital Tracker'!$A:$H,8,FALSE()),""))</f>
        <v/>
      </c>
      <c r="F944" s="24"/>
      <c r="G944" s="25" t="str">
        <f>IF($D944="","",IFERROR(VLOOKUP($D944,'ACAH Capital Tracker'!$A:$D,4,FALSE()),""))</f>
        <v/>
      </c>
      <c r="H944" s="22"/>
    </row>
    <row r="945" spans="1:8">
      <c r="A945" s="21"/>
      <c r="B945" s="22"/>
      <c r="C945" s="22"/>
      <c r="D945" s="22"/>
      <c r="E945" s="23" t="str">
        <f>IF($D945="","",IFERROR(VLOOKUP($D945,'ACAH Capital Tracker'!$A:$H,8,FALSE()),""))</f>
        <v/>
      </c>
      <c r="F945" s="24"/>
      <c r="G945" s="25" t="str">
        <f>IF($D945="","",IFERROR(VLOOKUP($D945,'ACAH Capital Tracker'!$A:$D,4,FALSE()),""))</f>
        <v/>
      </c>
      <c r="H945" s="22"/>
    </row>
    <row r="946" spans="1:8">
      <c r="A946" s="21"/>
      <c r="B946" s="22"/>
      <c r="C946" s="22"/>
      <c r="D946" s="22"/>
      <c r="E946" s="23" t="str">
        <f>IF($D946="","",IFERROR(VLOOKUP($D946,'ACAH Capital Tracker'!$A:$H,8,FALSE()),""))</f>
        <v/>
      </c>
      <c r="F946" s="24"/>
      <c r="G946" s="25" t="str">
        <f>IF($D946="","",IFERROR(VLOOKUP($D946,'ACAH Capital Tracker'!$A:$D,4,FALSE()),""))</f>
        <v/>
      </c>
      <c r="H946" s="22"/>
    </row>
    <row r="947" spans="1:8">
      <c r="A947" s="21"/>
      <c r="B947" s="22"/>
      <c r="C947" s="22"/>
      <c r="D947" s="22"/>
      <c r="E947" s="23" t="str">
        <f>IF($D947="","",IFERROR(VLOOKUP($D947,'ACAH Capital Tracker'!$A:$H,8,FALSE()),""))</f>
        <v/>
      </c>
      <c r="F947" s="24"/>
      <c r="G947" s="25" t="str">
        <f>IF($D947="","",IFERROR(VLOOKUP($D947,'ACAH Capital Tracker'!$A:$D,4,FALSE()),""))</f>
        <v/>
      </c>
      <c r="H947" s="22"/>
    </row>
    <row r="948" spans="1:8">
      <c r="A948" s="21"/>
      <c r="B948" s="22"/>
      <c r="C948" s="22"/>
      <c r="D948" s="22"/>
      <c r="E948" s="23" t="str">
        <f>IF($D948="","",IFERROR(VLOOKUP($D948,'ACAH Capital Tracker'!$A:$H,8,FALSE()),""))</f>
        <v/>
      </c>
      <c r="F948" s="24"/>
      <c r="G948" s="25" t="str">
        <f>IF($D948="","",IFERROR(VLOOKUP($D948,'ACAH Capital Tracker'!$A:$D,4,FALSE()),""))</f>
        <v/>
      </c>
      <c r="H948" s="22"/>
    </row>
    <row r="949" spans="1:8">
      <c r="A949" s="21"/>
      <c r="B949" s="22"/>
      <c r="C949" s="22"/>
      <c r="D949" s="22"/>
      <c r="E949" s="23" t="str">
        <f>IF($D949="","",IFERROR(VLOOKUP($D949,'ACAH Capital Tracker'!$A:$H,8,FALSE()),""))</f>
        <v/>
      </c>
      <c r="F949" s="24"/>
      <c r="G949" s="25" t="str">
        <f>IF($D949="","",IFERROR(VLOOKUP($D949,'ACAH Capital Tracker'!$A:$D,4,FALSE()),""))</f>
        <v/>
      </c>
      <c r="H949" s="22"/>
    </row>
    <row r="950" spans="1:8">
      <c r="A950" s="21"/>
      <c r="B950" s="22"/>
      <c r="C950" s="22"/>
      <c r="D950" s="22"/>
      <c r="E950" s="23" t="str">
        <f>IF($D950="","",IFERROR(VLOOKUP($D950,'ACAH Capital Tracker'!$A:$H,8,FALSE()),""))</f>
        <v/>
      </c>
      <c r="F950" s="24"/>
      <c r="G950" s="25" t="str">
        <f>IF($D950="","",IFERROR(VLOOKUP($D950,'ACAH Capital Tracker'!$A:$D,4,FALSE()),""))</f>
        <v/>
      </c>
      <c r="H950" s="22"/>
    </row>
    <row r="951" spans="1:8">
      <c r="A951" s="21"/>
      <c r="B951" s="22"/>
      <c r="C951" s="22"/>
      <c r="D951" s="22"/>
      <c r="E951" s="23" t="str">
        <f>IF($D951="","",IFERROR(VLOOKUP($D951,'ACAH Capital Tracker'!$A:$H,8,FALSE()),""))</f>
        <v/>
      </c>
      <c r="F951" s="24"/>
      <c r="G951" s="25" t="str">
        <f>IF($D951="","",IFERROR(VLOOKUP($D951,'ACAH Capital Tracker'!$A:$D,4,FALSE()),""))</f>
        <v/>
      </c>
      <c r="H951" s="22"/>
    </row>
    <row r="952" spans="1:8">
      <c r="A952" s="21"/>
      <c r="B952" s="22"/>
      <c r="C952" s="22"/>
      <c r="D952" s="22"/>
      <c r="E952" s="23" t="str">
        <f>IF($D952="","",IFERROR(VLOOKUP($D952,'ACAH Capital Tracker'!$A:$H,8,FALSE()),""))</f>
        <v/>
      </c>
      <c r="F952" s="24"/>
      <c r="G952" s="25" t="str">
        <f>IF($D952="","",IFERROR(VLOOKUP($D952,'ACAH Capital Tracker'!$A:$D,4,FALSE()),""))</f>
        <v/>
      </c>
      <c r="H952" s="22"/>
    </row>
    <row r="953" spans="1:8">
      <c r="A953" s="21"/>
      <c r="B953" s="22"/>
      <c r="C953" s="22"/>
      <c r="D953" s="22"/>
      <c r="E953" s="23" t="str">
        <f>IF($D953="","",IFERROR(VLOOKUP($D953,'ACAH Capital Tracker'!$A:$H,8,FALSE()),""))</f>
        <v/>
      </c>
      <c r="F953" s="24"/>
      <c r="G953" s="25" t="str">
        <f>IF($D953="","",IFERROR(VLOOKUP($D953,'ACAH Capital Tracker'!$A:$D,4,FALSE()),""))</f>
        <v/>
      </c>
      <c r="H953" s="22"/>
    </row>
    <row r="954" spans="1:8">
      <c r="A954" s="21"/>
      <c r="B954" s="22"/>
      <c r="C954" s="22"/>
      <c r="D954" s="22"/>
      <c r="E954" s="23" t="str">
        <f>IF($D954="","",IFERROR(VLOOKUP($D954,'ACAH Capital Tracker'!$A:$H,8,FALSE()),""))</f>
        <v/>
      </c>
      <c r="F954" s="24"/>
      <c r="G954" s="25" t="str">
        <f>IF($D954="","",IFERROR(VLOOKUP($D954,'ACAH Capital Tracker'!$A:$D,4,FALSE()),""))</f>
        <v/>
      </c>
      <c r="H954" s="22"/>
    </row>
    <row r="955" spans="1:8">
      <c r="A955" s="21"/>
      <c r="B955" s="22"/>
      <c r="C955" s="22"/>
      <c r="D955" s="22"/>
      <c r="E955" s="23" t="str">
        <f>IF($D955="","",IFERROR(VLOOKUP($D955,'ACAH Capital Tracker'!$A:$H,8,FALSE()),""))</f>
        <v/>
      </c>
      <c r="F955" s="24"/>
      <c r="G955" s="25" t="str">
        <f>IF($D955="","",IFERROR(VLOOKUP($D955,'ACAH Capital Tracker'!$A:$D,4,FALSE()),""))</f>
        <v/>
      </c>
      <c r="H955" s="22"/>
    </row>
    <row r="956" spans="1:8">
      <c r="A956" s="21"/>
      <c r="B956" s="22"/>
      <c r="C956" s="22"/>
      <c r="D956" s="22"/>
      <c r="E956" s="23" t="str">
        <f>IF($D956="","",IFERROR(VLOOKUP($D956,'ACAH Capital Tracker'!$A:$H,8,FALSE()),""))</f>
        <v/>
      </c>
      <c r="F956" s="24"/>
      <c r="G956" s="25" t="str">
        <f>IF($D956="","",IFERROR(VLOOKUP($D956,'ACAH Capital Tracker'!$A:$D,4,FALSE()),""))</f>
        <v/>
      </c>
      <c r="H956" s="22"/>
    </row>
    <row r="957" spans="1:8">
      <c r="A957" s="21"/>
      <c r="B957" s="22"/>
      <c r="C957" s="22"/>
      <c r="D957" s="22"/>
      <c r="E957" s="23" t="str">
        <f>IF($D957="","",IFERROR(VLOOKUP($D957,'ACAH Capital Tracker'!$A:$H,8,FALSE()),""))</f>
        <v/>
      </c>
      <c r="F957" s="24"/>
      <c r="G957" s="25" t="str">
        <f>IF($D957="","",IFERROR(VLOOKUP($D957,'ACAH Capital Tracker'!$A:$D,4,FALSE()),""))</f>
        <v/>
      </c>
      <c r="H957" s="22"/>
    </row>
    <row r="958" spans="1:8">
      <c r="A958" s="21"/>
      <c r="B958" s="22"/>
      <c r="C958" s="22"/>
      <c r="D958" s="22"/>
      <c r="E958" s="23" t="str">
        <f>IF($D958="","",IFERROR(VLOOKUP($D958,'ACAH Capital Tracker'!$A:$H,8,FALSE()),""))</f>
        <v/>
      </c>
      <c r="F958" s="24"/>
      <c r="G958" s="25" t="str">
        <f>IF($D958="","",IFERROR(VLOOKUP($D958,'ACAH Capital Tracker'!$A:$D,4,FALSE()),""))</f>
        <v/>
      </c>
      <c r="H958" s="22"/>
    </row>
    <row r="959" spans="1:8">
      <c r="A959" s="21"/>
      <c r="B959" s="22"/>
      <c r="C959" s="22"/>
      <c r="D959" s="22"/>
      <c r="E959" s="23" t="str">
        <f>IF($D959="","",IFERROR(VLOOKUP($D959,'ACAH Capital Tracker'!$A:$H,8,FALSE()),""))</f>
        <v/>
      </c>
      <c r="F959" s="24"/>
      <c r="G959" s="25" t="str">
        <f>IF($D959="","",IFERROR(VLOOKUP($D959,'ACAH Capital Tracker'!$A:$D,4,FALSE()),""))</f>
        <v/>
      </c>
      <c r="H959" s="22"/>
    </row>
    <row r="960" spans="1:8">
      <c r="A960" s="21"/>
      <c r="B960" s="22"/>
      <c r="C960" s="22"/>
      <c r="D960" s="22"/>
      <c r="E960" s="23" t="str">
        <f>IF($D960="","",IFERROR(VLOOKUP($D960,'ACAH Capital Tracker'!$A:$H,8,FALSE()),""))</f>
        <v/>
      </c>
      <c r="F960" s="24"/>
      <c r="G960" s="25" t="str">
        <f>IF($D960="","",IFERROR(VLOOKUP($D960,'ACAH Capital Tracker'!$A:$D,4,FALSE()),""))</f>
        <v/>
      </c>
      <c r="H960" s="22"/>
    </row>
    <row r="961" spans="1:8">
      <c r="A961" s="21"/>
      <c r="B961" s="22"/>
      <c r="C961" s="22"/>
      <c r="D961" s="22"/>
      <c r="E961" s="23" t="str">
        <f>IF($D961="","",IFERROR(VLOOKUP($D961,'ACAH Capital Tracker'!$A:$H,8,FALSE()),""))</f>
        <v/>
      </c>
      <c r="F961" s="24"/>
      <c r="G961" s="25" t="str">
        <f>IF($D961="","",IFERROR(VLOOKUP($D961,'ACAH Capital Tracker'!$A:$D,4,FALSE()),""))</f>
        <v/>
      </c>
      <c r="H961" s="22"/>
    </row>
    <row r="962" spans="1:8">
      <c r="A962" s="21"/>
      <c r="B962" s="22"/>
      <c r="C962" s="22"/>
      <c r="D962" s="22"/>
      <c r="E962" s="23" t="str">
        <f>IF($D962="","",IFERROR(VLOOKUP($D962,'ACAH Capital Tracker'!$A:$H,8,FALSE()),""))</f>
        <v/>
      </c>
      <c r="F962" s="24"/>
      <c r="G962" s="25" t="str">
        <f>IF($D962="","",IFERROR(VLOOKUP($D962,'ACAH Capital Tracker'!$A:$D,4,FALSE()),""))</f>
        <v/>
      </c>
      <c r="H962" s="22"/>
    </row>
    <row r="963" spans="1:8">
      <c r="A963" s="21"/>
      <c r="B963" s="22"/>
      <c r="C963" s="22"/>
      <c r="D963" s="22"/>
      <c r="E963" s="23" t="str">
        <f>IF($D963="","",IFERROR(VLOOKUP($D963,'ACAH Capital Tracker'!$A:$H,8,FALSE()),""))</f>
        <v/>
      </c>
      <c r="F963" s="24"/>
      <c r="G963" s="25" t="str">
        <f>IF($D963="","",IFERROR(VLOOKUP($D963,'ACAH Capital Tracker'!$A:$D,4,FALSE()),""))</f>
        <v/>
      </c>
      <c r="H963" s="22"/>
    </row>
    <row r="964" spans="1:8">
      <c r="A964" s="21"/>
      <c r="B964" s="22"/>
      <c r="C964" s="22"/>
      <c r="D964" s="22"/>
      <c r="E964" s="23" t="str">
        <f>IF($D964="","",IFERROR(VLOOKUP($D964,'ACAH Capital Tracker'!$A:$H,8,FALSE()),""))</f>
        <v/>
      </c>
      <c r="F964" s="24"/>
      <c r="G964" s="25" t="str">
        <f>IF($D964="","",IFERROR(VLOOKUP($D964,'ACAH Capital Tracker'!$A:$D,4,FALSE()),""))</f>
        <v/>
      </c>
      <c r="H964" s="22"/>
    </row>
    <row r="965" spans="1:8">
      <c r="A965" s="21"/>
      <c r="B965" s="22"/>
      <c r="C965" s="22"/>
      <c r="D965" s="22"/>
      <c r="E965" s="23" t="str">
        <f>IF($D965="","",IFERROR(VLOOKUP($D965,'ACAH Capital Tracker'!$A:$H,8,FALSE()),""))</f>
        <v/>
      </c>
      <c r="F965" s="24"/>
      <c r="G965" s="25" t="str">
        <f>IF($D965="","",IFERROR(VLOOKUP($D965,'ACAH Capital Tracker'!$A:$D,4,FALSE()),""))</f>
        <v/>
      </c>
      <c r="H965" s="22"/>
    </row>
    <row r="966" spans="1:8">
      <c r="A966" s="21"/>
      <c r="B966" s="22"/>
      <c r="C966" s="22"/>
      <c r="D966" s="22"/>
      <c r="E966" s="23" t="str">
        <f>IF($D966="","",IFERROR(VLOOKUP($D966,'ACAH Capital Tracker'!$A:$H,8,FALSE()),""))</f>
        <v/>
      </c>
      <c r="F966" s="24"/>
      <c r="G966" s="25" t="str">
        <f>IF($D966="","",IFERROR(VLOOKUP($D966,'ACAH Capital Tracker'!$A:$D,4,FALSE()),""))</f>
        <v/>
      </c>
      <c r="H966" s="22"/>
    </row>
    <row r="967" spans="1:8">
      <c r="A967" s="21"/>
      <c r="B967" s="22"/>
      <c r="C967" s="22"/>
      <c r="D967" s="22"/>
      <c r="E967" s="23" t="str">
        <f>IF($D967="","",IFERROR(VLOOKUP($D967,'ACAH Capital Tracker'!$A:$H,8,FALSE()),""))</f>
        <v/>
      </c>
      <c r="F967" s="24"/>
      <c r="G967" s="25" t="str">
        <f>IF($D967="","",IFERROR(VLOOKUP($D967,'ACAH Capital Tracker'!$A:$D,4,FALSE()),""))</f>
        <v/>
      </c>
      <c r="H967" s="22"/>
    </row>
    <row r="968" spans="1:8">
      <c r="A968" s="21"/>
      <c r="B968" s="22"/>
      <c r="C968" s="22"/>
      <c r="D968" s="22"/>
      <c r="E968" s="23" t="str">
        <f>IF($D968="","",IFERROR(VLOOKUP($D968,'ACAH Capital Tracker'!$A:$H,8,FALSE()),""))</f>
        <v/>
      </c>
      <c r="F968" s="24"/>
      <c r="G968" s="25" t="str">
        <f>IF($D968="","",IFERROR(VLOOKUP($D968,'ACAH Capital Tracker'!$A:$D,4,FALSE()),""))</f>
        <v/>
      </c>
      <c r="H968" s="22"/>
    </row>
    <row r="969" spans="1:8">
      <c r="A969" s="21"/>
      <c r="B969" s="22"/>
      <c r="C969" s="22"/>
      <c r="D969" s="22"/>
      <c r="E969" s="23" t="str">
        <f>IF($D969="","",IFERROR(VLOOKUP($D969,'ACAH Capital Tracker'!$A:$H,8,FALSE()),""))</f>
        <v/>
      </c>
      <c r="F969" s="24"/>
      <c r="G969" s="25" t="str">
        <f>IF($D969="","",IFERROR(VLOOKUP($D969,'ACAH Capital Tracker'!$A:$D,4,FALSE()),""))</f>
        <v/>
      </c>
      <c r="H969" s="22"/>
    </row>
    <row r="970" spans="1:8">
      <c r="A970" s="21"/>
      <c r="B970" s="22"/>
      <c r="C970" s="22"/>
      <c r="D970" s="22"/>
      <c r="E970" s="23" t="str">
        <f>IF($D970="","",IFERROR(VLOOKUP($D970,'ACAH Capital Tracker'!$A:$H,8,FALSE()),""))</f>
        <v/>
      </c>
      <c r="F970" s="24"/>
      <c r="G970" s="25" t="str">
        <f>IF($D970="","",IFERROR(VLOOKUP($D970,'ACAH Capital Tracker'!$A:$D,4,FALSE()),""))</f>
        <v/>
      </c>
      <c r="H970" s="22"/>
    </row>
    <row r="971" spans="1:8">
      <c r="A971" s="21"/>
      <c r="B971" s="22"/>
      <c r="C971" s="22"/>
      <c r="D971" s="22"/>
      <c r="E971" s="23" t="str">
        <f>IF($D971="","",IFERROR(VLOOKUP($D971,'ACAH Capital Tracker'!$A:$H,8,FALSE()),""))</f>
        <v/>
      </c>
      <c r="F971" s="24"/>
      <c r="G971" s="25" t="str">
        <f>IF($D971="","",IFERROR(VLOOKUP($D971,'ACAH Capital Tracker'!$A:$D,4,FALSE()),""))</f>
        <v/>
      </c>
      <c r="H971" s="22"/>
    </row>
    <row r="972" spans="1:8">
      <c r="A972" s="21"/>
      <c r="B972" s="22"/>
      <c r="C972" s="22"/>
      <c r="D972" s="22"/>
      <c r="E972" s="23" t="str">
        <f>IF($D972="","",IFERROR(VLOOKUP($D972,'ACAH Capital Tracker'!$A:$H,8,FALSE()),""))</f>
        <v/>
      </c>
      <c r="F972" s="24"/>
      <c r="G972" s="25" t="str">
        <f>IF($D972="","",IFERROR(VLOOKUP($D972,'ACAH Capital Tracker'!$A:$D,4,FALSE()),""))</f>
        <v/>
      </c>
      <c r="H972" s="22"/>
    </row>
    <row r="973" spans="1:8">
      <c r="A973" s="21"/>
      <c r="B973" s="22"/>
      <c r="C973" s="22"/>
      <c r="D973" s="22"/>
      <c r="E973" s="23" t="str">
        <f>IF($D973="","",IFERROR(VLOOKUP($D973,'ACAH Capital Tracker'!$A:$H,8,FALSE()),""))</f>
        <v/>
      </c>
      <c r="F973" s="24"/>
      <c r="G973" s="25" t="str">
        <f>IF($D973="","",IFERROR(VLOOKUP($D973,'ACAH Capital Tracker'!$A:$D,4,FALSE()),""))</f>
        <v/>
      </c>
      <c r="H973" s="22"/>
    </row>
    <row r="974" spans="1:8">
      <c r="A974" s="21"/>
      <c r="B974" s="22"/>
      <c r="C974" s="22"/>
      <c r="D974" s="22"/>
      <c r="E974" s="23" t="str">
        <f>IF($D974="","",IFERROR(VLOOKUP($D974,'ACAH Capital Tracker'!$A:$H,8,FALSE()),""))</f>
        <v/>
      </c>
      <c r="F974" s="24"/>
      <c r="G974" s="25" t="str">
        <f>IF($D974="","",IFERROR(VLOOKUP($D974,'ACAH Capital Tracker'!$A:$D,4,FALSE()),""))</f>
        <v/>
      </c>
      <c r="H974" s="22"/>
    </row>
    <row r="975" spans="1:8">
      <c r="A975" s="21"/>
      <c r="B975" s="22"/>
      <c r="C975" s="22"/>
      <c r="D975" s="22"/>
      <c r="E975" s="23" t="str">
        <f>IF($D975="","",IFERROR(VLOOKUP($D975,'ACAH Capital Tracker'!$A:$H,8,FALSE()),""))</f>
        <v/>
      </c>
      <c r="F975" s="24"/>
      <c r="G975" s="25" t="str">
        <f>IF($D975="","",IFERROR(VLOOKUP($D975,'ACAH Capital Tracker'!$A:$D,4,FALSE()),""))</f>
        <v/>
      </c>
      <c r="H975" s="22"/>
    </row>
    <row r="976" spans="1:8">
      <c r="A976" s="21"/>
      <c r="B976" s="22"/>
      <c r="C976" s="22"/>
      <c r="D976" s="22"/>
      <c r="E976" s="23" t="str">
        <f>IF($D976="","",IFERROR(VLOOKUP($D976,'ACAH Capital Tracker'!$A:$H,8,FALSE()),""))</f>
        <v/>
      </c>
      <c r="F976" s="24"/>
      <c r="G976" s="25" t="str">
        <f>IF($D976="","",IFERROR(VLOOKUP($D976,'ACAH Capital Tracker'!$A:$D,4,FALSE()),""))</f>
        <v/>
      </c>
      <c r="H976" s="22"/>
    </row>
    <row r="977" spans="1:8">
      <c r="A977" s="21"/>
      <c r="B977" s="22"/>
      <c r="C977" s="22"/>
      <c r="D977" s="22"/>
      <c r="E977" s="23" t="str">
        <f>IF($D977="","",IFERROR(VLOOKUP($D977,'ACAH Capital Tracker'!$A:$H,8,FALSE()),""))</f>
        <v/>
      </c>
      <c r="F977" s="24"/>
      <c r="G977" s="25" t="str">
        <f>IF($D977="","",IFERROR(VLOOKUP($D977,'ACAH Capital Tracker'!$A:$D,4,FALSE()),""))</f>
        <v/>
      </c>
      <c r="H977" s="22"/>
    </row>
    <row r="978" spans="1:8">
      <c r="A978" s="21"/>
      <c r="B978" s="22"/>
      <c r="C978" s="22"/>
      <c r="D978" s="22"/>
      <c r="E978" s="23" t="str">
        <f>IF($D978="","",IFERROR(VLOOKUP($D978,'ACAH Capital Tracker'!$A:$H,8,FALSE()),""))</f>
        <v/>
      </c>
      <c r="F978" s="24"/>
      <c r="G978" s="25" t="str">
        <f>IF($D978="","",IFERROR(VLOOKUP($D978,'ACAH Capital Tracker'!$A:$D,4,FALSE()),""))</f>
        <v/>
      </c>
      <c r="H978" s="22"/>
    </row>
    <row r="979" spans="1:8">
      <c r="A979" s="21"/>
      <c r="B979" s="22"/>
      <c r="C979" s="22"/>
      <c r="D979" s="22"/>
      <c r="E979" s="23" t="str">
        <f>IF($D979="","",IFERROR(VLOOKUP($D979,'ACAH Capital Tracker'!$A:$H,8,FALSE()),""))</f>
        <v/>
      </c>
      <c r="F979" s="24"/>
      <c r="G979" s="25" t="str">
        <f>IF($D979="","",IFERROR(VLOOKUP($D979,'ACAH Capital Tracker'!$A:$D,4,FALSE()),""))</f>
        <v/>
      </c>
      <c r="H979" s="22"/>
    </row>
    <row r="980" spans="1:8">
      <c r="A980" s="21"/>
      <c r="B980" s="22"/>
      <c r="C980" s="22"/>
      <c r="D980" s="22"/>
      <c r="E980" s="23" t="str">
        <f>IF($D980="","",IFERROR(VLOOKUP($D980,'ACAH Capital Tracker'!$A:$H,8,FALSE()),""))</f>
        <v/>
      </c>
      <c r="F980" s="24"/>
      <c r="G980" s="25" t="str">
        <f>IF($D980="","",IFERROR(VLOOKUP($D980,'ACAH Capital Tracker'!$A:$D,4,FALSE()),""))</f>
        <v/>
      </c>
      <c r="H980" s="22"/>
    </row>
    <row r="981" spans="1:8">
      <c r="A981" s="21"/>
      <c r="B981" s="22"/>
      <c r="C981" s="22"/>
      <c r="D981" s="22"/>
      <c r="E981" s="23" t="str">
        <f>IF($D981="","",IFERROR(VLOOKUP($D981,'ACAH Capital Tracker'!$A:$H,8,FALSE()),""))</f>
        <v/>
      </c>
      <c r="F981" s="24"/>
      <c r="G981" s="25" t="str">
        <f>IF($D981="","",IFERROR(VLOOKUP($D981,'ACAH Capital Tracker'!$A:$D,4,FALSE()),""))</f>
        <v/>
      </c>
      <c r="H981" s="22"/>
    </row>
    <row r="982" spans="1:8">
      <c r="A982" s="21"/>
      <c r="B982" s="22"/>
      <c r="C982" s="22"/>
      <c r="D982" s="22"/>
      <c r="E982" s="23" t="str">
        <f>IF($D982="","",IFERROR(VLOOKUP($D982,'ACAH Capital Tracker'!$A:$H,8,FALSE()),""))</f>
        <v/>
      </c>
      <c r="F982" s="24"/>
      <c r="G982" s="25" t="str">
        <f>IF($D982="","",IFERROR(VLOOKUP($D982,'ACAH Capital Tracker'!$A:$D,4,FALSE()),""))</f>
        <v/>
      </c>
      <c r="H982" s="22"/>
    </row>
    <row r="983" spans="1:8">
      <c r="A983" s="21"/>
      <c r="B983" s="22"/>
      <c r="C983" s="22"/>
      <c r="D983" s="22"/>
      <c r="E983" s="23" t="str">
        <f>IF($D983="","",IFERROR(VLOOKUP($D983,'ACAH Capital Tracker'!$A:$H,8,FALSE()),""))</f>
        <v/>
      </c>
      <c r="F983" s="24"/>
      <c r="G983" s="25" t="str">
        <f>IF($D983="","",IFERROR(VLOOKUP($D983,'ACAH Capital Tracker'!$A:$D,4,FALSE()),""))</f>
        <v/>
      </c>
      <c r="H983" s="22"/>
    </row>
    <row r="984" spans="1:8">
      <c r="A984" s="21"/>
      <c r="B984" s="22"/>
      <c r="C984" s="22"/>
      <c r="D984" s="22"/>
      <c r="E984" s="23" t="str">
        <f>IF($D984="","",IFERROR(VLOOKUP($D984,'ACAH Capital Tracker'!$A:$H,8,FALSE()),""))</f>
        <v/>
      </c>
      <c r="F984" s="24"/>
      <c r="G984" s="25" t="str">
        <f>IF($D984="","",IFERROR(VLOOKUP($D984,'ACAH Capital Tracker'!$A:$D,4,FALSE()),""))</f>
        <v/>
      </c>
      <c r="H984" s="22"/>
    </row>
    <row r="985" spans="1:8">
      <c r="A985" s="21"/>
      <c r="B985" s="22"/>
      <c r="C985" s="22"/>
      <c r="D985" s="22"/>
      <c r="E985" s="23" t="str">
        <f>IF($D985="","",IFERROR(VLOOKUP($D985,'ACAH Capital Tracker'!$A:$H,8,FALSE()),""))</f>
        <v/>
      </c>
      <c r="F985" s="24"/>
      <c r="G985" s="25" t="str">
        <f>IF($D985="","",IFERROR(VLOOKUP($D985,'ACAH Capital Tracker'!$A:$D,4,FALSE()),""))</f>
        <v/>
      </c>
      <c r="H985" s="22"/>
    </row>
    <row r="986" spans="1:8">
      <c r="A986" s="21"/>
      <c r="B986" s="22"/>
      <c r="C986" s="22"/>
      <c r="D986" s="22"/>
      <c r="E986" s="23" t="str">
        <f>IF($D986="","",IFERROR(VLOOKUP($D986,'ACAH Capital Tracker'!$A:$H,8,FALSE()),""))</f>
        <v/>
      </c>
      <c r="F986" s="24"/>
      <c r="G986" s="25" t="str">
        <f>IF($D986="","",IFERROR(VLOOKUP($D986,'ACAH Capital Tracker'!$A:$D,4,FALSE()),""))</f>
        <v/>
      </c>
      <c r="H986" s="22"/>
    </row>
    <row r="987" spans="1:8">
      <c r="A987" s="21"/>
      <c r="B987" s="22"/>
      <c r="C987" s="22"/>
      <c r="D987" s="22"/>
      <c r="E987" s="23" t="str">
        <f>IF($D987="","",IFERROR(VLOOKUP($D987,'ACAH Capital Tracker'!$A:$H,8,FALSE()),""))</f>
        <v/>
      </c>
      <c r="F987" s="24"/>
      <c r="G987" s="25" t="str">
        <f>IF($D987="","",IFERROR(VLOOKUP($D987,'ACAH Capital Tracker'!$A:$D,4,FALSE()),""))</f>
        <v/>
      </c>
      <c r="H987" s="22"/>
    </row>
    <row r="988" spans="1:8">
      <c r="A988" s="21"/>
      <c r="B988" s="22"/>
      <c r="C988" s="22"/>
      <c r="D988" s="22"/>
      <c r="E988" s="23" t="str">
        <f>IF($D988="","",IFERROR(VLOOKUP($D988,'ACAH Capital Tracker'!$A:$H,8,FALSE()),""))</f>
        <v/>
      </c>
      <c r="F988" s="24"/>
      <c r="G988" s="25" t="str">
        <f>IF($D988="","",IFERROR(VLOOKUP($D988,'ACAH Capital Tracker'!$A:$D,4,FALSE()),""))</f>
        <v/>
      </c>
      <c r="H988" s="22"/>
    </row>
    <row r="989" spans="1:8">
      <c r="A989" s="21"/>
      <c r="B989" s="22"/>
      <c r="C989" s="22"/>
      <c r="D989" s="22"/>
      <c r="E989" s="23" t="str">
        <f>IF($D989="","",IFERROR(VLOOKUP($D989,'ACAH Capital Tracker'!$A:$H,8,FALSE()),""))</f>
        <v/>
      </c>
      <c r="F989" s="24"/>
      <c r="G989" s="25" t="str">
        <f>IF($D989="","",IFERROR(VLOOKUP($D989,'ACAH Capital Tracker'!$A:$D,4,FALSE()),""))</f>
        <v/>
      </c>
      <c r="H989" s="22"/>
    </row>
    <row r="990" spans="1:8">
      <c r="A990" s="21"/>
      <c r="B990" s="22"/>
      <c r="C990" s="22"/>
      <c r="D990" s="22"/>
      <c r="E990" s="23" t="str">
        <f>IF($D990="","",IFERROR(VLOOKUP($D990,'ACAH Capital Tracker'!$A:$H,8,FALSE()),""))</f>
        <v/>
      </c>
      <c r="F990" s="24"/>
      <c r="G990" s="25" t="str">
        <f>IF($D990="","",IFERROR(VLOOKUP($D990,'ACAH Capital Tracker'!$A:$D,4,FALSE()),""))</f>
        <v/>
      </c>
      <c r="H990" s="22"/>
    </row>
    <row r="991" spans="1:8">
      <c r="A991" s="21"/>
      <c r="B991" s="22"/>
      <c r="C991" s="22"/>
      <c r="D991" s="22"/>
      <c r="E991" s="23" t="str">
        <f>IF($D991="","",IFERROR(VLOOKUP($D991,'ACAH Capital Tracker'!$A:$H,8,FALSE()),""))</f>
        <v/>
      </c>
      <c r="F991" s="24"/>
      <c r="G991" s="25" t="str">
        <f>IF($D991="","",IFERROR(VLOOKUP($D991,'ACAH Capital Tracker'!$A:$D,4,FALSE()),""))</f>
        <v/>
      </c>
      <c r="H991" s="22"/>
    </row>
    <row r="992" spans="1:8">
      <c r="A992" s="21"/>
      <c r="B992" s="22"/>
      <c r="C992" s="22"/>
      <c r="D992" s="22"/>
      <c r="E992" s="23" t="str">
        <f>IF($D992="","",IFERROR(VLOOKUP($D992,'ACAH Capital Tracker'!$A:$H,8,FALSE()),""))</f>
        <v/>
      </c>
      <c r="F992" s="24"/>
      <c r="G992" s="25" t="str">
        <f>IF($D992="","",IFERROR(VLOOKUP($D992,'ACAH Capital Tracker'!$A:$D,4,FALSE()),""))</f>
        <v/>
      </c>
      <c r="H992" s="22"/>
    </row>
    <row r="993" spans="1:8">
      <c r="A993" s="21"/>
      <c r="B993" s="22"/>
      <c r="C993" s="22"/>
      <c r="D993" s="22"/>
      <c r="E993" s="23" t="str">
        <f>IF($D993="","",IFERROR(VLOOKUP($D993,'ACAH Capital Tracker'!$A:$H,8,FALSE()),""))</f>
        <v/>
      </c>
      <c r="F993" s="24"/>
      <c r="G993" s="25" t="str">
        <f>IF($D993="","",IFERROR(VLOOKUP($D993,'ACAH Capital Tracker'!$A:$D,4,FALSE()),""))</f>
        <v/>
      </c>
      <c r="H993" s="22"/>
    </row>
    <row r="994" spans="1:8">
      <c r="A994" s="21"/>
      <c r="B994" s="22"/>
      <c r="C994" s="22"/>
      <c r="D994" s="22"/>
      <c r="E994" s="23" t="str">
        <f>IF($D994="","",IFERROR(VLOOKUP($D994,'ACAH Capital Tracker'!$A:$H,8,FALSE()),""))</f>
        <v/>
      </c>
      <c r="F994" s="24"/>
      <c r="G994" s="25" t="str">
        <f>IF($D994="","",IFERROR(VLOOKUP($D994,'ACAH Capital Tracker'!$A:$D,4,FALSE()),""))</f>
        <v/>
      </c>
      <c r="H994" s="22"/>
    </row>
    <row r="995" spans="1:8">
      <c r="A995" s="21"/>
      <c r="B995" s="22"/>
      <c r="C995" s="22"/>
      <c r="D995" s="22"/>
      <c r="E995" s="23" t="str">
        <f>IF($D995="","",IFERROR(VLOOKUP($D995,'ACAH Capital Tracker'!$A:$H,8,FALSE()),""))</f>
        <v/>
      </c>
      <c r="F995" s="24"/>
      <c r="G995" s="25" t="str">
        <f>IF($D995="","",IFERROR(VLOOKUP($D995,'ACAH Capital Tracker'!$A:$D,4,FALSE()),""))</f>
        <v/>
      </c>
      <c r="H995" s="22"/>
    </row>
    <row r="996" spans="1:8">
      <c r="A996" s="21"/>
      <c r="B996" s="22"/>
      <c r="C996" s="22"/>
      <c r="D996" s="22"/>
      <c r="E996" s="23" t="str">
        <f>IF($D996="","",IFERROR(VLOOKUP($D996,'ACAH Capital Tracker'!$A:$H,8,FALSE()),""))</f>
        <v/>
      </c>
      <c r="F996" s="24"/>
      <c r="G996" s="25" t="str">
        <f>IF($D996="","",IFERROR(VLOOKUP($D996,'ACAH Capital Tracker'!$A:$D,4,FALSE()),""))</f>
        <v/>
      </c>
      <c r="H996" s="22"/>
    </row>
    <row r="997" spans="1:8">
      <c r="A997" s="21"/>
      <c r="B997" s="22"/>
      <c r="C997" s="22"/>
      <c r="D997" s="22"/>
      <c r="E997" s="23" t="str">
        <f>IF($D997="","",IFERROR(VLOOKUP($D997,'ACAH Capital Tracker'!$A:$H,8,FALSE()),""))</f>
        <v/>
      </c>
      <c r="F997" s="24"/>
      <c r="G997" s="25" t="str">
        <f>IF($D997="","",IFERROR(VLOOKUP($D997,'ACAH Capital Tracker'!$A:$D,4,FALSE()),""))</f>
        <v/>
      </c>
      <c r="H997" s="22"/>
    </row>
    <row r="998" spans="1:8">
      <c r="A998" s="21"/>
      <c r="B998" s="22"/>
      <c r="C998" s="22"/>
      <c r="D998" s="22"/>
      <c r="E998" s="23" t="str">
        <f>IF($D998="","",IFERROR(VLOOKUP($D998,'ACAH Capital Tracker'!$A:$H,8,FALSE()),""))</f>
        <v/>
      </c>
      <c r="F998" s="24"/>
      <c r="G998" s="25" t="str">
        <f>IF($D998="","",IFERROR(VLOOKUP($D998,'ACAH Capital Tracker'!$A:$D,4,FALSE()),""))</f>
        <v/>
      </c>
      <c r="H998" s="22"/>
    </row>
    <row r="999" spans="1:8">
      <c r="A999" s="21"/>
      <c r="B999" s="22"/>
      <c r="C999" s="22"/>
      <c r="D999" s="22"/>
      <c r="E999" s="23" t="str">
        <f>IF($D999="","",IFERROR(VLOOKUP($D999,'ACAH Capital Tracker'!$A:$H,8,FALSE()),""))</f>
        <v/>
      </c>
      <c r="F999" s="24"/>
      <c r="G999" s="25" t="str">
        <f>IF($D999="","",IFERROR(VLOOKUP($D999,'ACAH Capital Tracker'!$A:$D,4,FALSE()),""))</f>
        <v/>
      </c>
      <c r="H999" s="22"/>
    </row>
    <row r="1000" spans="1:8">
      <c r="A1000" s="21"/>
      <c r="B1000" s="22"/>
      <c r="C1000" s="22"/>
      <c r="D1000" s="22"/>
      <c r="E1000" s="23" t="str">
        <f>IF($D1000="","",IFERROR(VLOOKUP($D1000,'ACAH Capital Tracker'!$A:$H,8,FALSE()),""))</f>
        <v/>
      </c>
      <c r="F1000" s="24"/>
      <c r="G1000" s="25" t="str">
        <f>IF($D1000="","",IFERROR(VLOOKUP($D1000,'ACAH Capital Tracker'!$A:$D,4,FALSE()),""))</f>
        <v/>
      </c>
      <c r="H1000" s="22"/>
    </row>
    <row r="1001" spans="1:8">
      <c r="A1001" s="21"/>
      <c r="B1001" s="22"/>
      <c r="C1001" s="22"/>
      <c r="D1001" s="22"/>
      <c r="E1001" s="23" t="str">
        <f>IF($D1001="","",IFERROR(VLOOKUP($D1001,'ACAH Capital Tracker'!$A:$H,8,FALSE()),""))</f>
        <v/>
      </c>
      <c r="F1001" s="24"/>
      <c r="G1001" s="25" t="str">
        <f>IF($D1001="","",IFERROR(VLOOKUP($D1001,'ACAH Capital Tracker'!$A:$D,4,FALSE()),""))</f>
        <v/>
      </c>
      <c r="H1001" s="22"/>
    </row>
    <row r="1002" spans="1:8">
      <c r="A1002" s="21"/>
      <c r="B1002" s="22"/>
      <c r="C1002" s="22"/>
      <c r="D1002" s="22"/>
      <c r="E1002" s="23" t="str">
        <f>IF($D1002="","",IFERROR(VLOOKUP($D1002,'ACAH Capital Tracker'!$A:$H,8,FALSE()),""))</f>
        <v/>
      </c>
      <c r="F1002" s="24"/>
      <c r="G1002" s="25" t="str">
        <f>IF($D1002="","",IFERROR(VLOOKUP($D1002,'ACAH Capital Tracker'!$A:$D,4,FALSE()),""))</f>
        <v/>
      </c>
      <c r="H1002" s="22"/>
    </row>
    <row r="1003" spans="1:8">
      <c r="A1003" s="21"/>
      <c r="B1003" s="22"/>
      <c r="C1003" s="22"/>
      <c r="D1003" s="22"/>
      <c r="E1003" s="23" t="str">
        <f>IF($D1003="","",IFERROR(VLOOKUP($D1003,'ACAH Capital Tracker'!$A:$H,8,FALSE()),""))</f>
        <v/>
      </c>
      <c r="F1003" s="24"/>
      <c r="G1003" s="25" t="str">
        <f>IF($D1003="","",IFERROR(VLOOKUP($D1003,'ACAH Capital Tracker'!$A:$D,4,FALSE()),""))</f>
        <v/>
      </c>
      <c r="H1003" s="22"/>
    </row>
    <row r="1004" spans="1:8">
      <c r="A1004" s="21"/>
      <c r="B1004" s="22"/>
      <c r="C1004" s="22"/>
      <c r="D1004" s="22"/>
      <c r="E1004" s="23" t="str">
        <f>IF($D1004="","",IFERROR(VLOOKUP($D1004,'ACAH Capital Tracker'!$A:$H,8,FALSE()),""))</f>
        <v/>
      </c>
      <c r="F1004" s="24"/>
      <c r="G1004" s="25" t="str">
        <f>IF($D1004="","",IFERROR(VLOOKUP($D1004,'ACAH Capital Tracker'!$A:$D,4,FALSE()),""))</f>
        <v/>
      </c>
      <c r="H1004" s="22"/>
    </row>
    <row r="1005" spans="1:8">
      <c r="A1005" s="21"/>
      <c r="B1005" s="22"/>
      <c r="C1005" s="22"/>
      <c r="D1005" s="22"/>
      <c r="E1005" s="23" t="str">
        <f>IF($D1005="","",IFERROR(VLOOKUP($D1005,'ACAH Capital Tracker'!$A:$H,8,FALSE()),""))</f>
        <v/>
      </c>
      <c r="F1005" s="24"/>
      <c r="G1005" s="25" t="str">
        <f>IF($D1005="","",IFERROR(VLOOKUP($D1005,'ACAH Capital Tracker'!$A:$D,4,FALSE()),""))</f>
        <v/>
      </c>
      <c r="H1005" s="22"/>
    </row>
    <row r="1006" spans="1:8">
      <c r="A1006" s="21"/>
      <c r="B1006" s="22"/>
      <c r="C1006" s="22"/>
      <c r="D1006" s="22"/>
      <c r="E1006" s="23" t="str">
        <f>IF($D1006="","",IFERROR(VLOOKUP($D1006,'ACAH Capital Tracker'!$A:$H,8,FALSE()),""))</f>
        <v/>
      </c>
      <c r="F1006" s="24"/>
      <c r="G1006" s="25" t="str">
        <f>IF($D1006="","",IFERROR(VLOOKUP($D1006,'ACAH Capital Tracker'!$A:$D,4,FALSE()),""))</f>
        <v/>
      </c>
      <c r="H1006" s="22"/>
    </row>
    <row r="1007" spans="1:8">
      <c r="A1007" s="21"/>
      <c r="B1007" s="22"/>
      <c r="C1007" s="22"/>
      <c r="D1007" s="22"/>
      <c r="E1007" s="23" t="str">
        <f>IF($D1007="","",IFERROR(VLOOKUP($D1007,'ACAH Capital Tracker'!$A:$H,8,FALSE()),""))</f>
        <v/>
      </c>
      <c r="F1007" s="24"/>
      <c r="G1007" s="25" t="str">
        <f>IF($D1007="","",IFERROR(VLOOKUP($D1007,'ACAH Capital Tracker'!$A:$D,4,FALSE()),""))</f>
        <v/>
      </c>
      <c r="H1007" s="22"/>
    </row>
    <row r="1008" spans="1:8">
      <c r="A1008" s="21"/>
      <c r="B1008" s="22"/>
      <c r="C1008" s="22"/>
      <c r="D1008" s="22"/>
      <c r="E1008" s="23" t="str">
        <f>IF($D1008="","",IFERROR(VLOOKUP($D1008,'ACAH Capital Tracker'!$A:$H,8,FALSE()),""))</f>
        <v/>
      </c>
      <c r="F1008" s="24"/>
      <c r="G1008" s="25" t="str">
        <f>IF($D1008="","",IFERROR(VLOOKUP($D1008,'ACAH Capital Tracker'!$A:$D,4,FALSE()),""))</f>
        <v/>
      </c>
      <c r="H1008" s="22"/>
    </row>
    <row r="1009" spans="1:8">
      <c r="A1009" s="21"/>
      <c r="B1009" s="22"/>
      <c r="C1009" s="22"/>
      <c r="D1009" s="22"/>
      <c r="E1009" s="23" t="str">
        <f>IF($D1009="","",IFERROR(VLOOKUP($D1009,'ACAH Capital Tracker'!$A:$H,8,FALSE()),""))</f>
        <v/>
      </c>
      <c r="F1009" s="24"/>
      <c r="G1009" s="25" t="str">
        <f>IF($D1009="","",IFERROR(VLOOKUP($D1009,'ACAH Capital Tracker'!$A:$D,4,FALSE()),""))</f>
        <v/>
      </c>
      <c r="H1009" s="22"/>
    </row>
    <row r="1010" spans="1:8">
      <c r="A1010" s="21"/>
      <c r="B1010" s="22"/>
      <c r="C1010" s="22"/>
      <c r="D1010" s="22"/>
      <c r="E1010" s="23" t="str">
        <f>IF($D1010="","",IFERROR(VLOOKUP($D1010,'ACAH Capital Tracker'!$A:$H,8,FALSE()),""))</f>
        <v/>
      </c>
      <c r="F1010" s="24"/>
      <c r="G1010" s="25" t="str">
        <f>IF($D1010="","",IFERROR(VLOOKUP($D1010,'ACAH Capital Tracker'!$A:$D,4,FALSE()),""))</f>
        <v/>
      </c>
      <c r="H1010" s="22"/>
    </row>
    <row r="1011" spans="1:8">
      <c r="A1011" s="21"/>
      <c r="B1011" s="22"/>
      <c r="C1011" s="22"/>
      <c r="D1011" s="22"/>
      <c r="E1011" s="23" t="str">
        <f>IF($D1011="","",IFERROR(VLOOKUP($D1011,'ACAH Capital Tracker'!$A:$H,8,FALSE()),""))</f>
        <v/>
      </c>
      <c r="F1011" s="24"/>
      <c r="G1011" s="25" t="str">
        <f>IF($D1011="","",IFERROR(VLOOKUP($D1011,'ACAH Capital Tracker'!$A:$D,4,FALSE()),""))</f>
        <v/>
      </c>
      <c r="H1011" s="22"/>
    </row>
    <row r="1012" spans="1:8">
      <c r="A1012" s="21"/>
      <c r="B1012" s="22"/>
      <c r="C1012" s="22"/>
      <c r="D1012" s="22"/>
      <c r="E1012" s="23" t="str">
        <f>IF($D1012="","",IFERROR(VLOOKUP($D1012,'ACAH Capital Tracker'!$A:$H,8,FALSE()),""))</f>
        <v/>
      </c>
      <c r="F1012" s="24"/>
      <c r="G1012" s="25" t="str">
        <f>IF($D1012="","",IFERROR(VLOOKUP($D1012,'ACAH Capital Tracker'!$A:$D,4,FALSE()),""))</f>
        <v/>
      </c>
      <c r="H1012" s="22"/>
    </row>
    <row r="1013" spans="1:8">
      <c r="A1013" s="21"/>
      <c r="B1013" s="22"/>
      <c r="C1013" s="22"/>
      <c r="D1013" s="22"/>
      <c r="E1013" s="23" t="str">
        <f>IF($D1013="","",IFERROR(VLOOKUP($D1013,'ACAH Capital Tracker'!$A:$H,8,FALSE()),""))</f>
        <v/>
      </c>
      <c r="F1013" s="24"/>
      <c r="G1013" s="25" t="str">
        <f>IF($D1013="","",IFERROR(VLOOKUP($D1013,'ACAH Capital Tracker'!$A:$D,4,FALSE()),""))</f>
        <v/>
      </c>
      <c r="H1013" s="22"/>
    </row>
    <row r="1014" spans="1:8">
      <c r="A1014" s="21"/>
      <c r="B1014" s="22"/>
      <c r="C1014" s="22"/>
      <c r="D1014" s="22"/>
      <c r="E1014" s="23" t="str">
        <f>IF($D1014="","",IFERROR(VLOOKUP($D1014,'ACAH Capital Tracker'!$A:$H,8,FALSE()),""))</f>
        <v/>
      </c>
      <c r="F1014" s="24"/>
      <c r="G1014" s="25" t="str">
        <f>IF($D1014="","",IFERROR(VLOOKUP($D1014,'ACAH Capital Tracker'!$A:$D,4,FALSE()),""))</f>
        <v/>
      </c>
      <c r="H1014" s="22"/>
    </row>
    <row r="1015" spans="1:8">
      <c r="A1015" s="21"/>
      <c r="B1015" s="22"/>
      <c r="C1015" s="22"/>
      <c r="D1015" s="22"/>
      <c r="E1015" s="23" t="str">
        <f>IF($D1015="","",IFERROR(VLOOKUP($D1015,'ACAH Capital Tracker'!$A:$H,8,FALSE()),""))</f>
        <v/>
      </c>
      <c r="F1015" s="24"/>
      <c r="G1015" s="25" t="str">
        <f>IF($D1015="","",IFERROR(VLOOKUP($D1015,'ACAH Capital Tracker'!$A:$D,4,FALSE()),""))</f>
        <v/>
      </c>
      <c r="H1015" s="22"/>
    </row>
    <row r="1016" spans="1:8">
      <c r="A1016" s="21"/>
      <c r="B1016" s="22"/>
      <c r="C1016" s="22"/>
      <c r="D1016" s="22"/>
      <c r="E1016" s="23" t="str">
        <f>IF($D1016="","",IFERROR(VLOOKUP($D1016,'ACAH Capital Tracker'!$A:$H,8,FALSE()),""))</f>
        <v/>
      </c>
      <c r="F1016" s="24"/>
      <c r="G1016" s="25" t="str">
        <f>IF($D1016="","",IFERROR(VLOOKUP($D1016,'ACAH Capital Tracker'!$A:$D,4,FALSE()),""))</f>
        <v/>
      </c>
      <c r="H1016" s="22"/>
    </row>
    <row r="1017" spans="1:8">
      <c r="A1017" s="21"/>
      <c r="B1017" s="22"/>
      <c r="C1017" s="22"/>
      <c r="D1017" s="22"/>
      <c r="E1017" s="23" t="str">
        <f>IF($D1017="","",IFERROR(VLOOKUP($D1017,'ACAH Capital Tracker'!$A:$H,8,FALSE()),""))</f>
        <v/>
      </c>
      <c r="F1017" s="24"/>
      <c r="G1017" s="25" t="str">
        <f>IF($D1017="","",IFERROR(VLOOKUP($D1017,'ACAH Capital Tracker'!$A:$D,4,FALSE()),""))</f>
        <v/>
      </c>
      <c r="H1017" s="22"/>
    </row>
    <row r="1018" spans="1:8">
      <c r="A1018" s="21"/>
      <c r="B1018" s="22"/>
      <c r="C1018" s="22"/>
      <c r="D1018" s="22"/>
      <c r="E1018" s="23" t="str">
        <f>IF($D1018="","",IFERROR(VLOOKUP($D1018,'ACAH Capital Tracker'!$A:$H,8,FALSE()),""))</f>
        <v/>
      </c>
      <c r="F1018" s="24"/>
      <c r="G1018" s="25" t="str">
        <f>IF($D1018="","",IFERROR(VLOOKUP($D1018,'ACAH Capital Tracker'!$A:$D,4,FALSE()),""))</f>
        <v/>
      </c>
      <c r="H1018" s="22"/>
    </row>
    <row r="1019" spans="1:8">
      <c r="A1019" s="21"/>
      <c r="B1019" s="22"/>
      <c r="C1019" s="22"/>
      <c r="D1019" s="22"/>
      <c r="E1019" s="23" t="str">
        <f>IF($D1019="","",IFERROR(VLOOKUP($D1019,'ACAH Capital Tracker'!$A:$H,8,FALSE()),""))</f>
        <v/>
      </c>
      <c r="F1019" s="24"/>
      <c r="G1019" s="25" t="str">
        <f>IF($D1019="","",IFERROR(VLOOKUP($D1019,'ACAH Capital Tracker'!$A:$D,4,FALSE()),""))</f>
        <v/>
      </c>
      <c r="H1019" s="22"/>
    </row>
    <row r="1020" spans="1:8">
      <c r="A1020" s="21"/>
      <c r="B1020" s="22"/>
      <c r="C1020" s="22"/>
      <c r="D1020" s="22"/>
      <c r="E1020" s="23" t="str">
        <f>IF($D1020="","",IFERROR(VLOOKUP($D1020,'ACAH Capital Tracker'!$A:$H,8,FALSE()),""))</f>
        <v/>
      </c>
      <c r="F1020" s="24"/>
      <c r="G1020" s="25" t="str">
        <f>IF($D1020="","",IFERROR(VLOOKUP($D1020,'ACAH Capital Tracker'!$A:$D,4,FALSE()),""))</f>
        <v/>
      </c>
      <c r="H1020" s="22"/>
    </row>
    <row r="1021" spans="1:8">
      <c r="A1021" s="21"/>
      <c r="B1021" s="22"/>
      <c r="C1021" s="22"/>
      <c r="D1021" s="22"/>
      <c r="E1021" s="23" t="str">
        <f>IF($D1021="","",IFERROR(VLOOKUP($D1021,'ACAH Capital Tracker'!$A:$H,8,FALSE()),""))</f>
        <v/>
      </c>
      <c r="F1021" s="24"/>
      <c r="G1021" s="25" t="str">
        <f>IF($D1021="","",IFERROR(VLOOKUP($D1021,'ACAH Capital Tracker'!$A:$D,4,FALSE()),""))</f>
        <v/>
      </c>
      <c r="H1021" s="22"/>
    </row>
    <row r="1022" spans="1:8">
      <c r="A1022" s="21"/>
      <c r="B1022" s="22"/>
      <c r="C1022" s="22"/>
      <c r="D1022" s="22"/>
      <c r="E1022" s="23" t="str">
        <f>IF($D1022="","",IFERROR(VLOOKUP($D1022,'ACAH Capital Tracker'!$A:$H,8,FALSE()),""))</f>
        <v/>
      </c>
      <c r="F1022" s="24"/>
      <c r="G1022" s="25" t="str">
        <f>IF($D1022="","",IFERROR(VLOOKUP($D1022,'ACAH Capital Tracker'!$A:$D,4,FALSE()),""))</f>
        <v/>
      </c>
      <c r="H1022" s="22"/>
    </row>
    <row r="1023" spans="1:8">
      <c r="A1023" s="21"/>
      <c r="B1023" s="22"/>
      <c r="C1023" s="22"/>
      <c r="D1023" s="22"/>
      <c r="E1023" s="23" t="str">
        <f>IF($D1023="","",IFERROR(VLOOKUP($D1023,'ACAH Capital Tracker'!$A:$H,8,FALSE()),""))</f>
        <v/>
      </c>
      <c r="F1023" s="24"/>
      <c r="G1023" s="25" t="str">
        <f>IF($D1023="","",IFERROR(VLOOKUP($D1023,'ACAH Capital Tracker'!$A:$D,4,FALSE()),""))</f>
        <v/>
      </c>
      <c r="H1023" s="22"/>
    </row>
    <row r="1024" spans="1:8">
      <c r="A1024" s="21"/>
      <c r="B1024" s="22"/>
      <c r="C1024" s="22"/>
      <c r="D1024" s="22"/>
      <c r="E1024" s="23" t="str">
        <f>IF($D1024="","",IFERROR(VLOOKUP($D1024,'ACAH Capital Tracker'!$A:$H,8,FALSE()),""))</f>
        <v/>
      </c>
      <c r="F1024" s="24"/>
      <c r="G1024" s="25" t="str">
        <f>IF($D1024="","",IFERROR(VLOOKUP($D1024,'ACAH Capital Tracker'!$A:$D,4,FALSE()),""))</f>
        <v/>
      </c>
      <c r="H1024" s="22"/>
    </row>
    <row r="1025" spans="1:8">
      <c r="A1025" s="21"/>
      <c r="B1025" s="22"/>
      <c r="C1025" s="22"/>
      <c r="D1025" s="22"/>
      <c r="E1025" s="23" t="str">
        <f>IF($D1025="","",IFERROR(VLOOKUP($D1025,'ACAH Capital Tracker'!$A:$H,8,FALSE()),""))</f>
        <v/>
      </c>
      <c r="F1025" s="24"/>
      <c r="G1025" s="25" t="str">
        <f>IF($D1025="","",IFERROR(VLOOKUP($D1025,'ACAH Capital Tracker'!$A:$D,4,FALSE()),""))</f>
        <v/>
      </c>
      <c r="H1025" s="22"/>
    </row>
    <row r="1026" spans="1:8">
      <c r="A1026" s="21"/>
      <c r="B1026" s="22"/>
      <c r="C1026" s="22"/>
      <c r="D1026" s="22"/>
      <c r="E1026" s="23" t="str">
        <f>IF($D1026="","",IFERROR(VLOOKUP($D1026,'ACAH Capital Tracker'!$A:$H,8,FALSE()),""))</f>
        <v/>
      </c>
      <c r="F1026" s="24"/>
      <c r="G1026" s="25" t="str">
        <f>IF($D1026="","",IFERROR(VLOOKUP($D1026,'ACAH Capital Tracker'!$A:$D,4,FALSE()),""))</f>
        <v/>
      </c>
      <c r="H1026" s="22"/>
    </row>
    <row r="1027" spans="1:8">
      <c r="A1027" s="21"/>
      <c r="B1027" s="22"/>
      <c r="C1027" s="22"/>
      <c r="D1027" s="22"/>
      <c r="E1027" s="23" t="str">
        <f>IF($D1027="","",IFERROR(VLOOKUP($D1027,'ACAH Capital Tracker'!$A:$H,8,FALSE()),""))</f>
        <v/>
      </c>
      <c r="F1027" s="24"/>
      <c r="G1027" s="25" t="str">
        <f>IF($D1027="","",IFERROR(VLOOKUP($D1027,'ACAH Capital Tracker'!$A:$D,4,FALSE()),""))</f>
        <v/>
      </c>
      <c r="H1027" s="22"/>
    </row>
    <row r="1028" spans="1:8">
      <c r="A1028" s="21"/>
      <c r="B1028" s="22"/>
      <c r="C1028" s="22"/>
      <c r="D1028" s="22"/>
      <c r="E1028" s="23" t="str">
        <f>IF($D1028="","",IFERROR(VLOOKUP($D1028,'ACAH Capital Tracker'!$A:$H,8,FALSE()),""))</f>
        <v/>
      </c>
      <c r="F1028" s="24"/>
      <c r="G1028" s="25" t="str">
        <f>IF($D1028="","",IFERROR(VLOOKUP($D1028,'ACAH Capital Tracker'!$A:$D,4,FALSE()),""))</f>
        <v/>
      </c>
      <c r="H1028" s="22"/>
    </row>
    <row r="1029" spans="1:8">
      <c r="A1029" s="21"/>
      <c r="B1029" s="22"/>
      <c r="C1029" s="22"/>
      <c r="D1029" s="22"/>
      <c r="E1029" s="23" t="str">
        <f>IF($D1029="","",IFERROR(VLOOKUP($D1029,'ACAH Capital Tracker'!$A:$H,8,FALSE()),""))</f>
        <v/>
      </c>
      <c r="F1029" s="24"/>
      <c r="G1029" s="25" t="str">
        <f>IF($D1029="","",IFERROR(VLOOKUP($D1029,'ACAH Capital Tracker'!$A:$D,4,FALSE()),""))</f>
        <v/>
      </c>
      <c r="H1029" s="22"/>
    </row>
    <row r="1030" spans="1:8">
      <c r="A1030" s="21"/>
      <c r="B1030" s="22"/>
      <c r="C1030" s="22"/>
      <c r="D1030" s="22"/>
      <c r="E1030" s="23" t="str">
        <f>IF($D1030="","",IFERROR(VLOOKUP($D1030,'ACAH Capital Tracker'!$A:$H,8,FALSE()),""))</f>
        <v/>
      </c>
      <c r="F1030" s="24"/>
      <c r="G1030" s="25" t="str">
        <f>IF($D1030="","",IFERROR(VLOOKUP($D1030,'ACAH Capital Tracker'!$A:$D,4,FALSE()),""))</f>
        <v/>
      </c>
      <c r="H1030" s="22"/>
    </row>
    <row r="1031" spans="1:8">
      <c r="A1031" s="21"/>
      <c r="B1031" s="22"/>
      <c r="C1031" s="22"/>
      <c r="D1031" s="22"/>
      <c r="E1031" s="23" t="str">
        <f>IF($D1031="","",IFERROR(VLOOKUP($D1031,'ACAH Capital Tracker'!$A:$H,8,FALSE()),""))</f>
        <v/>
      </c>
      <c r="F1031" s="24"/>
      <c r="G1031" s="25" t="str">
        <f>IF($D1031="","",IFERROR(VLOOKUP($D1031,'ACAH Capital Tracker'!$A:$D,4,FALSE()),""))</f>
        <v/>
      </c>
      <c r="H1031" s="22"/>
    </row>
    <row r="1032" spans="1:8">
      <c r="A1032" s="21"/>
      <c r="B1032" s="22"/>
      <c r="C1032" s="22"/>
      <c r="D1032" s="22"/>
      <c r="E1032" s="23" t="str">
        <f>IF($D1032="","",IFERROR(VLOOKUP($D1032,'ACAH Capital Tracker'!$A:$H,8,FALSE()),""))</f>
        <v/>
      </c>
      <c r="F1032" s="24"/>
      <c r="G1032" s="25" t="str">
        <f>IF($D1032="","",IFERROR(VLOOKUP($D1032,'ACAH Capital Tracker'!$A:$D,4,FALSE()),""))</f>
        <v/>
      </c>
      <c r="H1032" s="22"/>
    </row>
    <row r="1033" spans="1:8">
      <c r="A1033" s="21"/>
      <c r="B1033" s="22"/>
      <c r="C1033" s="22"/>
      <c r="D1033" s="22"/>
      <c r="E1033" s="23" t="str">
        <f>IF($D1033="","",IFERROR(VLOOKUP($D1033,'ACAH Capital Tracker'!$A:$H,8,FALSE()),""))</f>
        <v/>
      </c>
      <c r="F1033" s="24"/>
      <c r="G1033" s="25" t="str">
        <f>IF($D1033="","",IFERROR(VLOOKUP($D1033,'ACAH Capital Tracker'!$A:$D,4,FALSE()),""))</f>
        <v/>
      </c>
      <c r="H1033" s="22"/>
    </row>
    <row r="1034" spans="1:8">
      <c r="A1034" s="21"/>
      <c r="B1034" s="22"/>
      <c r="C1034" s="22"/>
      <c r="D1034" s="22"/>
      <c r="E1034" s="23" t="str">
        <f>IF($D1034="","",IFERROR(VLOOKUP($D1034,'ACAH Capital Tracker'!$A:$H,8,FALSE()),""))</f>
        <v/>
      </c>
      <c r="F1034" s="24"/>
      <c r="G1034" s="25" t="str">
        <f>IF($D1034="","",IFERROR(VLOOKUP($D1034,'ACAH Capital Tracker'!$A:$D,4,FALSE()),""))</f>
        <v/>
      </c>
      <c r="H1034" s="22"/>
    </row>
    <row r="1035" spans="1:8">
      <c r="A1035" s="21"/>
      <c r="B1035" s="22"/>
      <c r="C1035" s="22"/>
      <c r="D1035" s="22"/>
      <c r="E1035" s="23" t="str">
        <f>IF($D1035="","",IFERROR(VLOOKUP($D1035,'ACAH Capital Tracker'!$A:$H,8,FALSE()),""))</f>
        <v/>
      </c>
      <c r="F1035" s="24"/>
      <c r="G1035" s="25" t="str">
        <f>IF($D1035="","",IFERROR(VLOOKUP($D1035,'ACAH Capital Tracker'!$A:$D,4,FALSE()),""))</f>
        <v/>
      </c>
      <c r="H1035" s="22"/>
    </row>
    <row r="1036" spans="1:8">
      <c r="A1036" s="21"/>
      <c r="B1036" s="22"/>
      <c r="C1036" s="22"/>
      <c r="D1036" s="22"/>
      <c r="E1036" s="23" t="str">
        <f>IF($D1036="","",IFERROR(VLOOKUP($D1036,'ACAH Capital Tracker'!$A:$H,8,FALSE()),""))</f>
        <v/>
      </c>
      <c r="F1036" s="24"/>
      <c r="G1036" s="25" t="str">
        <f>IF($D1036="","",IFERROR(VLOOKUP($D1036,'ACAH Capital Tracker'!$A:$D,4,FALSE()),""))</f>
        <v/>
      </c>
      <c r="H1036" s="22"/>
    </row>
    <row r="1037" spans="1:8">
      <c r="A1037" s="21"/>
      <c r="B1037" s="22"/>
      <c r="C1037" s="22"/>
      <c r="D1037" s="22"/>
      <c r="E1037" s="23" t="str">
        <f>IF($D1037="","",IFERROR(VLOOKUP($D1037,'ACAH Capital Tracker'!$A:$H,8,FALSE()),""))</f>
        <v/>
      </c>
      <c r="F1037" s="24"/>
      <c r="G1037" s="25" t="str">
        <f>IF($D1037="","",IFERROR(VLOOKUP($D1037,'ACAH Capital Tracker'!$A:$D,4,FALSE()),""))</f>
        <v/>
      </c>
      <c r="H1037" s="22"/>
    </row>
    <row r="1038" spans="1:8">
      <c r="A1038" s="21"/>
      <c r="B1038" s="22"/>
      <c r="C1038" s="22"/>
      <c r="D1038" s="22"/>
      <c r="E1038" s="23" t="str">
        <f>IF($D1038="","",IFERROR(VLOOKUP($D1038,'ACAH Capital Tracker'!$A:$H,8,FALSE()),""))</f>
        <v/>
      </c>
      <c r="F1038" s="24"/>
      <c r="G1038" s="25" t="str">
        <f>IF($D1038="","",IFERROR(VLOOKUP($D1038,'ACAH Capital Tracker'!$A:$D,4,FALSE()),""))</f>
        <v/>
      </c>
      <c r="H1038" s="22"/>
    </row>
    <row r="1039" spans="1:8">
      <c r="A1039" s="21"/>
      <c r="B1039" s="22"/>
      <c r="C1039" s="22"/>
      <c r="D1039" s="22"/>
      <c r="E1039" s="23" t="str">
        <f>IF($D1039="","",IFERROR(VLOOKUP($D1039,'ACAH Capital Tracker'!$A:$H,8,FALSE()),""))</f>
        <v/>
      </c>
      <c r="F1039" s="24"/>
      <c r="G1039" s="25" t="str">
        <f>IF($D1039="","",IFERROR(VLOOKUP($D1039,'ACAH Capital Tracker'!$A:$D,4,FALSE()),""))</f>
        <v/>
      </c>
      <c r="H1039" s="22"/>
    </row>
    <row r="1040" spans="1:8">
      <c r="A1040" s="21"/>
      <c r="B1040" s="22"/>
      <c r="C1040" s="22"/>
      <c r="D1040" s="22"/>
      <c r="E1040" s="23" t="str">
        <f>IF($D1040="","",IFERROR(VLOOKUP($D1040,'ACAH Capital Tracker'!$A:$H,8,FALSE()),""))</f>
        <v/>
      </c>
      <c r="F1040" s="24"/>
      <c r="G1040" s="25" t="str">
        <f>IF($D1040="","",IFERROR(VLOOKUP($D1040,'ACAH Capital Tracker'!$A:$D,4,FALSE()),""))</f>
        <v/>
      </c>
      <c r="H1040" s="22"/>
    </row>
    <row r="1041" spans="1:8">
      <c r="A1041" s="21"/>
      <c r="B1041" s="22"/>
      <c r="C1041" s="22"/>
      <c r="D1041" s="22"/>
      <c r="E1041" s="23" t="str">
        <f>IF($D1041="","",IFERROR(VLOOKUP($D1041,'ACAH Capital Tracker'!$A:$H,8,FALSE()),""))</f>
        <v/>
      </c>
      <c r="F1041" s="24"/>
      <c r="G1041" s="25" t="str">
        <f>IF($D1041="","",IFERROR(VLOOKUP($D1041,'ACAH Capital Tracker'!$A:$D,4,FALSE()),""))</f>
        <v/>
      </c>
      <c r="H1041" s="22"/>
    </row>
    <row r="1042" spans="1:8">
      <c r="A1042" s="21"/>
      <c r="B1042" s="22"/>
      <c r="C1042" s="22"/>
      <c r="D1042" s="22"/>
      <c r="E1042" s="23" t="str">
        <f>IF($D1042="","",IFERROR(VLOOKUP($D1042,'ACAH Capital Tracker'!$A:$H,8,FALSE()),""))</f>
        <v/>
      </c>
      <c r="F1042" s="24"/>
      <c r="G1042" s="25" t="str">
        <f>IF($D1042="","",IFERROR(VLOOKUP($D1042,'ACAH Capital Tracker'!$A:$D,4,FALSE()),""))</f>
        <v/>
      </c>
      <c r="H1042" s="22"/>
    </row>
    <row r="1043" spans="1:8">
      <c r="A1043" s="21"/>
      <c r="B1043" s="22"/>
      <c r="C1043" s="22"/>
      <c r="D1043" s="22"/>
      <c r="E1043" s="23" t="str">
        <f>IF($D1043="","",IFERROR(VLOOKUP($D1043,'ACAH Capital Tracker'!$A:$H,8,FALSE()),""))</f>
        <v/>
      </c>
      <c r="F1043" s="24"/>
      <c r="G1043" s="25" t="str">
        <f>IF($D1043="","",IFERROR(VLOOKUP($D1043,'ACAH Capital Tracker'!$A:$D,4,FALSE()),""))</f>
        <v/>
      </c>
      <c r="H1043" s="22"/>
    </row>
    <row r="1044" spans="1:8">
      <c r="A1044" s="21"/>
      <c r="B1044" s="22"/>
      <c r="C1044" s="22"/>
      <c r="D1044" s="22"/>
      <c r="E1044" s="23" t="str">
        <f>IF($D1044="","",IFERROR(VLOOKUP($D1044,'ACAH Capital Tracker'!$A:$H,8,FALSE()),""))</f>
        <v/>
      </c>
      <c r="F1044" s="24"/>
      <c r="G1044" s="25" t="str">
        <f>IF($D1044="","",IFERROR(VLOOKUP($D1044,'ACAH Capital Tracker'!$A:$D,4,FALSE()),""))</f>
        <v/>
      </c>
      <c r="H1044" s="22"/>
    </row>
    <row r="1045" spans="1:8">
      <c r="A1045" s="21"/>
      <c r="B1045" s="22"/>
      <c r="C1045" s="22"/>
      <c r="D1045" s="22"/>
      <c r="E1045" s="23" t="str">
        <f>IF($D1045="","",IFERROR(VLOOKUP($D1045,'ACAH Capital Tracker'!$A:$H,8,FALSE()),""))</f>
        <v/>
      </c>
      <c r="F1045" s="24"/>
      <c r="G1045" s="25" t="str">
        <f>IF($D1045="","",IFERROR(VLOOKUP($D1045,'ACAH Capital Tracker'!$A:$D,4,FALSE()),""))</f>
        <v/>
      </c>
      <c r="H1045" s="22"/>
    </row>
    <row r="1046" spans="1:8">
      <c r="A1046" s="21"/>
      <c r="B1046" s="22"/>
      <c r="C1046" s="22"/>
      <c r="D1046" s="22"/>
      <c r="E1046" s="23" t="str">
        <f>IF($D1046="","",IFERROR(VLOOKUP($D1046,'ACAH Capital Tracker'!$A:$H,8,FALSE()),""))</f>
        <v/>
      </c>
      <c r="F1046" s="24"/>
      <c r="G1046" s="25" t="str">
        <f>IF($D1046="","",IFERROR(VLOOKUP($D1046,'ACAH Capital Tracker'!$A:$D,4,FALSE()),""))</f>
        <v/>
      </c>
      <c r="H1046" s="22"/>
    </row>
    <row r="1047" spans="1:8">
      <c r="A1047" s="21"/>
      <c r="B1047" s="22"/>
      <c r="C1047" s="22"/>
      <c r="D1047" s="22"/>
      <c r="E1047" s="23" t="str">
        <f>IF($D1047="","",IFERROR(VLOOKUP($D1047,'ACAH Capital Tracker'!$A:$H,8,FALSE()),""))</f>
        <v/>
      </c>
      <c r="F1047" s="24"/>
      <c r="G1047" s="25" t="str">
        <f>IF($D1047="","",IFERROR(VLOOKUP($D1047,'ACAH Capital Tracker'!$A:$D,4,FALSE()),""))</f>
        <v/>
      </c>
      <c r="H1047" s="22"/>
    </row>
    <row r="1048" spans="1:8">
      <c r="A1048" s="21"/>
      <c r="B1048" s="22"/>
      <c r="C1048" s="22"/>
      <c r="D1048" s="22"/>
      <c r="E1048" s="23" t="str">
        <f>IF($D1048="","",IFERROR(VLOOKUP($D1048,'ACAH Capital Tracker'!$A:$H,8,FALSE()),""))</f>
        <v/>
      </c>
      <c r="F1048" s="24"/>
      <c r="G1048" s="25" t="str">
        <f>IF($D1048="","",IFERROR(VLOOKUP($D1048,'ACAH Capital Tracker'!$A:$D,4,FALSE()),""))</f>
        <v/>
      </c>
      <c r="H1048" s="22"/>
    </row>
    <row r="1049" spans="1:8">
      <c r="A1049" s="21"/>
      <c r="B1049" s="22"/>
      <c r="C1049" s="22"/>
      <c r="D1049" s="22"/>
      <c r="E1049" s="23" t="str">
        <f>IF($D1049="","",IFERROR(VLOOKUP($D1049,'ACAH Capital Tracker'!$A:$H,8,FALSE()),""))</f>
        <v/>
      </c>
      <c r="F1049" s="24"/>
      <c r="G1049" s="25" t="str">
        <f>IF($D1049="","",IFERROR(VLOOKUP($D1049,'ACAH Capital Tracker'!$A:$D,4,FALSE()),""))</f>
        <v/>
      </c>
      <c r="H1049" s="22"/>
    </row>
    <row r="1050" spans="1:8">
      <c r="A1050" s="21"/>
      <c r="B1050" s="22"/>
      <c r="C1050" s="22"/>
      <c r="D1050" s="22"/>
      <c r="E1050" s="23" t="str">
        <f>IF($D1050="","",IFERROR(VLOOKUP($D1050,'ACAH Capital Tracker'!$A:$H,8,FALSE()),""))</f>
        <v/>
      </c>
      <c r="F1050" s="24"/>
      <c r="G1050" s="25" t="str">
        <f>IF($D1050="","",IFERROR(VLOOKUP($D1050,'ACAH Capital Tracker'!$A:$D,4,FALSE()),""))</f>
        <v/>
      </c>
      <c r="H1050" s="22"/>
    </row>
    <row r="1051" spans="1:8">
      <c r="A1051" s="21"/>
      <c r="B1051" s="22"/>
      <c r="C1051" s="22"/>
      <c r="D1051" s="22"/>
      <c r="E1051" s="23" t="str">
        <f>IF($D1051="","",IFERROR(VLOOKUP($D1051,'ACAH Capital Tracker'!$A:$H,8,FALSE()),""))</f>
        <v/>
      </c>
      <c r="F1051" s="24"/>
      <c r="G1051" s="25" t="str">
        <f>IF($D1051="","",IFERROR(VLOOKUP($D1051,'ACAH Capital Tracker'!$A:$D,4,FALSE()),""))</f>
        <v/>
      </c>
      <c r="H1051" s="22"/>
    </row>
    <row r="1052" spans="1:8">
      <c r="A1052" s="21"/>
      <c r="B1052" s="22"/>
      <c r="C1052" s="22"/>
      <c r="D1052" s="22"/>
      <c r="E1052" s="23" t="str">
        <f>IF($D1052="","",IFERROR(VLOOKUP($D1052,'ACAH Capital Tracker'!$A:$H,8,FALSE()),""))</f>
        <v/>
      </c>
      <c r="F1052" s="24"/>
      <c r="G1052" s="25" t="str">
        <f>IF($D1052="","",IFERROR(VLOOKUP($D1052,'ACAH Capital Tracker'!$A:$D,4,FALSE()),""))</f>
        <v/>
      </c>
      <c r="H1052" s="22"/>
    </row>
    <row r="1053" spans="1:8">
      <c r="A1053" s="21"/>
      <c r="B1053" s="22"/>
      <c r="C1053" s="22"/>
      <c r="D1053" s="22"/>
      <c r="E1053" s="23" t="str">
        <f>IF($D1053="","",IFERROR(VLOOKUP($D1053,'ACAH Capital Tracker'!$A:$H,8,FALSE()),""))</f>
        <v/>
      </c>
      <c r="F1053" s="24"/>
      <c r="G1053" s="25" t="str">
        <f>IF($D1053="","",IFERROR(VLOOKUP($D1053,'ACAH Capital Tracker'!$A:$D,4,FALSE()),""))</f>
        <v/>
      </c>
      <c r="H1053" s="22"/>
    </row>
    <row r="1054" spans="1:8">
      <c r="A1054" s="21"/>
      <c r="B1054" s="22"/>
      <c r="C1054" s="22"/>
      <c r="D1054" s="22"/>
      <c r="E1054" s="23" t="str">
        <f>IF($D1054="","",IFERROR(VLOOKUP($D1054,'ACAH Capital Tracker'!$A:$H,8,FALSE()),""))</f>
        <v/>
      </c>
      <c r="F1054" s="24"/>
      <c r="G1054" s="25" t="str">
        <f>IF($D1054="","",IFERROR(VLOOKUP($D1054,'ACAH Capital Tracker'!$A:$D,4,FALSE()),""))</f>
        <v/>
      </c>
      <c r="H1054" s="22"/>
    </row>
    <row r="1055" spans="1:8">
      <c r="A1055" s="21"/>
      <c r="B1055" s="22"/>
      <c r="C1055" s="22"/>
      <c r="D1055" s="22"/>
      <c r="E1055" s="23" t="str">
        <f>IF($D1055="","",IFERROR(VLOOKUP($D1055,'ACAH Capital Tracker'!$A:$H,8,FALSE()),""))</f>
        <v/>
      </c>
      <c r="F1055" s="24"/>
      <c r="G1055" s="25" t="str">
        <f>IF($D1055="","",IFERROR(VLOOKUP($D1055,'ACAH Capital Tracker'!$A:$D,4,FALSE()),""))</f>
        <v/>
      </c>
      <c r="H1055" s="22"/>
    </row>
    <row r="1056" spans="1:8">
      <c r="A1056" s="21"/>
      <c r="B1056" s="22"/>
      <c r="C1056" s="22"/>
      <c r="D1056" s="22"/>
      <c r="E1056" s="23" t="str">
        <f>IF($D1056="","",IFERROR(VLOOKUP($D1056,'ACAH Capital Tracker'!$A:$H,8,FALSE()),""))</f>
        <v/>
      </c>
      <c r="F1056" s="24"/>
      <c r="G1056" s="25" t="str">
        <f>IF($D1056="","",IFERROR(VLOOKUP($D1056,'ACAH Capital Tracker'!$A:$D,4,FALSE()),""))</f>
        <v/>
      </c>
      <c r="H1056" s="22"/>
    </row>
    <row r="1057" spans="1:8">
      <c r="A1057" s="21"/>
      <c r="B1057" s="22"/>
      <c r="C1057" s="22"/>
      <c r="D1057" s="22"/>
      <c r="E1057" s="23" t="str">
        <f>IF($D1057="","",IFERROR(VLOOKUP($D1057,'ACAH Capital Tracker'!$A:$H,8,FALSE()),""))</f>
        <v/>
      </c>
      <c r="F1057" s="24"/>
      <c r="G1057" s="25" t="str">
        <f>IF($D1057="","",IFERROR(VLOOKUP($D1057,'ACAH Capital Tracker'!$A:$D,4,FALSE()),""))</f>
        <v/>
      </c>
      <c r="H1057" s="22"/>
    </row>
    <row r="1058" spans="1:8">
      <c r="A1058" s="21"/>
      <c r="B1058" s="22"/>
      <c r="C1058" s="22"/>
      <c r="D1058" s="22"/>
      <c r="E1058" s="23" t="str">
        <f>IF($D1058="","",IFERROR(VLOOKUP($D1058,'ACAH Capital Tracker'!$A:$H,8,FALSE()),""))</f>
        <v/>
      </c>
      <c r="F1058" s="24"/>
      <c r="G1058" s="25" t="str">
        <f>IF($D1058="","",IFERROR(VLOOKUP($D1058,'ACAH Capital Tracker'!$A:$D,4,FALSE()),""))</f>
        <v/>
      </c>
      <c r="H1058" s="22"/>
    </row>
    <row r="1059" spans="1:8">
      <c r="A1059" s="21"/>
      <c r="B1059" s="22"/>
      <c r="C1059" s="22"/>
      <c r="D1059" s="22"/>
      <c r="E1059" s="23" t="str">
        <f>IF($D1059="","",IFERROR(VLOOKUP($D1059,'ACAH Capital Tracker'!$A:$H,8,FALSE()),""))</f>
        <v/>
      </c>
      <c r="F1059" s="24"/>
      <c r="G1059" s="25" t="str">
        <f>IF($D1059="","",IFERROR(VLOOKUP($D1059,'ACAH Capital Tracker'!$A:$D,4,FALSE()),""))</f>
        <v/>
      </c>
      <c r="H1059" s="22"/>
    </row>
    <row r="1060" spans="1:8">
      <c r="A1060" s="21"/>
      <c r="B1060" s="22"/>
      <c r="C1060" s="22"/>
      <c r="D1060" s="22"/>
      <c r="E1060" s="23" t="str">
        <f>IF($D1060="","",IFERROR(VLOOKUP($D1060,'ACAH Capital Tracker'!$A:$H,8,FALSE()),""))</f>
        <v/>
      </c>
      <c r="F1060" s="24"/>
      <c r="G1060" s="25" t="str">
        <f>IF($D1060="","",IFERROR(VLOOKUP($D1060,'ACAH Capital Tracker'!$A:$D,4,FALSE()),""))</f>
        <v/>
      </c>
      <c r="H1060" s="22"/>
    </row>
    <row r="1061" spans="1:8">
      <c r="A1061" s="21"/>
      <c r="B1061" s="22"/>
      <c r="C1061" s="22"/>
      <c r="D1061" s="22"/>
      <c r="E1061" s="23" t="str">
        <f>IF($D1061="","",IFERROR(VLOOKUP($D1061,'ACAH Capital Tracker'!$A:$H,8,FALSE()),""))</f>
        <v/>
      </c>
      <c r="F1061" s="24"/>
      <c r="G1061" s="25" t="str">
        <f>IF($D1061="","",IFERROR(VLOOKUP($D1061,'ACAH Capital Tracker'!$A:$D,4,FALSE()),""))</f>
        <v/>
      </c>
      <c r="H1061" s="22"/>
    </row>
    <row r="1062" spans="1:8">
      <c r="A1062" s="21"/>
      <c r="B1062" s="22"/>
      <c r="C1062" s="22"/>
      <c r="D1062" s="22"/>
      <c r="E1062" s="23" t="str">
        <f>IF($D1062="","",IFERROR(VLOOKUP($D1062,'ACAH Capital Tracker'!$A:$H,8,FALSE()),""))</f>
        <v/>
      </c>
      <c r="F1062" s="24"/>
      <c r="G1062" s="25" t="str">
        <f>IF($D1062="","",IFERROR(VLOOKUP($D1062,'ACAH Capital Tracker'!$A:$D,4,FALSE()),""))</f>
        <v/>
      </c>
      <c r="H1062" s="22"/>
    </row>
    <row r="1063" spans="1:8">
      <c r="A1063" s="21"/>
      <c r="B1063" s="22"/>
      <c r="C1063" s="22"/>
      <c r="D1063" s="22"/>
      <c r="E1063" s="23" t="str">
        <f>IF($D1063="","",IFERROR(VLOOKUP($D1063,'ACAH Capital Tracker'!$A:$H,8,FALSE()),""))</f>
        <v/>
      </c>
      <c r="F1063" s="24"/>
      <c r="G1063" s="25" t="str">
        <f>IF($D1063="","",IFERROR(VLOOKUP($D1063,'ACAH Capital Tracker'!$A:$D,4,FALSE()),""))</f>
        <v/>
      </c>
      <c r="H1063" s="22"/>
    </row>
    <row r="1064" spans="1:8">
      <c r="A1064" s="21"/>
      <c r="B1064" s="22"/>
      <c r="C1064" s="22"/>
      <c r="D1064" s="22"/>
      <c r="E1064" s="23" t="str">
        <f>IF($D1064="","",IFERROR(VLOOKUP($D1064,'ACAH Capital Tracker'!$A:$H,8,FALSE()),""))</f>
        <v/>
      </c>
      <c r="F1064" s="24"/>
      <c r="G1064" s="25" t="str">
        <f>IF($D1064="","",IFERROR(VLOOKUP($D1064,'ACAH Capital Tracker'!$A:$D,4,FALSE()),""))</f>
        <v/>
      </c>
      <c r="H1064" s="22"/>
    </row>
    <row r="1065" spans="1:8">
      <c r="A1065" s="21"/>
      <c r="B1065" s="22"/>
      <c r="C1065" s="22"/>
      <c r="D1065" s="22"/>
      <c r="E1065" s="23" t="str">
        <f>IF($D1065="","",IFERROR(VLOOKUP($D1065,'ACAH Capital Tracker'!$A:$H,8,FALSE()),""))</f>
        <v/>
      </c>
      <c r="F1065" s="24"/>
      <c r="G1065" s="25" t="str">
        <f>IF($D1065="","",IFERROR(VLOOKUP($D1065,'ACAH Capital Tracker'!$A:$D,4,FALSE()),""))</f>
        <v/>
      </c>
      <c r="H1065" s="22"/>
    </row>
    <row r="1066" spans="1:8">
      <c r="A1066" s="21"/>
      <c r="B1066" s="22"/>
      <c r="C1066" s="22"/>
      <c r="D1066" s="22"/>
      <c r="E1066" s="23" t="str">
        <f>IF($D1066="","",IFERROR(VLOOKUP($D1066,'ACAH Capital Tracker'!$A:$H,8,FALSE()),""))</f>
        <v/>
      </c>
      <c r="F1066" s="24"/>
      <c r="G1066" s="25" t="str">
        <f>IF($D1066="","",IFERROR(VLOOKUP($D1066,'ACAH Capital Tracker'!$A:$D,4,FALSE()),""))</f>
        <v/>
      </c>
      <c r="H1066" s="22"/>
    </row>
    <row r="1067" spans="1:8">
      <c r="A1067" s="21"/>
      <c r="B1067" s="22"/>
      <c r="C1067" s="22"/>
      <c r="D1067" s="22"/>
      <c r="E1067" s="23" t="str">
        <f>IF($D1067="","",IFERROR(VLOOKUP($D1067,'ACAH Capital Tracker'!$A:$H,8,FALSE()),""))</f>
        <v/>
      </c>
      <c r="F1067" s="24"/>
      <c r="G1067" s="25" t="str">
        <f>IF($D1067="","",IFERROR(VLOOKUP($D1067,'ACAH Capital Tracker'!$A:$D,4,FALSE()),""))</f>
        <v/>
      </c>
      <c r="H1067" s="22"/>
    </row>
    <row r="1068" spans="1:8">
      <c r="A1068" s="21"/>
      <c r="B1068" s="22"/>
      <c r="C1068" s="22"/>
      <c r="D1068" s="22"/>
      <c r="E1068" s="23" t="str">
        <f>IF($D1068="","",IFERROR(VLOOKUP($D1068,'ACAH Capital Tracker'!$A:$H,8,FALSE()),""))</f>
        <v/>
      </c>
      <c r="F1068" s="24"/>
      <c r="G1068" s="25" t="str">
        <f>IF($D1068="","",IFERROR(VLOOKUP($D1068,'ACAH Capital Tracker'!$A:$D,4,FALSE()),""))</f>
        <v/>
      </c>
      <c r="H1068" s="22"/>
    </row>
    <row r="1069" spans="1:8">
      <c r="A1069" s="21"/>
      <c r="B1069" s="22"/>
      <c r="C1069" s="22"/>
      <c r="D1069" s="22"/>
      <c r="E1069" s="23" t="str">
        <f>IF($D1069="","",IFERROR(VLOOKUP($D1069,'ACAH Capital Tracker'!$A:$H,8,FALSE()),""))</f>
        <v/>
      </c>
      <c r="F1069" s="24"/>
      <c r="G1069" s="25" t="str">
        <f>IF($D1069="","",IFERROR(VLOOKUP($D1069,'ACAH Capital Tracker'!$A:$D,4,FALSE()),""))</f>
        <v/>
      </c>
      <c r="H1069" s="22"/>
    </row>
    <row r="1070" spans="1:8">
      <c r="A1070" s="21"/>
      <c r="B1070" s="22"/>
      <c r="C1070" s="22"/>
      <c r="D1070" s="22"/>
      <c r="E1070" s="23" t="str">
        <f>IF($D1070="","",IFERROR(VLOOKUP($D1070,'ACAH Capital Tracker'!$A:$H,8,FALSE()),""))</f>
        <v/>
      </c>
      <c r="F1070" s="24"/>
      <c r="G1070" s="25" t="str">
        <f>IF($D1070="","",IFERROR(VLOOKUP($D1070,'ACAH Capital Tracker'!$A:$D,4,FALSE()),""))</f>
        <v/>
      </c>
      <c r="H1070" s="22"/>
    </row>
    <row r="1071" spans="1:8">
      <c r="A1071" s="21"/>
      <c r="B1071" s="22"/>
      <c r="C1071" s="22"/>
      <c r="D1071" s="22"/>
      <c r="E1071" s="23" t="str">
        <f>IF($D1071="","",IFERROR(VLOOKUP($D1071,'ACAH Capital Tracker'!$A:$H,8,FALSE()),""))</f>
        <v/>
      </c>
      <c r="F1071" s="24"/>
      <c r="G1071" s="25" t="str">
        <f>IF($D1071="","",IFERROR(VLOOKUP($D1071,'ACAH Capital Tracker'!$A:$D,4,FALSE()),""))</f>
        <v/>
      </c>
      <c r="H1071" s="22"/>
    </row>
    <row r="1072" spans="1:8">
      <c r="A1072" s="21"/>
      <c r="B1072" s="22"/>
      <c r="C1072" s="22"/>
      <c r="D1072" s="22"/>
      <c r="E1072" s="23" t="str">
        <f>IF($D1072="","",IFERROR(VLOOKUP($D1072,'ACAH Capital Tracker'!$A:$H,8,FALSE()),""))</f>
        <v/>
      </c>
      <c r="F1072" s="24"/>
      <c r="G1072" s="25" t="str">
        <f>IF($D1072="","",IFERROR(VLOOKUP($D1072,'ACAH Capital Tracker'!$A:$D,4,FALSE()),""))</f>
        <v/>
      </c>
      <c r="H1072" s="22"/>
    </row>
    <row r="1073" spans="1:8">
      <c r="A1073" s="21"/>
      <c r="B1073" s="22"/>
      <c r="C1073" s="22"/>
      <c r="D1073" s="22"/>
      <c r="E1073" s="23" t="str">
        <f>IF($D1073="","",IFERROR(VLOOKUP($D1073,'ACAH Capital Tracker'!$A:$H,8,FALSE()),""))</f>
        <v/>
      </c>
      <c r="F1073" s="24"/>
      <c r="G1073" s="25" t="str">
        <f>IF($D1073="","",IFERROR(VLOOKUP($D1073,'ACAH Capital Tracker'!$A:$D,4,FALSE()),""))</f>
        <v/>
      </c>
      <c r="H1073" s="22"/>
    </row>
    <row r="1074" spans="1:8">
      <c r="A1074" s="21"/>
      <c r="B1074" s="22"/>
      <c r="C1074" s="22"/>
      <c r="D1074" s="22"/>
      <c r="E1074" s="23" t="str">
        <f>IF($D1074="","",IFERROR(VLOOKUP($D1074,'ACAH Capital Tracker'!$A:$H,8,FALSE()),""))</f>
        <v/>
      </c>
      <c r="F1074" s="24"/>
      <c r="G1074" s="25" t="str">
        <f>IF($D1074="","",IFERROR(VLOOKUP($D1074,'ACAH Capital Tracker'!$A:$D,4,FALSE()),""))</f>
        <v/>
      </c>
      <c r="H1074" s="22"/>
    </row>
    <row r="1075" spans="1:8">
      <c r="A1075" s="21"/>
      <c r="B1075" s="22"/>
      <c r="C1075" s="22"/>
      <c r="D1075" s="22"/>
      <c r="E1075" s="23" t="str">
        <f>IF($D1075="","",IFERROR(VLOOKUP($D1075,'ACAH Capital Tracker'!$A:$H,8,FALSE()),""))</f>
        <v/>
      </c>
      <c r="F1075" s="24"/>
      <c r="G1075" s="25" t="str">
        <f>IF($D1075="","",IFERROR(VLOOKUP($D1075,'ACAH Capital Tracker'!$A:$D,4,FALSE()),""))</f>
        <v/>
      </c>
      <c r="H1075" s="22"/>
    </row>
    <row r="1076" spans="1:8">
      <c r="A1076" s="21"/>
      <c r="B1076" s="22"/>
      <c r="C1076" s="22"/>
      <c r="D1076" s="22"/>
      <c r="E1076" s="23" t="str">
        <f>IF($D1076="","",IFERROR(VLOOKUP($D1076,'ACAH Capital Tracker'!$A:$H,8,FALSE()),""))</f>
        <v/>
      </c>
      <c r="F1076" s="24"/>
      <c r="G1076" s="25" t="str">
        <f>IF($D1076="","",IFERROR(VLOOKUP($D1076,'ACAH Capital Tracker'!$A:$D,4,FALSE()),""))</f>
        <v/>
      </c>
      <c r="H1076" s="22"/>
    </row>
    <row r="1077" spans="1:8">
      <c r="A1077" s="21"/>
      <c r="B1077" s="22"/>
      <c r="C1077" s="22"/>
      <c r="D1077" s="22"/>
      <c r="E1077" s="23" t="str">
        <f>IF($D1077="","",IFERROR(VLOOKUP($D1077,'ACAH Capital Tracker'!$A:$H,8,FALSE()),""))</f>
        <v/>
      </c>
      <c r="F1077" s="24"/>
      <c r="G1077" s="25" t="str">
        <f>IF($D1077="","",IFERROR(VLOOKUP($D1077,'ACAH Capital Tracker'!$A:$D,4,FALSE()),""))</f>
        <v/>
      </c>
      <c r="H1077" s="22"/>
    </row>
    <row r="1078" spans="1:8">
      <c r="A1078" s="21"/>
      <c r="B1078" s="22"/>
      <c r="C1078" s="22"/>
      <c r="D1078" s="22"/>
      <c r="E1078" s="23" t="str">
        <f>IF($D1078="","",IFERROR(VLOOKUP($D1078,'ACAH Capital Tracker'!$A:$H,8,FALSE()),""))</f>
        <v/>
      </c>
      <c r="F1078" s="24"/>
      <c r="G1078" s="25" t="str">
        <f>IF($D1078="","",IFERROR(VLOOKUP($D1078,'ACAH Capital Tracker'!$A:$D,4,FALSE()),""))</f>
        <v/>
      </c>
      <c r="H1078" s="22"/>
    </row>
    <row r="1079" spans="1:8">
      <c r="A1079" s="21"/>
      <c r="B1079" s="22"/>
      <c r="C1079" s="22"/>
      <c r="D1079" s="22"/>
      <c r="E1079" s="23" t="str">
        <f>IF($D1079="","",IFERROR(VLOOKUP($D1079,'ACAH Capital Tracker'!$A:$H,8,FALSE()),""))</f>
        <v/>
      </c>
      <c r="F1079" s="24"/>
      <c r="G1079" s="25" t="str">
        <f>IF($D1079="","",IFERROR(VLOOKUP($D1079,'ACAH Capital Tracker'!$A:$D,4,FALSE()),""))</f>
        <v/>
      </c>
      <c r="H1079" s="22"/>
    </row>
    <row r="1080" spans="1:8">
      <c r="A1080" s="21"/>
      <c r="B1080" s="22"/>
      <c r="C1080" s="22"/>
      <c r="D1080" s="22"/>
      <c r="E1080" s="23" t="str">
        <f>IF($D1080="","",IFERROR(VLOOKUP($D1080,'ACAH Capital Tracker'!$A:$H,8,FALSE()),""))</f>
        <v/>
      </c>
      <c r="F1080" s="24"/>
      <c r="G1080" s="25" t="str">
        <f>IF($D1080="","",IFERROR(VLOOKUP($D1080,'ACAH Capital Tracker'!$A:$D,4,FALSE()),""))</f>
        <v/>
      </c>
      <c r="H1080" s="22"/>
    </row>
    <row r="1081" spans="1:8">
      <c r="A1081" s="21"/>
      <c r="B1081" s="22"/>
      <c r="C1081" s="22"/>
      <c r="D1081" s="22"/>
      <c r="E1081" s="23" t="str">
        <f>IF($D1081="","",IFERROR(VLOOKUP($D1081,'ACAH Capital Tracker'!$A:$H,8,FALSE()),""))</f>
        <v/>
      </c>
      <c r="F1081" s="24"/>
      <c r="G1081" s="25" t="str">
        <f>IF($D1081="","",IFERROR(VLOOKUP($D1081,'ACAH Capital Tracker'!$A:$D,4,FALSE()),""))</f>
        <v/>
      </c>
      <c r="H1081" s="22"/>
    </row>
    <row r="1082" spans="1:8">
      <c r="A1082" s="21"/>
      <c r="B1082" s="22"/>
      <c r="C1082" s="22"/>
      <c r="D1082" s="22"/>
      <c r="E1082" s="23" t="str">
        <f>IF($D1082="","",IFERROR(VLOOKUP($D1082,'ACAH Capital Tracker'!$A:$H,8,FALSE()),""))</f>
        <v/>
      </c>
      <c r="F1082" s="24"/>
      <c r="G1082" s="25" t="str">
        <f>IF($D1082="","",IFERROR(VLOOKUP($D1082,'ACAH Capital Tracker'!$A:$D,4,FALSE()),""))</f>
        <v/>
      </c>
      <c r="H1082" s="22"/>
    </row>
    <row r="1083" spans="1:8">
      <c r="A1083" s="21"/>
      <c r="B1083" s="22"/>
      <c r="C1083" s="22"/>
      <c r="D1083" s="22"/>
      <c r="E1083" s="23" t="str">
        <f>IF($D1083="","",IFERROR(VLOOKUP($D1083,'ACAH Capital Tracker'!$A:$H,8,FALSE()),""))</f>
        <v/>
      </c>
      <c r="F1083" s="24"/>
      <c r="G1083" s="25" t="str">
        <f>IF($D1083="","",IFERROR(VLOOKUP($D1083,'ACAH Capital Tracker'!$A:$D,4,FALSE()),""))</f>
        <v/>
      </c>
      <c r="H1083" s="22"/>
    </row>
    <row r="1084" spans="1:8">
      <c r="A1084" s="21"/>
      <c r="B1084" s="22"/>
      <c r="C1084" s="22"/>
      <c r="D1084" s="22"/>
      <c r="E1084" s="23" t="str">
        <f>IF($D1084="","",IFERROR(VLOOKUP($D1084,'ACAH Capital Tracker'!$A:$H,8,FALSE()),""))</f>
        <v/>
      </c>
      <c r="F1084" s="24"/>
      <c r="G1084" s="25" t="str">
        <f>IF($D1084="","",IFERROR(VLOOKUP($D1084,'ACAH Capital Tracker'!$A:$D,4,FALSE()),""))</f>
        <v/>
      </c>
      <c r="H1084" s="22"/>
    </row>
    <row r="1085" spans="1:8">
      <c r="A1085" s="21"/>
      <c r="B1085" s="22"/>
      <c r="C1085" s="22"/>
      <c r="D1085" s="22"/>
      <c r="E1085" s="23" t="str">
        <f>IF($D1085="","",IFERROR(VLOOKUP($D1085,'ACAH Capital Tracker'!$A:$H,8,FALSE()),""))</f>
        <v/>
      </c>
      <c r="F1085" s="24"/>
      <c r="G1085" s="25" t="str">
        <f>IF($D1085="","",IFERROR(VLOOKUP($D1085,'ACAH Capital Tracker'!$A:$D,4,FALSE()),""))</f>
        <v/>
      </c>
      <c r="H1085" s="22"/>
    </row>
    <row r="1086" spans="1:8">
      <c r="A1086" s="21"/>
      <c r="B1086" s="22"/>
      <c r="C1086" s="22"/>
      <c r="D1086" s="22"/>
      <c r="E1086" s="23" t="str">
        <f>IF($D1086="","",IFERROR(VLOOKUP($D1086,'ACAH Capital Tracker'!$A:$H,8,FALSE()),""))</f>
        <v/>
      </c>
      <c r="F1086" s="24"/>
      <c r="G1086" s="25" t="str">
        <f>IF($D1086="","",IFERROR(VLOOKUP($D1086,'ACAH Capital Tracker'!$A:$D,4,FALSE()),""))</f>
        <v/>
      </c>
      <c r="H1086" s="22"/>
    </row>
    <row r="1087" spans="1:8">
      <c r="A1087" s="21"/>
      <c r="B1087" s="22"/>
      <c r="C1087" s="22"/>
      <c r="D1087" s="22"/>
      <c r="E1087" s="23" t="str">
        <f>IF($D1087="","",IFERROR(VLOOKUP($D1087,'ACAH Capital Tracker'!$A:$H,8,FALSE()),""))</f>
        <v/>
      </c>
      <c r="F1087" s="24"/>
      <c r="G1087" s="25" t="str">
        <f>IF($D1087="","",IFERROR(VLOOKUP($D1087,'ACAH Capital Tracker'!$A:$D,4,FALSE()),""))</f>
        <v/>
      </c>
      <c r="H1087" s="22"/>
    </row>
    <row r="1088" spans="1:8">
      <c r="A1088" s="21"/>
      <c r="B1088" s="22"/>
      <c r="C1088" s="22"/>
      <c r="D1088" s="22"/>
      <c r="E1088" s="23" t="str">
        <f>IF($D1088="","",IFERROR(VLOOKUP($D1088,'ACAH Capital Tracker'!$A:$H,8,FALSE()),""))</f>
        <v/>
      </c>
      <c r="F1088" s="24"/>
      <c r="G1088" s="25" t="str">
        <f>IF($D1088="","",IFERROR(VLOOKUP($D1088,'ACAH Capital Tracker'!$A:$D,4,FALSE()),""))</f>
        <v/>
      </c>
      <c r="H1088" s="22"/>
    </row>
    <row r="1089" spans="1:8">
      <c r="A1089" s="21"/>
      <c r="B1089" s="22"/>
      <c r="C1089" s="22"/>
      <c r="D1089" s="22"/>
      <c r="E1089" s="23" t="str">
        <f>IF($D1089="","",IFERROR(VLOOKUP($D1089,'ACAH Capital Tracker'!$A:$H,8,FALSE()),""))</f>
        <v/>
      </c>
      <c r="F1089" s="24"/>
      <c r="G1089" s="25" t="str">
        <f>IF($D1089="","",IFERROR(VLOOKUP($D1089,'ACAH Capital Tracker'!$A:$D,4,FALSE()),""))</f>
        <v/>
      </c>
      <c r="H1089" s="22"/>
    </row>
    <row r="1090" spans="1:8">
      <c r="A1090" s="21"/>
      <c r="B1090" s="22"/>
      <c r="C1090" s="22"/>
      <c r="D1090" s="22"/>
      <c r="E1090" s="23" t="str">
        <f>IF($D1090="","",IFERROR(VLOOKUP($D1090,'ACAH Capital Tracker'!$A:$H,8,FALSE()),""))</f>
        <v/>
      </c>
      <c r="F1090" s="24"/>
      <c r="G1090" s="25" t="str">
        <f>IF($D1090="","",IFERROR(VLOOKUP($D1090,'ACAH Capital Tracker'!$A:$D,4,FALSE()),""))</f>
        <v/>
      </c>
      <c r="H1090" s="22"/>
    </row>
    <row r="1091" spans="1:8">
      <c r="A1091" s="21"/>
      <c r="B1091" s="22"/>
      <c r="C1091" s="22"/>
      <c r="D1091" s="22"/>
      <c r="E1091" s="23" t="str">
        <f>IF($D1091="","",IFERROR(VLOOKUP($D1091,'ACAH Capital Tracker'!$A:$H,8,FALSE()),""))</f>
        <v/>
      </c>
      <c r="F1091" s="24"/>
      <c r="G1091" s="25" t="str">
        <f>IF($D1091="","",IFERROR(VLOOKUP($D1091,'ACAH Capital Tracker'!$A:$D,4,FALSE()),""))</f>
        <v/>
      </c>
      <c r="H1091" s="22"/>
    </row>
    <row r="1092" spans="1:8">
      <c r="A1092" s="21"/>
      <c r="B1092" s="22"/>
      <c r="C1092" s="22"/>
      <c r="D1092" s="22"/>
      <c r="E1092" s="23" t="str">
        <f>IF($D1092="","",IFERROR(VLOOKUP($D1092,'ACAH Capital Tracker'!$A:$H,8,FALSE()),""))</f>
        <v/>
      </c>
      <c r="F1092" s="24"/>
      <c r="G1092" s="25" t="str">
        <f>IF($D1092="","",IFERROR(VLOOKUP($D1092,'ACAH Capital Tracker'!$A:$D,4,FALSE()),""))</f>
        <v/>
      </c>
      <c r="H1092" s="22"/>
    </row>
    <row r="1093" spans="1:8">
      <c r="A1093" s="21"/>
      <c r="B1093" s="22"/>
      <c r="C1093" s="22"/>
      <c r="D1093" s="22"/>
      <c r="E1093" s="23" t="str">
        <f>IF($D1093="","",IFERROR(VLOOKUP($D1093,'ACAH Capital Tracker'!$A:$H,8,FALSE()),""))</f>
        <v/>
      </c>
      <c r="F1093" s="24"/>
      <c r="G1093" s="25" t="str">
        <f>IF($D1093="","",IFERROR(VLOOKUP($D1093,'ACAH Capital Tracker'!$A:$D,4,FALSE()),""))</f>
        <v/>
      </c>
      <c r="H1093" s="22"/>
    </row>
    <row r="1094" spans="1:8">
      <c r="A1094" s="21"/>
      <c r="B1094" s="22"/>
      <c r="C1094" s="22"/>
      <c r="D1094" s="22"/>
      <c r="E1094" s="23" t="str">
        <f>IF($D1094="","",IFERROR(VLOOKUP($D1094,'ACAH Capital Tracker'!$A:$H,8,FALSE()),""))</f>
        <v/>
      </c>
      <c r="F1094" s="24"/>
      <c r="G1094" s="25" t="str">
        <f>IF($D1094="","",IFERROR(VLOOKUP($D1094,'ACAH Capital Tracker'!$A:$D,4,FALSE()),""))</f>
        <v/>
      </c>
      <c r="H1094" s="22"/>
    </row>
    <row r="1095" spans="1:8">
      <c r="A1095" s="21"/>
      <c r="B1095" s="22"/>
      <c r="C1095" s="22"/>
      <c r="D1095" s="22"/>
      <c r="E1095" s="23" t="str">
        <f>IF($D1095="","",IFERROR(VLOOKUP($D1095,'ACAH Capital Tracker'!$A:$H,8,FALSE()),""))</f>
        <v/>
      </c>
      <c r="F1095" s="24"/>
      <c r="G1095" s="25" t="str">
        <f>IF($D1095="","",IFERROR(VLOOKUP($D1095,'ACAH Capital Tracker'!$A:$D,4,FALSE()),""))</f>
        <v/>
      </c>
      <c r="H1095" s="22"/>
    </row>
    <row r="1096" spans="1:8">
      <c r="A1096" s="21"/>
      <c r="B1096" s="22"/>
      <c r="C1096" s="22"/>
      <c r="D1096" s="22"/>
      <c r="E1096" s="23" t="str">
        <f>IF($D1096="","",IFERROR(VLOOKUP($D1096,'ACAH Capital Tracker'!$A:$H,8,FALSE()),""))</f>
        <v/>
      </c>
      <c r="F1096" s="24"/>
      <c r="G1096" s="25" t="str">
        <f>IF($D1096="","",IFERROR(VLOOKUP($D1096,'ACAH Capital Tracker'!$A:$D,4,FALSE()),""))</f>
        <v/>
      </c>
      <c r="H1096" s="22"/>
    </row>
    <row r="1097" spans="1:8">
      <c r="A1097" s="21"/>
      <c r="B1097" s="22"/>
      <c r="C1097" s="22"/>
      <c r="D1097" s="22"/>
      <c r="E1097" s="23" t="str">
        <f>IF($D1097="","",IFERROR(VLOOKUP($D1097,'ACAH Capital Tracker'!$A:$H,8,FALSE()),""))</f>
        <v/>
      </c>
      <c r="F1097" s="24"/>
      <c r="G1097" s="25" t="str">
        <f>IF($D1097="","",IFERROR(VLOOKUP($D1097,'ACAH Capital Tracker'!$A:$D,4,FALSE()),""))</f>
        <v/>
      </c>
      <c r="H1097" s="22"/>
    </row>
    <row r="1098" spans="1:8">
      <c r="A1098" s="21"/>
      <c r="B1098" s="22"/>
      <c r="C1098" s="22"/>
      <c r="D1098" s="22"/>
      <c r="E1098" s="23" t="str">
        <f>IF($D1098="","",IFERROR(VLOOKUP($D1098,'ACAH Capital Tracker'!$A:$H,8,FALSE()),""))</f>
        <v/>
      </c>
      <c r="F1098" s="24"/>
      <c r="G1098" s="25" t="str">
        <f>IF($D1098="","",IFERROR(VLOOKUP($D1098,'ACAH Capital Tracker'!$A:$D,4,FALSE()),""))</f>
        <v/>
      </c>
      <c r="H1098" s="22"/>
    </row>
    <row r="1099" spans="1:8">
      <c r="A1099" s="21"/>
      <c r="B1099" s="22"/>
      <c r="C1099" s="22"/>
      <c r="D1099" s="22"/>
      <c r="E1099" s="23" t="str">
        <f>IF($D1099="","",IFERROR(VLOOKUP($D1099,'ACAH Capital Tracker'!$A:$H,8,FALSE()),""))</f>
        <v/>
      </c>
      <c r="F1099" s="24"/>
      <c r="G1099" s="25" t="str">
        <f>IF($D1099="","",IFERROR(VLOOKUP($D1099,'ACAH Capital Tracker'!$A:$D,4,FALSE()),""))</f>
        <v/>
      </c>
      <c r="H1099" s="22"/>
    </row>
    <row r="1100" spans="1:8">
      <c r="A1100" s="21"/>
      <c r="B1100" s="22"/>
      <c r="C1100" s="22"/>
      <c r="D1100" s="22"/>
      <c r="E1100" s="23" t="str">
        <f>IF($D1100="","",IFERROR(VLOOKUP($D1100,'ACAH Capital Tracker'!$A:$H,8,FALSE()),""))</f>
        <v/>
      </c>
      <c r="F1100" s="24"/>
      <c r="G1100" s="25" t="str">
        <f>IF($D1100="","",IFERROR(VLOOKUP($D1100,'ACAH Capital Tracker'!$A:$D,4,FALSE()),""))</f>
        <v/>
      </c>
      <c r="H1100" s="22"/>
    </row>
    <row r="1101" spans="1:8">
      <c r="A1101" s="21"/>
      <c r="B1101" s="22"/>
      <c r="C1101" s="22"/>
      <c r="D1101" s="22"/>
      <c r="E1101" s="23" t="str">
        <f>IF($D1101="","",IFERROR(VLOOKUP($D1101,'ACAH Capital Tracker'!$A:$H,8,FALSE()),""))</f>
        <v/>
      </c>
      <c r="F1101" s="24"/>
      <c r="G1101" s="25" t="str">
        <f>IF($D1101="","",IFERROR(VLOOKUP($D1101,'ACAH Capital Tracker'!$A:$D,4,FALSE()),""))</f>
        <v/>
      </c>
      <c r="H1101" s="22"/>
    </row>
    <row r="1102" spans="1:8">
      <c r="A1102" s="21"/>
      <c r="B1102" s="22"/>
      <c r="C1102" s="22"/>
      <c r="D1102" s="22"/>
      <c r="E1102" s="23" t="str">
        <f>IF($D1102="","",IFERROR(VLOOKUP($D1102,'ACAH Capital Tracker'!$A:$H,8,FALSE()),""))</f>
        <v/>
      </c>
      <c r="F1102" s="24"/>
      <c r="G1102" s="25" t="str">
        <f>IF($D1102="","",IFERROR(VLOOKUP($D1102,'ACAH Capital Tracker'!$A:$D,4,FALSE()),""))</f>
        <v/>
      </c>
      <c r="H1102" s="22"/>
    </row>
    <row r="1103" spans="1:8">
      <c r="A1103" s="21"/>
      <c r="B1103" s="22"/>
      <c r="C1103" s="22"/>
      <c r="D1103" s="22"/>
      <c r="E1103" s="23" t="str">
        <f>IF($D1103="","",IFERROR(VLOOKUP($D1103,'ACAH Capital Tracker'!$A:$H,8,FALSE()),""))</f>
        <v/>
      </c>
      <c r="F1103" s="24"/>
      <c r="G1103" s="25" t="str">
        <f>IF($D1103="","",IFERROR(VLOOKUP($D1103,'ACAH Capital Tracker'!$A:$D,4,FALSE()),""))</f>
        <v/>
      </c>
      <c r="H1103" s="22"/>
    </row>
    <row r="1104" spans="1:8">
      <c r="A1104" s="21"/>
      <c r="B1104" s="22"/>
      <c r="C1104" s="22"/>
      <c r="D1104" s="22"/>
      <c r="E1104" s="23" t="str">
        <f>IF($D1104="","",IFERROR(VLOOKUP($D1104,'ACAH Capital Tracker'!$A:$H,8,FALSE()),""))</f>
        <v/>
      </c>
      <c r="F1104" s="24"/>
      <c r="G1104" s="25" t="str">
        <f>IF($D1104="","",IFERROR(VLOOKUP($D1104,'ACAH Capital Tracker'!$A:$D,4,FALSE()),""))</f>
        <v/>
      </c>
      <c r="H1104" s="22"/>
    </row>
    <row r="1105" spans="1:8">
      <c r="A1105" s="21"/>
      <c r="B1105" s="22"/>
      <c r="C1105" s="22"/>
      <c r="D1105" s="22"/>
      <c r="E1105" s="23" t="str">
        <f>IF($D1105="","",IFERROR(VLOOKUP($D1105,'ACAH Capital Tracker'!$A:$H,8,FALSE()),""))</f>
        <v/>
      </c>
      <c r="F1105" s="24"/>
      <c r="G1105" s="25" t="str">
        <f>IF($D1105="","",IFERROR(VLOOKUP($D1105,'ACAH Capital Tracker'!$A:$D,4,FALSE()),""))</f>
        <v/>
      </c>
      <c r="H1105" s="22"/>
    </row>
    <row r="1106" spans="1:8">
      <c r="A1106" s="21"/>
      <c r="B1106" s="22"/>
      <c r="C1106" s="22"/>
      <c r="D1106" s="22"/>
      <c r="E1106" s="23" t="str">
        <f>IF($D1106="","",IFERROR(VLOOKUP($D1106,'ACAH Capital Tracker'!$A:$H,8,FALSE()),""))</f>
        <v/>
      </c>
      <c r="F1106" s="24"/>
      <c r="G1106" s="25" t="str">
        <f>IF($D1106="","",IFERROR(VLOOKUP($D1106,'ACAH Capital Tracker'!$A:$D,4,FALSE()),""))</f>
        <v/>
      </c>
      <c r="H1106" s="22"/>
    </row>
    <row r="1107" spans="1:8">
      <c r="A1107" s="21"/>
      <c r="B1107" s="22"/>
      <c r="C1107" s="22"/>
      <c r="D1107" s="22"/>
      <c r="E1107" s="23" t="str">
        <f>IF($D1107="","",IFERROR(VLOOKUP($D1107,'ACAH Capital Tracker'!$A:$H,8,FALSE()),""))</f>
        <v/>
      </c>
      <c r="F1107" s="24"/>
      <c r="G1107" s="25" t="str">
        <f>IF($D1107="","",IFERROR(VLOOKUP($D1107,'ACAH Capital Tracker'!$A:$D,4,FALSE()),""))</f>
        <v/>
      </c>
      <c r="H1107" s="22"/>
    </row>
    <row r="1108" spans="1:8">
      <c r="A1108" s="21"/>
      <c r="B1108" s="22"/>
      <c r="C1108" s="22"/>
      <c r="D1108" s="22"/>
      <c r="E1108" s="23" t="str">
        <f>IF($D1108="","",IFERROR(VLOOKUP($D1108,'ACAH Capital Tracker'!$A:$H,8,FALSE()),""))</f>
        <v/>
      </c>
      <c r="F1108" s="24"/>
      <c r="G1108" s="25" t="str">
        <f>IF($D1108="","",IFERROR(VLOOKUP($D1108,'ACAH Capital Tracker'!$A:$D,4,FALSE()),""))</f>
        <v/>
      </c>
      <c r="H1108" s="22"/>
    </row>
    <row r="1109" spans="1:8">
      <c r="A1109" s="21"/>
      <c r="B1109" s="22"/>
      <c r="C1109" s="22"/>
      <c r="D1109" s="22"/>
      <c r="E1109" s="23" t="str">
        <f>IF($D1109="","",IFERROR(VLOOKUP($D1109,'ACAH Capital Tracker'!$A:$H,8,FALSE()),""))</f>
        <v/>
      </c>
      <c r="F1109" s="24"/>
      <c r="G1109" s="25" t="str">
        <f>IF($D1109="","",IFERROR(VLOOKUP($D1109,'ACAH Capital Tracker'!$A:$D,4,FALSE()),""))</f>
        <v/>
      </c>
      <c r="H1109" s="22"/>
    </row>
    <row r="1110" spans="1:8">
      <c r="A1110" s="21"/>
      <c r="B1110" s="22"/>
      <c r="C1110" s="22"/>
      <c r="D1110" s="22"/>
      <c r="E1110" s="23" t="str">
        <f>IF($D1110="","",IFERROR(VLOOKUP($D1110,'ACAH Capital Tracker'!$A:$H,8,FALSE()),""))</f>
        <v/>
      </c>
      <c r="F1110" s="24"/>
      <c r="G1110" s="25" t="str">
        <f>IF($D1110="","",IFERROR(VLOOKUP($D1110,'ACAH Capital Tracker'!$A:$D,4,FALSE()),""))</f>
        <v/>
      </c>
      <c r="H1110" s="22"/>
    </row>
    <row r="1111" spans="1:8">
      <c r="A1111" s="21"/>
      <c r="B1111" s="22"/>
      <c r="C1111" s="22"/>
      <c r="D1111" s="22"/>
      <c r="E1111" s="23" t="str">
        <f>IF($D1111="","",IFERROR(VLOOKUP($D1111,'ACAH Capital Tracker'!$A:$H,8,FALSE()),""))</f>
        <v/>
      </c>
      <c r="F1111" s="24"/>
      <c r="G1111" s="25" t="str">
        <f>IF($D1111="","",IFERROR(VLOOKUP($D1111,'ACAH Capital Tracker'!$A:$D,4,FALSE()),""))</f>
        <v/>
      </c>
      <c r="H1111" s="22"/>
    </row>
    <row r="1112" spans="1:8">
      <c r="A1112" s="21"/>
      <c r="B1112" s="22"/>
      <c r="C1112" s="22"/>
      <c r="D1112" s="22"/>
      <c r="E1112" s="23" t="str">
        <f>IF($D1112="","",IFERROR(VLOOKUP($D1112,'ACAH Capital Tracker'!$A:$H,8,FALSE()),""))</f>
        <v/>
      </c>
      <c r="F1112" s="24"/>
      <c r="G1112" s="25" t="str">
        <f>IF($D1112="","",IFERROR(VLOOKUP($D1112,'ACAH Capital Tracker'!$A:$D,4,FALSE()),""))</f>
        <v/>
      </c>
      <c r="H1112" s="22"/>
    </row>
    <row r="1113" spans="1:8">
      <c r="A1113" s="21"/>
      <c r="B1113" s="22"/>
      <c r="C1113" s="22"/>
      <c r="D1113" s="22"/>
      <c r="E1113" s="23" t="str">
        <f>IF($D1113="","",IFERROR(VLOOKUP($D1113,'ACAH Capital Tracker'!$A:$H,8,FALSE()),""))</f>
        <v/>
      </c>
      <c r="F1113" s="24"/>
      <c r="G1113" s="25" t="str">
        <f>IF($D1113="","",IFERROR(VLOOKUP($D1113,'ACAH Capital Tracker'!$A:$D,4,FALSE()),""))</f>
        <v/>
      </c>
      <c r="H1113" s="22"/>
    </row>
    <row r="1114" spans="1:8">
      <c r="A1114" s="21"/>
      <c r="B1114" s="22"/>
      <c r="C1114" s="22"/>
      <c r="D1114" s="22"/>
      <c r="E1114" s="23" t="str">
        <f>IF($D1114="","",IFERROR(VLOOKUP($D1114,'ACAH Capital Tracker'!$A:$H,8,FALSE()),""))</f>
        <v/>
      </c>
      <c r="F1114" s="24"/>
      <c r="G1114" s="25" t="str">
        <f>IF($D1114="","",IFERROR(VLOOKUP($D1114,'ACAH Capital Tracker'!$A:$D,4,FALSE()),""))</f>
        <v/>
      </c>
      <c r="H1114" s="22"/>
    </row>
    <row r="1115" spans="1:8">
      <c r="A1115" s="21"/>
      <c r="B1115" s="22"/>
      <c r="C1115" s="22"/>
      <c r="D1115" s="22"/>
      <c r="E1115" s="23" t="str">
        <f>IF($D1115="","",IFERROR(VLOOKUP($D1115,'ACAH Capital Tracker'!$A:$H,8,FALSE()),""))</f>
        <v/>
      </c>
      <c r="F1115" s="24"/>
      <c r="G1115" s="25" t="str">
        <f>IF($D1115="","",IFERROR(VLOOKUP($D1115,'ACAH Capital Tracker'!$A:$D,4,FALSE()),""))</f>
        <v/>
      </c>
      <c r="H1115" s="22"/>
    </row>
    <row r="1116" spans="1:8">
      <c r="A1116" s="21"/>
      <c r="B1116" s="22"/>
      <c r="C1116" s="22"/>
      <c r="D1116" s="22"/>
      <c r="E1116" s="23" t="str">
        <f>IF($D1116="","",IFERROR(VLOOKUP($D1116,'ACAH Capital Tracker'!$A:$H,8,FALSE()),""))</f>
        <v/>
      </c>
      <c r="F1116" s="24"/>
      <c r="G1116" s="25" t="str">
        <f>IF($D1116="","",IFERROR(VLOOKUP($D1116,'ACAH Capital Tracker'!$A:$D,4,FALSE()),""))</f>
        <v/>
      </c>
      <c r="H1116" s="22"/>
    </row>
    <row r="1117" spans="1:8">
      <c r="A1117" s="21"/>
      <c r="B1117" s="22"/>
      <c r="C1117" s="22"/>
      <c r="D1117" s="22"/>
      <c r="E1117" s="23" t="str">
        <f>IF($D1117="","",IFERROR(VLOOKUP($D1117,'ACAH Capital Tracker'!$A:$H,8,FALSE()),""))</f>
        <v/>
      </c>
      <c r="F1117" s="24"/>
      <c r="G1117" s="25" t="str">
        <f>IF($D1117="","",IFERROR(VLOOKUP($D1117,'ACAH Capital Tracker'!$A:$D,4,FALSE()),""))</f>
        <v/>
      </c>
      <c r="H1117" s="22"/>
    </row>
    <row r="1118" spans="1:8">
      <c r="A1118" s="21"/>
      <c r="B1118" s="22"/>
      <c r="C1118" s="22"/>
      <c r="D1118" s="22"/>
      <c r="E1118" s="23" t="str">
        <f>IF($D1118="","",IFERROR(VLOOKUP($D1118,'ACAH Capital Tracker'!$A:$H,8,FALSE()),""))</f>
        <v/>
      </c>
      <c r="F1118" s="24"/>
      <c r="G1118" s="25" t="str">
        <f>IF($D1118="","",IFERROR(VLOOKUP($D1118,'ACAH Capital Tracker'!$A:$D,4,FALSE()),""))</f>
        <v/>
      </c>
      <c r="H1118" s="22"/>
    </row>
    <row r="1119" spans="1:8">
      <c r="A1119" s="21"/>
      <c r="B1119" s="22"/>
      <c r="C1119" s="22"/>
      <c r="D1119" s="22"/>
      <c r="E1119" s="23" t="str">
        <f>IF($D1119="","",IFERROR(VLOOKUP($D1119,'ACAH Capital Tracker'!$A:$H,8,FALSE()),""))</f>
        <v/>
      </c>
      <c r="F1119" s="24"/>
      <c r="G1119" s="25" t="str">
        <f>IF($D1119="","",IFERROR(VLOOKUP($D1119,'ACAH Capital Tracker'!$A:$D,4,FALSE()),""))</f>
        <v/>
      </c>
      <c r="H1119" s="22"/>
    </row>
    <row r="1120" spans="1:8">
      <c r="A1120" s="21"/>
      <c r="B1120" s="22"/>
      <c r="C1120" s="22"/>
      <c r="D1120" s="22"/>
      <c r="E1120" s="23" t="str">
        <f>IF($D1120="","",IFERROR(VLOOKUP($D1120,'ACAH Capital Tracker'!$A:$H,8,FALSE()),""))</f>
        <v/>
      </c>
      <c r="F1120" s="24"/>
      <c r="G1120" s="25" t="str">
        <f>IF($D1120="","",IFERROR(VLOOKUP($D1120,'ACAH Capital Tracker'!$A:$D,4,FALSE()),""))</f>
        <v/>
      </c>
      <c r="H1120" s="22"/>
    </row>
    <row r="1121" spans="1:8">
      <c r="A1121" s="21"/>
      <c r="B1121" s="22"/>
      <c r="C1121" s="22"/>
      <c r="D1121" s="22"/>
      <c r="E1121" s="23" t="str">
        <f>IF($D1121="","",IFERROR(VLOOKUP($D1121,'ACAH Capital Tracker'!$A:$H,8,FALSE()),""))</f>
        <v/>
      </c>
      <c r="F1121" s="24"/>
      <c r="G1121" s="25" t="str">
        <f>IF($D1121="","",IFERROR(VLOOKUP($D1121,'ACAH Capital Tracker'!$A:$D,4,FALSE()),""))</f>
        <v/>
      </c>
      <c r="H1121" s="22"/>
    </row>
    <row r="1122" spans="1:8">
      <c r="A1122" s="21"/>
      <c r="B1122" s="22"/>
      <c r="C1122" s="22"/>
      <c r="D1122" s="22"/>
      <c r="E1122" s="23" t="str">
        <f>IF($D1122="","",IFERROR(VLOOKUP($D1122,'ACAH Capital Tracker'!$A:$H,8,FALSE()),""))</f>
        <v/>
      </c>
      <c r="F1122" s="24"/>
      <c r="G1122" s="25" t="str">
        <f>IF($D1122="","",IFERROR(VLOOKUP($D1122,'ACAH Capital Tracker'!$A:$D,4,FALSE()),""))</f>
        <v/>
      </c>
      <c r="H1122" s="22"/>
    </row>
    <row r="1123" spans="1:8">
      <c r="A1123" s="21"/>
      <c r="B1123" s="22"/>
      <c r="C1123" s="22"/>
      <c r="D1123" s="22"/>
      <c r="E1123" s="23" t="str">
        <f>IF($D1123="","",IFERROR(VLOOKUP($D1123,'ACAH Capital Tracker'!$A:$H,8,FALSE()),""))</f>
        <v/>
      </c>
      <c r="F1123" s="24"/>
      <c r="G1123" s="25" t="str">
        <f>IF($D1123="","",IFERROR(VLOOKUP($D1123,'ACAH Capital Tracker'!$A:$D,4,FALSE()),""))</f>
        <v/>
      </c>
      <c r="H1123" s="22"/>
    </row>
    <row r="1124" spans="1:8">
      <c r="A1124" s="21"/>
      <c r="B1124" s="22"/>
      <c r="C1124" s="22"/>
      <c r="D1124" s="22"/>
      <c r="E1124" s="23" t="str">
        <f>IF($D1124="","",IFERROR(VLOOKUP($D1124,'ACAH Capital Tracker'!$A:$H,8,FALSE()),""))</f>
        <v/>
      </c>
      <c r="F1124" s="24"/>
      <c r="G1124" s="25" t="str">
        <f>IF($D1124="","",IFERROR(VLOOKUP($D1124,'ACAH Capital Tracker'!$A:$D,4,FALSE()),""))</f>
        <v/>
      </c>
      <c r="H1124" s="22"/>
    </row>
    <row r="1125" spans="1:8">
      <c r="A1125" s="21"/>
      <c r="B1125" s="22"/>
      <c r="C1125" s="22"/>
      <c r="D1125" s="22"/>
      <c r="E1125" s="23" t="str">
        <f>IF($D1125="","",IFERROR(VLOOKUP($D1125,'ACAH Capital Tracker'!$A:$H,8,FALSE()),""))</f>
        <v/>
      </c>
      <c r="F1125" s="24"/>
      <c r="G1125" s="25" t="str">
        <f>IF($D1125="","",IFERROR(VLOOKUP($D1125,'ACAH Capital Tracker'!$A:$D,4,FALSE()),""))</f>
        <v/>
      </c>
      <c r="H1125" s="22"/>
    </row>
    <row r="1126" spans="1:8">
      <c r="A1126" s="21"/>
      <c r="B1126" s="22"/>
      <c r="C1126" s="22"/>
      <c r="D1126" s="22"/>
      <c r="E1126" s="23" t="str">
        <f>IF($D1126="","",IFERROR(VLOOKUP($D1126,'ACAH Capital Tracker'!$A:$H,8,FALSE()),""))</f>
        <v/>
      </c>
      <c r="F1126" s="24"/>
      <c r="G1126" s="25" t="str">
        <f>IF($D1126="","",IFERROR(VLOOKUP($D1126,'ACAH Capital Tracker'!$A:$D,4,FALSE()),""))</f>
        <v/>
      </c>
      <c r="H1126" s="22"/>
    </row>
    <row r="1127" spans="1:8">
      <c r="A1127" s="21"/>
      <c r="B1127" s="22"/>
      <c r="C1127" s="22"/>
      <c r="D1127" s="22"/>
      <c r="E1127" s="23" t="str">
        <f>IF($D1127="","",IFERROR(VLOOKUP($D1127,'ACAH Capital Tracker'!$A:$H,8,FALSE()),""))</f>
        <v/>
      </c>
      <c r="F1127" s="24"/>
      <c r="G1127" s="25" t="str">
        <f>IF($D1127="","",IFERROR(VLOOKUP($D1127,'ACAH Capital Tracker'!$A:$D,4,FALSE()),""))</f>
        <v/>
      </c>
      <c r="H1127" s="22"/>
    </row>
    <row r="1128" spans="1:8">
      <c r="A1128" s="21"/>
      <c r="B1128" s="22"/>
      <c r="C1128" s="22"/>
      <c r="D1128" s="22"/>
      <c r="E1128" s="23" t="str">
        <f>IF($D1128="","",IFERROR(VLOOKUP($D1128,'ACAH Capital Tracker'!$A:$H,8,FALSE()),""))</f>
        <v/>
      </c>
      <c r="F1128" s="24"/>
      <c r="G1128" s="25" t="str">
        <f>IF($D1128="","",IFERROR(VLOOKUP($D1128,'ACAH Capital Tracker'!$A:$D,4,FALSE()),""))</f>
        <v/>
      </c>
      <c r="H1128" s="22"/>
    </row>
    <row r="1129" spans="1:8">
      <c r="A1129" s="21"/>
      <c r="B1129" s="22"/>
      <c r="C1129" s="22"/>
      <c r="D1129" s="22"/>
      <c r="E1129" s="23" t="str">
        <f>IF($D1129="","",IFERROR(VLOOKUP($D1129,'ACAH Capital Tracker'!$A:$H,8,FALSE()),""))</f>
        <v/>
      </c>
      <c r="F1129" s="24"/>
      <c r="G1129" s="25" t="str">
        <f>IF($D1129="","",IFERROR(VLOOKUP($D1129,'ACAH Capital Tracker'!$A:$D,4,FALSE()),""))</f>
        <v/>
      </c>
      <c r="H1129" s="22"/>
    </row>
    <row r="1130" spans="1:8">
      <c r="A1130" s="21"/>
      <c r="B1130" s="22"/>
      <c r="C1130" s="22"/>
      <c r="D1130" s="22"/>
      <c r="E1130" s="23" t="str">
        <f>IF($D1130="","",IFERROR(VLOOKUP($D1130,'ACAH Capital Tracker'!$A:$H,8,FALSE()),""))</f>
        <v/>
      </c>
      <c r="F1130" s="24"/>
      <c r="G1130" s="25" t="str">
        <f>IF($D1130="","",IFERROR(VLOOKUP($D1130,'ACAH Capital Tracker'!$A:$D,4,FALSE()),""))</f>
        <v/>
      </c>
      <c r="H1130" s="22"/>
    </row>
    <row r="1131" spans="1:8">
      <c r="A1131" s="21"/>
      <c r="B1131" s="22"/>
      <c r="C1131" s="22"/>
      <c r="D1131" s="22"/>
      <c r="E1131" s="23" t="str">
        <f>IF($D1131="","",IFERROR(VLOOKUP($D1131,'ACAH Capital Tracker'!$A:$H,8,FALSE()),""))</f>
        <v/>
      </c>
      <c r="F1131" s="24"/>
      <c r="G1131" s="25" t="str">
        <f>IF($D1131="","",IFERROR(VLOOKUP($D1131,'ACAH Capital Tracker'!$A:$D,4,FALSE()),""))</f>
        <v/>
      </c>
      <c r="H1131" s="22"/>
    </row>
    <row r="1132" spans="1:8">
      <c r="A1132" s="21"/>
      <c r="B1132" s="22"/>
      <c r="C1132" s="22"/>
      <c r="D1132" s="22"/>
      <c r="E1132" s="23" t="str">
        <f>IF($D1132="","",IFERROR(VLOOKUP($D1132,'ACAH Capital Tracker'!$A:$H,8,FALSE()),""))</f>
        <v/>
      </c>
      <c r="F1132" s="24"/>
      <c r="G1132" s="25" t="str">
        <f>IF($D1132="","",IFERROR(VLOOKUP($D1132,'ACAH Capital Tracker'!$A:$D,4,FALSE()),""))</f>
        <v/>
      </c>
      <c r="H1132" s="22"/>
    </row>
    <row r="1133" spans="1:8">
      <c r="A1133" s="21"/>
      <c r="B1133" s="22"/>
      <c r="C1133" s="22"/>
      <c r="D1133" s="22"/>
      <c r="E1133" s="23" t="str">
        <f>IF($D1133="","",IFERROR(VLOOKUP($D1133,'ACAH Capital Tracker'!$A:$H,8,FALSE()),""))</f>
        <v/>
      </c>
      <c r="F1133" s="24"/>
      <c r="G1133" s="25" t="str">
        <f>IF($D1133="","",IFERROR(VLOOKUP($D1133,'ACAH Capital Tracker'!$A:$D,4,FALSE()),""))</f>
        <v/>
      </c>
      <c r="H1133" s="22"/>
    </row>
    <row r="1134" spans="1:8">
      <c r="A1134" s="21"/>
      <c r="B1134" s="22"/>
      <c r="C1134" s="22"/>
      <c r="D1134" s="22"/>
      <c r="E1134" s="23" t="str">
        <f>IF($D1134="","",IFERROR(VLOOKUP($D1134,'ACAH Capital Tracker'!$A:$H,8,FALSE()),""))</f>
        <v/>
      </c>
      <c r="F1134" s="24"/>
      <c r="G1134" s="25" t="str">
        <f>IF($D1134="","",IFERROR(VLOOKUP($D1134,'ACAH Capital Tracker'!$A:$D,4,FALSE()),""))</f>
        <v/>
      </c>
      <c r="H1134" s="22"/>
    </row>
    <row r="1135" spans="1:8">
      <c r="A1135" s="21"/>
      <c r="B1135" s="22"/>
      <c r="C1135" s="22"/>
      <c r="D1135" s="22"/>
      <c r="E1135" s="23" t="str">
        <f>IF($D1135="","",IFERROR(VLOOKUP($D1135,'ACAH Capital Tracker'!$A:$H,8,FALSE()),""))</f>
        <v/>
      </c>
      <c r="F1135" s="24"/>
      <c r="G1135" s="25" t="str">
        <f>IF($D1135="","",IFERROR(VLOOKUP($D1135,'ACAH Capital Tracker'!$A:$D,4,FALSE()),""))</f>
        <v/>
      </c>
      <c r="H1135" s="22"/>
    </row>
    <row r="1136" spans="1:8">
      <c r="A1136" s="21"/>
      <c r="B1136" s="22"/>
      <c r="C1136" s="22"/>
      <c r="D1136" s="22"/>
      <c r="E1136" s="23" t="str">
        <f>IF($D1136="","",IFERROR(VLOOKUP($D1136,'ACAH Capital Tracker'!$A:$H,8,FALSE()),""))</f>
        <v/>
      </c>
      <c r="F1136" s="24"/>
      <c r="G1136" s="25" t="str">
        <f>IF($D1136="","",IFERROR(VLOOKUP($D1136,'ACAH Capital Tracker'!$A:$D,4,FALSE()),""))</f>
        <v/>
      </c>
      <c r="H1136" s="22"/>
    </row>
    <row r="1137" spans="1:8">
      <c r="A1137" s="21"/>
      <c r="B1137" s="22"/>
      <c r="C1137" s="22"/>
      <c r="D1137" s="22"/>
      <c r="E1137" s="23" t="str">
        <f>IF($D1137="","",IFERROR(VLOOKUP($D1137,'ACAH Capital Tracker'!$A:$H,8,FALSE()),""))</f>
        <v/>
      </c>
      <c r="F1137" s="24"/>
      <c r="G1137" s="25" t="str">
        <f>IF($D1137="","",IFERROR(VLOOKUP($D1137,'ACAH Capital Tracker'!$A:$D,4,FALSE()),""))</f>
        <v/>
      </c>
      <c r="H1137" s="22"/>
    </row>
    <row r="1138" spans="1:8">
      <c r="A1138" s="21"/>
      <c r="B1138" s="22"/>
      <c r="C1138" s="22"/>
      <c r="D1138" s="22"/>
      <c r="E1138" s="23" t="str">
        <f>IF($D1138="","",IFERROR(VLOOKUP($D1138,'ACAH Capital Tracker'!$A:$H,8,FALSE()),""))</f>
        <v/>
      </c>
      <c r="F1138" s="24"/>
      <c r="G1138" s="25" t="str">
        <f>IF($D1138="","",IFERROR(VLOOKUP($D1138,'ACAH Capital Tracker'!$A:$D,4,FALSE()),""))</f>
        <v/>
      </c>
      <c r="H1138" s="22"/>
    </row>
    <row r="1139" spans="1:8">
      <c r="A1139" s="21"/>
      <c r="B1139" s="22"/>
      <c r="C1139" s="22"/>
      <c r="D1139" s="22"/>
      <c r="E1139" s="23" t="str">
        <f>IF($D1139="","",IFERROR(VLOOKUP($D1139,'ACAH Capital Tracker'!$A:$H,8,FALSE()),""))</f>
        <v/>
      </c>
      <c r="F1139" s="24"/>
      <c r="G1139" s="25" t="str">
        <f>IF($D1139="","",IFERROR(VLOOKUP($D1139,'ACAH Capital Tracker'!$A:$D,4,FALSE()),""))</f>
        <v/>
      </c>
      <c r="H1139" s="22"/>
    </row>
    <row r="1140" spans="1:8">
      <c r="A1140" s="21"/>
      <c r="B1140" s="22"/>
      <c r="C1140" s="22"/>
      <c r="D1140" s="22"/>
      <c r="E1140" s="23" t="str">
        <f>IF($D1140="","",IFERROR(VLOOKUP($D1140,'ACAH Capital Tracker'!$A:$H,8,FALSE()),""))</f>
        <v/>
      </c>
      <c r="F1140" s="24"/>
      <c r="G1140" s="25" t="str">
        <f>IF($D1140="","",IFERROR(VLOOKUP($D1140,'ACAH Capital Tracker'!$A:$D,4,FALSE()),""))</f>
        <v/>
      </c>
      <c r="H1140" s="22"/>
    </row>
    <row r="1141" spans="1:8">
      <c r="A1141" s="21"/>
      <c r="B1141" s="22"/>
      <c r="C1141" s="22"/>
      <c r="D1141" s="22"/>
      <c r="E1141" s="23" t="str">
        <f>IF($D1141="","",IFERROR(VLOOKUP($D1141,'ACAH Capital Tracker'!$A:$H,8,FALSE()),""))</f>
        <v/>
      </c>
      <c r="F1141" s="24"/>
      <c r="G1141" s="25" t="str">
        <f>IF($D1141="","",IFERROR(VLOOKUP($D1141,'ACAH Capital Tracker'!$A:$D,4,FALSE()),""))</f>
        <v/>
      </c>
      <c r="H1141" s="22"/>
    </row>
    <row r="1142" spans="1:8">
      <c r="A1142" s="21"/>
      <c r="B1142" s="22"/>
      <c r="C1142" s="22"/>
      <c r="D1142" s="22"/>
      <c r="E1142" s="23" t="str">
        <f>IF($D1142="","",IFERROR(VLOOKUP($D1142,'ACAH Capital Tracker'!$A:$H,8,FALSE()),""))</f>
        <v/>
      </c>
      <c r="F1142" s="24"/>
      <c r="G1142" s="25" t="str">
        <f>IF($D1142="","",IFERROR(VLOOKUP($D1142,'ACAH Capital Tracker'!$A:$D,4,FALSE()),""))</f>
        <v/>
      </c>
      <c r="H1142" s="22"/>
    </row>
    <row r="1143" spans="1:8">
      <c r="A1143" s="21"/>
      <c r="B1143" s="22"/>
      <c r="C1143" s="22"/>
      <c r="D1143" s="22"/>
      <c r="E1143" s="23" t="str">
        <f>IF($D1143="","",IFERROR(VLOOKUP($D1143,'ACAH Capital Tracker'!$A:$H,8,FALSE()),""))</f>
        <v/>
      </c>
      <c r="F1143" s="24"/>
      <c r="G1143" s="25" t="str">
        <f>IF($D1143="","",IFERROR(VLOOKUP($D1143,'ACAH Capital Tracker'!$A:$D,4,FALSE()),""))</f>
        <v/>
      </c>
      <c r="H1143" s="22"/>
    </row>
    <row r="1144" spans="1:8">
      <c r="A1144" s="21"/>
      <c r="B1144" s="22"/>
      <c r="C1144" s="22"/>
      <c r="D1144" s="22"/>
      <c r="E1144" s="23" t="str">
        <f>IF($D1144="","",IFERROR(VLOOKUP($D1144,'ACAH Capital Tracker'!$A:$H,8,FALSE()),""))</f>
        <v/>
      </c>
      <c r="F1144" s="24"/>
      <c r="G1144" s="25" t="str">
        <f>IF($D1144="","",IFERROR(VLOOKUP($D1144,'ACAH Capital Tracker'!$A:$D,4,FALSE()),""))</f>
        <v/>
      </c>
      <c r="H1144" s="22"/>
    </row>
    <row r="1145" spans="1:8">
      <c r="A1145" s="21"/>
      <c r="B1145" s="22"/>
      <c r="C1145" s="22"/>
      <c r="D1145" s="22"/>
      <c r="E1145" s="23" t="str">
        <f>IF($D1145="","",IFERROR(VLOOKUP($D1145,'ACAH Capital Tracker'!$A:$H,8,FALSE()),""))</f>
        <v/>
      </c>
      <c r="F1145" s="24"/>
      <c r="G1145" s="25" t="str">
        <f>IF($D1145="","",IFERROR(VLOOKUP($D1145,'ACAH Capital Tracker'!$A:$D,4,FALSE()),""))</f>
        <v/>
      </c>
      <c r="H1145" s="22"/>
    </row>
    <row r="1146" spans="1:8">
      <c r="A1146" s="21"/>
      <c r="B1146" s="22"/>
      <c r="C1146" s="22"/>
      <c r="D1146" s="22"/>
      <c r="E1146" s="23" t="str">
        <f>IF($D1146="","",IFERROR(VLOOKUP($D1146,'ACAH Capital Tracker'!$A:$H,8,FALSE()),""))</f>
        <v/>
      </c>
      <c r="F1146" s="24"/>
      <c r="G1146" s="25" t="str">
        <f>IF($D1146="","",IFERROR(VLOOKUP($D1146,'ACAH Capital Tracker'!$A:$D,4,FALSE()),""))</f>
        <v/>
      </c>
      <c r="H1146" s="22"/>
    </row>
    <row r="1147" spans="1:8">
      <c r="A1147" s="21"/>
      <c r="B1147" s="22"/>
      <c r="C1147" s="22"/>
      <c r="D1147" s="22"/>
      <c r="E1147" s="23" t="str">
        <f>IF($D1147="","",IFERROR(VLOOKUP($D1147,'ACAH Capital Tracker'!$A:$H,8,FALSE()),""))</f>
        <v/>
      </c>
      <c r="F1147" s="24"/>
      <c r="G1147" s="25" t="str">
        <f>IF($D1147="","",IFERROR(VLOOKUP($D1147,'ACAH Capital Tracker'!$A:$D,4,FALSE()),""))</f>
        <v/>
      </c>
      <c r="H1147" s="22"/>
    </row>
    <row r="1148" spans="1:8">
      <c r="A1148" s="21"/>
      <c r="B1148" s="22"/>
      <c r="C1148" s="22"/>
      <c r="D1148" s="22"/>
      <c r="E1148" s="23" t="str">
        <f>IF($D1148="","",IFERROR(VLOOKUP($D1148,'ACAH Capital Tracker'!$A:$H,8,FALSE()),""))</f>
        <v/>
      </c>
      <c r="F1148" s="24"/>
      <c r="G1148" s="25" t="str">
        <f>IF($D1148="","",IFERROR(VLOOKUP($D1148,'ACAH Capital Tracker'!$A:$D,4,FALSE()),""))</f>
        <v/>
      </c>
      <c r="H1148" s="22"/>
    </row>
    <row r="1149" spans="1:8">
      <c r="A1149" s="21"/>
      <c r="B1149" s="22"/>
      <c r="C1149" s="22"/>
      <c r="D1149" s="22"/>
      <c r="E1149" s="23" t="str">
        <f>IF($D1149="","",IFERROR(VLOOKUP($D1149,'ACAH Capital Tracker'!$A:$H,8,FALSE()),""))</f>
        <v/>
      </c>
      <c r="F1149" s="24"/>
      <c r="G1149" s="25" t="str">
        <f>IF($D1149="","",IFERROR(VLOOKUP($D1149,'ACAH Capital Tracker'!$A:$D,4,FALSE()),""))</f>
        <v/>
      </c>
      <c r="H1149" s="22"/>
    </row>
    <row r="1150" spans="1:8">
      <c r="A1150" s="21"/>
      <c r="B1150" s="22"/>
      <c r="C1150" s="22"/>
      <c r="D1150" s="22"/>
      <c r="E1150" s="23" t="str">
        <f>IF($D1150="","",IFERROR(VLOOKUP($D1150,'ACAH Capital Tracker'!$A:$H,8,FALSE()),""))</f>
        <v/>
      </c>
      <c r="F1150" s="24"/>
      <c r="G1150" s="25" t="str">
        <f>IF($D1150="","",IFERROR(VLOOKUP($D1150,'ACAH Capital Tracker'!$A:$D,4,FALSE()),""))</f>
        <v/>
      </c>
      <c r="H1150" s="22"/>
    </row>
    <row r="1151" spans="1:8">
      <c r="A1151" s="21"/>
      <c r="B1151" s="22"/>
      <c r="C1151" s="22"/>
      <c r="D1151" s="22"/>
      <c r="E1151" s="23" t="str">
        <f>IF($D1151="","",IFERROR(VLOOKUP($D1151,'ACAH Capital Tracker'!$A:$H,8,FALSE()),""))</f>
        <v/>
      </c>
      <c r="F1151" s="24"/>
      <c r="G1151" s="25" t="str">
        <f>IF($D1151="","",IFERROR(VLOOKUP($D1151,'ACAH Capital Tracker'!$A:$D,4,FALSE()),""))</f>
        <v/>
      </c>
      <c r="H1151" s="22"/>
    </row>
    <row r="1152" spans="1:8">
      <c r="A1152" s="21"/>
      <c r="B1152" s="22"/>
      <c r="C1152" s="22"/>
      <c r="D1152" s="22"/>
      <c r="E1152" s="23" t="str">
        <f>IF($D1152="","",IFERROR(VLOOKUP($D1152,'ACAH Capital Tracker'!$A:$H,8,FALSE()),""))</f>
        <v/>
      </c>
      <c r="F1152" s="24"/>
      <c r="G1152" s="25" t="str">
        <f>IF($D1152="","",IFERROR(VLOOKUP($D1152,'ACAH Capital Tracker'!$A:$D,4,FALSE()),""))</f>
        <v/>
      </c>
      <c r="H1152" s="22"/>
    </row>
    <row r="1153" spans="1:8">
      <c r="A1153" s="21"/>
      <c r="B1153" s="22"/>
      <c r="C1153" s="22"/>
      <c r="D1153" s="22"/>
      <c r="E1153" s="23" t="str">
        <f>IF($D1153="","",IFERROR(VLOOKUP($D1153,'ACAH Capital Tracker'!$A:$H,8,FALSE()),""))</f>
        <v/>
      </c>
      <c r="F1153" s="24"/>
      <c r="G1153" s="25" t="str">
        <f>IF($D1153="","",IFERROR(VLOOKUP($D1153,'ACAH Capital Tracker'!$A:$D,4,FALSE()),""))</f>
        <v/>
      </c>
      <c r="H1153" s="22"/>
    </row>
    <row r="1154" spans="1:8">
      <c r="A1154" s="21"/>
      <c r="B1154" s="22"/>
      <c r="C1154" s="22"/>
      <c r="D1154" s="22"/>
      <c r="E1154" s="23" t="str">
        <f>IF($D1154="","",IFERROR(VLOOKUP($D1154,'ACAH Capital Tracker'!$A:$H,8,FALSE()),""))</f>
        <v/>
      </c>
      <c r="F1154" s="24"/>
      <c r="G1154" s="25" t="str">
        <f>IF($D1154="","",IFERROR(VLOOKUP($D1154,'ACAH Capital Tracker'!$A:$D,4,FALSE()),""))</f>
        <v/>
      </c>
      <c r="H1154" s="22"/>
    </row>
    <row r="1155" spans="1:8">
      <c r="A1155" s="21"/>
      <c r="B1155" s="22"/>
      <c r="C1155" s="22"/>
      <c r="D1155" s="22"/>
      <c r="E1155" s="23" t="str">
        <f>IF($D1155="","",IFERROR(VLOOKUP($D1155,'ACAH Capital Tracker'!$A:$H,8,FALSE()),""))</f>
        <v/>
      </c>
      <c r="F1155" s="24"/>
      <c r="G1155" s="25" t="str">
        <f>IF($D1155="","",IFERROR(VLOOKUP($D1155,'ACAH Capital Tracker'!$A:$D,4,FALSE()),""))</f>
        <v/>
      </c>
      <c r="H1155" s="22"/>
    </row>
    <row r="1156" spans="1:8">
      <c r="A1156" s="21"/>
      <c r="B1156" s="22"/>
      <c r="C1156" s="22"/>
      <c r="D1156" s="22"/>
      <c r="E1156" s="23" t="str">
        <f>IF($D1156="","",IFERROR(VLOOKUP($D1156,'ACAH Capital Tracker'!$A:$H,8,FALSE()),""))</f>
        <v/>
      </c>
      <c r="F1156" s="24"/>
      <c r="G1156" s="25" t="str">
        <f>IF($D1156="","",IFERROR(VLOOKUP($D1156,'ACAH Capital Tracker'!$A:$D,4,FALSE()),""))</f>
        <v/>
      </c>
      <c r="H1156" s="22"/>
    </row>
    <row r="1157" spans="1:8">
      <c r="A1157" s="21"/>
      <c r="B1157" s="22"/>
      <c r="C1157" s="22"/>
      <c r="D1157" s="22"/>
      <c r="E1157" s="23" t="str">
        <f>IF($D1157="","",IFERROR(VLOOKUP($D1157,'ACAH Capital Tracker'!$A:$H,8,FALSE()),""))</f>
        <v/>
      </c>
      <c r="F1157" s="24"/>
      <c r="G1157" s="25" t="str">
        <f>IF($D1157="","",IFERROR(VLOOKUP($D1157,'ACAH Capital Tracker'!$A:$D,4,FALSE()),""))</f>
        <v/>
      </c>
      <c r="H1157" s="22"/>
    </row>
    <row r="1158" spans="1:8">
      <c r="A1158" s="21"/>
      <c r="B1158" s="22"/>
      <c r="C1158" s="22"/>
      <c r="D1158" s="22"/>
      <c r="E1158" s="23" t="str">
        <f>IF($D1158="","",IFERROR(VLOOKUP($D1158,'ACAH Capital Tracker'!$A:$H,8,FALSE()),""))</f>
        <v/>
      </c>
      <c r="F1158" s="24"/>
      <c r="G1158" s="25" t="str">
        <f>IF($D1158="","",IFERROR(VLOOKUP($D1158,'ACAH Capital Tracker'!$A:$D,4,FALSE()),""))</f>
        <v/>
      </c>
      <c r="H1158" s="22"/>
    </row>
    <row r="1159" spans="1:8">
      <c r="A1159" s="21"/>
      <c r="B1159" s="22"/>
      <c r="C1159" s="22"/>
      <c r="D1159" s="22"/>
      <c r="E1159" s="23" t="str">
        <f>IF($D1159="","",IFERROR(VLOOKUP($D1159,'ACAH Capital Tracker'!$A:$H,8,FALSE()),""))</f>
        <v/>
      </c>
      <c r="F1159" s="24"/>
      <c r="G1159" s="25" t="str">
        <f>IF($D1159="","",IFERROR(VLOOKUP($D1159,'ACAH Capital Tracker'!$A:$D,4,FALSE()),""))</f>
        <v/>
      </c>
      <c r="H1159" s="22"/>
    </row>
    <row r="1160" spans="1:8">
      <c r="A1160" s="21"/>
      <c r="B1160" s="22"/>
      <c r="C1160" s="22"/>
      <c r="D1160" s="22"/>
      <c r="E1160" s="23" t="str">
        <f>IF($D1160="","",IFERROR(VLOOKUP($D1160,'ACAH Capital Tracker'!$A:$H,8,FALSE()),""))</f>
        <v/>
      </c>
      <c r="F1160" s="24"/>
      <c r="G1160" s="25" t="str">
        <f>IF($D1160="","",IFERROR(VLOOKUP($D1160,'ACAH Capital Tracker'!$A:$D,4,FALSE()),""))</f>
        <v/>
      </c>
      <c r="H1160" s="22"/>
    </row>
    <row r="1161" spans="1:8">
      <c r="A1161" s="21"/>
      <c r="B1161" s="22"/>
      <c r="C1161" s="22"/>
      <c r="D1161" s="22"/>
      <c r="E1161" s="23" t="str">
        <f>IF($D1161="","",IFERROR(VLOOKUP($D1161,'ACAH Capital Tracker'!$A:$H,8,FALSE()),""))</f>
        <v/>
      </c>
      <c r="F1161" s="24"/>
      <c r="G1161" s="25" t="str">
        <f>IF($D1161="","",IFERROR(VLOOKUP($D1161,'ACAH Capital Tracker'!$A:$D,4,FALSE()),""))</f>
        <v/>
      </c>
      <c r="H1161" s="22"/>
    </row>
    <row r="1162" spans="1:8">
      <c r="A1162" s="21"/>
      <c r="B1162" s="22"/>
      <c r="C1162" s="22"/>
      <c r="D1162" s="22"/>
      <c r="E1162" s="23" t="str">
        <f>IF($D1162="","",IFERROR(VLOOKUP($D1162,'ACAH Capital Tracker'!$A:$H,8,FALSE()),""))</f>
        <v/>
      </c>
      <c r="F1162" s="24"/>
      <c r="G1162" s="25" t="str">
        <f>IF($D1162="","",IFERROR(VLOOKUP($D1162,'ACAH Capital Tracker'!$A:$D,4,FALSE()),""))</f>
        <v/>
      </c>
      <c r="H1162" s="22"/>
    </row>
    <row r="1163" spans="1:8">
      <c r="A1163" s="21"/>
      <c r="B1163" s="22"/>
      <c r="C1163" s="22"/>
      <c r="D1163" s="22"/>
      <c r="E1163" s="23" t="str">
        <f>IF($D1163="","",IFERROR(VLOOKUP($D1163,'ACAH Capital Tracker'!$A:$H,8,FALSE()),""))</f>
        <v/>
      </c>
      <c r="F1163" s="24"/>
      <c r="G1163" s="25" t="str">
        <f>IF($D1163="","",IFERROR(VLOOKUP($D1163,'ACAH Capital Tracker'!$A:$D,4,FALSE()),""))</f>
        <v/>
      </c>
      <c r="H1163" s="22"/>
    </row>
    <row r="1164" spans="1:8">
      <c r="A1164" s="21"/>
      <c r="B1164" s="22"/>
      <c r="C1164" s="22"/>
      <c r="D1164" s="22"/>
      <c r="E1164" s="23" t="str">
        <f>IF($D1164="","",IFERROR(VLOOKUP($D1164,'ACAH Capital Tracker'!$A:$H,8,FALSE()),""))</f>
        <v/>
      </c>
      <c r="F1164" s="24"/>
      <c r="G1164" s="25" t="str">
        <f>IF($D1164="","",IFERROR(VLOOKUP($D1164,'ACAH Capital Tracker'!$A:$D,4,FALSE()),""))</f>
        <v/>
      </c>
      <c r="H1164" s="22"/>
    </row>
    <row r="1165" spans="1:8">
      <c r="A1165" s="21"/>
      <c r="B1165" s="22"/>
      <c r="C1165" s="22"/>
      <c r="D1165" s="22"/>
      <c r="E1165" s="23" t="str">
        <f>IF($D1165="","",IFERROR(VLOOKUP($D1165,'ACAH Capital Tracker'!$A:$H,8,FALSE()),""))</f>
        <v/>
      </c>
      <c r="F1165" s="24"/>
      <c r="G1165" s="25" t="str">
        <f>IF($D1165="","",IFERROR(VLOOKUP($D1165,'ACAH Capital Tracker'!$A:$D,4,FALSE()),""))</f>
        <v/>
      </c>
      <c r="H1165" s="22"/>
    </row>
    <row r="1166" spans="1:8">
      <c r="A1166" s="21"/>
      <c r="B1166" s="22"/>
      <c r="C1166" s="22"/>
      <c r="D1166" s="22"/>
      <c r="E1166" s="23" t="str">
        <f>IF($D1166="","",IFERROR(VLOOKUP($D1166,'ACAH Capital Tracker'!$A:$H,8,FALSE()),""))</f>
        <v/>
      </c>
      <c r="F1166" s="24"/>
      <c r="G1166" s="25" t="str">
        <f>IF($D1166="","",IFERROR(VLOOKUP($D1166,'ACAH Capital Tracker'!$A:$D,4,FALSE()),""))</f>
        <v/>
      </c>
      <c r="H1166" s="22"/>
    </row>
    <row r="1167" spans="1:8">
      <c r="A1167" s="21"/>
      <c r="B1167" s="22"/>
      <c r="C1167" s="22"/>
      <c r="D1167" s="22"/>
      <c r="E1167" s="23" t="str">
        <f>IF($D1167="","",IFERROR(VLOOKUP($D1167,'ACAH Capital Tracker'!$A:$H,8,FALSE()),""))</f>
        <v/>
      </c>
      <c r="F1167" s="24"/>
      <c r="G1167" s="25" t="str">
        <f>IF($D1167="","",IFERROR(VLOOKUP($D1167,'ACAH Capital Tracker'!$A:$D,4,FALSE()),""))</f>
        <v/>
      </c>
      <c r="H1167" s="22"/>
    </row>
    <row r="1168" spans="1:8">
      <c r="A1168" s="21"/>
      <c r="B1168" s="22"/>
      <c r="C1168" s="22"/>
      <c r="D1168" s="22"/>
      <c r="E1168" s="23" t="str">
        <f>IF($D1168="","",IFERROR(VLOOKUP($D1168,'ACAH Capital Tracker'!$A:$H,8,FALSE()),""))</f>
        <v/>
      </c>
      <c r="F1168" s="24"/>
      <c r="G1168" s="25" t="str">
        <f>IF($D1168="","",IFERROR(VLOOKUP($D1168,'ACAH Capital Tracker'!$A:$D,4,FALSE()),""))</f>
        <v/>
      </c>
      <c r="H1168" s="22"/>
    </row>
    <row r="1169" spans="1:8">
      <c r="A1169" s="21"/>
      <c r="B1169" s="22"/>
      <c r="C1169" s="22"/>
      <c r="D1169" s="22"/>
      <c r="E1169" s="23" t="str">
        <f>IF($D1169="","",IFERROR(VLOOKUP($D1169,'ACAH Capital Tracker'!$A:$H,8,FALSE()),""))</f>
        <v/>
      </c>
      <c r="F1169" s="24"/>
      <c r="G1169" s="25" t="str">
        <f>IF($D1169="","",IFERROR(VLOOKUP($D1169,'ACAH Capital Tracker'!$A:$D,4,FALSE()),""))</f>
        <v/>
      </c>
      <c r="H1169" s="22"/>
    </row>
    <row r="1170" spans="1:8">
      <c r="A1170" s="21"/>
      <c r="B1170" s="22"/>
      <c r="C1170" s="22"/>
      <c r="D1170" s="22"/>
      <c r="E1170" s="23" t="str">
        <f>IF($D1170="","",IFERROR(VLOOKUP($D1170,'ACAH Capital Tracker'!$A:$H,8,FALSE()),""))</f>
        <v/>
      </c>
      <c r="F1170" s="24"/>
      <c r="G1170" s="25" t="str">
        <f>IF($D1170="","",IFERROR(VLOOKUP($D1170,'ACAH Capital Tracker'!$A:$D,4,FALSE()),""))</f>
        <v/>
      </c>
      <c r="H1170" s="22"/>
    </row>
    <row r="1171" spans="1:8">
      <c r="A1171" s="21"/>
      <c r="B1171" s="22"/>
      <c r="C1171" s="22"/>
      <c r="D1171" s="22"/>
      <c r="E1171" s="23" t="str">
        <f>IF($D1171="","",IFERROR(VLOOKUP($D1171,'ACAH Capital Tracker'!$A:$H,8,FALSE()),""))</f>
        <v/>
      </c>
      <c r="F1171" s="24"/>
      <c r="G1171" s="25" t="str">
        <f>IF($D1171="","",IFERROR(VLOOKUP($D1171,'ACAH Capital Tracker'!$A:$D,4,FALSE()),""))</f>
        <v/>
      </c>
      <c r="H1171" s="22"/>
    </row>
    <row r="1172" spans="1:8">
      <c r="A1172" s="21"/>
      <c r="B1172" s="22"/>
      <c r="C1172" s="22"/>
      <c r="D1172" s="22"/>
      <c r="E1172" s="23" t="str">
        <f>IF($D1172="","",IFERROR(VLOOKUP($D1172,'ACAH Capital Tracker'!$A:$H,8,FALSE()),""))</f>
        <v/>
      </c>
      <c r="F1172" s="24"/>
      <c r="G1172" s="25" t="str">
        <f>IF($D1172="","",IFERROR(VLOOKUP($D1172,'ACAH Capital Tracker'!$A:$D,4,FALSE()),""))</f>
        <v/>
      </c>
      <c r="H1172" s="22"/>
    </row>
    <row r="1173" spans="1:8">
      <c r="A1173" s="21"/>
      <c r="B1173" s="22"/>
      <c r="C1173" s="22"/>
      <c r="D1173" s="22"/>
      <c r="E1173" s="23" t="str">
        <f>IF($D1173="","",IFERROR(VLOOKUP($D1173,'ACAH Capital Tracker'!$A:$H,8,FALSE()),""))</f>
        <v/>
      </c>
      <c r="F1173" s="24"/>
      <c r="G1173" s="25" t="str">
        <f>IF($D1173="","",IFERROR(VLOOKUP($D1173,'ACAH Capital Tracker'!$A:$D,4,FALSE()),""))</f>
        <v/>
      </c>
      <c r="H1173" s="22"/>
    </row>
    <row r="1174" spans="1:8">
      <c r="A1174" s="21"/>
      <c r="B1174" s="22"/>
      <c r="C1174" s="22"/>
      <c r="D1174" s="22"/>
      <c r="E1174" s="23" t="str">
        <f>IF($D1174="","",IFERROR(VLOOKUP($D1174,'ACAH Capital Tracker'!$A:$H,8,FALSE()),""))</f>
        <v/>
      </c>
      <c r="F1174" s="24"/>
      <c r="G1174" s="25" t="str">
        <f>IF($D1174="","",IFERROR(VLOOKUP($D1174,'ACAH Capital Tracker'!$A:$D,4,FALSE()),""))</f>
        <v/>
      </c>
      <c r="H1174" s="22"/>
    </row>
    <row r="1175" spans="1:8">
      <c r="A1175" s="21"/>
      <c r="B1175" s="22"/>
      <c r="C1175" s="22"/>
      <c r="D1175" s="22"/>
      <c r="E1175" s="23" t="str">
        <f>IF($D1175="","",IFERROR(VLOOKUP($D1175,'ACAH Capital Tracker'!$A:$H,8,FALSE()),""))</f>
        <v/>
      </c>
      <c r="F1175" s="24"/>
      <c r="G1175" s="25" t="str">
        <f>IF($D1175="","",IFERROR(VLOOKUP($D1175,'ACAH Capital Tracker'!$A:$D,4,FALSE()),""))</f>
        <v/>
      </c>
      <c r="H1175" s="22"/>
    </row>
    <row r="1176" spans="1:8">
      <c r="A1176" s="21"/>
      <c r="B1176" s="22"/>
      <c r="C1176" s="22"/>
      <c r="D1176" s="22"/>
      <c r="E1176" s="23" t="str">
        <f>IF($D1176="","",IFERROR(VLOOKUP($D1176,'ACAH Capital Tracker'!$A:$H,8,FALSE()),""))</f>
        <v/>
      </c>
      <c r="F1176" s="24"/>
      <c r="G1176" s="25" t="str">
        <f>IF($D1176="","",IFERROR(VLOOKUP($D1176,'ACAH Capital Tracker'!$A:$D,4,FALSE()),""))</f>
        <v/>
      </c>
      <c r="H1176" s="22"/>
    </row>
    <row r="1177" spans="1:8">
      <c r="A1177" s="21"/>
      <c r="B1177" s="22"/>
      <c r="C1177" s="22"/>
      <c r="D1177" s="22"/>
      <c r="E1177" s="23" t="str">
        <f>IF($D1177="","",IFERROR(VLOOKUP($D1177,'ACAH Capital Tracker'!$A:$H,8,FALSE()),""))</f>
        <v/>
      </c>
      <c r="F1177" s="24"/>
      <c r="G1177" s="25" t="str">
        <f>IF($D1177="","",IFERROR(VLOOKUP($D1177,'ACAH Capital Tracker'!$A:$D,4,FALSE()),""))</f>
        <v/>
      </c>
      <c r="H1177" s="22"/>
    </row>
    <row r="1178" spans="1:8">
      <c r="A1178" s="21"/>
      <c r="B1178" s="22"/>
      <c r="C1178" s="22"/>
      <c r="D1178" s="22"/>
      <c r="E1178" s="23" t="str">
        <f>IF($D1178="","",IFERROR(VLOOKUP($D1178,'ACAH Capital Tracker'!$A:$H,8,FALSE()),""))</f>
        <v/>
      </c>
      <c r="F1178" s="24"/>
      <c r="G1178" s="25" t="str">
        <f>IF($D1178="","",IFERROR(VLOOKUP($D1178,'ACAH Capital Tracker'!$A:$D,4,FALSE()),""))</f>
        <v/>
      </c>
      <c r="H1178" s="22"/>
    </row>
    <row r="1179" spans="1:8">
      <c r="A1179" s="21"/>
      <c r="B1179" s="22"/>
      <c r="C1179" s="22"/>
      <c r="D1179" s="22"/>
      <c r="E1179" s="23" t="str">
        <f>IF($D1179="","",IFERROR(VLOOKUP($D1179,'ACAH Capital Tracker'!$A:$H,8,FALSE()),""))</f>
        <v/>
      </c>
      <c r="F1179" s="24"/>
      <c r="G1179" s="25" t="str">
        <f>IF($D1179="","",IFERROR(VLOOKUP($D1179,'ACAH Capital Tracker'!$A:$D,4,FALSE()),""))</f>
        <v/>
      </c>
      <c r="H1179" s="22"/>
    </row>
    <row r="1180" spans="1:8">
      <c r="A1180" s="21"/>
      <c r="B1180" s="22"/>
      <c r="C1180" s="22"/>
      <c r="D1180" s="22"/>
      <c r="E1180" s="23" t="str">
        <f>IF($D1180="","",IFERROR(VLOOKUP($D1180,'ACAH Capital Tracker'!$A:$H,8,FALSE()),""))</f>
        <v/>
      </c>
      <c r="F1180" s="24"/>
      <c r="G1180" s="25" t="str">
        <f>IF($D1180="","",IFERROR(VLOOKUP($D1180,'ACAH Capital Tracker'!$A:$D,4,FALSE()),""))</f>
        <v/>
      </c>
      <c r="H1180" s="22"/>
    </row>
    <row r="1181" spans="1:8">
      <c r="A1181" s="21"/>
      <c r="B1181" s="22"/>
      <c r="C1181" s="22"/>
      <c r="D1181" s="22"/>
      <c r="E1181" s="23" t="str">
        <f>IF($D1181="","",IFERROR(VLOOKUP($D1181,'ACAH Capital Tracker'!$A:$H,8,FALSE()),""))</f>
        <v/>
      </c>
      <c r="F1181" s="24"/>
      <c r="G1181" s="25" t="str">
        <f>IF($D1181="","",IFERROR(VLOOKUP($D1181,'ACAH Capital Tracker'!$A:$D,4,FALSE()),""))</f>
        <v/>
      </c>
      <c r="H1181" s="22"/>
    </row>
    <row r="1182" spans="1:8">
      <c r="A1182" s="21"/>
      <c r="B1182" s="22"/>
      <c r="C1182" s="22"/>
      <c r="D1182" s="22"/>
      <c r="E1182" s="23" t="str">
        <f>IF($D1182="","",IFERROR(VLOOKUP($D1182,'ACAH Capital Tracker'!$A:$H,8,FALSE()),""))</f>
        <v/>
      </c>
      <c r="F1182" s="24"/>
      <c r="G1182" s="25" t="str">
        <f>IF($D1182="","",IFERROR(VLOOKUP($D1182,'ACAH Capital Tracker'!$A:$D,4,FALSE()),""))</f>
        <v/>
      </c>
      <c r="H1182" s="22"/>
    </row>
    <row r="1183" spans="1:8">
      <c r="A1183" s="21"/>
      <c r="B1183" s="22"/>
      <c r="C1183" s="22"/>
      <c r="D1183" s="22"/>
      <c r="E1183" s="23" t="str">
        <f>IF($D1183="","",IFERROR(VLOOKUP($D1183,'ACAH Capital Tracker'!$A:$H,8,FALSE()),""))</f>
        <v/>
      </c>
      <c r="F1183" s="24"/>
      <c r="G1183" s="25" t="str">
        <f>IF($D1183="","",IFERROR(VLOOKUP($D1183,'ACAH Capital Tracker'!$A:$D,4,FALSE()),""))</f>
        <v/>
      </c>
      <c r="H1183" s="22"/>
    </row>
    <row r="1184" spans="1:8">
      <c r="A1184" s="21"/>
      <c r="B1184" s="22"/>
      <c r="C1184" s="22"/>
      <c r="D1184" s="22"/>
      <c r="E1184" s="23" t="str">
        <f>IF($D1184="","",IFERROR(VLOOKUP($D1184,'ACAH Capital Tracker'!$A:$H,8,FALSE()),""))</f>
        <v/>
      </c>
      <c r="F1184" s="24"/>
      <c r="G1184" s="25" t="str">
        <f>IF($D1184="","",IFERROR(VLOOKUP($D1184,'ACAH Capital Tracker'!$A:$D,4,FALSE()),""))</f>
        <v/>
      </c>
      <c r="H1184" s="22"/>
    </row>
    <row r="1185" spans="1:8">
      <c r="A1185" s="21"/>
      <c r="B1185" s="22"/>
      <c r="C1185" s="22"/>
      <c r="D1185" s="22"/>
      <c r="E1185" s="23" t="str">
        <f>IF($D1185="","",IFERROR(VLOOKUP($D1185,'ACAH Capital Tracker'!$A:$H,8,FALSE()),""))</f>
        <v/>
      </c>
      <c r="F1185" s="24"/>
      <c r="G1185" s="25" t="str">
        <f>IF($D1185="","",IFERROR(VLOOKUP($D1185,'ACAH Capital Tracker'!$A:$D,4,FALSE()),""))</f>
        <v/>
      </c>
      <c r="H1185" s="22"/>
    </row>
    <row r="1186" spans="1:8">
      <c r="A1186" s="21"/>
      <c r="B1186" s="22"/>
      <c r="C1186" s="22"/>
      <c r="D1186" s="22"/>
      <c r="E1186" s="23" t="str">
        <f>IF($D1186="","",IFERROR(VLOOKUP($D1186,'ACAH Capital Tracker'!$A:$H,8,FALSE()),""))</f>
        <v/>
      </c>
      <c r="F1186" s="24"/>
      <c r="G1186" s="25" t="str">
        <f>IF($D1186="","",IFERROR(VLOOKUP($D1186,'ACAH Capital Tracker'!$A:$D,4,FALSE()),""))</f>
        <v/>
      </c>
      <c r="H1186" s="22"/>
    </row>
    <row r="1187" spans="1:8">
      <c r="A1187" s="21"/>
      <c r="B1187" s="22"/>
      <c r="C1187" s="22"/>
      <c r="D1187" s="22"/>
      <c r="E1187" s="23" t="str">
        <f>IF($D1187="","",IFERROR(VLOOKUP($D1187,'ACAH Capital Tracker'!$A:$H,8,FALSE()),""))</f>
        <v/>
      </c>
      <c r="F1187" s="24"/>
      <c r="G1187" s="25" t="str">
        <f>IF($D1187="","",IFERROR(VLOOKUP($D1187,'ACAH Capital Tracker'!$A:$D,4,FALSE()),""))</f>
        <v/>
      </c>
      <c r="H1187" s="22"/>
    </row>
    <row r="1188" spans="1:8">
      <c r="A1188" s="21"/>
      <c r="B1188" s="22"/>
      <c r="C1188" s="22"/>
      <c r="D1188" s="22"/>
      <c r="E1188" s="23" t="str">
        <f>IF($D1188="","",IFERROR(VLOOKUP($D1188,'ACAH Capital Tracker'!$A:$H,8,FALSE()),""))</f>
        <v/>
      </c>
      <c r="F1188" s="24"/>
      <c r="G1188" s="25" t="str">
        <f>IF($D1188="","",IFERROR(VLOOKUP($D1188,'ACAH Capital Tracker'!$A:$D,4,FALSE()),""))</f>
        <v/>
      </c>
      <c r="H1188" s="22"/>
    </row>
    <row r="1189" spans="1:8">
      <c r="A1189" s="21"/>
      <c r="B1189" s="22"/>
      <c r="C1189" s="22"/>
      <c r="D1189" s="22"/>
      <c r="E1189" s="23" t="str">
        <f>IF($D1189="","",IFERROR(VLOOKUP($D1189,'ACAH Capital Tracker'!$A:$H,8,FALSE()),""))</f>
        <v/>
      </c>
      <c r="F1189" s="24"/>
      <c r="G1189" s="25" t="str">
        <f>IF($D1189="","",IFERROR(VLOOKUP($D1189,'ACAH Capital Tracker'!$A:$D,4,FALSE()),""))</f>
        <v/>
      </c>
      <c r="H1189" s="22"/>
    </row>
    <row r="1190" spans="1:8">
      <c r="A1190" s="21"/>
      <c r="B1190" s="22"/>
      <c r="C1190" s="22"/>
      <c r="D1190" s="22"/>
      <c r="E1190" s="23" t="str">
        <f>IF($D1190="","",IFERROR(VLOOKUP($D1190,'ACAH Capital Tracker'!$A:$H,8,FALSE()),""))</f>
        <v/>
      </c>
      <c r="F1190" s="24"/>
      <c r="G1190" s="25" t="str">
        <f>IF($D1190="","",IFERROR(VLOOKUP($D1190,'ACAH Capital Tracker'!$A:$D,4,FALSE()),""))</f>
        <v/>
      </c>
      <c r="H1190" s="22"/>
    </row>
    <row r="1191" spans="1:8">
      <c r="A1191" s="21"/>
      <c r="B1191" s="22"/>
      <c r="C1191" s="22"/>
      <c r="D1191" s="22"/>
      <c r="E1191" s="23" t="str">
        <f>IF($D1191="","",IFERROR(VLOOKUP($D1191,'ACAH Capital Tracker'!$A:$H,8,FALSE()),""))</f>
        <v/>
      </c>
      <c r="F1191" s="24"/>
      <c r="G1191" s="25" t="str">
        <f>IF($D1191="","",IFERROR(VLOOKUP($D1191,'ACAH Capital Tracker'!$A:$D,4,FALSE()),""))</f>
        <v/>
      </c>
      <c r="H1191" s="22"/>
    </row>
    <row r="1192" spans="1:8">
      <c r="A1192" s="21"/>
      <c r="B1192" s="22"/>
      <c r="C1192" s="22"/>
      <c r="D1192" s="22"/>
      <c r="E1192" s="23" t="str">
        <f>IF($D1192="","",IFERROR(VLOOKUP($D1192,'ACAH Capital Tracker'!$A:$H,8,FALSE()),""))</f>
        <v/>
      </c>
      <c r="F1192" s="24"/>
      <c r="G1192" s="25" t="str">
        <f>IF($D1192="","",IFERROR(VLOOKUP($D1192,'ACAH Capital Tracker'!$A:$D,4,FALSE()),""))</f>
        <v/>
      </c>
      <c r="H1192" s="22"/>
    </row>
    <row r="1193" spans="1:8">
      <c r="A1193" s="21"/>
      <c r="B1193" s="22"/>
      <c r="C1193" s="22"/>
      <c r="D1193" s="22"/>
      <c r="E1193" s="23" t="str">
        <f>IF($D1193="","",IFERROR(VLOOKUP($D1193,'ACAH Capital Tracker'!$A:$H,8,FALSE()),""))</f>
        <v/>
      </c>
      <c r="F1193" s="24"/>
      <c r="G1193" s="25" t="str">
        <f>IF($D1193="","",IFERROR(VLOOKUP($D1193,'ACAH Capital Tracker'!$A:$D,4,FALSE()),""))</f>
        <v/>
      </c>
      <c r="H1193" s="22"/>
    </row>
    <row r="1194" spans="1:8">
      <c r="A1194" s="21"/>
      <c r="B1194" s="22"/>
      <c r="C1194" s="22"/>
      <c r="D1194" s="22"/>
      <c r="E1194" s="23" t="str">
        <f>IF($D1194="","",IFERROR(VLOOKUP($D1194,'ACAH Capital Tracker'!$A:$H,8,FALSE()),""))</f>
        <v/>
      </c>
      <c r="F1194" s="24"/>
      <c r="G1194" s="25" t="str">
        <f>IF($D1194="","",IFERROR(VLOOKUP($D1194,'ACAH Capital Tracker'!$A:$D,4,FALSE()),""))</f>
        <v/>
      </c>
      <c r="H1194" s="22"/>
    </row>
    <row r="1195" spans="1:8">
      <c r="A1195" s="21"/>
      <c r="B1195" s="22"/>
      <c r="C1195" s="22"/>
      <c r="D1195" s="22"/>
      <c r="E1195" s="23" t="str">
        <f>IF($D1195="","",IFERROR(VLOOKUP($D1195,'ACAH Capital Tracker'!$A:$H,8,FALSE()),""))</f>
        <v/>
      </c>
      <c r="F1195" s="24"/>
      <c r="G1195" s="25" t="str">
        <f>IF($D1195="","",IFERROR(VLOOKUP($D1195,'ACAH Capital Tracker'!$A:$D,4,FALSE()),""))</f>
        <v/>
      </c>
      <c r="H1195" s="22"/>
    </row>
    <row r="1196" spans="1:8">
      <c r="A1196" s="21"/>
      <c r="B1196" s="22"/>
      <c r="C1196" s="22"/>
      <c r="D1196" s="22"/>
      <c r="E1196" s="23" t="str">
        <f>IF($D1196="","",IFERROR(VLOOKUP($D1196,'ACAH Capital Tracker'!$A:$H,8,FALSE()),""))</f>
        <v/>
      </c>
      <c r="F1196" s="24"/>
      <c r="G1196" s="25" t="str">
        <f>IF($D1196="","",IFERROR(VLOOKUP($D1196,'ACAH Capital Tracker'!$A:$D,4,FALSE()),""))</f>
        <v/>
      </c>
      <c r="H1196" s="22"/>
    </row>
    <row r="1197" spans="1:8">
      <c r="A1197" s="21"/>
      <c r="B1197" s="22"/>
      <c r="C1197" s="22"/>
      <c r="D1197" s="22"/>
      <c r="E1197" s="23" t="str">
        <f>IF($D1197="","",IFERROR(VLOOKUP($D1197,'ACAH Capital Tracker'!$A:$H,8,FALSE()),""))</f>
        <v/>
      </c>
      <c r="F1197" s="24"/>
      <c r="G1197" s="25" t="str">
        <f>IF($D1197="","",IFERROR(VLOOKUP($D1197,'ACAH Capital Tracker'!$A:$D,4,FALSE()),""))</f>
        <v/>
      </c>
      <c r="H1197" s="22"/>
    </row>
    <row r="1198" spans="1:8">
      <c r="A1198" s="21"/>
      <c r="B1198" s="22"/>
      <c r="C1198" s="22"/>
      <c r="D1198" s="22"/>
      <c r="E1198" s="23" t="str">
        <f>IF($D1198="","",IFERROR(VLOOKUP($D1198,'ACAH Capital Tracker'!$A:$H,8,FALSE()),""))</f>
        <v/>
      </c>
      <c r="F1198" s="24"/>
      <c r="G1198" s="25" t="str">
        <f>IF($D1198="","",IFERROR(VLOOKUP($D1198,'ACAH Capital Tracker'!$A:$D,4,FALSE()),""))</f>
        <v/>
      </c>
      <c r="H1198" s="22"/>
    </row>
    <row r="1199" spans="1:8">
      <c r="A1199" s="21"/>
      <c r="B1199" s="22"/>
      <c r="C1199" s="22"/>
      <c r="D1199" s="22"/>
      <c r="E1199" s="23" t="str">
        <f>IF($D1199="","",IFERROR(VLOOKUP($D1199,'ACAH Capital Tracker'!$A:$H,8,FALSE()),""))</f>
        <v/>
      </c>
      <c r="F1199" s="24"/>
      <c r="G1199" s="25" t="str">
        <f>IF($D1199="","",IFERROR(VLOOKUP($D1199,'ACAH Capital Tracker'!$A:$D,4,FALSE()),""))</f>
        <v/>
      </c>
      <c r="H1199" s="22"/>
    </row>
    <row r="1200" spans="1:8">
      <c r="A1200" s="21"/>
      <c r="B1200" s="22"/>
      <c r="C1200" s="22"/>
      <c r="D1200" s="22"/>
      <c r="E1200" s="23" t="str">
        <f>IF($D1200="","",IFERROR(VLOOKUP($D1200,'ACAH Capital Tracker'!$A:$H,8,FALSE()),""))</f>
        <v/>
      </c>
      <c r="F1200" s="24"/>
      <c r="G1200" s="25" t="str">
        <f>IF($D1200="","",IFERROR(VLOOKUP($D1200,'ACAH Capital Tracker'!$A:$D,4,FALSE()),""))</f>
        <v/>
      </c>
      <c r="H1200" s="22"/>
    </row>
    <row r="1201" spans="1:8">
      <c r="A1201" s="21"/>
      <c r="B1201" s="22"/>
      <c r="C1201" s="22"/>
      <c r="D1201" s="22"/>
      <c r="E1201" s="23" t="str">
        <f>IF($D1201="","",IFERROR(VLOOKUP($D1201,'ACAH Capital Tracker'!$A:$H,8,FALSE()),""))</f>
        <v/>
      </c>
      <c r="F1201" s="24"/>
      <c r="G1201" s="25" t="str">
        <f>IF($D1201="","",IFERROR(VLOOKUP($D1201,'ACAH Capital Tracker'!$A:$D,4,FALSE()),""))</f>
        <v/>
      </c>
      <c r="H1201" s="22"/>
    </row>
    <row r="1202" spans="1:8">
      <c r="A1202" s="21"/>
      <c r="B1202" s="22"/>
      <c r="C1202" s="22"/>
      <c r="D1202" s="22"/>
      <c r="E1202" s="23" t="str">
        <f>IF($D1202="","",IFERROR(VLOOKUP($D1202,'ACAH Capital Tracker'!$A:$H,8,FALSE()),""))</f>
        <v/>
      </c>
      <c r="F1202" s="24"/>
      <c r="G1202" s="25" t="str">
        <f>IF($D1202="","",IFERROR(VLOOKUP($D1202,'ACAH Capital Tracker'!$A:$D,4,FALSE()),""))</f>
        <v/>
      </c>
      <c r="H1202" s="22"/>
    </row>
    <row r="1203" spans="1:8">
      <c r="A1203" s="21"/>
      <c r="B1203" s="22"/>
      <c r="C1203" s="22"/>
      <c r="D1203" s="22"/>
      <c r="E1203" s="23" t="str">
        <f>IF($D1203="","",IFERROR(VLOOKUP($D1203,'ACAH Capital Tracker'!$A:$H,8,FALSE()),""))</f>
        <v/>
      </c>
      <c r="F1203" s="24"/>
      <c r="G1203" s="25" t="str">
        <f>IF($D1203="","",IFERROR(VLOOKUP($D1203,'ACAH Capital Tracker'!$A:$D,4,FALSE()),""))</f>
        <v/>
      </c>
      <c r="H1203" s="22"/>
    </row>
    <row r="1204" spans="1:8">
      <c r="A1204" s="21"/>
      <c r="B1204" s="22"/>
      <c r="C1204" s="22"/>
      <c r="D1204" s="22"/>
      <c r="E1204" s="23" t="str">
        <f>IF($D1204="","",IFERROR(VLOOKUP($D1204,'ACAH Capital Tracker'!$A:$H,8,FALSE()),""))</f>
        <v/>
      </c>
      <c r="F1204" s="24"/>
      <c r="G1204" s="25" t="str">
        <f>IF($D1204="","",IFERROR(VLOOKUP($D1204,'ACAH Capital Tracker'!$A:$D,4,FALSE()),""))</f>
        <v/>
      </c>
      <c r="H1204" s="22"/>
    </row>
    <row r="1205" spans="1:8">
      <c r="A1205" s="21"/>
      <c r="B1205" s="22"/>
      <c r="C1205" s="22"/>
      <c r="D1205" s="22"/>
      <c r="E1205" s="23" t="str">
        <f>IF($D1205="","",IFERROR(VLOOKUP($D1205,'ACAH Capital Tracker'!$A:$H,8,FALSE()),""))</f>
        <v/>
      </c>
      <c r="F1205" s="24"/>
      <c r="G1205" s="25" t="str">
        <f>IF($D1205="","",IFERROR(VLOOKUP($D1205,'ACAH Capital Tracker'!$A:$D,4,FALSE()),""))</f>
        <v/>
      </c>
      <c r="H1205" s="22"/>
    </row>
    <row r="1206" spans="1:8">
      <c r="A1206" s="21"/>
      <c r="B1206" s="22"/>
      <c r="C1206" s="22"/>
      <c r="D1206" s="22"/>
      <c r="E1206" s="23" t="str">
        <f>IF($D1206="","",IFERROR(VLOOKUP($D1206,'ACAH Capital Tracker'!$A:$H,8,FALSE()),""))</f>
        <v/>
      </c>
      <c r="F1206" s="24"/>
      <c r="G1206" s="25" t="str">
        <f>IF($D1206="","",IFERROR(VLOOKUP($D1206,'ACAH Capital Tracker'!$A:$D,4,FALSE()),""))</f>
        <v/>
      </c>
      <c r="H1206" s="22"/>
    </row>
    <row r="1207" spans="1:8">
      <c r="A1207" s="21"/>
      <c r="B1207" s="22"/>
      <c r="C1207" s="22"/>
      <c r="D1207" s="22"/>
      <c r="E1207" s="23" t="str">
        <f>IF($D1207="","",IFERROR(VLOOKUP($D1207,'ACAH Capital Tracker'!$A:$H,8,FALSE()),""))</f>
        <v/>
      </c>
      <c r="F1207" s="24"/>
      <c r="G1207" s="25" t="str">
        <f>IF($D1207="","",IFERROR(VLOOKUP($D1207,'ACAH Capital Tracker'!$A:$D,4,FALSE()),""))</f>
        <v/>
      </c>
      <c r="H1207" s="22"/>
    </row>
    <row r="1208" spans="1:8">
      <c r="A1208" s="21"/>
      <c r="B1208" s="22"/>
      <c r="C1208" s="22"/>
      <c r="D1208" s="22"/>
      <c r="E1208" s="23" t="str">
        <f>IF($D1208="","",IFERROR(VLOOKUP($D1208,'ACAH Capital Tracker'!$A:$H,8,FALSE()),""))</f>
        <v/>
      </c>
      <c r="F1208" s="24"/>
      <c r="G1208" s="25" t="str">
        <f>IF($D1208="","",IFERROR(VLOOKUP($D1208,'ACAH Capital Tracker'!$A:$D,4,FALSE()),""))</f>
        <v/>
      </c>
      <c r="H1208" s="22"/>
    </row>
    <row r="1209" spans="1:8">
      <c r="A1209" s="21"/>
      <c r="B1209" s="22"/>
      <c r="C1209" s="22"/>
      <c r="D1209" s="22"/>
      <c r="E1209" s="23" t="str">
        <f>IF($D1209="","",IFERROR(VLOOKUP($D1209,'ACAH Capital Tracker'!$A:$H,8,FALSE()),""))</f>
        <v/>
      </c>
      <c r="F1209" s="24"/>
      <c r="G1209" s="25" t="str">
        <f>IF($D1209="","",IFERROR(VLOOKUP($D1209,'ACAH Capital Tracker'!$A:$D,4,FALSE()),""))</f>
        <v/>
      </c>
      <c r="H1209" s="22"/>
    </row>
    <row r="1210" spans="1:8">
      <c r="A1210" s="21"/>
      <c r="B1210" s="22"/>
      <c r="C1210" s="22"/>
      <c r="D1210" s="22"/>
      <c r="E1210" s="23" t="str">
        <f>IF($D1210="","",IFERROR(VLOOKUP($D1210,'ACAH Capital Tracker'!$A:$H,8,FALSE()),""))</f>
        <v/>
      </c>
      <c r="F1210" s="24"/>
      <c r="G1210" s="25" t="str">
        <f>IF($D1210="","",IFERROR(VLOOKUP($D1210,'ACAH Capital Tracker'!$A:$D,4,FALSE()),""))</f>
        <v/>
      </c>
      <c r="H1210" s="22"/>
    </row>
    <row r="1211" spans="1:8">
      <c r="A1211" s="21"/>
      <c r="B1211" s="22"/>
      <c r="C1211" s="22"/>
      <c r="D1211" s="22"/>
      <c r="E1211" s="23" t="str">
        <f>IF($D1211="","",IFERROR(VLOOKUP($D1211,'ACAH Capital Tracker'!$A:$H,8,FALSE()),""))</f>
        <v/>
      </c>
      <c r="F1211" s="24"/>
      <c r="G1211" s="25" t="str">
        <f>IF($D1211="","",IFERROR(VLOOKUP($D1211,'ACAH Capital Tracker'!$A:$D,4,FALSE()),""))</f>
        <v/>
      </c>
      <c r="H1211" s="22"/>
    </row>
    <row r="1212" spans="1:8">
      <c r="A1212" s="21"/>
      <c r="B1212" s="22"/>
      <c r="C1212" s="22"/>
      <c r="D1212" s="22"/>
      <c r="E1212" s="23" t="str">
        <f>IF($D1212="","",IFERROR(VLOOKUP($D1212,'ACAH Capital Tracker'!$A:$H,8,FALSE()),""))</f>
        <v/>
      </c>
      <c r="F1212" s="24"/>
      <c r="G1212" s="25" t="str">
        <f>IF($D1212="","",IFERROR(VLOOKUP($D1212,'ACAH Capital Tracker'!$A:$D,4,FALSE()),""))</f>
        <v/>
      </c>
      <c r="H1212" s="22"/>
    </row>
    <row r="1213" spans="1:8">
      <c r="A1213" s="21"/>
      <c r="B1213" s="22"/>
      <c r="C1213" s="22"/>
      <c r="D1213" s="22"/>
      <c r="E1213" s="23" t="str">
        <f>IF($D1213="","",IFERROR(VLOOKUP($D1213,'ACAH Capital Tracker'!$A:$H,8,FALSE()),""))</f>
        <v/>
      </c>
      <c r="F1213" s="24"/>
      <c r="G1213" s="25" t="str">
        <f>IF($D1213="","",IFERROR(VLOOKUP($D1213,'ACAH Capital Tracker'!$A:$D,4,FALSE()),""))</f>
        <v/>
      </c>
      <c r="H1213" s="22"/>
    </row>
    <row r="1214" spans="1:8">
      <c r="A1214" s="21"/>
      <c r="B1214" s="22"/>
      <c r="C1214" s="22"/>
      <c r="D1214" s="22"/>
      <c r="E1214" s="23" t="str">
        <f>IF($D1214="","",IFERROR(VLOOKUP($D1214,'ACAH Capital Tracker'!$A:$H,8,FALSE()),""))</f>
        <v/>
      </c>
      <c r="F1214" s="24"/>
      <c r="G1214" s="25" t="str">
        <f>IF($D1214="","",IFERROR(VLOOKUP($D1214,'ACAH Capital Tracker'!$A:$D,4,FALSE()),""))</f>
        <v/>
      </c>
      <c r="H1214" s="22"/>
    </row>
    <row r="1215" spans="1:8">
      <c r="A1215" s="21"/>
      <c r="B1215" s="22"/>
      <c r="C1215" s="22"/>
      <c r="D1215" s="22"/>
      <c r="E1215" s="23" t="str">
        <f>IF($D1215="","",IFERROR(VLOOKUP($D1215,'ACAH Capital Tracker'!$A:$H,8,FALSE()),""))</f>
        <v/>
      </c>
      <c r="F1215" s="24"/>
      <c r="G1215" s="25" t="str">
        <f>IF($D1215="","",IFERROR(VLOOKUP($D1215,'ACAH Capital Tracker'!$A:$D,4,FALSE()),""))</f>
        <v/>
      </c>
      <c r="H1215" s="22"/>
    </row>
    <row r="1216" spans="1:8">
      <c r="A1216" s="21"/>
      <c r="B1216" s="22"/>
      <c r="C1216" s="22"/>
      <c r="D1216" s="22"/>
      <c r="E1216" s="23" t="str">
        <f>IF($D1216="","",IFERROR(VLOOKUP($D1216,'ACAH Capital Tracker'!$A:$H,8,FALSE()),""))</f>
        <v/>
      </c>
      <c r="F1216" s="24"/>
      <c r="G1216" s="25" t="str">
        <f>IF($D1216="","",IFERROR(VLOOKUP($D1216,'ACAH Capital Tracker'!$A:$D,4,FALSE()),""))</f>
        <v/>
      </c>
      <c r="H1216" s="22"/>
    </row>
    <row r="1217" spans="1:8">
      <c r="A1217" s="21"/>
      <c r="B1217" s="22"/>
      <c r="C1217" s="22"/>
      <c r="D1217" s="22"/>
      <c r="E1217" s="23" t="str">
        <f>IF($D1217="","",IFERROR(VLOOKUP($D1217,'ACAH Capital Tracker'!$A:$H,8,FALSE()),""))</f>
        <v/>
      </c>
      <c r="F1217" s="24"/>
      <c r="G1217" s="25" t="str">
        <f>IF($D1217="","",IFERROR(VLOOKUP($D1217,'ACAH Capital Tracker'!$A:$D,4,FALSE()),""))</f>
        <v/>
      </c>
      <c r="H1217" s="22"/>
    </row>
    <row r="1218" spans="1:8">
      <c r="A1218" s="21"/>
      <c r="B1218" s="22"/>
      <c r="C1218" s="22"/>
      <c r="D1218" s="22"/>
      <c r="E1218" s="23" t="str">
        <f>IF($D1218="","",IFERROR(VLOOKUP($D1218,'ACAH Capital Tracker'!$A:$H,8,FALSE()),""))</f>
        <v/>
      </c>
      <c r="F1218" s="24"/>
      <c r="G1218" s="25" t="str">
        <f>IF($D1218="","",IFERROR(VLOOKUP($D1218,'ACAH Capital Tracker'!$A:$D,4,FALSE()),""))</f>
        <v/>
      </c>
      <c r="H1218" s="22"/>
    </row>
    <row r="1219" spans="1:8">
      <c r="A1219" s="21"/>
      <c r="B1219" s="22"/>
      <c r="C1219" s="22"/>
      <c r="D1219" s="22"/>
      <c r="E1219" s="23" t="str">
        <f>IF($D1219="","",IFERROR(VLOOKUP($D1219,'ACAH Capital Tracker'!$A:$H,8,FALSE()),""))</f>
        <v/>
      </c>
      <c r="F1219" s="24"/>
      <c r="G1219" s="25" t="str">
        <f>IF($D1219="","",IFERROR(VLOOKUP($D1219,'ACAH Capital Tracker'!$A:$D,4,FALSE()),""))</f>
        <v/>
      </c>
      <c r="H1219" s="22"/>
    </row>
    <row r="1220" spans="1:8">
      <c r="A1220" s="21"/>
      <c r="B1220" s="22"/>
      <c r="C1220" s="22"/>
      <c r="D1220" s="22"/>
      <c r="E1220" s="23" t="str">
        <f>IF($D1220="","",IFERROR(VLOOKUP($D1220,'ACAH Capital Tracker'!$A:$H,8,FALSE()),""))</f>
        <v/>
      </c>
      <c r="F1220" s="24"/>
      <c r="G1220" s="25" t="str">
        <f>IF($D1220="","",IFERROR(VLOOKUP($D1220,'ACAH Capital Tracker'!$A:$D,4,FALSE()),""))</f>
        <v/>
      </c>
      <c r="H1220" s="22"/>
    </row>
    <row r="1221" spans="1:8">
      <c r="A1221" s="21"/>
      <c r="B1221" s="22"/>
      <c r="C1221" s="22"/>
      <c r="D1221" s="22"/>
      <c r="E1221" s="23" t="str">
        <f>IF($D1221="","",IFERROR(VLOOKUP($D1221,'ACAH Capital Tracker'!$A:$H,8,FALSE()),""))</f>
        <v/>
      </c>
      <c r="F1221" s="24"/>
      <c r="G1221" s="25" t="str">
        <f>IF($D1221="","",IFERROR(VLOOKUP($D1221,'ACAH Capital Tracker'!$A:$D,4,FALSE()),""))</f>
        <v/>
      </c>
      <c r="H1221" s="22"/>
    </row>
    <row r="1222" spans="1:8">
      <c r="A1222" s="21"/>
      <c r="B1222" s="22"/>
      <c r="C1222" s="22"/>
      <c r="D1222" s="22"/>
      <c r="E1222" s="23" t="str">
        <f>IF($D1222="","",IFERROR(VLOOKUP($D1222,'ACAH Capital Tracker'!$A:$H,8,FALSE()),""))</f>
        <v/>
      </c>
      <c r="F1222" s="24"/>
      <c r="G1222" s="25" t="str">
        <f>IF($D1222="","",IFERROR(VLOOKUP($D1222,'ACAH Capital Tracker'!$A:$D,4,FALSE()),""))</f>
        <v/>
      </c>
      <c r="H1222" s="22"/>
    </row>
    <row r="1223" spans="1:8">
      <c r="A1223" s="21"/>
      <c r="B1223" s="22"/>
      <c r="C1223" s="22"/>
      <c r="D1223" s="22"/>
      <c r="E1223" s="23" t="str">
        <f>IF($D1223="","",IFERROR(VLOOKUP($D1223,'ACAH Capital Tracker'!$A:$H,8,FALSE()),""))</f>
        <v/>
      </c>
      <c r="F1223" s="24"/>
      <c r="G1223" s="25" t="str">
        <f>IF($D1223="","",IFERROR(VLOOKUP($D1223,'ACAH Capital Tracker'!$A:$D,4,FALSE()),""))</f>
        <v/>
      </c>
      <c r="H1223" s="22"/>
    </row>
    <row r="1224" spans="1:8">
      <c r="A1224" s="21"/>
      <c r="B1224" s="22"/>
      <c r="C1224" s="22"/>
      <c r="D1224" s="22"/>
      <c r="E1224" s="23" t="str">
        <f>IF($D1224="","",IFERROR(VLOOKUP($D1224,'ACAH Capital Tracker'!$A:$H,8,FALSE()),""))</f>
        <v/>
      </c>
      <c r="F1224" s="24"/>
      <c r="G1224" s="25" t="str">
        <f>IF($D1224="","",IFERROR(VLOOKUP($D1224,'ACAH Capital Tracker'!$A:$D,4,FALSE()),""))</f>
        <v/>
      </c>
      <c r="H1224" s="22"/>
    </row>
    <row r="1225" spans="1:8">
      <c r="A1225" s="21"/>
      <c r="B1225" s="22"/>
      <c r="C1225" s="22"/>
      <c r="D1225" s="22"/>
      <c r="E1225" s="23" t="str">
        <f>IF($D1225="","",IFERROR(VLOOKUP($D1225,'ACAH Capital Tracker'!$A:$H,8,FALSE()),""))</f>
        <v/>
      </c>
      <c r="F1225" s="24"/>
      <c r="G1225" s="25" t="str">
        <f>IF($D1225="","",IFERROR(VLOOKUP($D1225,'ACAH Capital Tracker'!$A:$D,4,FALSE()),""))</f>
        <v/>
      </c>
      <c r="H1225" s="22"/>
    </row>
    <row r="1226" spans="1:8">
      <c r="A1226" s="21"/>
      <c r="B1226" s="22"/>
      <c r="C1226" s="22"/>
      <c r="D1226" s="22"/>
      <c r="E1226" s="23" t="str">
        <f>IF($D1226="","",IFERROR(VLOOKUP($D1226,'ACAH Capital Tracker'!$A:$H,8,FALSE()),""))</f>
        <v/>
      </c>
      <c r="F1226" s="24"/>
      <c r="G1226" s="25" t="str">
        <f>IF($D1226="","",IFERROR(VLOOKUP($D1226,'ACAH Capital Tracker'!$A:$D,4,FALSE()),""))</f>
        <v/>
      </c>
      <c r="H1226" s="22"/>
    </row>
    <row r="1227" spans="1:8">
      <c r="A1227" s="21"/>
      <c r="B1227" s="22"/>
      <c r="C1227" s="22"/>
      <c r="D1227" s="22"/>
      <c r="E1227" s="23" t="str">
        <f>IF($D1227="","",IFERROR(VLOOKUP($D1227,'ACAH Capital Tracker'!$A:$H,8,FALSE()),""))</f>
        <v/>
      </c>
      <c r="F1227" s="24"/>
      <c r="G1227" s="25" t="str">
        <f>IF($D1227="","",IFERROR(VLOOKUP($D1227,'ACAH Capital Tracker'!$A:$D,4,FALSE()),""))</f>
        <v/>
      </c>
      <c r="H1227" s="22"/>
    </row>
    <row r="1228" spans="1:8">
      <c r="A1228" s="21"/>
      <c r="B1228" s="22"/>
      <c r="C1228" s="22"/>
      <c r="D1228" s="22"/>
      <c r="E1228" s="23" t="str">
        <f>IF($D1228="","",IFERROR(VLOOKUP($D1228,'ACAH Capital Tracker'!$A:$H,8,FALSE()),""))</f>
        <v/>
      </c>
      <c r="F1228" s="24"/>
      <c r="G1228" s="25" t="str">
        <f>IF($D1228="","",IFERROR(VLOOKUP($D1228,'ACAH Capital Tracker'!$A:$D,4,FALSE()),""))</f>
        <v/>
      </c>
      <c r="H1228" s="22"/>
    </row>
    <row r="1229" spans="1:8">
      <c r="A1229" s="21"/>
      <c r="B1229" s="22"/>
      <c r="C1229" s="22"/>
      <c r="D1229" s="22"/>
      <c r="E1229" s="23" t="str">
        <f>IF($D1229="","",IFERROR(VLOOKUP($D1229,'ACAH Capital Tracker'!$A:$H,8,FALSE()),""))</f>
        <v/>
      </c>
      <c r="F1229" s="24"/>
      <c r="G1229" s="25" t="str">
        <f>IF($D1229="","",IFERROR(VLOOKUP($D1229,'ACAH Capital Tracker'!$A:$D,4,FALSE()),""))</f>
        <v/>
      </c>
      <c r="H1229" s="22"/>
    </row>
    <row r="1230" spans="1:8">
      <c r="A1230" s="21"/>
      <c r="B1230" s="22"/>
      <c r="C1230" s="22"/>
      <c r="D1230" s="22"/>
      <c r="E1230" s="23" t="str">
        <f>IF($D1230="","",IFERROR(VLOOKUP($D1230,'ACAH Capital Tracker'!$A:$H,8,FALSE()),""))</f>
        <v/>
      </c>
      <c r="F1230" s="24"/>
      <c r="G1230" s="25" t="str">
        <f>IF($D1230="","",IFERROR(VLOOKUP($D1230,'ACAH Capital Tracker'!$A:$D,4,FALSE()),""))</f>
        <v/>
      </c>
      <c r="H1230" s="22"/>
    </row>
    <row r="1231" spans="1:8">
      <c r="A1231" s="21"/>
      <c r="B1231" s="22"/>
      <c r="C1231" s="22"/>
      <c r="D1231" s="22"/>
      <c r="E1231" s="23" t="str">
        <f>IF($D1231="","",IFERROR(VLOOKUP($D1231,'ACAH Capital Tracker'!$A:$H,8,FALSE()),""))</f>
        <v/>
      </c>
      <c r="F1231" s="24"/>
      <c r="G1231" s="25" t="str">
        <f>IF($D1231="","",IFERROR(VLOOKUP($D1231,'ACAH Capital Tracker'!$A:$D,4,FALSE()),""))</f>
        <v/>
      </c>
      <c r="H1231" s="22"/>
    </row>
    <row r="1232" spans="1:8">
      <c r="A1232" s="21"/>
      <c r="B1232" s="22"/>
      <c r="C1232" s="22"/>
      <c r="D1232" s="22"/>
      <c r="E1232" s="23" t="str">
        <f>IF($D1232="","",IFERROR(VLOOKUP($D1232,'ACAH Capital Tracker'!$A:$H,8,FALSE()),""))</f>
        <v/>
      </c>
      <c r="F1232" s="24"/>
      <c r="G1232" s="25" t="str">
        <f>IF($D1232="","",IFERROR(VLOOKUP($D1232,'ACAH Capital Tracker'!$A:$D,4,FALSE()),""))</f>
        <v/>
      </c>
      <c r="H1232" s="22"/>
    </row>
    <row r="1233" spans="1:8">
      <c r="A1233" s="21"/>
      <c r="B1233" s="22"/>
      <c r="C1233" s="22"/>
      <c r="D1233" s="22"/>
      <c r="E1233" s="23" t="str">
        <f>IF($D1233="","",IFERROR(VLOOKUP($D1233,'ACAH Capital Tracker'!$A:$H,8,FALSE()),""))</f>
        <v/>
      </c>
      <c r="F1233" s="24"/>
      <c r="G1233" s="25" t="str">
        <f>IF($D1233="","",IFERROR(VLOOKUP($D1233,'ACAH Capital Tracker'!$A:$D,4,FALSE()),""))</f>
        <v/>
      </c>
      <c r="H1233" s="22"/>
    </row>
    <row r="1234" spans="1:8">
      <c r="A1234" s="21"/>
      <c r="B1234" s="22"/>
      <c r="C1234" s="22"/>
      <c r="D1234" s="22"/>
      <c r="E1234" s="23" t="str">
        <f>IF($D1234="","",IFERROR(VLOOKUP($D1234,'ACAH Capital Tracker'!$A:$H,8,FALSE()),""))</f>
        <v/>
      </c>
      <c r="F1234" s="24"/>
      <c r="G1234" s="25" t="str">
        <f>IF($D1234="","",IFERROR(VLOOKUP($D1234,'ACAH Capital Tracker'!$A:$D,4,FALSE()),""))</f>
        <v/>
      </c>
      <c r="H1234" s="22"/>
    </row>
    <row r="1235" spans="1:8">
      <c r="A1235" s="21"/>
      <c r="B1235" s="22"/>
      <c r="C1235" s="22"/>
      <c r="D1235" s="22"/>
      <c r="E1235" s="23" t="str">
        <f>IF($D1235="","",IFERROR(VLOOKUP($D1235,'ACAH Capital Tracker'!$A:$H,8,FALSE()),""))</f>
        <v/>
      </c>
      <c r="F1235" s="24"/>
      <c r="G1235" s="25" t="str">
        <f>IF($D1235="","",IFERROR(VLOOKUP($D1235,'ACAH Capital Tracker'!$A:$D,4,FALSE()),""))</f>
        <v/>
      </c>
      <c r="H1235" s="22"/>
    </row>
    <row r="1236" spans="1:8">
      <c r="A1236" s="21"/>
      <c r="B1236" s="22"/>
      <c r="C1236" s="22"/>
      <c r="D1236" s="22"/>
      <c r="E1236" s="23" t="str">
        <f>IF($D1236="","",IFERROR(VLOOKUP($D1236,'ACAH Capital Tracker'!$A:$H,8,FALSE()),""))</f>
        <v/>
      </c>
      <c r="F1236" s="24"/>
      <c r="G1236" s="25" t="str">
        <f>IF($D1236="","",IFERROR(VLOOKUP($D1236,'ACAH Capital Tracker'!$A:$D,4,FALSE()),""))</f>
        <v/>
      </c>
      <c r="H1236" s="22"/>
    </row>
    <row r="1237" spans="1:8">
      <c r="A1237" s="21"/>
      <c r="B1237" s="22"/>
      <c r="C1237" s="22"/>
      <c r="D1237" s="22"/>
      <c r="E1237" s="23" t="str">
        <f>IF($D1237="","",IFERROR(VLOOKUP($D1237,'ACAH Capital Tracker'!$A:$H,8,FALSE()),""))</f>
        <v/>
      </c>
      <c r="F1237" s="24"/>
      <c r="G1237" s="25" t="str">
        <f>IF($D1237="","",IFERROR(VLOOKUP($D1237,'ACAH Capital Tracker'!$A:$D,4,FALSE()),""))</f>
        <v/>
      </c>
      <c r="H1237" s="22"/>
    </row>
    <row r="1238" spans="1:8">
      <c r="A1238" s="21"/>
      <c r="B1238" s="22"/>
      <c r="C1238" s="22"/>
      <c r="D1238" s="22"/>
      <c r="E1238" s="23" t="str">
        <f>IF($D1238="","",IFERROR(VLOOKUP($D1238,'ACAH Capital Tracker'!$A:$H,8,FALSE()),""))</f>
        <v/>
      </c>
      <c r="F1238" s="24"/>
      <c r="G1238" s="25" t="str">
        <f>IF($D1238="","",IFERROR(VLOOKUP($D1238,'ACAH Capital Tracker'!$A:$D,4,FALSE()),""))</f>
        <v/>
      </c>
      <c r="H1238" s="22"/>
    </row>
    <row r="1239" spans="1:8">
      <c r="A1239" s="21"/>
      <c r="B1239" s="22"/>
      <c r="C1239" s="22"/>
      <c r="D1239" s="22"/>
      <c r="E1239" s="23" t="str">
        <f>IF($D1239="","",IFERROR(VLOOKUP($D1239,'ACAH Capital Tracker'!$A:$H,8,FALSE()),""))</f>
        <v/>
      </c>
      <c r="F1239" s="24"/>
      <c r="G1239" s="25" t="str">
        <f>IF($D1239="","",IFERROR(VLOOKUP($D1239,'ACAH Capital Tracker'!$A:$D,4,FALSE()),""))</f>
        <v/>
      </c>
      <c r="H1239" s="22"/>
    </row>
    <row r="1240" spans="1:8">
      <c r="A1240" s="21"/>
      <c r="B1240" s="22"/>
      <c r="C1240" s="22"/>
      <c r="D1240" s="22"/>
      <c r="E1240" s="23" t="str">
        <f>IF($D1240="","",IFERROR(VLOOKUP($D1240,'ACAH Capital Tracker'!$A:$H,8,FALSE()),""))</f>
        <v/>
      </c>
      <c r="F1240" s="24"/>
      <c r="G1240" s="25" t="str">
        <f>IF($D1240="","",IFERROR(VLOOKUP($D1240,'ACAH Capital Tracker'!$A:$D,4,FALSE()),""))</f>
        <v/>
      </c>
      <c r="H1240" s="22"/>
    </row>
    <row r="1241" spans="1:8">
      <c r="A1241" s="21"/>
      <c r="B1241" s="22"/>
      <c r="C1241" s="22"/>
      <c r="D1241" s="22"/>
      <c r="E1241" s="23" t="str">
        <f>IF($D1241="","",IFERROR(VLOOKUP($D1241,'ACAH Capital Tracker'!$A:$H,8,FALSE()),""))</f>
        <v/>
      </c>
      <c r="F1241" s="24"/>
      <c r="G1241" s="25" t="str">
        <f>IF($D1241="","",IFERROR(VLOOKUP($D1241,'ACAH Capital Tracker'!$A:$D,4,FALSE()),""))</f>
        <v/>
      </c>
      <c r="H1241" s="22"/>
    </row>
    <row r="1242" spans="1:8">
      <c r="A1242" s="21"/>
      <c r="B1242" s="22"/>
      <c r="C1242" s="22"/>
      <c r="D1242" s="22"/>
      <c r="E1242" s="23" t="str">
        <f>IF($D1242="","",IFERROR(VLOOKUP($D1242,'ACAH Capital Tracker'!$A:$H,8,FALSE()),""))</f>
        <v/>
      </c>
      <c r="F1242" s="24"/>
      <c r="G1242" s="25" t="str">
        <f>IF($D1242="","",IFERROR(VLOOKUP($D1242,'ACAH Capital Tracker'!$A:$D,4,FALSE()),""))</f>
        <v/>
      </c>
      <c r="H1242" s="22"/>
    </row>
    <row r="1243" spans="1:8">
      <c r="A1243" s="21"/>
      <c r="B1243" s="22"/>
      <c r="C1243" s="22"/>
      <c r="D1243" s="22"/>
      <c r="E1243" s="23" t="str">
        <f>IF($D1243="","",IFERROR(VLOOKUP($D1243,'ACAH Capital Tracker'!$A:$H,8,FALSE()),""))</f>
        <v/>
      </c>
      <c r="F1243" s="24"/>
      <c r="G1243" s="25" t="str">
        <f>IF($D1243="","",IFERROR(VLOOKUP($D1243,'ACAH Capital Tracker'!$A:$D,4,FALSE()),""))</f>
        <v/>
      </c>
      <c r="H1243" s="22"/>
    </row>
    <row r="1244" spans="1:8">
      <c r="A1244" s="21"/>
      <c r="B1244" s="22"/>
      <c r="C1244" s="22"/>
      <c r="D1244" s="22"/>
      <c r="E1244" s="23" t="str">
        <f>IF($D1244="","",IFERROR(VLOOKUP($D1244,'ACAH Capital Tracker'!$A:$H,8,FALSE()),""))</f>
        <v/>
      </c>
      <c r="F1244" s="24"/>
      <c r="G1244" s="25" t="str">
        <f>IF($D1244="","",IFERROR(VLOOKUP($D1244,'ACAH Capital Tracker'!$A:$D,4,FALSE()),""))</f>
        <v/>
      </c>
      <c r="H1244" s="22"/>
    </row>
    <row r="1245" spans="1:8">
      <c r="A1245" s="21"/>
      <c r="B1245" s="22"/>
      <c r="C1245" s="22"/>
      <c r="D1245" s="22"/>
      <c r="E1245" s="23" t="str">
        <f>IF($D1245="","",IFERROR(VLOOKUP($D1245,'ACAH Capital Tracker'!$A:$H,8,FALSE()),""))</f>
        <v/>
      </c>
      <c r="F1245" s="24"/>
      <c r="G1245" s="25" t="str">
        <f>IF($D1245="","",IFERROR(VLOOKUP($D1245,'ACAH Capital Tracker'!$A:$D,4,FALSE()),""))</f>
        <v/>
      </c>
      <c r="H1245" s="22"/>
    </row>
    <row r="1246" spans="1:8">
      <c r="A1246" s="21"/>
      <c r="B1246" s="22"/>
      <c r="C1246" s="22"/>
      <c r="D1246" s="22"/>
      <c r="E1246" s="23" t="str">
        <f>IF($D1246="","",IFERROR(VLOOKUP($D1246,'ACAH Capital Tracker'!$A:$H,8,FALSE()),""))</f>
        <v/>
      </c>
      <c r="F1246" s="24"/>
      <c r="G1246" s="25" t="str">
        <f>IF($D1246="","",IFERROR(VLOOKUP($D1246,'ACAH Capital Tracker'!$A:$D,4,FALSE()),""))</f>
        <v/>
      </c>
      <c r="H1246" s="22"/>
    </row>
    <row r="1247" spans="1:8">
      <c r="A1247" s="21"/>
      <c r="B1247" s="22"/>
      <c r="C1247" s="22"/>
      <c r="D1247" s="22"/>
      <c r="E1247" s="23" t="str">
        <f>IF($D1247="","",IFERROR(VLOOKUP($D1247,'ACAH Capital Tracker'!$A:$H,8,FALSE()),""))</f>
        <v/>
      </c>
      <c r="F1247" s="24"/>
      <c r="G1247" s="25" t="str">
        <f>IF($D1247="","",IFERROR(VLOOKUP($D1247,'ACAH Capital Tracker'!$A:$D,4,FALSE()),""))</f>
        <v/>
      </c>
      <c r="H1247" s="22"/>
    </row>
    <row r="1248" spans="1:8">
      <c r="A1248" s="21"/>
      <c r="B1248" s="22"/>
      <c r="C1248" s="22"/>
      <c r="D1248" s="22"/>
      <c r="E1248" s="23" t="str">
        <f>IF($D1248="","",IFERROR(VLOOKUP($D1248,'ACAH Capital Tracker'!$A:$H,8,FALSE()),""))</f>
        <v/>
      </c>
      <c r="F1248" s="24"/>
      <c r="G1248" s="25" t="str">
        <f>IF($D1248="","",IFERROR(VLOOKUP($D1248,'ACAH Capital Tracker'!$A:$D,4,FALSE()),""))</f>
        <v/>
      </c>
      <c r="H1248" s="22"/>
    </row>
    <row r="1249" spans="1:8">
      <c r="A1249" s="21"/>
      <c r="B1249" s="22"/>
      <c r="C1249" s="22"/>
      <c r="D1249" s="22"/>
      <c r="E1249" s="23" t="str">
        <f>IF($D1249="","",IFERROR(VLOOKUP($D1249,'ACAH Capital Tracker'!$A:$H,8,FALSE()),""))</f>
        <v/>
      </c>
      <c r="F1249" s="24"/>
      <c r="G1249" s="25" t="str">
        <f>IF($D1249="","",IFERROR(VLOOKUP($D1249,'ACAH Capital Tracker'!$A:$D,4,FALSE()),""))</f>
        <v/>
      </c>
      <c r="H1249" s="22"/>
    </row>
    <row r="1250" spans="1:8">
      <c r="A1250" s="21"/>
      <c r="B1250" s="22"/>
      <c r="C1250" s="22"/>
      <c r="D1250" s="22"/>
      <c r="E1250" s="23" t="str">
        <f>IF($D1250="","",IFERROR(VLOOKUP($D1250,'ACAH Capital Tracker'!$A:$H,8,FALSE()),""))</f>
        <v/>
      </c>
      <c r="F1250" s="24"/>
      <c r="G1250" s="25" t="str">
        <f>IF($D1250="","",IFERROR(VLOOKUP($D1250,'ACAH Capital Tracker'!$A:$D,4,FALSE()),""))</f>
        <v/>
      </c>
      <c r="H1250" s="22"/>
    </row>
    <row r="1251" spans="1:8">
      <c r="A1251" s="21"/>
      <c r="B1251" s="22"/>
      <c r="C1251" s="22"/>
      <c r="D1251" s="22"/>
      <c r="E1251" s="23" t="str">
        <f>IF($D1251="","",IFERROR(VLOOKUP($D1251,'ACAH Capital Tracker'!$A:$H,8,FALSE()),""))</f>
        <v/>
      </c>
      <c r="F1251" s="24"/>
      <c r="G1251" s="25" t="str">
        <f>IF($D1251="","",IFERROR(VLOOKUP($D1251,'ACAH Capital Tracker'!$A:$D,4,FALSE()),""))</f>
        <v/>
      </c>
      <c r="H1251" s="22"/>
    </row>
    <row r="1252" spans="1:8">
      <c r="A1252" s="21"/>
      <c r="B1252" s="22"/>
      <c r="C1252" s="22"/>
      <c r="D1252" s="22"/>
      <c r="E1252" s="23" t="str">
        <f>IF($D1252="","",IFERROR(VLOOKUP($D1252,'ACAH Capital Tracker'!$A:$H,8,FALSE()),""))</f>
        <v/>
      </c>
      <c r="F1252" s="24"/>
      <c r="G1252" s="25" t="str">
        <f>IF($D1252="","",IFERROR(VLOOKUP($D1252,'ACAH Capital Tracker'!$A:$D,4,FALSE()),""))</f>
        <v/>
      </c>
      <c r="H1252" s="22"/>
    </row>
    <row r="1253" spans="1:8">
      <c r="A1253" s="21"/>
      <c r="B1253" s="22"/>
      <c r="C1253" s="22"/>
      <c r="D1253" s="22"/>
      <c r="E1253" s="23" t="str">
        <f>IF($D1253="","",IFERROR(VLOOKUP($D1253,'ACAH Capital Tracker'!$A:$H,8,FALSE()),""))</f>
        <v/>
      </c>
      <c r="F1253" s="24"/>
      <c r="G1253" s="25" t="str">
        <f>IF($D1253="","",IFERROR(VLOOKUP($D1253,'ACAH Capital Tracker'!$A:$D,4,FALSE()),""))</f>
        <v/>
      </c>
      <c r="H1253" s="22"/>
    </row>
    <row r="1254" spans="1:8">
      <c r="A1254" s="21"/>
      <c r="B1254" s="22"/>
      <c r="C1254" s="22"/>
      <c r="D1254" s="22"/>
      <c r="E1254" s="23" t="str">
        <f>IF($D1254="","",IFERROR(VLOOKUP($D1254,'ACAH Capital Tracker'!$A:$H,8,FALSE()),""))</f>
        <v/>
      </c>
      <c r="F1254" s="24"/>
      <c r="G1254" s="25" t="str">
        <f>IF($D1254="","",IFERROR(VLOOKUP($D1254,'ACAH Capital Tracker'!$A:$D,4,FALSE()),""))</f>
        <v/>
      </c>
      <c r="H1254" s="22"/>
    </row>
    <row r="1255" spans="1:8">
      <c r="A1255" s="21"/>
      <c r="B1255" s="22"/>
      <c r="C1255" s="22"/>
      <c r="D1255" s="22"/>
      <c r="E1255" s="23" t="str">
        <f>IF($D1255="","",IFERROR(VLOOKUP($D1255,'ACAH Capital Tracker'!$A:$H,8,FALSE()),""))</f>
        <v/>
      </c>
      <c r="F1255" s="24"/>
      <c r="G1255" s="25" t="str">
        <f>IF($D1255="","",IFERROR(VLOOKUP($D1255,'ACAH Capital Tracker'!$A:$D,4,FALSE()),""))</f>
        <v/>
      </c>
      <c r="H1255" s="22"/>
    </row>
    <row r="1256" spans="1:8">
      <c r="A1256" s="21"/>
      <c r="B1256" s="22"/>
      <c r="C1256" s="22"/>
      <c r="D1256" s="22"/>
      <c r="E1256" s="23" t="str">
        <f>IF($D1256="","",IFERROR(VLOOKUP($D1256,'ACAH Capital Tracker'!$A:$H,8,FALSE()),""))</f>
        <v/>
      </c>
      <c r="F1256" s="24"/>
      <c r="G1256" s="25" t="str">
        <f>IF($D1256="","",IFERROR(VLOOKUP($D1256,'ACAH Capital Tracker'!$A:$D,4,FALSE()),""))</f>
        <v/>
      </c>
      <c r="H1256" s="22"/>
    </row>
    <row r="1257" spans="1:8">
      <c r="A1257" s="21"/>
      <c r="B1257" s="22"/>
      <c r="C1257" s="22"/>
      <c r="D1257" s="22"/>
      <c r="E1257" s="23" t="str">
        <f>IF($D1257="","",IFERROR(VLOOKUP($D1257,'ACAH Capital Tracker'!$A:$H,8,FALSE()),""))</f>
        <v/>
      </c>
      <c r="F1257" s="24"/>
      <c r="G1257" s="25" t="str">
        <f>IF($D1257="","",IFERROR(VLOOKUP($D1257,'ACAH Capital Tracker'!$A:$D,4,FALSE()),""))</f>
        <v/>
      </c>
      <c r="H1257" s="22"/>
    </row>
    <row r="1258" spans="1:8">
      <c r="A1258" s="21"/>
      <c r="B1258" s="22"/>
      <c r="C1258" s="22"/>
      <c r="D1258" s="22"/>
      <c r="E1258" s="23" t="str">
        <f>IF($D1258="","",IFERROR(VLOOKUP($D1258,'ACAH Capital Tracker'!$A:$H,8,FALSE()),""))</f>
        <v/>
      </c>
      <c r="F1258" s="24"/>
      <c r="G1258" s="25" t="str">
        <f>IF($D1258="","",IFERROR(VLOOKUP($D1258,'ACAH Capital Tracker'!$A:$D,4,FALSE()),""))</f>
        <v/>
      </c>
      <c r="H1258" s="22"/>
    </row>
    <row r="1259" spans="1:8">
      <c r="A1259" s="21"/>
      <c r="B1259" s="22"/>
      <c r="C1259" s="22"/>
      <c r="D1259" s="22"/>
      <c r="E1259" s="23" t="str">
        <f>IF($D1259="","",IFERROR(VLOOKUP($D1259,'ACAH Capital Tracker'!$A:$H,8,FALSE()),""))</f>
        <v/>
      </c>
      <c r="F1259" s="24"/>
      <c r="G1259" s="25" t="str">
        <f>IF($D1259="","",IFERROR(VLOOKUP($D1259,'ACAH Capital Tracker'!$A:$D,4,FALSE()),""))</f>
        <v/>
      </c>
      <c r="H1259" s="22"/>
    </row>
    <row r="1260" spans="1:8">
      <c r="A1260" s="21"/>
      <c r="B1260" s="22"/>
      <c r="C1260" s="22"/>
      <c r="D1260" s="22"/>
      <c r="E1260" s="23" t="str">
        <f>IF($D1260="","",IFERROR(VLOOKUP($D1260,'ACAH Capital Tracker'!$A:$H,8,FALSE()),""))</f>
        <v/>
      </c>
      <c r="F1260" s="24"/>
      <c r="G1260" s="25" t="str">
        <f>IF($D1260="","",IFERROR(VLOOKUP($D1260,'ACAH Capital Tracker'!$A:$D,4,FALSE()),""))</f>
        <v/>
      </c>
      <c r="H1260" s="22"/>
    </row>
    <row r="1261" spans="1:8">
      <c r="A1261" s="21"/>
      <c r="B1261" s="22"/>
      <c r="C1261" s="22"/>
      <c r="D1261" s="22"/>
      <c r="E1261" s="23" t="str">
        <f>IF($D1261="","",IFERROR(VLOOKUP($D1261,'ACAH Capital Tracker'!$A:$H,8,FALSE()),""))</f>
        <v/>
      </c>
      <c r="F1261" s="24"/>
      <c r="G1261" s="25" t="str">
        <f>IF($D1261="","",IFERROR(VLOOKUP($D1261,'ACAH Capital Tracker'!$A:$D,4,FALSE()),""))</f>
        <v/>
      </c>
      <c r="H1261" s="22"/>
    </row>
    <row r="1262" spans="1:8">
      <c r="A1262" s="21"/>
      <c r="B1262" s="22"/>
      <c r="C1262" s="22"/>
      <c r="D1262" s="22"/>
      <c r="E1262" s="23" t="str">
        <f>IF($D1262="","",IFERROR(VLOOKUP($D1262,'ACAH Capital Tracker'!$A:$H,8,FALSE()),""))</f>
        <v/>
      </c>
      <c r="F1262" s="24"/>
      <c r="G1262" s="25" t="str">
        <f>IF($D1262="","",IFERROR(VLOOKUP($D1262,'ACAH Capital Tracker'!$A:$D,4,FALSE()),""))</f>
        <v/>
      </c>
      <c r="H1262" s="22"/>
    </row>
    <row r="1263" spans="1:8">
      <c r="A1263" s="21"/>
      <c r="B1263" s="22"/>
      <c r="C1263" s="22"/>
      <c r="D1263" s="22"/>
      <c r="E1263" s="23" t="str">
        <f>IF($D1263="","",IFERROR(VLOOKUP($D1263,'ACAH Capital Tracker'!$A:$H,8,FALSE()),""))</f>
        <v/>
      </c>
      <c r="F1263" s="24"/>
      <c r="G1263" s="25" t="str">
        <f>IF($D1263="","",IFERROR(VLOOKUP($D1263,'ACAH Capital Tracker'!$A:$D,4,FALSE()),""))</f>
        <v/>
      </c>
      <c r="H1263" s="22"/>
    </row>
    <row r="1264" spans="1:8">
      <c r="A1264" s="21"/>
      <c r="B1264" s="22"/>
      <c r="C1264" s="22"/>
      <c r="D1264" s="22"/>
      <c r="E1264" s="23" t="str">
        <f>IF($D1264="","",IFERROR(VLOOKUP($D1264,'ACAH Capital Tracker'!$A:$H,8,FALSE()),""))</f>
        <v/>
      </c>
      <c r="F1264" s="24"/>
      <c r="G1264" s="25" t="str">
        <f>IF($D1264="","",IFERROR(VLOOKUP($D1264,'ACAH Capital Tracker'!$A:$D,4,FALSE()),""))</f>
        <v/>
      </c>
      <c r="H1264" s="22"/>
    </row>
    <row r="1265" spans="1:8">
      <c r="A1265" s="21"/>
      <c r="B1265" s="22"/>
      <c r="C1265" s="22"/>
      <c r="D1265" s="22"/>
      <c r="E1265" s="23" t="str">
        <f>IF($D1265="","",IFERROR(VLOOKUP($D1265,'ACAH Capital Tracker'!$A:$H,8,FALSE()),""))</f>
        <v/>
      </c>
      <c r="F1265" s="24"/>
      <c r="G1265" s="25" t="str">
        <f>IF($D1265="","",IFERROR(VLOOKUP($D1265,'ACAH Capital Tracker'!$A:$D,4,FALSE()),""))</f>
        <v/>
      </c>
      <c r="H1265" s="22"/>
    </row>
    <row r="1266" spans="1:8">
      <c r="A1266" s="21"/>
      <c r="B1266" s="22"/>
      <c r="C1266" s="22"/>
      <c r="D1266" s="22"/>
      <c r="E1266" s="23" t="str">
        <f>IF($D1266="","",IFERROR(VLOOKUP($D1266,'ACAH Capital Tracker'!$A:$H,8,FALSE()),""))</f>
        <v/>
      </c>
      <c r="F1266" s="24"/>
      <c r="G1266" s="25" t="str">
        <f>IF($D1266="","",IFERROR(VLOOKUP($D1266,'ACAH Capital Tracker'!$A:$D,4,FALSE()),""))</f>
        <v/>
      </c>
      <c r="H1266" s="22"/>
    </row>
    <row r="1267" spans="1:8">
      <c r="A1267" s="21"/>
      <c r="B1267" s="22"/>
      <c r="C1267" s="22"/>
      <c r="D1267" s="22"/>
      <c r="E1267" s="23" t="str">
        <f>IF($D1267="","",IFERROR(VLOOKUP($D1267,'ACAH Capital Tracker'!$A:$H,8,FALSE()),""))</f>
        <v/>
      </c>
      <c r="F1267" s="24"/>
      <c r="G1267" s="25" t="str">
        <f>IF($D1267="","",IFERROR(VLOOKUP($D1267,'ACAH Capital Tracker'!$A:$D,4,FALSE()),""))</f>
        <v/>
      </c>
      <c r="H1267" s="22"/>
    </row>
    <row r="1268" spans="1:8">
      <c r="A1268" s="21"/>
      <c r="B1268" s="22"/>
      <c r="C1268" s="22"/>
      <c r="D1268" s="22"/>
      <c r="E1268" s="23" t="str">
        <f>IF($D1268="","",IFERROR(VLOOKUP($D1268,'ACAH Capital Tracker'!$A:$H,8,FALSE()),""))</f>
        <v/>
      </c>
      <c r="F1268" s="24"/>
      <c r="G1268" s="25" t="str">
        <f>IF($D1268="","",IFERROR(VLOOKUP($D1268,'ACAH Capital Tracker'!$A:$D,4,FALSE()),""))</f>
        <v/>
      </c>
      <c r="H1268" s="22"/>
    </row>
    <row r="1269" spans="1:8">
      <c r="A1269" s="21"/>
      <c r="B1269" s="22"/>
      <c r="C1269" s="22"/>
      <c r="D1269" s="22"/>
      <c r="E1269" s="23" t="str">
        <f>IF($D1269="","",IFERROR(VLOOKUP($D1269,'ACAH Capital Tracker'!$A:$H,8,FALSE()),""))</f>
        <v/>
      </c>
      <c r="F1269" s="24"/>
      <c r="G1269" s="25" t="str">
        <f>IF($D1269="","",IFERROR(VLOOKUP($D1269,'ACAH Capital Tracker'!$A:$D,4,FALSE()),""))</f>
        <v/>
      </c>
      <c r="H1269" s="22"/>
    </row>
    <row r="1270" spans="1:8">
      <c r="A1270" s="21"/>
      <c r="B1270" s="22"/>
      <c r="C1270" s="22"/>
      <c r="D1270" s="22"/>
      <c r="E1270" s="23" t="str">
        <f>IF($D1270="","",IFERROR(VLOOKUP($D1270,'ACAH Capital Tracker'!$A:$H,8,FALSE()),""))</f>
        <v/>
      </c>
      <c r="F1270" s="24"/>
      <c r="G1270" s="25" t="str">
        <f>IF($D1270="","",IFERROR(VLOOKUP($D1270,'ACAH Capital Tracker'!$A:$D,4,FALSE()),""))</f>
        <v/>
      </c>
      <c r="H1270" s="22"/>
    </row>
    <row r="1271" spans="1:8">
      <c r="A1271" s="21"/>
      <c r="B1271" s="22"/>
      <c r="C1271" s="22"/>
      <c r="D1271" s="22"/>
      <c r="E1271" s="23" t="str">
        <f>IF($D1271="","",IFERROR(VLOOKUP($D1271,'ACAH Capital Tracker'!$A:$H,8,FALSE()),""))</f>
        <v/>
      </c>
      <c r="F1271" s="24"/>
      <c r="G1271" s="25" t="str">
        <f>IF($D1271="","",IFERROR(VLOOKUP($D1271,'ACAH Capital Tracker'!$A:$D,4,FALSE()),""))</f>
        <v/>
      </c>
      <c r="H1271" s="22"/>
    </row>
    <row r="1272" spans="1:8">
      <c r="A1272" s="21"/>
      <c r="B1272" s="22"/>
      <c r="C1272" s="22"/>
      <c r="D1272" s="22"/>
      <c r="E1272" s="23" t="str">
        <f>IF($D1272="","",IFERROR(VLOOKUP($D1272,'ACAH Capital Tracker'!$A:$H,8,FALSE()),""))</f>
        <v/>
      </c>
      <c r="F1272" s="24"/>
      <c r="G1272" s="25" t="str">
        <f>IF($D1272="","",IFERROR(VLOOKUP($D1272,'ACAH Capital Tracker'!$A:$D,4,FALSE()),""))</f>
        <v/>
      </c>
      <c r="H1272" s="22"/>
    </row>
    <row r="1273" spans="1:8">
      <c r="A1273" s="21"/>
      <c r="B1273" s="22"/>
      <c r="C1273" s="22"/>
      <c r="D1273" s="22"/>
      <c r="E1273" s="23" t="str">
        <f>IF($D1273="","",IFERROR(VLOOKUP($D1273,'ACAH Capital Tracker'!$A:$H,8,FALSE()),""))</f>
        <v/>
      </c>
      <c r="F1273" s="24"/>
      <c r="G1273" s="25" t="str">
        <f>IF($D1273="","",IFERROR(VLOOKUP($D1273,'ACAH Capital Tracker'!$A:$D,4,FALSE()),""))</f>
        <v/>
      </c>
      <c r="H1273" s="22"/>
    </row>
    <row r="1274" spans="1:8">
      <c r="A1274" s="21"/>
      <c r="B1274" s="22"/>
      <c r="C1274" s="22"/>
      <c r="D1274" s="22"/>
      <c r="E1274" s="23" t="str">
        <f>IF($D1274="","",IFERROR(VLOOKUP($D1274,'ACAH Capital Tracker'!$A:$H,8,FALSE()),""))</f>
        <v/>
      </c>
      <c r="F1274" s="24"/>
      <c r="G1274" s="25" t="str">
        <f>IF($D1274="","",IFERROR(VLOOKUP($D1274,'ACAH Capital Tracker'!$A:$D,4,FALSE()),""))</f>
        <v/>
      </c>
      <c r="H1274" s="22"/>
    </row>
    <row r="1275" spans="1:8">
      <c r="A1275" s="21"/>
      <c r="B1275" s="22"/>
      <c r="C1275" s="22"/>
      <c r="D1275" s="22"/>
      <c r="E1275" s="23" t="str">
        <f>IF($D1275="","",IFERROR(VLOOKUP($D1275,'ACAH Capital Tracker'!$A:$H,8,FALSE()),""))</f>
        <v/>
      </c>
      <c r="F1275" s="24"/>
      <c r="G1275" s="25" t="str">
        <f>IF($D1275="","",IFERROR(VLOOKUP($D1275,'ACAH Capital Tracker'!$A:$D,4,FALSE()),""))</f>
        <v/>
      </c>
      <c r="H1275" s="22"/>
    </row>
    <row r="1276" spans="1:8">
      <c r="A1276" s="21"/>
      <c r="B1276" s="22"/>
      <c r="C1276" s="22"/>
      <c r="D1276" s="22"/>
      <c r="E1276" s="23" t="str">
        <f>IF($D1276="","",IFERROR(VLOOKUP($D1276,'ACAH Capital Tracker'!$A:$H,8,FALSE()),""))</f>
        <v/>
      </c>
      <c r="F1276" s="24"/>
      <c r="G1276" s="25" t="str">
        <f>IF($D1276="","",IFERROR(VLOOKUP($D1276,'ACAH Capital Tracker'!$A:$D,4,FALSE()),""))</f>
        <v/>
      </c>
      <c r="H1276" s="22"/>
    </row>
    <row r="1277" spans="1:8">
      <c r="A1277" s="21"/>
      <c r="B1277" s="22"/>
      <c r="C1277" s="22"/>
      <c r="D1277" s="22"/>
      <c r="E1277" s="23" t="str">
        <f>IF($D1277="","",IFERROR(VLOOKUP($D1277,'ACAH Capital Tracker'!$A:$H,8,FALSE()),""))</f>
        <v/>
      </c>
      <c r="F1277" s="24"/>
      <c r="G1277" s="25" t="str">
        <f>IF($D1277="","",IFERROR(VLOOKUP($D1277,'ACAH Capital Tracker'!$A:$D,4,FALSE()),""))</f>
        <v/>
      </c>
      <c r="H1277" s="22"/>
    </row>
    <row r="1278" spans="1:8">
      <c r="A1278" s="21"/>
      <c r="B1278" s="22"/>
      <c r="C1278" s="22"/>
      <c r="D1278" s="22"/>
      <c r="E1278" s="23" t="str">
        <f>IF($D1278="","",IFERROR(VLOOKUP($D1278,'ACAH Capital Tracker'!$A:$H,8,FALSE()),""))</f>
        <v/>
      </c>
      <c r="F1278" s="24"/>
      <c r="G1278" s="25" t="str">
        <f>IF($D1278="","",IFERROR(VLOOKUP($D1278,'ACAH Capital Tracker'!$A:$D,4,FALSE()),""))</f>
        <v/>
      </c>
      <c r="H1278" s="22"/>
    </row>
    <row r="1279" spans="1:8">
      <c r="A1279" s="21"/>
      <c r="B1279" s="22"/>
      <c r="C1279" s="22"/>
      <c r="D1279" s="22"/>
      <c r="E1279" s="23" t="str">
        <f>IF($D1279="","",IFERROR(VLOOKUP($D1279,'ACAH Capital Tracker'!$A:$H,8,FALSE()),""))</f>
        <v/>
      </c>
      <c r="F1279" s="24"/>
      <c r="G1279" s="25" t="str">
        <f>IF($D1279="","",IFERROR(VLOOKUP($D1279,'ACAH Capital Tracker'!$A:$D,4,FALSE()),""))</f>
        <v/>
      </c>
      <c r="H1279" s="22"/>
    </row>
    <row r="1280" spans="1:8">
      <c r="A1280" s="21"/>
      <c r="B1280" s="22"/>
      <c r="C1280" s="22"/>
      <c r="D1280" s="22"/>
      <c r="E1280" s="23" t="str">
        <f>IF($D1280="","",IFERROR(VLOOKUP($D1280,'ACAH Capital Tracker'!$A:$H,8,FALSE()),""))</f>
        <v/>
      </c>
      <c r="F1280" s="24"/>
      <c r="G1280" s="25" t="str">
        <f>IF($D1280="","",IFERROR(VLOOKUP($D1280,'ACAH Capital Tracker'!$A:$D,4,FALSE()),""))</f>
        <v/>
      </c>
      <c r="H1280" s="22"/>
    </row>
    <row r="1281" spans="1:8">
      <c r="A1281" s="21"/>
      <c r="B1281" s="22"/>
      <c r="C1281" s="22"/>
      <c r="D1281" s="22"/>
      <c r="E1281" s="23" t="str">
        <f>IF($D1281="","",IFERROR(VLOOKUP($D1281,'ACAH Capital Tracker'!$A:$H,8,FALSE()),""))</f>
        <v/>
      </c>
      <c r="F1281" s="24"/>
      <c r="G1281" s="25" t="str">
        <f>IF($D1281="","",IFERROR(VLOOKUP($D1281,'ACAH Capital Tracker'!$A:$D,4,FALSE()),""))</f>
        <v/>
      </c>
      <c r="H1281" s="22"/>
    </row>
    <row r="1282" spans="1:8">
      <c r="A1282" s="21"/>
      <c r="B1282" s="22"/>
      <c r="C1282" s="22"/>
      <c r="D1282" s="22"/>
      <c r="E1282" s="23" t="str">
        <f>IF($D1282="","",IFERROR(VLOOKUP($D1282,'ACAH Capital Tracker'!$A:$H,8,FALSE()),""))</f>
        <v/>
      </c>
      <c r="F1282" s="24"/>
      <c r="G1282" s="25" t="str">
        <f>IF($D1282="","",IFERROR(VLOOKUP($D1282,'ACAH Capital Tracker'!$A:$D,4,FALSE()),""))</f>
        <v/>
      </c>
      <c r="H1282" s="22"/>
    </row>
    <row r="1283" spans="1:8">
      <c r="A1283" s="21"/>
      <c r="B1283" s="22"/>
      <c r="C1283" s="22"/>
      <c r="D1283" s="22"/>
      <c r="E1283" s="23" t="str">
        <f>IF($D1283="","",IFERROR(VLOOKUP($D1283,'ACAH Capital Tracker'!$A:$H,8,FALSE()),""))</f>
        <v/>
      </c>
      <c r="F1283" s="24"/>
      <c r="G1283" s="25" t="str">
        <f>IF($D1283="","",IFERROR(VLOOKUP($D1283,'ACAH Capital Tracker'!$A:$D,4,FALSE()),""))</f>
        <v/>
      </c>
      <c r="H1283" s="22"/>
    </row>
    <row r="1284" spans="1:8">
      <c r="A1284" s="21"/>
      <c r="B1284" s="22"/>
      <c r="C1284" s="22"/>
      <c r="D1284" s="22"/>
      <c r="E1284" s="23" t="str">
        <f>IF($D1284="","",IFERROR(VLOOKUP($D1284,'ACAH Capital Tracker'!$A:$H,8,FALSE()),""))</f>
        <v/>
      </c>
      <c r="F1284" s="24"/>
      <c r="G1284" s="25" t="str">
        <f>IF($D1284="","",IFERROR(VLOOKUP($D1284,'ACAH Capital Tracker'!$A:$D,4,FALSE()),""))</f>
        <v/>
      </c>
      <c r="H1284" s="22"/>
    </row>
    <row r="1285" spans="1:8">
      <c r="A1285" s="21"/>
      <c r="B1285" s="22"/>
      <c r="C1285" s="22"/>
      <c r="D1285" s="22"/>
      <c r="E1285" s="23" t="str">
        <f>IF($D1285="","",IFERROR(VLOOKUP($D1285,'ACAH Capital Tracker'!$A:$H,8,FALSE()),""))</f>
        <v/>
      </c>
      <c r="F1285" s="24"/>
      <c r="G1285" s="25" t="str">
        <f>IF($D1285="","",IFERROR(VLOOKUP($D1285,'ACAH Capital Tracker'!$A:$D,4,FALSE()),""))</f>
        <v/>
      </c>
      <c r="H1285" s="22"/>
    </row>
    <row r="1286" spans="1:8">
      <c r="A1286" s="21"/>
      <c r="B1286" s="22"/>
      <c r="C1286" s="22"/>
      <c r="D1286" s="22"/>
      <c r="E1286" s="23" t="str">
        <f>IF($D1286="","",IFERROR(VLOOKUP($D1286,'ACAH Capital Tracker'!$A:$H,8,FALSE()),""))</f>
        <v/>
      </c>
      <c r="F1286" s="24"/>
      <c r="G1286" s="25" t="str">
        <f>IF($D1286="","",IFERROR(VLOOKUP($D1286,'ACAH Capital Tracker'!$A:$D,4,FALSE()),""))</f>
        <v/>
      </c>
      <c r="H1286" s="22"/>
    </row>
    <row r="1287" spans="1:8">
      <c r="A1287" s="21"/>
      <c r="B1287" s="22"/>
      <c r="C1287" s="22"/>
      <c r="D1287" s="22"/>
      <c r="E1287" s="23" t="str">
        <f>IF($D1287="","",IFERROR(VLOOKUP($D1287,'ACAH Capital Tracker'!$A:$H,8,FALSE()),""))</f>
        <v/>
      </c>
      <c r="F1287" s="24"/>
      <c r="G1287" s="25" t="str">
        <f>IF($D1287="","",IFERROR(VLOOKUP($D1287,'ACAH Capital Tracker'!$A:$D,4,FALSE()),""))</f>
        <v/>
      </c>
      <c r="H1287" s="22"/>
    </row>
    <row r="1288" spans="1:8">
      <c r="A1288" s="21"/>
      <c r="B1288" s="22"/>
      <c r="C1288" s="22"/>
      <c r="D1288" s="22"/>
      <c r="E1288" s="23" t="str">
        <f>IF($D1288="","",IFERROR(VLOOKUP($D1288,'ACAH Capital Tracker'!$A:$H,8,FALSE()),""))</f>
        <v/>
      </c>
      <c r="F1288" s="24"/>
      <c r="G1288" s="25" t="str">
        <f>IF($D1288="","",IFERROR(VLOOKUP($D1288,'ACAH Capital Tracker'!$A:$D,4,FALSE()),""))</f>
        <v/>
      </c>
      <c r="H1288" s="22"/>
    </row>
    <row r="1289" spans="1:8">
      <c r="A1289" s="21"/>
      <c r="B1289" s="22"/>
      <c r="C1289" s="22"/>
      <c r="D1289" s="22"/>
      <c r="E1289" s="23" t="str">
        <f>IF($D1289="","",IFERROR(VLOOKUP($D1289,'ACAH Capital Tracker'!$A:$H,8,FALSE()),""))</f>
        <v/>
      </c>
      <c r="F1289" s="24"/>
      <c r="G1289" s="25" t="str">
        <f>IF($D1289="","",IFERROR(VLOOKUP($D1289,'ACAH Capital Tracker'!$A:$D,4,FALSE()),""))</f>
        <v/>
      </c>
      <c r="H1289" s="22"/>
    </row>
    <row r="1290" spans="1:8">
      <c r="A1290" s="21"/>
      <c r="B1290" s="22"/>
      <c r="C1290" s="22"/>
      <c r="D1290" s="22"/>
      <c r="E1290" s="23" t="str">
        <f>IF($D1290="","",IFERROR(VLOOKUP($D1290,'ACAH Capital Tracker'!$A:$H,8,FALSE()),""))</f>
        <v/>
      </c>
      <c r="F1290" s="24"/>
      <c r="G1290" s="25" t="str">
        <f>IF($D1290="","",IFERROR(VLOOKUP($D1290,'ACAH Capital Tracker'!$A:$D,4,FALSE()),""))</f>
        <v/>
      </c>
      <c r="H1290" s="22"/>
    </row>
    <row r="1291" spans="1:8">
      <c r="A1291" s="21"/>
      <c r="B1291" s="22"/>
      <c r="C1291" s="22"/>
      <c r="D1291" s="22"/>
      <c r="E1291" s="23" t="str">
        <f>IF($D1291="","",IFERROR(VLOOKUP($D1291,'ACAH Capital Tracker'!$A:$H,8,FALSE()),""))</f>
        <v/>
      </c>
      <c r="F1291" s="24"/>
      <c r="G1291" s="25" t="str">
        <f>IF($D1291="","",IFERROR(VLOOKUP($D1291,'ACAH Capital Tracker'!$A:$D,4,FALSE()),""))</f>
        <v/>
      </c>
      <c r="H1291" s="22"/>
    </row>
    <row r="1292" spans="1:8">
      <c r="A1292" s="21"/>
      <c r="B1292" s="22"/>
      <c r="C1292" s="22"/>
      <c r="D1292" s="22"/>
      <c r="E1292" s="23" t="str">
        <f>IF($D1292="","",IFERROR(VLOOKUP($D1292,'ACAH Capital Tracker'!$A:$H,8,FALSE()),""))</f>
        <v/>
      </c>
      <c r="F1292" s="24"/>
      <c r="G1292" s="25" t="str">
        <f>IF($D1292="","",IFERROR(VLOOKUP($D1292,'ACAH Capital Tracker'!$A:$D,4,FALSE()),""))</f>
        <v/>
      </c>
      <c r="H1292" s="22"/>
    </row>
    <row r="1293" spans="1:8">
      <c r="A1293" s="21"/>
      <c r="B1293" s="22"/>
      <c r="C1293" s="22"/>
      <c r="D1293" s="22"/>
      <c r="E1293" s="23" t="str">
        <f>IF($D1293="","",IFERROR(VLOOKUP($D1293,'ACAH Capital Tracker'!$A:$H,8,FALSE()),""))</f>
        <v/>
      </c>
      <c r="F1293" s="24"/>
      <c r="G1293" s="25" t="str">
        <f>IF($D1293="","",IFERROR(VLOOKUP($D1293,'ACAH Capital Tracker'!$A:$D,4,FALSE()),""))</f>
        <v/>
      </c>
      <c r="H1293" s="22"/>
    </row>
    <row r="1294" spans="1:8">
      <c r="A1294" s="21"/>
      <c r="B1294" s="22"/>
      <c r="C1294" s="22"/>
      <c r="D1294" s="22"/>
      <c r="E1294" s="23" t="str">
        <f>IF($D1294="","",IFERROR(VLOOKUP($D1294,'ACAH Capital Tracker'!$A:$H,8,FALSE()),""))</f>
        <v/>
      </c>
      <c r="F1294" s="24"/>
      <c r="G1294" s="25" t="str">
        <f>IF($D1294="","",IFERROR(VLOOKUP($D1294,'ACAH Capital Tracker'!$A:$D,4,FALSE()),""))</f>
        <v/>
      </c>
      <c r="H1294" s="22"/>
    </row>
    <row r="1295" spans="1:8">
      <c r="A1295" s="21"/>
      <c r="B1295" s="22"/>
      <c r="C1295" s="22"/>
      <c r="D1295" s="22"/>
      <c r="E1295" s="23" t="str">
        <f>IF($D1295="","",IFERROR(VLOOKUP($D1295,'ACAH Capital Tracker'!$A:$H,8,FALSE()),""))</f>
        <v/>
      </c>
      <c r="F1295" s="24"/>
      <c r="G1295" s="25" t="str">
        <f>IF($D1295="","",IFERROR(VLOOKUP($D1295,'ACAH Capital Tracker'!$A:$D,4,FALSE()),""))</f>
        <v/>
      </c>
      <c r="H1295" s="22"/>
    </row>
    <row r="1296" spans="1:8">
      <c r="A1296" s="21"/>
      <c r="B1296" s="22"/>
      <c r="C1296" s="22"/>
      <c r="D1296" s="22"/>
      <c r="E1296" s="23" t="str">
        <f>IF($D1296="","",IFERROR(VLOOKUP($D1296,'ACAH Capital Tracker'!$A:$H,8,FALSE()),""))</f>
        <v/>
      </c>
      <c r="F1296" s="24"/>
      <c r="G1296" s="25" t="str">
        <f>IF($D1296="","",IFERROR(VLOOKUP($D1296,'ACAH Capital Tracker'!$A:$D,4,FALSE()),""))</f>
        <v/>
      </c>
      <c r="H1296" s="22"/>
    </row>
    <row r="1297" spans="1:8">
      <c r="A1297" s="21"/>
      <c r="B1297" s="22"/>
      <c r="C1297" s="22"/>
      <c r="D1297" s="22"/>
      <c r="E1297" s="23" t="str">
        <f>IF($D1297="","",IFERROR(VLOOKUP($D1297,'ACAH Capital Tracker'!$A:$H,8,FALSE()),""))</f>
        <v/>
      </c>
      <c r="F1297" s="24"/>
      <c r="G1297" s="25" t="str">
        <f>IF($D1297="","",IFERROR(VLOOKUP($D1297,'ACAH Capital Tracker'!$A:$D,4,FALSE()),""))</f>
        <v/>
      </c>
      <c r="H1297" s="22"/>
    </row>
    <row r="1298" spans="1:8">
      <c r="A1298" s="21"/>
      <c r="B1298" s="22"/>
      <c r="C1298" s="22"/>
      <c r="D1298" s="22"/>
      <c r="E1298" s="23" t="str">
        <f>IF($D1298="","",IFERROR(VLOOKUP($D1298,'ACAH Capital Tracker'!$A:$H,8,FALSE()),""))</f>
        <v/>
      </c>
      <c r="F1298" s="24"/>
      <c r="G1298" s="25" t="str">
        <f>IF($D1298="","",IFERROR(VLOOKUP($D1298,'ACAH Capital Tracker'!$A:$D,4,FALSE()),""))</f>
        <v/>
      </c>
      <c r="H1298" s="22"/>
    </row>
    <row r="1299" spans="1:8">
      <c r="A1299" s="21"/>
      <c r="B1299" s="22"/>
      <c r="C1299" s="22"/>
      <c r="D1299" s="22"/>
      <c r="E1299" s="23" t="str">
        <f>IF($D1299="","",IFERROR(VLOOKUP($D1299,'ACAH Capital Tracker'!$A:$H,8,FALSE()),""))</f>
        <v/>
      </c>
      <c r="F1299" s="24"/>
      <c r="G1299" s="25" t="str">
        <f>IF($D1299="","",IFERROR(VLOOKUP($D1299,'ACAH Capital Tracker'!$A:$D,4,FALSE()),""))</f>
        <v/>
      </c>
      <c r="H1299" s="22"/>
    </row>
    <row r="1300" spans="1:8">
      <c r="A1300" s="21"/>
      <c r="B1300" s="22"/>
      <c r="C1300" s="22"/>
      <c r="D1300" s="22"/>
      <c r="E1300" s="23" t="str">
        <f>IF($D1300="","",IFERROR(VLOOKUP($D1300,'ACAH Capital Tracker'!$A:$H,8,FALSE()),""))</f>
        <v/>
      </c>
      <c r="F1300" s="24"/>
      <c r="G1300" s="25" t="str">
        <f>IF($D1300="","",IFERROR(VLOOKUP($D1300,'ACAH Capital Tracker'!$A:$D,4,FALSE()),""))</f>
        <v/>
      </c>
      <c r="H1300" s="22"/>
    </row>
    <row r="1301" spans="1:8">
      <c r="A1301" s="21"/>
      <c r="B1301" s="22"/>
      <c r="C1301" s="22"/>
      <c r="D1301" s="22"/>
      <c r="E1301" s="23" t="str">
        <f>IF($D1301="","",IFERROR(VLOOKUP($D1301,'ACAH Capital Tracker'!$A:$H,8,FALSE()),""))</f>
        <v/>
      </c>
      <c r="F1301" s="24"/>
      <c r="G1301" s="25" t="str">
        <f>IF($D1301="","",IFERROR(VLOOKUP($D1301,'ACAH Capital Tracker'!$A:$D,4,FALSE()),""))</f>
        <v/>
      </c>
      <c r="H1301" s="22"/>
    </row>
    <row r="1302" spans="1:8">
      <c r="A1302" s="21"/>
      <c r="B1302" s="22"/>
      <c r="C1302" s="22"/>
      <c r="D1302" s="22"/>
      <c r="E1302" s="23" t="str">
        <f>IF($D1302="","",IFERROR(VLOOKUP($D1302,'ACAH Capital Tracker'!$A:$H,8,FALSE()),""))</f>
        <v/>
      </c>
      <c r="F1302" s="24"/>
      <c r="G1302" s="25" t="str">
        <f>IF($D1302="","",IFERROR(VLOOKUP($D1302,'ACAH Capital Tracker'!$A:$D,4,FALSE()),""))</f>
        <v/>
      </c>
      <c r="H1302" s="22"/>
    </row>
    <row r="1303" spans="1:8">
      <c r="A1303" s="21"/>
      <c r="B1303" s="22"/>
      <c r="C1303" s="22"/>
      <c r="D1303" s="22"/>
      <c r="E1303" s="23" t="str">
        <f>IF($D1303="","",IFERROR(VLOOKUP($D1303,'ACAH Capital Tracker'!$A:$H,8,FALSE()),""))</f>
        <v/>
      </c>
      <c r="F1303" s="24"/>
      <c r="G1303" s="25" t="str">
        <f>IF($D1303="","",IFERROR(VLOOKUP($D1303,'ACAH Capital Tracker'!$A:$D,4,FALSE()),""))</f>
        <v/>
      </c>
      <c r="H1303" s="22"/>
    </row>
    <row r="1304" spans="1:8">
      <c r="A1304" s="21"/>
      <c r="B1304" s="22"/>
      <c r="C1304" s="22"/>
      <c r="D1304" s="22"/>
      <c r="E1304" s="23" t="str">
        <f>IF($D1304="","",IFERROR(VLOOKUP($D1304,'ACAH Capital Tracker'!$A:$H,8,FALSE()),""))</f>
        <v/>
      </c>
      <c r="F1304" s="24"/>
      <c r="G1304" s="25" t="str">
        <f>IF($D1304="","",IFERROR(VLOOKUP($D1304,'ACAH Capital Tracker'!$A:$D,4,FALSE()),""))</f>
        <v/>
      </c>
      <c r="H1304" s="22"/>
    </row>
    <row r="1305" spans="1:8">
      <c r="A1305" s="21"/>
      <c r="B1305" s="22"/>
      <c r="C1305" s="22"/>
      <c r="D1305" s="22"/>
      <c r="E1305" s="23" t="str">
        <f>IF($D1305="","",IFERROR(VLOOKUP($D1305,'ACAH Capital Tracker'!$A:$H,8,FALSE()),""))</f>
        <v/>
      </c>
      <c r="F1305" s="24"/>
      <c r="G1305" s="25" t="str">
        <f>IF($D1305="","",IFERROR(VLOOKUP($D1305,'ACAH Capital Tracker'!$A:$D,4,FALSE()),""))</f>
        <v/>
      </c>
      <c r="H1305" s="22"/>
    </row>
    <row r="1306" spans="1:8">
      <c r="A1306" s="21"/>
      <c r="B1306" s="22"/>
      <c r="C1306" s="22"/>
      <c r="D1306" s="22"/>
      <c r="E1306" s="23" t="str">
        <f>IF($D1306="","",IFERROR(VLOOKUP($D1306,'ACAH Capital Tracker'!$A:$H,8,FALSE()),""))</f>
        <v/>
      </c>
      <c r="F1306" s="24"/>
      <c r="G1306" s="25" t="str">
        <f>IF($D1306="","",IFERROR(VLOOKUP($D1306,'ACAH Capital Tracker'!$A:$D,4,FALSE()),""))</f>
        <v/>
      </c>
      <c r="H1306" s="22"/>
    </row>
    <row r="1307" spans="1:8">
      <c r="A1307" s="21"/>
      <c r="B1307" s="22"/>
      <c r="C1307" s="22"/>
      <c r="D1307" s="22"/>
      <c r="E1307" s="23" t="str">
        <f>IF($D1307="","",IFERROR(VLOOKUP($D1307,'ACAH Capital Tracker'!$A:$H,8,FALSE()),""))</f>
        <v/>
      </c>
      <c r="F1307" s="24"/>
      <c r="G1307" s="25" t="str">
        <f>IF($D1307="","",IFERROR(VLOOKUP($D1307,'ACAH Capital Tracker'!$A:$D,4,FALSE()),""))</f>
        <v/>
      </c>
      <c r="H1307" s="22"/>
    </row>
    <row r="1308" spans="1:8">
      <c r="A1308" s="21"/>
      <c r="B1308" s="22"/>
      <c r="C1308" s="22"/>
      <c r="D1308" s="22"/>
      <c r="E1308" s="23" t="str">
        <f>IF($D1308="","",IFERROR(VLOOKUP($D1308,'ACAH Capital Tracker'!$A:$H,8,FALSE()),""))</f>
        <v/>
      </c>
      <c r="F1308" s="24"/>
      <c r="G1308" s="25" t="str">
        <f>IF($D1308="","",IFERROR(VLOOKUP($D1308,'ACAH Capital Tracker'!$A:$D,4,FALSE()),""))</f>
        <v/>
      </c>
      <c r="H1308" s="22"/>
    </row>
    <row r="1309" spans="1:8">
      <c r="A1309" s="21"/>
      <c r="B1309" s="22"/>
      <c r="C1309" s="22"/>
      <c r="D1309" s="22"/>
      <c r="E1309" s="23" t="str">
        <f>IF($D1309="","",IFERROR(VLOOKUP($D1309,'ACAH Capital Tracker'!$A:$H,8,FALSE()),""))</f>
        <v/>
      </c>
      <c r="F1309" s="24"/>
      <c r="G1309" s="25" t="str">
        <f>IF($D1309="","",IFERROR(VLOOKUP($D1309,'ACAH Capital Tracker'!$A:$D,4,FALSE()),""))</f>
        <v/>
      </c>
      <c r="H1309" s="22"/>
    </row>
    <row r="1310" spans="1:8">
      <c r="A1310" s="21"/>
      <c r="B1310" s="22"/>
      <c r="C1310" s="22"/>
      <c r="D1310" s="22"/>
      <c r="E1310" s="23" t="str">
        <f>IF($D1310="","",IFERROR(VLOOKUP($D1310,'ACAH Capital Tracker'!$A:$H,8,FALSE()),""))</f>
        <v/>
      </c>
      <c r="F1310" s="24"/>
      <c r="G1310" s="25" t="str">
        <f>IF($D1310="","",IFERROR(VLOOKUP($D1310,'ACAH Capital Tracker'!$A:$D,4,FALSE()),""))</f>
        <v/>
      </c>
      <c r="H1310" s="22"/>
    </row>
    <row r="1311" spans="1:8">
      <c r="A1311" s="21"/>
      <c r="B1311" s="22"/>
      <c r="C1311" s="22"/>
      <c r="D1311" s="22"/>
      <c r="E1311" s="23" t="str">
        <f>IF($D1311="","",IFERROR(VLOOKUP($D1311,'ACAH Capital Tracker'!$A:$H,8,FALSE()),""))</f>
        <v/>
      </c>
      <c r="F1311" s="24"/>
      <c r="G1311" s="25" t="str">
        <f>IF($D1311="","",IFERROR(VLOOKUP($D1311,'ACAH Capital Tracker'!$A:$D,4,FALSE()),""))</f>
        <v/>
      </c>
      <c r="H1311" s="22"/>
    </row>
    <row r="1312" spans="1:8">
      <c r="A1312" s="21"/>
      <c r="B1312" s="22"/>
      <c r="C1312" s="22"/>
      <c r="D1312" s="22"/>
      <c r="E1312" s="23" t="str">
        <f>IF($D1312="","",IFERROR(VLOOKUP($D1312,'ACAH Capital Tracker'!$A:$H,8,FALSE()),""))</f>
        <v/>
      </c>
      <c r="F1312" s="24"/>
      <c r="G1312" s="25" t="str">
        <f>IF($D1312="","",IFERROR(VLOOKUP($D1312,'ACAH Capital Tracker'!$A:$D,4,FALSE()),""))</f>
        <v/>
      </c>
      <c r="H1312" s="22"/>
    </row>
    <row r="1313" spans="1:8">
      <c r="A1313" s="21"/>
      <c r="B1313" s="22"/>
      <c r="C1313" s="22"/>
      <c r="D1313" s="22"/>
      <c r="E1313" s="23" t="str">
        <f>IF($D1313="","",IFERROR(VLOOKUP($D1313,'ACAH Capital Tracker'!$A:$H,8,FALSE()),""))</f>
        <v/>
      </c>
      <c r="F1313" s="24"/>
      <c r="G1313" s="25" t="str">
        <f>IF($D1313="","",IFERROR(VLOOKUP($D1313,'ACAH Capital Tracker'!$A:$D,4,FALSE()),""))</f>
        <v/>
      </c>
      <c r="H1313" s="22"/>
    </row>
    <row r="1314" spans="1:8">
      <c r="A1314" s="21"/>
      <c r="B1314" s="22"/>
      <c r="C1314" s="22"/>
      <c r="D1314" s="22"/>
      <c r="E1314" s="23" t="str">
        <f>IF($D1314="","",IFERROR(VLOOKUP($D1314,'ACAH Capital Tracker'!$A:$H,8,FALSE()),""))</f>
        <v/>
      </c>
      <c r="F1314" s="24"/>
      <c r="G1314" s="25" t="str">
        <f>IF($D1314="","",IFERROR(VLOOKUP($D1314,'ACAH Capital Tracker'!$A:$D,4,FALSE()),""))</f>
        <v/>
      </c>
      <c r="H1314" s="22"/>
    </row>
    <row r="1315" spans="1:8">
      <c r="A1315" s="21"/>
      <c r="B1315" s="22"/>
      <c r="C1315" s="22"/>
      <c r="D1315" s="22"/>
      <c r="E1315" s="23" t="str">
        <f>IF($D1315="","",IFERROR(VLOOKUP($D1315,'ACAH Capital Tracker'!$A:$H,8,FALSE()),""))</f>
        <v/>
      </c>
      <c r="F1315" s="24"/>
      <c r="G1315" s="25" t="str">
        <f>IF($D1315="","",IFERROR(VLOOKUP($D1315,'ACAH Capital Tracker'!$A:$D,4,FALSE()),""))</f>
        <v/>
      </c>
      <c r="H1315" s="22"/>
    </row>
    <row r="1316" spans="1:8">
      <c r="A1316" s="21"/>
      <c r="B1316" s="22"/>
      <c r="C1316" s="22"/>
      <c r="D1316" s="22"/>
      <c r="E1316" s="23" t="str">
        <f>IF($D1316="","",IFERROR(VLOOKUP($D1316,'ACAH Capital Tracker'!$A:$H,8,FALSE()),""))</f>
        <v/>
      </c>
      <c r="F1316" s="24"/>
      <c r="G1316" s="25" t="str">
        <f>IF($D1316="","",IFERROR(VLOOKUP($D1316,'ACAH Capital Tracker'!$A:$D,4,FALSE()),""))</f>
        <v/>
      </c>
      <c r="H1316" s="22"/>
    </row>
    <row r="1317" spans="1:8">
      <c r="A1317" s="21"/>
      <c r="B1317" s="22"/>
      <c r="C1317" s="22"/>
      <c r="D1317" s="22"/>
      <c r="E1317" s="23" t="str">
        <f>IF($D1317="","",IFERROR(VLOOKUP($D1317,'ACAH Capital Tracker'!$A:$H,8,FALSE()),""))</f>
        <v/>
      </c>
      <c r="F1317" s="24"/>
      <c r="G1317" s="25" t="str">
        <f>IF($D1317="","",IFERROR(VLOOKUP($D1317,'ACAH Capital Tracker'!$A:$D,4,FALSE()),""))</f>
        <v/>
      </c>
      <c r="H1317" s="22"/>
    </row>
    <row r="1318" spans="1:8">
      <c r="A1318" s="21"/>
      <c r="B1318" s="22"/>
      <c r="C1318" s="22"/>
      <c r="D1318" s="22"/>
      <c r="E1318" s="23" t="str">
        <f>IF($D1318="","",IFERROR(VLOOKUP($D1318,'ACAH Capital Tracker'!$A:$H,8,FALSE()),""))</f>
        <v/>
      </c>
      <c r="F1318" s="24"/>
      <c r="G1318" s="25" t="str">
        <f>IF($D1318="","",IFERROR(VLOOKUP($D1318,'ACAH Capital Tracker'!$A:$D,4,FALSE()),""))</f>
        <v/>
      </c>
      <c r="H1318" s="22"/>
    </row>
    <row r="1319" spans="1:8">
      <c r="A1319" s="21"/>
      <c r="B1319" s="22"/>
      <c r="C1319" s="22"/>
      <c r="D1319" s="22"/>
      <c r="E1319" s="23" t="str">
        <f>IF($D1319="","",IFERROR(VLOOKUP($D1319,'ACAH Capital Tracker'!$A:$H,8,FALSE()),""))</f>
        <v/>
      </c>
      <c r="F1319" s="24"/>
      <c r="G1319" s="25" t="str">
        <f>IF($D1319="","",IFERROR(VLOOKUP($D1319,'ACAH Capital Tracker'!$A:$D,4,FALSE()),""))</f>
        <v/>
      </c>
      <c r="H1319" s="22"/>
    </row>
    <row r="1320" spans="1:8">
      <c r="A1320" s="21"/>
      <c r="B1320" s="22"/>
      <c r="C1320" s="22"/>
      <c r="D1320" s="22"/>
      <c r="E1320" s="23" t="str">
        <f>IF($D1320="","",IFERROR(VLOOKUP($D1320,'ACAH Capital Tracker'!$A:$H,8,FALSE()),""))</f>
        <v/>
      </c>
      <c r="F1320" s="24"/>
      <c r="G1320" s="25" t="str">
        <f>IF($D1320="","",IFERROR(VLOOKUP($D1320,'ACAH Capital Tracker'!$A:$D,4,FALSE()),""))</f>
        <v/>
      </c>
      <c r="H1320" s="22"/>
    </row>
    <row r="1321" spans="1:8">
      <c r="A1321" s="21"/>
      <c r="B1321" s="22"/>
      <c r="C1321" s="22"/>
      <c r="D1321" s="22"/>
      <c r="E1321" s="23" t="str">
        <f>IF($D1321="","",IFERROR(VLOOKUP($D1321,'ACAH Capital Tracker'!$A:$H,8,FALSE()),""))</f>
        <v/>
      </c>
      <c r="F1321" s="24"/>
      <c r="G1321" s="25" t="str">
        <f>IF($D1321="","",IFERROR(VLOOKUP($D1321,'ACAH Capital Tracker'!$A:$D,4,FALSE()),""))</f>
        <v/>
      </c>
      <c r="H1321" s="22"/>
    </row>
    <row r="1322" spans="1:8">
      <c r="A1322" s="21"/>
      <c r="B1322" s="22"/>
      <c r="C1322" s="22"/>
      <c r="D1322" s="22"/>
      <c r="E1322" s="23" t="str">
        <f>IF($D1322="","",IFERROR(VLOOKUP($D1322,'ACAH Capital Tracker'!$A:$H,8,FALSE()),""))</f>
        <v/>
      </c>
      <c r="F1322" s="24"/>
      <c r="G1322" s="25" t="str">
        <f>IF($D1322="","",IFERROR(VLOOKUP($D1322,'ACAH Capital Tracker'!$A:$D,4,FALSE()),""))</f>
        <v/>
      </c>
      <c r="H1322" s="22"/>
    </row>
    <row r="1323" spans="1:8">
      <c r="A1323" s="21"/>
      <c r="B1323" s="22"/>
      <c r="C1323" s="22"/>
      <c r="D1323" s="22"/>
      <c r="E1323" s="23" t="str">
        <f>IF($D1323="","",IFERROR(VLOOKUP($D1323,'ACAH Capital Tracker'!$A:$H,8,FALSE()),""))</f>
        <v/>
      </c>
      <c r="F1323" s="24"/>
      <c r="G1323" s="25" t="str">
        <f>IF($D1323="","",IFERROR(VLOOKUP($D1323,'ACAH Capital Tracker'!$A:$D,4,FALSE()),""))</f>
        <v/>
      </c>
      <c r="H1323" s="22"/>
    </row>
    <row r="1324" spans="1:8">
      <c r="A1324" s="21"/>
      <c r="B1324" s="22"/>
      <c r="C1324" s="22"/>
      <c r="D1324" s="22"/>
      <c r="E1324" s="23" t="str">
        <f>IF($D1324="","",IFERROR(VLOOKUP($D1324,'ACAH Capital Tracker'!$A:$H,8,FALSE()),""))</f>
        <v/>
      </c>
      <c r="F1324" s="24"/>
      <c r="G1324" s="25" t="str">
        <f>IF($D1324="","",IFERROR(VLOOKUP($D1324,'ACAH Capital Tracker'!$A:$D,4,FALSE()),""))</f>
        <v/>
      </c>
      <c r="H1324" s="22"/>
    </row>
    <row r="1325" spans="1:8">
      <c r="A1325" s="21"/>
      <c r="B1325" s="22"/>
      <c r="C1325" s="22"/>
      <c r="D1325" s="22"/>
      <c r="E1325" s="23" t="str">
        <f>IF($D1325="","",IFERROR(VLOOKUP($D1325,'ACAH Capital Tracker'!$A:$H,8,FALSE()),""))</f>
        <v/>
      </c>
      <c r="F1325" s="24"/>
      <c r="G1325" s="25" t="str">
        <f>IF($D1325="","",IFERROR(VLOOKUP($D1325,'ACAH Capital Tracker'!$A:$D,4,FALSE()),""))</f>
        <v/>
      </c>
      <c r="H1325" s="22"/>
    </row>
    <row r="1326" spans="1:8">
      <c r="A1326" s="21"/>
      <c r="B1326" s="22"/>
      <c r="C1326" s="22"/>
      <c r="D1326" s="22"/>
      <c r="E1326" s="23" t="str">
        <f>IF($D1326="","",IFERROR(VLOOKUP($D1326,'ACAH Capital Tracker'!$A:$H,8,FALSE()),""))</f>
        <v/>
      </c>
      <c r="F1326" s="24"/>
      <c r="G1326" s="25" t="str">
        <f>IF($D1326="","",IFERROR(VLOOKUP($D1326,'ACAH Capital Tracker'!$A:$D,4,FALSE()),""))</f>
        <v/>
      </c>
      <c r="H1326" s="22"/>
    </row>
    <row r="1327" spans="1:8">
      <c r="A1327" s="21"/>
      <c r="B1327" s="22"/>
      <c r="C1327" s="22"/>
      <c r="D1327" s="22"/>
      <c r="E1327" s="23" t="str">
        <f>IF($D1327="","",IFERROR(VLOOKUP($D1327,'ACAH Capital Tracker'!$A:$H,8,FALSE()),""))</f>
        <v/>
      </c>
      <c r="F1327" s="24"/>
      <c r="G1327" s="25" t="str">
        <f>IF($D1327="","",IFERROR(VLOOKUP($D1327,'ACAH Capital Tracker'!$A:$D,4,FALSE()),""))</f>
        <v/>
      </c>
      <c r="H1327" s="22"/>
    </row>
    <row r="1328" spans="1:8">
      <c r="A1328" s="21"/>
      <c r="B1328" s="22"/>
      <c r="C1328" s="22"/>
      <c r="D1328" s="22"/>
      <c r="E1328" s="23" t="str">
        <f>IF($D1328="","",IFERROR(VLOOKUP($D1328,'ACAH Capital Tracker'!$A:$H,8,FALSE()),""))</f>
        <v/>
      </c>
      <c r="F1328" s="24"/>
      <c r="G1328" s="25" t="str">
        <f>IF($D1328="","",IFERROR(VLOOKUP($D1328,'ACAH Capital Tracker'!$A:$D,4,FALSE()),""))</f>
        <v/>
      </c>
      <c r="H1328" s="22"/>
    </row>
    <row r="1329" spans="1:8">
      <c r="A1329" s="21"/>
      <c r="B1329" s="22"/>
      <c r="C1329" s="22"/>
      <c r="D1329" s="22"/>
      <c r="E1329" s="23" t="str">
        <f>IF($D1329="","",IFERROR(VLOOKUP($D1329,'ACAH Capital Tracker'!$A:$H,8,FALSE()),""))</f>
        <v/>
      </c>
      <c r="F1329" s="24"/>
      <c r="G1329" s="25" t="str">
        <f>IF($D1329="","",IFERROR(VLOOKUP($D1329,'ACAH Capital Tracker'!$A:$D,4,FALSE()),""))</f>
        <v/>
      </c>
      <c r="H1329" s="22"/>
    </row>
    <row r="1330" spans="1:8">
      <c r="A1330" s="21"/>
      <c r="B1330" s="22"/>
      <c r="C1330" s="22"/>
      <c r="D1330" s="22"/>
      <c r="E1330" s="23" t="str">
        <f>IF($D1330="","",IFERROR(VLOOKUP($D1330,'ACAH Capital Tracker'!$A:$H,8,FALSE()),""))</f>
        <v/>
      </c>
      <c r="F1330" s="24"/>
      <c r="G1330" s="25" t="str">
        <f>IF($D1330="","",IFERROR(VLOOKUP($D1330,'ACAH Capital Tracker'!$A:$D,4,FALSE()),""))</f>
        <v/>
      </c>
      <c r="H1330" s="22"/>
    </row>
    <row r="1331" spans="1:8">
      <c r="A1331" s="21"/>
      <c r="B1331" s="22"/>
      <c r="C1331" s="22"/>
      <c r="D1331" s="22"/>
      <c r="E1331" s="23" t="str">
        <f>IF($D1331="","",IFERROR(VLOOKUP($D1331,'ACAH Capital Tracker'!$A:$H,8,FALSE()),""))</f>
        <v/>
      </c>
      <c r="F1331" s="24"/>
      <c r="G1331" s="25" t="str">
        <f>IF($D1331="","",IFERROR(VLOOKUP($D1331,'ACAH Capital Tracker'!$A:$D,4,FALSE()),""))</f>
        <v/>
      </c>
      <c r="H1331" s="22"/>
    </row>
    <row r="1332" spans="1:8">
      <c r="A1332" s="21"/>
      <c r="B1332" s="22"/>
      <c r="C1332" s="22"/>
      <c r="D1332" s="22"/>
      <c r="E1332" s="23" t="str">
        <f>IF($D1332="","",IFERROR(VLOOKUP($D1332,'ACAH Capital Tracker'!$A:$H,8,FALSE()),""))</f>
        <v/>
      </c>
      <c r="F1332" s="24"/>
      <c r="G1332" s="25" t="str">
        <f>IF($D1332="","",IFERROR(VLOOKUP($D1332,'ACAH Capital Tracker'!$A:$D,4,FALSE()),""))</f>
        <v/>
      </c>
      <c r="H1332" s="22"/>
    </row>
    <row r="1333" spans="1:8">
      <c r="A1333" s="21"/>
      <c r="B1333" s="22"/>
      <c r="C1333" s="22"/>
      <c r="D1333" s="22"/>
      <c r="E1333" s="23" t="str">
        <f>IF($D1333="","",IFERROR(VLOOKUP($D1333,'ACAH Capital Tracker'!$A:$H,8,FALSE()),""))</f>
        <v/>
      </c>
      <c r="F1333" s="24"/>
      <c r="G1333" s="25" t="str">
        <f>IF($D1333="","",IFERROR(VLOOKUP($D1333,'ACAH Capital Tracker'!$A:$D,4,FALSE()),""))</f>
        <v/>
      </c>
      <c r="H1333" s="22"/>
    </row>
    <row r="1334" spans="1:8">
      <c r="A1334" s="21"/>
      <c r="B1334" s="22"/>
      <c r="C1334" s="22"/>
      <c r="D1334" s="22"/>
      <c r="E1334" s="23" t="str">
        <f>IF($D1334="","",IFERROR(VLOOKUP($D1334,'ACAH Capital Tracker'!$A:$H,8,FALSE()),""))</f>
        <v/>
      </c>
      <c r="F1334" s="24"/>
      <c r="G1334" s="25" t="str">
        <f>IF($D1334="","",IFERROR(VLOOKUP($D1334,'ACAH Capital Tracker'!$A:$D,4,FALSE()),""))</f>
        <v/>
      </c>
      <c r="H1334" s="22"/>
    </row>
    <row r="1335" spans="1:8">
      <c r="A1335" s="21"/>
      <c r="B1335" s="22"/>
      <c r="C1335" s="22"/>
      <c r="D1335" s="22"/>
      <c r="E1335" s="23" t="str">
        <f>IF($D1335="","",IFERROR(VLOOKUP($D1335,'ACAH Capital Tracker'!$A:$H,8,FALSE()),""))</f>
        <v/>
      </c>
      <c r="F1335" s="24"/>
      <c r="G1335" s="25" t="str">
        <f>IF($D1335="","",IFERROR(VLOOKUP($D1335,'ACAH Capital Tracker'!$A:$D,4,FALSE()),""))</f>
        <v/>
      </c>
      <c r="H1335" s="22"/>
    </row>
    <row r="1336" spans="1:8">
      <c r="A1336" s="21"/>
      <c r="B1336" s="22"/>
      <c r="C1336" s="22"/>
      <c r="D1336" s="22"/>
      <c r="E1336" s="23" t="str">
        <f>IF($D1336="","",IFERROR(VLOOKUP($D1336,'ACAH Capital Tracker'!$A:$H,8,FALSE()),""))</f>
        <v/>
      </c>
      <c r="F1336" s="24"/>
      <c r="G1336" s="25" t="str">
        <f>IF($D1336="","",IFERROR(VLOOKUP($D1336,'ACAH Capital Tracker'!$A:$D,4,FALSE()),""))</f>
        <v/>
      </c>
      <c r="H1336" s="22"/>
    </row>
    <row r="1337" spans="1:8">
      <c r="A1337" s="21"/>
      <c r="B1337" s="22"/>
      <c r="C1337" s="22"/>
      <c r="D1337" s="22"/>
      <c r="E1337" s="23" t="str">
        <f>IF($D1337="","",IFERROR(VLOOKUP($D1337,'ACAH Capital Tracker'!$A:$H,8,FALSE()),""))</f>
        <v/>
      </c>
      <c r="F1337" s="24"/>
      <c r="G1337" s="25" t="str">
        <f>IF($D1337="","",IFERROR(VLOOKUP($D1337,'ACAH Capital Tracker'!$A:$D,4,FALSE()),""))</f>
        <v/>
      </c>
      <c r="H1337" s="22"/>
    </row>
    <row r="1338" spans="1:8">
      <c r="A1338" s="21"/>
      <c r="B1338" s="22"/>
      <c r="C1338" s="22"/>
      <c r="D1338" s="22"/>
      <c r="E1338" s="23" t="str">
        <f>IF($D1338="","",IFERROR(VLOOKUP($D1338,'ACAH Capital Tracker'!$A:$H,8,FALSE()),""))</f>
        <v/>
      </c>
      <c r="F1338" s="24"/>
      <c r="G1338" s="25" t="str">
        <f>IF($D1338="","",IFERROR(VLOOKUP($D1338,'ACAH Capital Tracker'!$A:$D,4,FALSE()),""))</f>
        <v/>
      </c>
      <c r="H1338" s="22"/>
    </row>
    <row r="1339" spans="1:8">
      <c r="A1339" s="21"/>
      <c r="B1339" s="22"/>
      <c r="C1339" s="22"/>
      <c r="D1339" s="22"/>
      <c r="E1339" s="23" t="str">
        <f>IF($D1339="","",IFERROR(VLOOKUP($D1339,'ACAH Capital Tracker'!$A:$H,8,FALSE()),""))</f>
        <v/>
      </c>
      <c r="F1339" s="24"/>
      <c r="G1339" s="25" t="str">
        <f>IF($D1339="","",IFERROR(VLOOKUP($D1339,'ACAH Capital Tracker'!$A:$D,4,FALSE()),""))</f>
        <v/>
      </c>
      <c r="H1339" s="22"/>
    </row>
    <row r="1340" spans="1:8">
      <c r="A1340" s="21"/>
      <c r="B1340" s="22"/>
      <c r="C1340" s="22"/>
      <c r="D1340" s="22"/>
      <c r="E1340" s="23" t="str">
        <f>IF($D1340="","",IFERROR(VLOOKUP($D1340,'ACAH Capital Tracker'!$A:$H,8,FALSE()),""))</f>
        <v/>
      </c>
      <c r="F1340" s="24"/>
      <c r="G1340" s="25" t="str">
        <f>IF($D1340="","",IFERROR(VLOOKUP($D1340,'ACAH Capital Tracker'!$A:$D,4,FALSE()),""))</f>
        <v/>
      </c>
      <c r="H1340" s="22"/>
    </row>
    <row r="1341" spans="1:8">
      <c r="A1341" s="21"/>
      <c r="B1341" s="22"/>
      <c r="C1341" s="22"/>
      <c r="D1341" s="22"/>
      <c r="E1341" s="23" t="str">
        <f>IF($D1341="","",IFERROR(VLOOKUP($D1341,'ACAH Capital Tracker'!$A:$H,8,FALSE()),""))</f>
        <v/>
      </c>
      <c r="F1341" s="24"/>
      <c r="G1341" s="25" t="str">
        <f>IF($D1341="","",IFERROR(VLOOKUP($D1341,'ACAH Capital Tracker'!$A:$D,4,FALSE()),""))</f>
        <v/>
      </c>
      <c r="H1341" s="22"/>
    </row>
    <row r="1342" spans="1:8">
      <c r="A1342" s="21"/>
      <c r="B1342" s="22"/>
      <c r="C1342" s="22"/>
      <c r="D1342" s="22"/>
      <c r="E1342" s="23" t="str">
        <f>IF($D1342="","",IFERROR(VLOOKUP($D1342,'ACAH Capital Tracker'!$A:$H,8,FALSE()),""))</f>
        <v/>
      </c>
      <c r="F1342" s="24"/>
      <c r="G1342" s="25" t="str">
        <f>IF($D1342="","",IFERROR(VLOOKUP($D1342,'ACAH Capital Tracker'!$A:$D,4,FALSE()),""))</f>
        <v/>
      </c>
      <c r="H1342" s="22"/>
    </row>
    <row r="1343" spans="1:8">
      <c r="A1343" s="21"/>
      <c r="B1343" s="22"/>
      <c r="C1343" s="22"/>
      <c r="D1343" s="22"/>
      <c r="E1343" s="23" t="str">
        <f>IF($D1343="","",IFERROR(VLOOKUP($D1343,'ACAH Capital Tracker'!$A:$H,8,FALSE()),""))</f>
        <v/>
      </c>
      <c r="F1343" s="24"/>
      <c r="G1343" s="25" t="str">
        <f>IF($D1343="","",IFERROR(VLOOKUP($D1343,'ACAH Capital Tracker'!$A:$D,4,FALSE()),""))</f>
        <v/>
      </c>
      <c r="H1343" s="22"/>
    </row>
    <row r="1344" spans="1:8">
      <c r="A1344" s="21"/>
      <c r="B1344" s="22"/>
      <c r="C1344" s="22"/>
      <c r="D1344" s="22"/>
      <c r="E1344" s="23" t="str">
        <f>IF($D1344="","",IFERROR(VLOOKUP($D1344,'ACAH Capital Tracker'!$A:$H,8,FALSE()),""))</f>
        <v/>
      </c>
      <c r="F1344" s="24"/>
      <c r="G1344" s="25" t="str">
        <f>IF($D1344="","",IFERROR(VLOOKUP($D1344,'ACAH Capital Tracker'!$A:$D,4,FALSE()),""))</f>
        <v/>
      </c>
      <c r="H1344" s="22"/>
    </row>
    <row r="1345" spans="1:8">
      <c r="A1345" s="21"/>
      <c r="B1345" s="22"/>
      <c r="C1345" s="22"/>
      <c r="D1345" s="22"/>
      <c r="E1345" s="23" t="str">
        <f>IF($D1345="","",IFERROR(VLOOKUP($D1345,'ACAH Capital Tracker'!$A:$H,8,FALSE()),""))</f>
        <v/>
      </c>
      <c r="F1345" s="24"/>
      <c r="G1345" s="25" t="str">
        <f>IF($D1345="","",IFERROR(VLOOKUP($D1345,'ACAH Capital Tracker'!$A:$D,4,FALSE()),""))</f>
        <v/>
      </c>
      <c r="H1345" s="22"/>
    </row>
    <row r="1346" spans="1:8">
      <c r="A1346" s="21"/>
      <c r="B1346" s="22"/>
      <c r="C1346" s="22"/>
      <c r="D1346" s="22"/>
      <c r="E1346" s="23" t="str">
        <f>IF($D1346="","",IFERROR(VLOOKUP($D1346,'ACAH Capital Tracker'!$A:$H,8,FALSE()),""))</f>
        <v/>
      </c>
      <c r="F1346" s="24"/>
      <c r="G1346" s="25" t="str">
        <f>IF($D1346="","",IFERROR(VLOOKUP($D1346,'ACAH Capital Tracker'!$A:$D,4,FALSE()),""))</f>
        <v/>
      </c>
      <c r="H1346" s="22"/>
    </row>
    <row r="1347" spans="1:8">
      <c r="A1347" s="21"/>
      <c r="B1347" s="22"/>
      <c r="C1347" s="22"/>
      <c r="D1347" s="22"/>
      <c r="E1347" s="23" t="str">
        <f>IF($D1347="","",IFERROR(VLOOKUP($D1347,'ACAH Capital Tracker'!$A:$H,8,FALSE()),""))</f>
        <v/>
      </c>
      <c r="F1347" s="24"/>
      <c r="G1347" s="25" t="str">
        <f>IF($D1347="","",IFERROR(VLOOKUP($D1347,'ACAH Capital Tracker'!$A:$D,4,FALSE()),""))</f>
        <v/>
      </c>
      <c r="H1347" s="22"/>
    </row>
    <row r="1348" spans="1:8">
      <c r="A1348" s="21"/>
      <c r="B1348" s="22"/>
      <c r="C1348" s="22"/>
      <c r="D1348" s="22"/>
      <c r="E1348" s="23" t="str">
        <f>IF($D1348="","",IFERROR(VLOOKUP($D1348,'ACAH Capital Tracker'!$A:$H,8,FALSE()),""))</f>
        <v/>
      </c>
      <c r="F1348" s="24"/>
      <c r="G1348" s="25" t="str">
        <f>IF($D1348="","",IFERROR(VLOOKUP($D1348,'ACAH Capital Tracker'!$A:$D,4,FALSE()),""))</f>
        <v/>
      </c>
      <c r="H1348" s="22"/>
    </row>
    <row r="1349" spans="1:8">
      <c r="A1349" s="21"/>
      <c r="B1349" s="22"/>
      <c r="C1349" s="22"/>
      <c r="D1349" s="22"/>
      <c r="E1349" s="23" t="str">
        <f>IF($D1349="","",IFERROR(VLOOKUP($D1349,'ACAH Capital Tracker'!$A:$H,8,FALSE()),""))</f>
        <v/>
      </c>
      <c r="F1349" s="24"/>
      <c r="G1349" s="25" t="str">
        <f>IF($D1349="","",IFERROR(VLOOKUP($D1349,'ACAH Capital Tracker'!$A:$D,4,FALSE()),""))</f>
        <v/>
      </c>
      <c r="H1349" s="22"/>
    </row>
    <row r="1350" spans="1:8">
      <c r="A1350" s="21"/>
      <c r="B1350" s="22"/>
      <c r="C1350" s="22"/>
      <c r="D1350" s="22"/>
      <c r="E1350" s="23" t="str">
        <f>IF($D1350="","",IFERROR(VLOOKUP($D1350,'ACAH Capital Tracker'!$A:$H,8,FALSE()),""))</f>
        <v/>
      </c>
      <c r="F1350" s="24"/>
      <c r="G1350" s="25" t="str">
        <f>IF($D1350="","",IFERROR(VLOOKUP($D1350,'ACAH Capital Tracker'!$A:$D,4,FALSE()),""))</f>
        <v/>
      </c>
      <c r="H1350" s="22"/>
    </row>
    <row r="1351" spans="1:8">
      <c r="A1351" s="21"/>
      <c r="B1351" s="22"/>
      <c r="C1351" s="22"/>
      <c r="D1351" s="22"/>
      <c r="E1351" s="23" t="str">
        <f>IF($D1351="","",IFERROR(VLOOKUP($D1351,'ACAH Capital Tracker'!$A:$H,8,FALSE()),""))</f>
        <v/>
      </c>
      <c r="F1351" s="24"/>
      <c r="G1351" s="25" t="str">
        <f>IF($D1351="","",IFERROR(VLOOKUP($D1351,'ACAH Capital Tracker'!$A:$D,4,FALSE()),""))</f>
        <v/>
      </c>
      <c r="H1351" s="22"/>
    </row>
    <row r="1352" spans="1:8">
      <c r="A1352" s="21"/>
      <c r="B1352" s="22"/>
      <c r="C1352" s="22"/>
      <c r="D1352" s="22"/>
      <c r="E1352" s="23" t="str">
        <f>IF($D1352="","",IFERROR(VLOOKUP($D1352,'ACAH Capital Tracker'!$A:$H,8,FALSE()),""))</f>
        <v/>
      </c>
      <c r="F1352" s="24"/>
      <c r="G1352" s="25" t="str">
        <f>IF($D1352="","",IFERROR(VLOOKUP($D1352,'ACAH Capital Tracker'!$A:$D,4,FALSE()),""))</f>
        <v/>
      </c>
      <c r="H1352" s="22"/>
    </row>
    <row r="1353" spans="1:8">
      <c r="A1353" s="21"/>
      <c r="B1353" s="22"/>
      <c r="C1353" s="22"/>
      <c r="D1353" s="22"/>
      <c r="E1353" s="23" t="str">
        <f>IF($D1353="","",IFERROR(VLOOKUP($D1353,'ACAH Capital Tracker'!$A:$H,8,FALSE()),""))</f>
        <v/>
      </c>
      <c r="F1353" s="24"/>
      <c r="G1353" s="25" t="str">
        <f>IF($D1353="","",IFERROR(VLOOKUP($D1353,'ACAH Capital Tracker'!$A:$D,4,FALSE()),""))</f>
        <v/>
      </c>
      <c r="H1353" s="22"/>
    </row>
    <row r="1354" spans="1:8">
      <c r="A1354" s="21"/>
      <c r="B1354" s="22"/>
      <c r="C1354" s="22"/>
      <c r="D1354" s="22"/>
      <c r="E1354" s="23" t="str">
        <f>IF($D1354="","",IFERROR(VLOOKUP($D1354,'ACAH Capital Tracker'!$A:$H,8,FALSE()),""))</f>
        <v/>
      </c>
      <c r="F1354" s="24"/>
      <c r="G1354" s="25" t="str">
        <f>IF($D1354="","",IFERROR(VLOOKUP($D1354,'ACAH Capital Tracker'!$A:$D,4,FALSE()),""))</f>
        <v/>
      </c>
      <c r="H1354" s="22"/>
    </row>
    <row r="1355" spans="1:8">
      <c r="A1355" s="21"/>
      <c r="B1355" s="22"/>
      <c r="C1355" s="22"/>
      <c r="D1355" s="22"/>
      <c r="E1355" s="23" t="str">
        <f>IF($D1355="","",IFERROR(VLOOKUP($D1355,'ACAH Capital Tracker'!$A:$H,8,FALSE()),""))</f>
        <v/>
      </c>
      <c r="F1355" s="24"/>
      <c r="G1355" s="25" t="str">
        <f>IF($D1355="","",IFERROR(VLOOKUP($D1355,'ACAH Capital Tracker'!$A:$D,4,FALSE()),""))</f>
        <v/>
      </c>
      <c r="H1355" s="22"/>
    </row>
    <row r="1356" spans="1:8">
      <c r="A1356" s="21"/>
      <c r="B1356" s="22"/>
      <c r="C1356" s="22"/>
      <c r="D1356" s="22"/>
      <c r="E1356" s="23" t="str">
        <f>IF($D1356="","",IFERROR(VLOOKUP($D1356,'ACAH Capital Tracker'!$A:$H,8,FALSE()),""))</f>
        <v/>
      </c>
      <c r="F1356" s="24"/>
      <c r="G1356" s="25" t="str">
        <f>IF($D1356="","",IFERROR(VLOOKUP($D1356,'ACAH Capital Tracker'!$A:$D,4,FALSE()),""))</f>
        <v/>
      </c>
      <c r="H1356" s="22"/>
    </row>
    <row r="1357" spans="1:8">
      <c r="A1357" s="21"/>
      <c r="B1357" s="22"/>
      <c r="C1357" s="22"/>
      <c r="D1357" s="22"/>
      <c r="E1357" s="23" t="str">
        <f>IF($D1357="","",IFERROR(VLOOKUP($D1357,'ACAH Capital Tracker'!$A:$H,8,FALSE()),""))</f>
        <v/>
      </c>
      <c r="F1357" s="24"/>
      <c r="G1357" s="25" t="str">
        <f>IF($D1357="","",IFERROR(VLOOKUP($D1357,'ACAH Capital Tracker'!$A:$D,4,FALSE()),""))</f>
        <v/>
      </c>
      <c r="H1357" s="22"/>
    </row>
    <row r="1358" spans="1:8">
      <c r="A1358" s="21"/>
      <c r="B1358" s="22"/>
      <c r="C1358" s="22"/>
      <c r="D1358" s="22"/>
      <c r="E1358" s="23" t="str">
        <f>IF($D1358="","",IFERROR(VLOOKUP($D1358,'ACAH Capital Tracker'!$A:$H,8,FALSE()),""))</f>
        <v/>
      </c>
      <c r="F1358" s="24"/>
      <c r="G1358" s="25" t="str">
        <f>IF($D1358="","",IFERROR(VLOOKUP($D1358,'ACAH Capital Tracker'!$A:$D,4,FALSE()),""))</f>
        <v/>
      </c>
      <c r="H1358" s="22"/>
    </row>
    <row r="1359" spans="1:8">
      <c r="A1359" s="21"/>
      <c r="B1359" s="22"/>
      <c r="C1359" s="22"/>
      <c r="D1359" s="22"/>
      <c r="E1359" s="23" t="str">
        <f>IF($D1359="","",IFERROR(VLOOKUP($D1359,'ACAH Capital Tracker'!$A:$H,8,FALSE()),""))</f>
        <v/>
      </c>
      <c r="F1359" s="24"/>
      <c r="G1359" s="25" t="str">
        <f>IF($D1359="","",IFERROR(VLOOKUP($D1359,'ACAH Capital Tracker'!$A:$D,4,FALSE()),""))</f>
        <v/>
      </c>
      <c r="H1359" s="22"/>
    </row>
    <row r="1360" spans="1:8">
      <c r="A1360" s="21"/>
      <c r="B1360" s="22"/>
      <c r="C1360" s="22"/>
      <c r="D1360" s="22"/>
      <c r="E1360" s="23" t="str">
        <f>IF($D1360="","",IFERROR(VLOOKUP($D1360,'ACAH Capital Tracker'!$A:$H,8,FALSE()),""))</f>
        <v/>
      </c>
      <c r="F1360" s="24"/>
      <c r="G1360" s="25" t="str">
        <f>IF($D1360="","",IFERROR(VLOOKUP($D1360,'ACAH Capital Tracker'!$A:$D,4,FALSE()),""))</f>
        <v/>
      </c>
      <c r="H1360" s="22"/>
    </row>
    <row r="1361" spans="1:8">
      <c r="A1361" s="21"/>
      <c r="B1361" s="22"/>
      <c r="C1361" s="22"/>
      <c r="D1361" s="22"/>
      <c r="E1361" s="23" t="str">
        <f>IF($D1361="","",IFERROR(VLOOKUP($D1361,'ACAH Capital Tracker'!$A:$H,8,FALSE()),""))</f>
        <v/>
      </c>
      <c r="F1361" s="24"/>
      <c r="G1361" s="25" t="str">
        <f>IF($D1361="","",IFERROR(VLOOKUP($D1361,'ACAH Capital Tracker'!$A:$D,4,FALSE()),""))</f>
        <v/>
      </c>
      <c r="H1361" s="22"/>
    </row>
    <row r="1362" spans="1:8">
      <c r="A1362" s="21"/>
      <c r="B1362" s="22"/>
      <c r="C1362" s="22"/>
      <c r="D1362" s="22"/>
      <c r="E1362" s="23" t="str">
        <f>IF($D1362="","",IFERROR(VLOOKUP($D1362,'ACAH Capital Tracker'!$A:$H,8,FALSE()),""))</f>
        <v/>
      </c>
      <c r="F1362" s="24"/>
      <c r="G1362" s="25" t="str">
        <f>IF($D1362="","",IFERROR(VLOOKUP($D1362,'ACAH Capital Tracker'!$A:$D,4,FALSE()),""))</f>
        <v/>
      </c>
      <c r="H1362" s="22"/>
    </row>
    <row r="1363" spans="1:8">
      <c r="A1363" s="21"/>
      <c r="B1363" s="22"/>
      <c r="C1363" s="22"/>
      <c r="D1363" s="22"/>
      <c r="E1363" s="23" t="str">
        <f>IF($D1363="","",IFERROR(VLOOKUP($D1363,'ACAH Capital Tracker'!$A:$H,8,FALSE()),""))</f>
        <v/>
      </c>
      <c r="F1363" s="24"/>
      <c r="G1363" s="25" t="str">
        <f>IF($D1363="","",IFERROR(VLOOKUP($D1363,'ACAH Capital Tracker'!$A:$D,4,FALSE()),""))</f>
        <v/>
      </c>
      <c r="H1363" s="22"/>
    </row>
    <row r="1364" spans="1:8">
      <c r="A1364" s="21"/>
      <c r="B1364" s="22"/>
      <c r="C1364" s="22"/>
      <c r="D1364" s="22"/>
      <c r="E1364" s="23" t="str">
        <f>IF($D1364="","",IFERROR(VLOOKUP($D1364,'ACAH Capital Tracker'!$A:$H,8,FALSE()),""))</f>
        <v/>
      </c>
      <c r="F1364" s="24"/>
      <c r="G1364" s="25" t="str">
        <f>IF($D1364="","",IFERROR(VLOOKUP($D1364,'ACAH Capital Tracker'!$A:$D,4,FALSE()),""))</f>
        <v/>
      </c>
      <c r="H1364" s="22"/>
    </row>
    <row r="1365" spans="1:8">
      <c r="A1365" s="21"/>
      <c r="B1365" s="22"/>
      <c r="C1365" s="22"/>
      <c r="D1365" s="22"/>
      <c r="E1365" s="23" t="str">
        <f>IF($D1365="","",IFERROR(VLOOKUP($D1365,'ACAH Capital Tracker'!$A:$H,8,FALSE()),""))</f>
        <v/>
      </c>
      <c r="F1365" s="24"/>
      <c r="G1365" s="25" t="str">
        <f>IF($D1365="","",IFERROR(VLOOKUP($D1365,'ACAH Capital Tracker'!$A:$D,4,FALSE()),""))</f>
        <v/>
      </c>
      <c r="H1365" s="22"/>
    </row>
    <row r="1366" spans="1:8">
      <c r="A1366" s="21"/>
      <c r="B1366" s="22"/>
      <c r="C1366" s="22"/>
      <c r="D1366" s="22"/>
      <c r="E1366" s="23" t="str">
        <f>IF($D1366="","",IFERROR(VLOOKUP($D1366,'ACAH Capital Tracker'!$A:$H,8,FALSE()),""))</f>
        <v/>
      </c>
      <c r="F1366" s="24"/>
      <c r="G1366" s="25" t="str">
        <f>IF($D1366="","",IFERROR(VLOOKUP($D1366,'ACAH Capital Tracker'!$A:$D,4,FALSE()),""))</f>
        <v/>
      </c>
      <c r="H1366" s="22"/>
    </row>
    <row r="1367" spans="1:8">
      <c r="A1367" s="21"/>
      <c r="B1367" s="22"/>
      <c r="C1367" s="22"/>
      <c r="D1367" s="22"/>
      <c r="E1367" s="23" t="str">
        <f>IF($D1367="","",IFERROR(VLOOKUP($D1367,'ACAH Capital Tracker'!$A:$H,8,FALSE()),""))</f>
        <v/>
      </c>
      <c r="F1367" s="24"/>
      <c r="G1367" s="25" t="str">
        <f>IF($D1367="","",IFERROR(VLOOKUP($D1367,'ACAH Capital Tracker'!$A:$D,4,FALSE()),""))</f>
        <v/>
      </c>
      <c r="H1367" s="22"/>
    </row>
    <row r="1368" spans="1:8">
      <c r="A1368" s="21"/>
      <c r="B1368" s="22"/>
      <c r="C1368" s="22"/>
      <c r="D1368" s="22"/>
      <c r="E1368" s="23" t="str">
        <f>IF($D1368="","",IFERROR(VLOOKUP($D1368,'ACAH Capital Tracker'!$A:$H,8,FALSE()),""))</f>
        <v/>
      </c>
      <c r="F1368" s="24"/>
      <c r="G1368" s="25" t="str">
        <f>IF($D1368="","",IFERROR(VLOOKUP($D1368,'ACAH Capital Tracker'!$A:$D,4,FALSE()),""))</f>
        <v/>
      </c>
      <c r="H1368" s="22"/>
    </row>
    <row r="1369" spans="1:8">
      <c r="A1369" s="21"/>
      <c r="B1369" s="22"/>
      <c r="C1369" s="22"/>
      <c r="D1369" s="22"/>
      <c r="E1369" s="23" t="str">
        <f>IF($D1369="","",IFERROR(VLOOKUP($D1369,'ACAH Capital Tracker'!$A:$H,8,FALSE()),""))</f>
        <v/>
      </c>
      <c r="F1369" s="24"/>
      <c r="G1369" s="25" t="str">
        <f>IF($D1369="","",IFERROR(VLOOKUP($D1369,'ACAH Capital Tracker'!$A:$D,4,FALSE()),""))</f>
        <v/>
      </c>
      <c r="H1369" s="22"/>
    </row>
    <row r="1370" spans="1:8">
      <c r="A1370" s="21"/>
      <c r="B1370" s="22"/>
      <c r="C1370" s="22"/>
      <c r="D1370" s="22"/>
      <c r="E1370" s="23" t="str">
        <f>IF($D1370="","",IFERROR(VLOOKUP($D1370,'ACAH Capital Tracker'!$A:$H,8,FALSE()),""))</f>
        <v/>
      </c>
      <c r="F1370" s="24"/>
      <c r="G1370" s="25" t="str">
        <f>IF($D1370="","",IFERROR(VLOOKUP($D1370,'ACAH Capital Tracker'!$A:$D,4,FALSE()),""))</f>
        <v/>
      </c>
      <c r="H1370" s="22"/>
    </row>
    <row r="1371" spans="1:8">
      <c r="A1371" s="21"/>
      <c r="B1371" s="22"/>
      <c r="C1371" s="22"/>
      <c r="D1371" s="22"/>
      <c r="E1371" s="23" t="str">
        <f>IF($D1371="","",IFERROR(VLOOKUP($D1371,'ACAH Capital Tracker'!$A:$H,8,FALSE()),""))</f>
        <v/>
      </c>
      <c r="F1371" s="24"/>
      <c r="G1371" s="25" t="str">
        <f>IF($D1371="","",IFERROR(VLOOKUP($D1371,'ACAH Capital Tracker'!$A:$D,4,FALSE()),""))</f>
        <v/>
      </c>
      <c r="H1371" s="22"/>
    </row>
    <row r="1372" spans="1:8">
      <c r="A1372" s="21"/>
      <c r="B1372" s="22"/>
      <c r="C1372" s="22"/>
      <c r="D1372" s="22"/>
      <c r="E1372" s="23" t="str">
        <f>IF($D1372="","",IFERROR(VLOOKUP($D1372,'ACAH Capital Tracker'!$A:$H,8,FALSE()),""))</f>
        <v/>
      </c>
      <c r="F1372" s="24"/>
      <c r="G1372" s="25" t="str">
        <f>IF($D1372="","",IFERROR(VLOOKUP($D1372,'ACAH Capital Tracker'!$A:$D,4,FALSE()),""))</f>
        <v/>
      </c>
      <c r="H1372" s="22"/>
    </row>
    <row r="1373" spans="1:8">
      <c r="A1373" s="21"/>
      <c r="B1373" s="22"/>
      <c r="C1373" s="22"/>
      <c r="D1373" s="22"/>
      <c r="E1373" s="23" t="str">
        <f>IF($D1373="","",IFERROR(VLOOKUP($D1373,'ACAH Capital Tracker'!$A:$H,8,FALSE()),""))</f>
        <v/>
      </c>
      <c r="F1373" s="24"/>
      <c r="G1373" s="25" t="str">
        <f>IF($D1373="","",IFERROR(VLOOKUP($D1373,'ACAH Capital Tracker'!$A:$D,4,FALSE()),""))</f>
        <v/>
      </c>
      <c r="H1373" s="22"/>
    </row>
    <row r="1374" spans="1:8">
      <c r="A1374" s="21"/>
      <c r="B1374" s="22"/>
      <c r="C1374" s="22"/>
      <c r="D1374" s="22"/>
      <c r="E1374" s="23" t="str">
        <f>IF($D1374="","",IFERROR(VLOOKUP($D1374,'ACAH Capital Tracker'!$A:$H,8,FALSE()),""))</f>
        <v/>
      </c>
      <c r="F1374" s="24"/>
      <c r="G1374" s="25" t="str">
        <f>IF($D1374="","",IFERROR(VLOOKUP($D1374,'ACAH Capital Tracker'!$A:$D,4,FALSE()),""))</f>
        <v/>
      </c>
      <c r="H1374" s="22"/>
    </row>
    <row r="1375" spans="1:8">
      <c r="A1375" s="21"/>
      <c r="B1375" s="22"/>
      <c r="C1375" s="22"/>
      <c r="D1375" s="22"/>
      <c r="E1375" s="23" t="str">
        <f>IF($D1375="","",IFERROR(VLOOKUP($D1375,'ACAH Capital Tracker'!$A:$H,8,FALSE()),""))</f>
        <v/>
      </c>
      <c r="F1375" s="24"/>
      <c r="G1375" s="25" t="str">
        <f>IF($D1375="","",IFERROR(VLOOKUP($D1375,'ACAH Capital Tracker'!$A:$D,4,FALSE()),""))</f>
        <v/>
      </c>
      <c r="H1375" s="22"/>
    </row>
    <row r="1376" spans="1:8">
      <c r="A1376" s="21"/>
      <c r="B1376" s="22"/>
      <c r="C1376" s="22"/>
      <c r="D1376" s="22"/>
      <c r="E1376" s="23" t="str">
        <f>IF($D1376="","",IFERROR(VLOOKUP($D1376,'ACAH Capital Tracker'!$A:$H,8,FALSE()),""))</f>
        <v/>
      </c>
      <c r="F1376" s="24"/>
      <c r="G1376" s="25" t="str">
        <f>IF($D1376="","",IFERROR(VLOOKUP($D1376,'ACAH Capital Tracker'!$A:$D,4,FALSE()),""))</f>
        <v/>
      </c>
      <c r="H1376" s="22"/>
    </row>
    <row r="1377" spans="1:8">
      <c r="A1377" s="21"/>
      <c r="B1377" s="22"/>
      <c r="C1377" s="22"/>
      <c r="D1377" s="22"/>
      <c r="E1377" s="23" t="str">
        <f>IF($D1377="","",IFERROR(VLOOKUP($D1377,'ACAH Capital Tracker'!$A:$H,8,FALSE()),""))</f>
        <v/>
      </c>
      <c r="F1377" s="24"/>
      <c r="G1377" s="25" t="str">
        <f>IF($D1377="","",IFERROR(VLOOKUP($D1377,'ACAH Capital Tracker'!$A:$D,4,FALSE()),""))</f>
        <v/>
      </c>
      <c r="H1377" s="22"/>
    </row>
    <row r="1378" spans="1:8">
      <c r="A1378" s="21"/>
      <c r="B1378" s="22"/>
      <c r="C1378" s="22"/>
      <c r="D1378" s="22"/>
      <c r="E1378" s="23" t="str">
        <f>IF($D1378="","",IFERROR(VLOOKUP($D1378,'ACAH Capital Tracker'!$A:$H,8,FALSE()),""))</f>
        <v/>
      </c>
      <c r="F1378" s="24"/>
      <c r="G1378" s="25" t="str">
        <f>IF($D1378="","",IFERROR(VLOOKUP($D1378,'ACAH Capital Tracker'!$A:$D,4,FALSE()),""))</f>
        <v/>
      </c>
      <c r="H1378" s="22"/>
    </row>
    <row r="1379" spans="1:8">
      <c r="A1379" s="21"/>
      <c r="B1379" s="22"/>
      <c r="C1379" s="22"/>
      <c r="D1379" s="22"/>
      <c r="E1379" s="23" t="str">
        <f>IF($D1379="","",IFERROR(VLOOKUP($D1379,'ACAH Capital Tracker'!$A:$H,8,FALSE()),""))</f>
        <v/>
      </c>
      <c r="F1379" s="24"/>
      <c r="G1379" s="25" t="str">
        <f>IF($D1379="","",IFERROR(VLOOKUP($D1379,'ACAH Capital Tracker'!$A:$D,4,FALSE()),""))</f>
        <v/>
      </c>
      <c r="H1379" s="22"/>
    </row>
    <row r="1380" spans="1:8">
      <c r="A1380" s="21"/>
      <c r="B1380" s="22"/>
      <c r="C1380" s="22"/>
      <c r="D1380" s="22"/>
      <c r="E1380" s="23" t="str">
        <f>IF($D1380="","",IFERROR(VLOOKUP($D1380,'ACAH Capital Tracker'!$A:$H,8,FALSE()),""))</f>
        <v/>
      </c>
      <c r="F1380" s="24"/>
      <c r="G1380" s="25" t="str">
        <f>IF($D1380="","",IFERROR(VLOOKUP($D1380,'ACAH Capital Tracker'!$A:$D,4,FALSE()),""))</f>
        <v/>
      </c>
      <c r="H1380" s="22"/>
    </row>
    <row r="1381" spans="1:8">
      <c r="A1381" s="21"/>
      <c r="B1381" s="22"/>
      <c r="C1381" s="22"/>
      <c r="D1381" s="22"/>
      <c r="E1381" s="23" t="str">
        <f>IF($D1381="","",IFERROR(VLOOKUP($D1381,'ACAH Capital Tracker'!$A:$H,8,FALSE()),""))</f>
        <v/>
      </c>
      <c r="F1381" s="24"/>
      <c r="G1381" s="25" t="str">
        <f>IF($D1381="","",IFERROR(VLOOKUP($D1381,'ACAH Capital Tracker'!$A:$D,4,FALSE()),""))</f>
        <v/>
      </c>
      <c r="H1381" s="22"/>
    </row>
    <row r="1382" spans="1:8">
      <c r="A1382" s="21"/>
      <c r="B1382" s="22"/>
      <c r="C1382" s="22"/>
      <c r="D1382" s="22"/>
      <c r="E1382" s="23" t="str">
        <f>IF($D1382="","",IFERROR(VLOOKUP($D1382,'ACAH Capital Tracker'!$A:$H,8,FALSE()),""))</f>
        <v/>
      </c>
      <c r="F1382" s="24"/>
      <c r="G1382" s="25" t="str">
        <f>IF($D1382="","",IFERROR(VLOOKUP($D1382,'ACAH Capital Tracker'!$A:$D,4,FALSE()),""))</f>
        <v/>
      </c>
      <c r="H1382" s="22"/>
    </row>
    <row r="1383" spans="1:8">
      <c r="A1383" s="21"/>
      <c r="B1383" s="22"/>
      <c r="C1383" s="22"/>
      <c r="D1383" s="22"/>
      <c r="E1383" s="23" t="str">
        <f>IF($D1383="","",IFERROR(VLOOKUP($D1383,'ACAH Capital Tracker'!$A:$H,8,FALSE()),""))</f>
        <v/>
      </c>
      <c r="F1383" s="24"/>
      <c r="G1383" s="25" t="str">
        <f>IF($D1383="","",IFERROR(VLOOKUP($D1383,'ACAH Capital Tracker'!$A:$D,4,FALSE()),""))</f>
        <v/>
      </c>
      <c r="H1383" s="22"/>
    </row>
    <row r="1384" spans="1:8">
      <c r="A1384" s="21"/>
      <c r="B1384" s="22"/>
      <c r="C1384" s="22"/>
      <c r="D1384" s="22"/>
      <c r="E1384" s="23" t="str">
        <f>IF($D1384="","",IFERROR(VLOOKUP($D1384,'ACAH Capital Tracker'!$A:$H,8,FALSE()),""))</f>
        <v/>
      </c>
      <c r="F1384" s="24"/>
      <c r="G1384" s="25" t="str">
        <f>IF($D1384="","",IFERROR(VLOOKUP($D1384,'ACAH Capital Tracker'!$A:$D,4,FALSE()),""))</f>
        <v/>
      </c>
      <c r="H1384" s="22"/>
    </row>
    <row r="1385" spans="1:8">
      <c r="A1385" s="21"/>
      <c r="B1385" s="22"/>
      <c r="C1385" s="22"/>
      <c r="D1385" s="22"/>
      <c r="E1385" s="23" t="str">
        <f>IF($D1385="","",IFERROR(VLOOKUP($D1385,'ACAH Capital Tracker'!$A:$H,8,FALSE()),""))</f>
        <v/>
      </c>
      <c r="F1385" s="24"/>
      <c r="G1385" s="25" t="str">
        <f>IF($D1385="","",IFERROR(VLOOKUP($D1385,'ACAH Capital Tracker'!$A:$D,4,FALSE()),""))</f>
        <v/>
      </c>
      <c r="H1385" s="22"/>
    </row>
    <row r="1386" spans="1:8">
      <c r="A1386" s="21"/>
      <c r="B1386" s="22"/>
      <c r="C1386" s="22"/>
      <c r="D1386" s="22"/>
      <c r="E1386" s="23" t="str">
        <f>IF($D1386="","",IFERROR(VLOOKUP($D1386,'ACAH Capital Tracker'!$A:$H,8,FALSE()),""))</f>
        <v/>
      </c>
      <c r="F1386" s="24"/>
      <c r="G1386" s="25" t="str">
        <f>IF($D1386="","",IFERROR(VLOOKUP($D1386,'ACAH Capital Tracker'!$A:$D,4,FALSE()),""))</f>
        <v/>
      </c>
      <c r="H1386" s="22"/>
    </row>
    <row r="1387" spans="1:8">
      <c r="A1387" s="21"/>
      <c r="B1387" s="22"/>
      <c r="C1387" s="22"/>
      <c r="D1387" s="22"/>
      <c r="E1387" s="23" t="str">
        <f>IF($D1387="","",IFERROR(VLOOKUP($D1387,'ACAH Capital Tracker'!$A:$H,8,FALSE()),""))</f>
        <v/>
      </c>
      <c r="F1387" s="24"/>
      <c r="G1387" s="25" t="str">
        <f>IF($D1387="","",IFERROR(VLOOKUP($D1387,'ACAH Capital Tracker'!$A:$D,4,FALSE()),""))</f>
        <v/>
      </c>
      <c r="H1387" s="22"/>
    </row>
    <row r="1388" spans="1:8">
      <c r="A1388" s="21"/>
      <c r="B1388" s="22"/>
      <c r="C1388" s="22"/>
      <c r="D1388" s="22"/>
      <c r="E1388" s="23" t="str">
        <f>IF($D1388="","",IFERROR(VLOOKUP($D1388,'ACAH Capital Tracker'!$A:$H,8,FALSE()),""))</f>
        <v/>
      </c>
      <c r="F1388" s="24"/>
      <c r="G1388" s="25" t="str">
        <f>IF($D1388="","",IFERROR(VLOOKUP($D1388,'ACAH Capital Tracker'!$A:$D,4,FALSE()),""))</f>
        <v/>
      </c>
      <c r="H1388" s="22"/>
    </row>
    <row r="1389" spans="1:8">
      <c r="A1389" s="21"/>
      <c r="B1389" s="22"/>
      <c r="C1389" s="22"/>
      <c r="D1389" s="22"/>
      <c r="E1389" s="23" t="str">
        <f>IF($D1389="","",IFERROR(VLOOKUP($D1389,'ACAH Capital Tracker'!$A:$H,8,FALSE()),""))</f>
        <v/>
      </c>
      <c r="F1389" s="24"/>
      <c r="G1389" s="25" t="str">
        <f>IF($D1389="","",IFERROR(VLOOKUP($D1389,'ACAH Capital Tracker'!$A:$D,4,FALSE()),""))</f>
        <v/>
      </c>
      <c r="H1389" s="22"/>
    </row>
    <row r="1390" spans="1:8">
      <c r="A1390" s="21"/>
      <c r="B1390" s="22"/>
      <c r="C1390" s="22"/>
      <c r="D1390" s="22"/>
      <c r="E1390" s="23" t="str">
        <f>IF($D1390="","",IFERROR(VLOOKUP($D1390,'ACAH Capital Tracker'!$A:$H,8,FALSE()),""))</f>
        <v/>
      </c>
      <c r="F1390" s="24"/>
      <c r="G1390" s="25" t="str">
        <f>IF($D1390="","",IFERROR(VLOOKUP($D1390,'ACAH Capital Tracker'!$A:$D,4,FALSE()),""))</f>
        <v/>
      </c>
      <c r="H1390" s="22"/>
    </row>
    <row r="1391" spans="1:8">
      <c r="A1391" s="21"/>
      <c r="B1391" s="22"/>
      <c r="C1391" s="22"/>
      <c r="D1391" s="22"/>
      <c r="E1391" s="23" t="str">
        <f>IF($D1391="","",IFERROR(VLOOKUP($D1391,'ACAH Capital Tracker'!$A:$H,8,FALSE()),""))</f>
        <v/>
      </c>
      <c r="F1391" s="24"/>
      <c r="G1391" s="25" t="str">
        <f>IF($D1391="","",IFERROR(VLOOKUP($D1391,'ACAH Capital Tracker'!$A:$D,4,FALSE()),""))</f>
        <v/>
      </c>
      <c r="H1391" s="22"/>
    </row>
    <row r="1392" spans="1:8">
      <c r="A1392" s="21"/>
      <c r="B1392" s="22"/>
      <c r="C1392" s="22"/>
      <c r="D1392" s="22"/>
      <c r="E1392" s="23" t="str">
        <f>IF($D1392="","",IFERROR(VLOOKUP($D1392,'ACAH Capital Tracker'!$A:$H,8,FALSE()),""))</f>
        <v/>
      </c>
      <c r="F1392" s="24"/>
      <c r="G1392" s="25" t="str">
        <f>IF($D1392="","",IFERROR(VLOOKUP($D1392,'ACAH Capital Tracker'!$A:$D,4,FALSE()),""))</f>
        <v/>
      </c>
      <c r="H1392" s="22"/>
    </row>
    <row r="1393" spans="1:8">
      <c r="A1393" s="21"/>
      <c r="B1393" s="22"/>
      <c r="C1393" s="22"/>
      <c r="D1393" s="22"/>
      <c r="E1393" s="23" t="str">
        <f>IF($D1393="","",IFERROR(VLOOKUP($D1393,'ACAH Capital Tracker'!$A:$H,8,FALSE()),""))</f>
        <v/>
      </c>
      <c r="F1393" s="24"/>
      <c r="G1393" s="25" t="str">
        <f>IF($D1393="","",IFERROR(VLOOKUP($D1393,'ACAH Capital Tracker'!$A:$D,4,FALSE()),""))</f>
        <v/>
      </c>
      <c r="H1393" s="22"/>
    </row>
    <row r="1394" spans="1:8">
      <c r="A1394" s="21"/>
      <c r="B1394" s="22"/>
      <c r="C1394" s="22"/>
      <c r="D1394" s="22"/>
      <c r="E1394" s="23" t="str">
        <f>IF($D1394="","",IFERROR(VLOOKUP($D1394,'ACAH Capital Tracker'!$A:$H,8,FALSE()),""))</f>
        <v/>
      </c>
      <c r="F1394" s="24"/>
      <c r="G1394" s="25" t="str">
        <f>IF($D1394="","",IFERROR(VLOOKUP($D1394,'ACAH Capital Tracker'!$A:$D,4,FALSE()),""))</f>
        <v/>
      </c>
      <c r="H1394" s="22"/>
    </row>
    <row r="1395" spans="1:8">
      <c r="A1395" s="21"/>
      <c r="B1395" s="22"/>
      <c r="C1395" s="22"/>
      <c r="D1395" s="22"/>
      <c r="E1395" s="23" t="str">
        <f>IF($D1395="","",IFERROR(VLOOKUP($D1395,'ACAH Capital Tracker'!$A:$H,8,FALSE()),""))</f>
        <v/>
      </c>
      <c r="F1395" s="24"/>
      <c r="G1395" s="25" t="str">
        <f>IF($D1395="","",IFERROR(VLOOKUP($D1395,'ACAH Capital Tracker'!$A:$D,4,FALSE()),""))</f>
        <v/>
      </c>
      <c r="H1395" s="22"/>
    </row>
    <row r="1396" spans="1:8">
      <c r="A1396" s="21"/>
      <c r="B1396" s="22"/>
      <c r="C1396" s="22"/>
      <c r="D1396" s="22"/>
      <c r="E1396" s="23" t="str">
        <f>IF($D1396="","",IFERROR(VLOOKUP($D1396,'ACAH Capital Tracker'!$A:$H,8,FALSE()),""))</f>
        <v/>
      </c>
      <c r="F1396" s="24"/>
      <c r="G1396" s="25" t="str">
        <f>IF($D1396="","",IFERROR(VLOOKUP($D1396,'ACAH Capital Tracker'!$A:$D,4,FALSE()),""))</f>
        <v/>
      </c>
      <c r="H1396" s="22"/>
    </row>
    <row r="1397" spans="1:8">
      <c r="A1397" s="21"/>
      <c r="B1397" s="22"/>
      <c r="C1397" s="22"/>
      <c r="D1397" s="22"/>
      <c r="E1397" s="23" t="str">
        <f>IF($D1397="","",IFERROR(VLOOKUP($D1397,'ACAH Capital Tracker'!$A:$H,8,FALSE()),""))</f>
        <v/>
      </c>
      <c r="F1397" s="24"/>
      <c r="G1397" s="25" t="str">
        <f>IF($D1397="","",IFERROR(VLOOKUP($D1397,'ACAH Capital Tracker'!$A:$D,4,FALSE()),""))</f>
        <v/>
      </c>
      <c r="H1397" s="22"/>
    </row>
    <row r="1398" spans="1:8">
      <c r="A1398" s="21"/>
      <c r="B1398" s="22"/>
      <c r="C1398" s="22"/>
      <c r="D1398" s="22"/>
      <c r="E1398" s="23" t="str">
        <f>IF($D1398="","",IFERROR(VLOOKUP($D1398,'ACAH Capital Tracker'!$A:$H,8,FALSE()),""))</f>
        <v/>
      </c>
      <c r="F1398" s="24"/>
      <c r="G1398" s="25" t="str">
        <f>IF($D1398="","",IFERROR(VLOOKUP($D1398,'ACAH Capital Tracker'!$A:$D,4,FALSE()),""))</f>
        <v/>
      </c>
      <c r="H1398" s="22"/>
    </row>
    <row r="1399" spans="1:8">
      <c r="A1399" s="21"/>
      <c r="B1399" s="22"/>
      <c r="C1399" s="22"/>
      <c r="D1399" s="22"/>
      <c r="E1399" s="23" t="str">
        <f>IF($D1399="","",IFERROR(VLOOKUP($D1399,'ACAH Capital Tracker'!$A:$H,8,FALSE()),""))</f>
        <v/>
      </c>
      <c r="F1399" s="24"/>
      <c r="G1399" s="25" t="str">
        <f>IF($D1399="","",IFERROR(VLOOKUP($D1399,'ACAH Capital Tracker'!$A:$D,4,FALSE()),""))</f>
        <v/>
      </c>
      <c r="H1399" s="22"/>
    </row>
    <row r="1400" spans="1:8">
      <c r="A1400" s="21"/>
      <c r="B1400" s="22"/>
      <c r="C1400" s="22"/>
      <c r="D1400" s="22"/>
      <c r="E1400" s="23" t="str">
        <f>IF($D1400="","",IFERROR(VLOOKUP($D1400,'ACAH Capital Tracker'!$A:$H,8,FALSE()),""))</f>
        <v/>
      </c>
      <c r="F1400" s="24"/>
      <c r="G1400" s="25" t="str">
        <f>IF($D1400="","",IFERROR(VLOOKUP($D1400,'ACAH Capital Tracker'!$A:$D,4,FALSE()),""))</f>
        <v/>
      </c>
      <c r="H1400" s="22"/>
    </row>
    <row r="1401" spans="1:8">
      <c r="A1401" s="21"/>
      <c r="B1401" s="22"/>
      <c r="C1401" s="22"/>
      <c r="D1401" s="22"/>
      <c r="E1401" s="23" t="str">
        <f>IF($D1401="","",IFERROR(VLOOKUP($D1401,'ACAH Capital Tracker'!$A:$H,8,FALSE()),""))</f>
        <v/>
      </c>
      <c r="F1401" s="24"/>
      <c r="G1401" s="25" t="str">
        <f>IF($D1401="","",IFERROR(VLOOKUP($D1401,'ACAH Capital Tracker'!$A:$D,4,FALSE()),""))</f>
        <v/>
      </c>
      <c r="H1401" s="22"/>
    </row>
    <row r="1402" spans="1:8">
      <c r="A1402" s="21"/>
      <c r="B1402" s="22"/>
      <c r="C1402" s="22"/>
      <c r="D1402" s="22"/>
      <c r="E1402" s="23" t="str">
        <f>IF($D1402="","",IFERROR(VLOOKUP($D1402,'ACAH Capital Tracker'!$A:$H,8,FALSE()),""))</f>
        <v/>
      </c>
      <c r="F1402" s="24"/>
      <c r="G1402" s="25" t="str">
        <f>IF($D1402="","",IFERROR(VLOOKUP($D1402,'ACAH Capital Tracker'!$A:$D,4,FALSE()),""))</f>
        <v/>
      </c>
      <c r="H1402" s="22"/>
    </row>
    <row r="1403" spans="1:8">
      <c r="A1403" s="21"/>
      <c r="B1403" s="22"/>
      <c r="C1403" s="22"/>
      <c r="D1403" s="22"/>
      <c r="E1403" s="23" t="str">
        <f>IF($D1403="","",IFERROR(VLOOKUP($D1403,'ACAH Capital Tracker'!$A:$H,8,FALSE()),""))</f>
        <v/>
      </c>
      <c r="F1403" s="24"/>
      <c r="G1403" s="25" t="str">
        <f>IF($D1403="","",IFERROR(VLOOKUP($D1403,'ACAH Capital Tracker'!$A:$D,4,FALSE()),""))</f>
        <v/>
      </c>
      <c r="H1403" s="22"/>
    </row>
    <row r="1404" spans="1:8">
      <c r="A1404" s="21"/>
      <c r="B1404" s="22"/>
      <c r="C1404" s="22"/>
      <c r="D1404" s="22"/>
      <c r="E1404" s="23" t="str">
        <f>IF($D1404="","",IFERROR(VLOOKUP($D1404,'ACAH Capital Tracker'!$A:$H,8,FALSE()),""))</f>
        <v/>
      </c>
      <c r="F1404" s="24"/>
      <c r="G1404" s="25" t="str">
        <f>IF($D1404="","",IFERROR(VLOOKUP($D1404,'ACAH Capital Tracker'!$A:$D,4,FALSE()),""))</f>
        <v/>
      </c>
      <c r="H1404" s="22"/>
    </row>
    <row r="1405" spans="1:8">
      <c r="A1405" s="21"/>
      <c r="B1405" s="22"/>
      <c r="C1405" s="22"/>
      <c r="D1405" s="22"/>
      <c r="E1405" s="23" t="str">
        <f>IF($D1405="","",IFERROR(VLOOKUP($D1405,'ACAH Capital Tracker'!$A:$H,8,FALSE()),""))</f>
        <v/>
      </c>
      <c r="F1405" s="24"/>
      <c r="G1405" s="25" t="str">
        <f>IF($D1405="","",IFERROR(VLOOKUP($D1405,'ACAH Capital Tracker'!$A:$D,4,FALSE()),""))</f>
        <v/>
      </c>
      <c r="H1405" s="22"/>
    </row>
    <row r="1406" spans="1:8">
      <c r="A1406" s="21"/>
      <c r="B1406" s="22"/>
      <c r="C1406" s="22"/>
      <c r="D1406" s="22"/>
      <c r="E1406" s="23" t="str">
        <f>IF($D1406="","",IFERROR(VLOOKUP($D1406,'ACAH Capital Tracker'!$A:$H,8,FALSE()),""))</f>
        <v/>
      </c>
      <c r="F1406" s="24"/>
      <c r="G1406" s="25" t="str">
        <f>IF($D1406="","",IFERROR(VLOOKUP($D1406,'ACAH Capital Tracker'!$A:$D,4,FALSE()),""))</f>
        <v/>
      </c>
      <c r="H1406" s="22"/>
    </row>
    <row r="1407" spans="1:8">
      <c r="A1407" s="21"/>
      <c r="B1407" s="22"/>
      <c r="C1407" s="22"/>
      <c r="D1407" s="22"/>
      <c r="E1407" s="23" t="str">
        <f>IF($D1407="","",IFERROR(VLOOKUP($D1407,'ACAH Capital Tracker'!$A:$H,8,FALSE()),""))</f>
        <v/>
      </c>
      <c r="F1407" s="24"/>
      <c r="G1407" s="25" t="str">
        <f>IF($D1407="","",IFERROR(VLOOKUP($D1407,'ACAH Capital Tracker'!$A:$D,4,FALSE()),""))</f>
        <v/>
      </c>
      <c r="H1407" s="22"/>
    </row>
    <row r="1408" spans="1:8">
      <c r="A1408" s="21"/>
      <c r="B1408" s="22"/>
      <c r="C1408" s="22"/>
      <c r="D1408" s="22"/>
      <c r="E1408" s="23" t="str">
        <f>IF($D1408="","",IFERROR(VLOOKUP($D1408,'ACAH Capital Tracker'!$A:$H,8,FALSE()),""))</f>
        <v/>
      </c>
      <c r="F1408" s="24"/>
      <c r="G1408" s="25" t="str">
        <f>IF($D1408="","",IFERROR(VLOOKUP($D1408,'ACAH Capital Tracker'!$A:$D,4,FALSE()),""))</f>
        <v/>
      </c>
      <c r="H1408" s="22"/>
    </row>
    <row r="1409" spans="1:8">
      <c r="A1409" s="21"/>
      <c r="B1409" s="22"/>
      <c r="C1409" s="22"/>
      <c r="D1409" s="22"/>
      <c r="E1409" s="23" t="str">
        <f>IF($D1409="","",IFERROR(VLOOKUP($D1409,'ACAH Capital Tracker'!$A:$H,8,FALSE()),""))</f>
        <v/>
      </c>
      <c r="F1409" s="24"/>
      <c r="G1409" s="25" t="str">
        <f>IF($D1409="","",IFERROR(VLOOKUP($D1409,'ACAH Capital Tracker'!$A:$D,4,FALSE()),""))</f>
        <v/>
      </c>
      <c r="H1409" s="22"/>
    </row>
    <row r="1410" spans="1:8">
      <c r="A1410" s="21"/>
      <c r="B1410" s="22"/>
      <c r="C1410" s="22"/>
      <c r="D1410" s="22"/>
      <c r="E1410" s="23" t="str">
        <f>IF($D1410="","",IFERROR(VLOOKUP($D1410,'ACAH Capital Tracker'!$A:$H,8,FALSE()),""))</f>
        <v/>
      </c>
      <c r="F1410" s="24"/>
      <c r="G1410" s="25" t="str">
        <f>IF($D1410="","",IFERROR(VLOOKUP($D1410,'ACAH Capital Tracker'!$A:$D,4,FALSE()),""))</f>
        <v/>
      </c>
      <c r="H1410" s="22"/>
    </row>
    <row r="1411" spans="1:8">
      <c r="A1411" s="21"/>
      <c r="B1411" s="22"/>
      <c r="C1411" s="22"/>
      <c r="D1411" s="22"/>
      <c r="E1411" s="23" t="str">
        <f>IF($D1411="","",IFERROR(VLOOKUP($D1411,'ACAH Capital Tracker'!$A:$H,8,FALSE()),""))</f>
        <v/>
      </c>
      <c r="F1411" s="24"/>
      <c r="G1411" s="25" t="str">
        <f>IF($D1411="","",IFERROR(VLOOKUP($D1411,'ACAH Capital Tracker'!$A:$D,4,FALSE()),""))</f>
        <v/>
      </c>
      <c r="H1411" s="22"/>
    </row>
    <row r="1412" spans="1:8">
      <c r="A1412" s="21"/>
      <c r="B1412" s="22"/>
      <c r="C1412" s="22"/>
      <c r="D1412" s="22"/>
      <c r="E1412" s="23" t="str">
        <f>IF($D1412="","",IFERROR(VLOOKUP($D1412,'ACAH Capital Tracker'!$A:$H,8,FALSE()),""))</f>
        <v/>
      </c>
      <c r="F1412" s="24"/>
      <c r="G1412" s="25" t="str">
        <f>IF($D1412="","",IFERROR(VLOOKUP($D1412,'ACAH Capital Tracker'!$A:$D,4,FALSE()),""))</f>
        <v/>
      </c>
      <c r="H1412" s="22"/>
    </row>
    <row r="1413" spans="1:8">
      <c r="A1413" s="21"/>
      <c r="B1413" s="22"/>
      <c r="C1413" s="22"/>
      <c r="D1413" s="22"/>
      <c r="E1413" s="23" t="str">
        <f>IF($D1413="","",IFERROR(VLOOKUP($D1413,'ACAH Capital Tracker'!$A:$H,8,FALSE()),""))</f>
        <v/>
      </c>
      <c r="F1413" s="24"/>
      <c r="G1413" s="25" t="str">
        <f>IF($D1413="","",IFERROR(VLOOKUP($D1413,'ACAH Capital Tracker'!$A:$D,4,FALSE()),""))</f>
        <v/>
      </c>
      <c r="H1413" s="22"/>
    </row>
    <row r="1414" spans="1:8">
      <c r="A1414" s="21"/>
      <c r="B1414" s="22"/>
      <c r="C1414" s="22"/>
      <c r="D1414" s="22"/>
      <c r="E1414" s="23" t="str">
        <f>IF($D1414="","",IFERROR(VLOOKUP($D1414,'ACAH Capital Tracker'!$A:$H,8,FALSE()),""))</f>
        <v/>
      </c>
      <c r="F1414" s="24"/>
      <c r="G1414" s="25" t="str">
        <f>IF($D1414="","",IFERROR(VLOOKUP($D1414,'ACAH Capital Tracker'!$A:$D,4,FALSE()),""))</f>
        <v/>
      </c>
      <c r="H1414" s="22"/>
    </row>
    <row r="1415" spans="1:8">
      <c r="A1415" s="21"/>
      <c r="B1415" s="22"/>
      <c r="C1415" s="22"/>
      <c r="D1415" s="22"/>
      <c r="E1415" s="23" t="str">
        <f>IF($D1415="","",IFERROR(VLOOKUP($D1415,'ACAH Capital Tracker'!$A:$H,8,FALSE()),""))</f>
        <v/>
      </c>
      <c r="F1415" s="24"/>
      <c r="G1415" s="25" t="str">
        <f>IF($D1415="","",IFERROR(VLOOKUP($D1415,'ACAH Capital Tracker'!$A:$D,4,FALSE()),""))</f>
        <v/>
      </c>
      <c r="H1415" s="22"/>
    </row>
    <row r="1416" spans="1:8">
      <c r="A1416" s="21"/>
      <c r="B1416" s="22"/>
      <c r="C1416" s="22"/>
      <c r="D1416" s="22"/>
      <c r="E1416" s="23" t="str">
        <f>IF($D1416="","",IFERROR(VLOOKUP($D1416,'ACAH Capital Tracker'!$A:$H,8,FALSE()),""))</f>
        <v/>
      </c>
      <c r="F1416" s="24"/>
      <c r="G1416" s="25" t="str">
        <f>IF($D1416="","",IFERROR(VLOOKUP($D1416,'ACAH Capital Tracker'!$A:$D,4,FALSE()),""))</f>
        <v/>
      </c>
      <c r="H1416" s="22"/>
    </row>
    <row r="1417" spans="1:8">
      <c r="A1417" s="21"/>
      <c r="B1417" s="22"/>
      <c r="C1417" s="22"/>
      <c r="D1417" s="22"/>
      <c r="E1417" s="23" t="str">
        <f>IF($D1417="","",IFERROR(VLOOKUP($D1417,'ACAH Capital Tracker'!$A:$H,8,FALSE()),""))</f>
        <v/>
      </c>
      <c r="F1417" s="24"/>
      <c r="G1417" s="25" t="str">
        <f>IF($D1417="","",IFERROR(VLOOKUP($D1417,'ACAH Capital Tracker'!$A:$D,4,FALSE()),""))</f>
        <v/>
      </c>
      <c r="H1417" s="22"/>
    </row>
    <row r="1418" spans="1:8">
      <c r="A1418" s="21"/>
      <c r="B1418" s="22"/>
      <c r="C1418" s="22"/>
      <c r="D1418" s="22"/>
      <c r="E1418" s="23" t="str">
        <f>IF($D1418="","",IFERROR(VLOOKUP($D1418,'ACAH Capital Tracker'!$A:$H,8,FALSE()),""))</f>
        <v/>
      </c>
      <c r="F1418" s="24"/>
      <c r="G1418" s="25" t="str">
        <f>IF($D1418="","",IFERROR(VLOOKUP($D1418,'ACAH Capital Tracker'!$A:$D,4,FALSE()),""))</f>
        <v/>
      </c>
      <c r="H1418" s="22"/>
    </row>
    <row r="1419" spans="1:8">
      <c r="A1419" s="21"/>
      <c r="B1419" s="22"/>
      <c r="C1419" s="22"/>
      <c r="D1419" s="22"/>
      <c r="E1419" s="23" t="str">
        <f>IF($D1419="","",IFERROR(VLOOKUP($D1419,'ACAH Capital Tracker'!$A:$H,8,FALSE()),""))</f>
        <v/>
      </c>
      <c r="F1419" s="24"/>
      <c r="G1419" s="25" t="str">
        <f>IF($D1419="","",IFERROR(VLOOKUP($D1419,'ACAH Capital Tracker'!$A:$D,4,FALSE()),""))</f>
        <v/>
      </c>
      <c r="H1419" s="22"/>
    </row>
    <row r="1420" spans="1:8">
      <c r="A1420" s="21"/>
      <c r="B1420" s="22"/>
      <c r="C1420" s="22"/>
      <c r="D1420" s="22"/>
      <c r="E1420" s="23" t="str">
        <f>IF($D1420="","",IFERROR(VLOOKUP($D1420,'ACAH Capital Tracker'!$A:$H,8,FALSE()),""))</f>
        <v/>
      </c>
      <c r="F1420" s="24"/>
      <c r="G1420" s="25" t="str">
        <f>IF($D1420="","",IFERROR(VLOOKUP($D1420,'ACAH Capital Tracker'!$A:$D,4,FALSE()),""))</f>
        <v/>
      </c>
      <c r="H1420" s="22"/>
    </row>
    <row r="1421" spans="1:8">
      <c r="A1421" s="21"/>
      <c r="B1421" s="22"/>
      <c r="C1421" s="22"/>
      <c r="D1421" s="22"/>
      <c r="E1421" s="23" t="str">
        <f>IF($D1421="","",IFERROR(VLOOKUP($D1421,'ACAH Capital Tracker'!$A:$H,8,FALSE()),""))</f>
        <v/>
      </c>
      <c r="F1421" s="24"/>
      <c r="G1421" s="25" t="str">
        <f>IF($D1421="","",IFERROR(VLOOKUP($D1421,'ACAH Capital Tracker'!$A:$D,4,FALSE()),""))</f>
        <v/>
      </c>
      <c r="H1421" s="22"/>
    </row>
    <row r="1422" spans="1:8">
      <c r="A1422" s="21"/>
      <c r="B1422" s="22"/>
      <c r="C1422" s="22"/>
      <c r="D1422" s="22"/>
      <c r="E1422" s="23" t="str">
        <f>IF($D1422="","",IFERROR(VLOOKUP($D1422,'ACAH Capital Tracker'!$A:$H,8,FALSE()),""))</f>
        <v/>
      </c>
      <c r="F1422" s="24"/>
      <c r="G1422" s="25" t="str">
        <f>IF($D1422="","",IFERROR(VLOOKUP($D1422,'ACAH Capital Tracker'!$A:$D,4,FALSE()),""))</f>
        <v/>
      </c>
      <c r="H1422" s="22"/>
    </row>
    <row r="1423" spans="1:8">
      <c r="A1423" s="21"/>
      <c r="B1423" s="22"/>
      <c r="C1423" s="22"/>
      <c r="D1423" s="22"/>
      <c r="E1423" s="23" t="str">
        <f>IF($D1423="","",IFERROR(VLOOKUP($D1423,'ACAH Capital Tracker'!$A:$H,8,FALSE()),""))</f>
        <v/>
      </c>
      <c r="F1423" s="24"/>
      <c r="G1423" s="25" t="str">
        <f>IF($D1423="","",IFERROR(VLOOKUP($D1423,'ACAH Capital Tracker'!$A:$D,4,FALSE()),""))</f>
        <v/>
      </c>
      <c r="H1423" s="22"/>
    </row>
    <row r="1424" spans="1:8">
      <c r="A1424" s="21"/>
      <c r="B1424" s="22"/>
      <c r="C1424" s="22"/>
      <c r="D1424" s="22"/>
      <c r="E1424" s="23" t="str">
        <f>IF($D1424="","",IFERROR(VLOOKUP($D1424,'ACAH Capital Tracker'!$A:$H,8,FALSE()),""))</f>
        <v/>
      </c>
      <c r="F1424" s="24"/>
      <c r="G1424" s="25" t="str">
        <f>IF($D1424="","",IFERROR(VLOOKUP($D1424,'ACAH Capital Tracker'!$A:$D,4,FALSE()),""))</f>
        <v/>
      </c>
      <c r="H1424" s="22"/>
    </row>
    <row r="1425" spans="1:8">
      <c r="A1425" s="21"/>
      <c r="B1425" s="22"/>
      <c r="C1425" s="22"/>
      <c r="D1425" s="22"/>
      <c r="E1425" s="23" t="str">
        <f>IF($D1425="","",IFERROR(VLOOKUP($D1425,'ACAH Capital Tracker'!$A:$H,8,FALSE()),""))</f>
        <v/>
      </c>
      <c r="F1425" s="24"/>
      <c r="G1425" s="25" t="str">
        <f>IF($D1425="","",IFERROR(VLOOKUP($D1425,'ACAH Capital Tracker'!$A:$D,4,FALSE()),""))</f>
        <v/>
      </c>
      <c r="H1425" s="22"/>
    </row>
    <row r="1426" spans="1:8">
      <c r="A1426" s="21"/>
      <c r="B1426" s="22"/>
      <c r="C1426" s="22"/>
      <c r="D1426" s="22"/>
      <c r="E1426" s="23" t="str">
        <f>IF($D1426="","",IFERROR(VLOOKUP($D1426,'ACAH Capital Tracker'!$A:$H,8,FALSE()),""))</f>
        <v/>
      </c>
      <c r="F1426" s="24"/>
      <c r="G1426" s="25" t="str">
        <f>IF($D1426="","",IFERROR(VLOOKUP($D1426,'ACAH Capital Tracker'!$A:$D,4,FALSE()),""))</f>
        <v/>
      </c>
      <c r="H1426" s="22"/>
    </row>
    <row r="1427" spans="1:8">
      <c r="A1427" s="21"/>
      <c r="B1427" s="22"/>
      <c r="C1427" s="22"/>
      <c r="D1427" s="22"/>
      <c r="E1427" s="23" t="str">
        <f>IF($D1427="","",IFERROR(VLOOKUP($D1427,'ACAH Capital Tracker'!$A:$H,8,FALSE()),""))</f>
        <v/>
      </c>
      <c r="F1427" s="24"/>
      <c r="G1427" s="25" t="str">
        <f>IF($D1427="","",IFERROR(VLOOKUP($D1427,'ACAH Capital Tracker'!$A:$D,4,FALSE()),""))</f>
        <v/>
      </c>
      <c r="H1427" s="22"/>
    </row>
    <row r="1428" spans="1:8">
      <c r="A1428" s="21"/>
      <c r="B1428" s="22"/>
      <c r="C1428" s="22"/>
      <c r="D1428" s="22"/>
      <c r="E1428" s="23" t="str">
        <f>IF($D1428="","",IFERROR(VLOOKUP($D1428,'ACAH Capital Tracker'!$A:$H,8,FALSE()),""))</f>
        <v/>
      </c>
      <c r="F1428" s="24"/>
      <c r="G1428" s="25" t="str">
        <f>IF($D1428="","",IFERROR(VLOOKUP($D1428,'ACAH Capital Tracker'!$A:$D,4,FALSE()),""))</f>
        <v/>
      </c>
      <c r="H1428" s="22"/>
    </row>
    <row r="1429" spans="1:8">
      <c r="A1429" s="21"/>
      <c r="B1429" s="22"/>
      <c r="C1429" s="22"/>
      <c r="D1429" s="22"/>
      <c r="E1429" s="23" t="str">
        <f>IF($D1429="","",IFERROR(VLOOKUP($D1429,'ACAH Capital Tracker'!$A:$H,8,FALSE()),""))</f>
        <v/>
      </c>
      <c r="F1429" s="24"/>
      <c r="G1429" s="25" t="str">
        <f>IF($D1429="","",IFERROR(VLOOKUP($D1429,'ACAH Capital Tracker'!$A:$D,4,FALSE()),""))</f>
        <v/>
      </c>
      <c r="H1429" s="22"/>
    </row>
    <row r="1430" spans="1:8">
      <c r="A1430" s="21"/>
      <c r="B1430" s="22"/>
      <c r="C1430" s="22"/>
      <c r="D1430" s="22"/>
      <c r="E1430" s="23" t="str">
        <f>IF($D1430="","",IFERROR(VLOOKUP($D1430,'ACAH Capital Tracker'!$A:$H,8,FALSE()),""))</f>
        <v/>
      </c>
      <c r="F1430" s="24"/>
      <c r="G1430" s="25" t="str">
        <f>IF($D1430="","",IFERROR(VLOOKUP($D1430,'ACAH Capital Tracker'!$A:$D,4,FALSE()),""))</f>
        <v/>
      </c>
      <c r="H1430" s="22"/>
    </row>
    <row r="1431" spans="1:8">
      <c r="A1431" s="21"/>
      <c r="B1431" s="22"/>
      <c r="C1431" s="22"/>
      <c r="D1431" s="22"/>
      <c r="E1431" s="23" t="str">
        <f>IF($D1431="","",IFERROR(VLOOKUP($D1431,'ACAH Capital Tracker'!$A:$H,8,FALSE()),""))</f>
        <v/>
      </c>
      <c r="F1431" s="24"/>
      <c r="G1431" s="25" t="str">
        <f>IF($D1431="","",IFERROR(VLOOKUP($D1431,'ACAH Capital Tracker'!$A:$D,4,FALSE()),""))</f>
        <v/>
      </c>
      <c r="H1431" s="22"/>
    </row>
    <row r="1432" spans="1:8">
      <c r="A1432" s="21"/>
      <c r="B1432" s="22"/>
      <c r="C1432" s="22"/>
      <c r="D1432" s="22"/>
      <c r="E1432" s="23" t="str">
        <f>IF($D1432="","",IFERROR(VLOOKUP($D1432,'ACAH Capital Tracker'!$A:$H,8,FALSE()),""))</f>
        <v/>
      </c>
      <c r="F1432" s="24"/>
      <c r="G1432" s="25" t="str">
        <f>IF($D1432="","",IFERROR(VLOOKUP($D1432,'ACAH Capital Tracker'!$A:$D,4,FALSE()),""))</f>
        <v/>
      </c>
      <c r="H1432" s="22"/>
    </row>
    <row r="1433" spans="1:8">
      <c r="A1433" s="21"/>
      <c r="B1433" s="22"/>
      <c r="C1433" s="22"/>
      <c r="D1433" s="22"/>
      <c r="E1433" s="23" t="str">
        <f>IF($D1433="","",IFERROR(VLOOKUP($D1433,'ACAH Capital Tracker'!$A:$H,8,FALSE()),""))</f>
        <v/>
      </c>
      <c r="F1433" s="24"/>
      <c r="G1433" s="25" t="str">
        <f>IF($D1433="","",IFERROR(VLOOKUP($D1433,'ACAH Capital Tracker'!$A:$D,4,FALSE()),""))</f>
        <v/>
      </c>
      <c r="H1433" s="22"/>
    </row>
    <row r="1434" spans="1:8">
      <c r="A1434" s="21"/>
      <c r="B1434" s="22"/>
      <c r="C1434" s="22"/>
      <c r="D1434" s="22"/>
      <c r="E1434" s="23" t="str">
        <f>IF($D1434="","",IFERROR(VLOOKUP($D1434,'ACAH Capital Tracker'!$A:$H,8,FALSE()),""))</f>
        <v/>
      </c>
      <c r="F1434" s="24"/>
      <c r="G1434" s="25" t="str">
        <f>IF($D1434="","",IFERROR(VLOOKUP($D1434,'ACAH Capital Tracker'!$A:$D,4,FALSE()),""))</f>
        <v/>
      </c>
      <c r="H1434" s="22"/>
    </row>
    <row r="1435" spans="1:8">
      <c r="A1435" s="21"/>
      <c r="B1435" s="22"/>
      <c r="C1435" s="22"/>
      <c r="D1435" s="22"/>
      <c r="E1435" s="23" t="str">
        <f>IF($D1435="","",IFERROR(VLOOKUP($D1435,'ACAH Capital Tracker'!$A:$H,8,FALSE()),""))</f>
        <v/>
      </c>
      <c r="F1435" s="24"/>
      <c r="G1435" s="25" t="str">
        <f>IF($D1435="","",IFERROR(VLOOKUP($D1435,'ACAH Capital Tracker'!$A:$D,4,FALSE()),""))</f>
        <v/>
      </c>
      <c r="H1435" s="22"/>
    </row>
    <row r="1436" spans="1:8">
      <c r="A1436" s="21"/>
      <c r="B1436" s="22"/>
      <c r="C1436" s="22"/>
      <c r="D1436" s="22"/>
      <c r="E1436" s="23" t="str">
        <f>IF($D1436="","",IFERROR(VLOOKUP($D1436,'ACAH Capital Tracker'!$A:$H,8,FALSE()),""))</f>
        <v/>
      </c>
      <c r="F1436" s="24"/>
      <c r="G1436" s="25" t="str">
        <f>IF($D1436="","",IFERROR(VLOOKUP($D1436,'ACAH Capital Tracker'!$A:$D,4,FALSE()),""))</f>
        <v/>
      </c>
      <c r="H1436" s="22"/>
    </row>
    <row r="1437" spans="1:8">
      <c r="A1437" s="21"/>
      <c r="B1437" s="22"/>
      <c r="C1437" s="22"/>
      <c r="D1437" s="22"/>
      <c r="E1437" s="23" t="str">
        <f>IF($D1437="","",IFERROR(VLOOKUP($D1437,'ACAH Capital Tracker'!$A:$H,8,FALSE()),""))</f>
        <v/>
      </c>
      <c r="F1437" s="24"/>
      <c r="G1437" s="25" t="str">
        <f>IF($D1437="","",IFERROR(VLOOKUP($D1437,'ACAH Capital Tracker'!$A:$D,4,FALSE()),""))</f>
        <v/>
      </c>
      <c r="H1437" s="22"/>
    </row>
    <row r="1438" spans="1:8">
      <c r="A1438" s="21"/>
      <c r="B1438" s="22"/>
      <c r="C1438" s="22"/>
      <c r="D1438" s="22"/>
      <c r="E1438" s="23" t="str">
        <f>IF($D1438="","",IFERROR(VLOOKUP($D1438,'ACAH Capital Tracker'!$A:$H,8,FALSE()),""))</f>
        <v/>
      </c>
      <c r="F1438" s="24"/>
      <c r="G1438" s="25" t="str">
        <f>IF($D1438="","",IFERROR(VLOOKUP($D1438,'ACAH Capital Tracker'!$A:$D,4,FALSE()),""))</f>
        <v/>
      </c>
      <c r="H1438" s="22"/>
    </row>
    <row r="1439" spans="1:8">
      <c r="A1439" s="21"/>
      <c r="B1439" s="22"/>
      <c r="C1439" s="22"/>
      <c r="D1439" s="22"/>
      <c r="E1439" s="23" t="str">
        <f>IF($D1439="","",IFERROR(VLOOKUP($D1439,'ACAH Capital Tracker'!$A:$H,8,FALSE()),""))</f>
        <v/>
      </c>
      <c r="F1439" s="24"/>
      <c r="G1439" s="25" t="str">
        <f>IF($D1439="","",IFERROR(VLOOKUP($D1439,'ACAH Capital Tracker'!$A:$D,4,FALSE()),""))</f>
        <v/>
      </c>
      <c r="H1439" s="22"/>
    </row>
    <row r="1440" spans="1:8">
      <c r="A1440" s="21"/>
      <c r="B1440" s="22"/>
      <c r="C1440" s="22"/>
      <c r="D1440" s="22"/>
      <c r="E1440" s="23" t="str">
        <f>IF($D1440="","",IFERROR(VLOOKUP($D1440,'ACAH Capital Tracker'!$A:$H,8,FALSE()),""))</f>
        <v/>
      </c>
      <c r="F1440" s="24"/>
      <c r="G1440" s="25" t="str">
        <f>IF($D1440="","",IFERROR(VLOOKUP($D1440,'ACAH Capital Tracker'!$A:$D,4,FALSE()),""))</f>
        <v/>
      </c>
      <c r="H1440" s="22"/>
    </row>
    <row r="1441" spans="1:8">
      <c r="A1441" s="21"/>
      <c r="B1441" s="22"/>
      <c r="C1441" s="22"/>
      <c r="D1441" s="22"/>
      <c r="E1441" s="23" t="str">
        <f>IF($D1441="","",IFERROR(VLOOKUP($D1441,'ACAH Capital Tracker'!$A:$H,8,FALSE()),""))</f>
        <v/>
      </c>
      <c r="F1441" s="24"/>
      <c r="G1441" s="25" t="str">
        <f>IF($D1441="","",IFERROR(VLOOKUP($D1441,'ACAH Capital Tracker'!$A:$D,4,FALSE()),""))</f>
        <v/>
      </c>
      <c r="H1441" s="22"/>
    </row>
    <row r="1442" spans="1:8">
      <c r="A1442" s="21"/>
      <c r="B1442" s="22"/>
      <c r="C1442" s="22"/>
      <c r="D1442" s="22"/>
      <c r="E1442" s="23" t="str">
        <f>IF($D1442="","",IFERROR(VLOOKUP($D1442,'ACAH Capital Tracker'!$A:$H,8,FALSE()),""))</f>
        <v/>
      </c>
      <c r="F1442" s="24"/>
      <c r="G1442" s="25" t="str">
        <f>IF($D1442="","",IFERROR(VLOOKUP($D1442,'ACAH Capital Tracker'!$A:$D,4,FALSE()),""))</f>
        <v/>
      </c>
      <c r="H1442" s="22"/>
    </row>
    <row r="1443" spans="1:8">
      <c r="A1443" s="21"/>
      <c r="B1443" s="22"/>
      <c r="C1443" s="22"/>
      <c r="D1443" s="22"/>
      <c r="E1443" s="23" t="str">
        <f>IF($D1443="","",IFERROR(VLOOKUP($D1443,'ACAH Capital Tracker'!$A:$H,8,FALSE()),""))</f>
        <v/>
      </c>
      <c r="F1443" s="24"/>
      <c r="G1443" s="25" t="str">
        <f>IF($D1443="","",IFERROR(VLOOKUP($D1443,'ACAH Capital Tracker'!$A:$D,4,FALSE()),""))</f>
        <v/>
      </c>
      <c r="H1443" s="22"/>
    </row>
    <row r="1444" spans="1:8">
      <c r="A1444" s="21"/>
      <c r="B1444" s="22"/>
      <c r="C1444" s="22"/>
      <c r="D1444" s="22"/>
      <c r="E1444" s="23" t="str">
        <f>IF($D1444="","",IFERROR(VLOOKUP($D1444,'ACAH Capital Tracker'!$A:$H,8,FALSE()),""))</f>
        <v/>
      </c>
      <c r="F1444" s="24"/>
      <c r="G1444" s="25" t="str">
        <f>IF($D1444="","",IFERROR(VLOOKUP($D1444,'ACAH Capital Tracker'!$A:$D,4,FALSE()),""))</f>
        <v/>
      </c>
      <c r="H1444" s="22"/>
    </row>
    <row r="1445" spans="1:8">
      <c r="A1445" s="21"/>
      <c r="B1445" s="22"/>
      <c r="C1445" s="22"/>
      <c r="D1445" s="22"/>
      <c r="E1445" s="23" t="str">
        <f>IF($D1445="","",IFERROR(VLOOKUP($D1445,'ACAH Capital Tracker'!$A:$H,8,FALSE()),""))</f>
        <v/>
      </c>
      <c r="F1445" s="24"/>
      <c r="G1445" s="25" t="str">
        <f>IF($D1445="","",IFERROR(VLOOKUP($D1445,'ACAH Capital Tracker'!$A:$D,4,FALSE()),""))</f>
        <v/>
      </c>
      <c r="H1445" s="22"/>
    </row>
    <row r="1446" spans="1:8">
      <c r="A1446" s="21"/>
      <c r="B1446" s="22"/>
      <c r="C1446" s="22"/>
      <c r="D1446" s="22"/>
      <c r="E1446" s="23" t="str">
        <f>IF($D1446="","",IFERROR(VLOOKUP($D1446,'ACAH Capital Tracker'!$A:$H,8,FALSE()),""))</f>
        <v/>
      </c>
      <c r="F1446" s="24"/>
      <c r="G1446" s="25" t="str">
        <f>IF($D1446="","",IFERROR(VLOOKUP($D1446,'ACAH Capital Tracker'!$A:$D,4,FALSE()),""))</f>
        <v/>
      </c>
      <c r="H1446" s="22"/>
    </row>
    <row r="1447" spans="1:8">
      <c r="A1447" s="21"/>
      <c r="B1447" s="22"/>
      <c r="C1447" s="22"/>
      <c r="D1447" s="22"/>
      <c r="E1447" s="23" t="str">
        <f>IF($D1447="","",IFERROR(VLOOKUP($D1447,'ACAH Capital Tracker'!$A:$H,8,FALSE()),""))</f>
        <v/>
      </c>
      <c r="F1447" s="24"/>
      <c r="G1447" s="25" t="str">
        <f>IF($D1447="","",IFERROR(VLOOKUP($D1447,'ACAH Capital Tracker'!$A:$D,4,FALSE()),""))</f>
        <v/>
      </c>
      <c r="H1447" s="22"/>
    </row>
    <row r="1448" spans="1:8">
      <c r="A1448" s="21"/>
      <c r="B1448" s="22"/>
      <c r="C1448" s="22"/>
      <c r="D1448" s="22"/>
      <c r="E1448" s="23" t="str">
        <f>IF($D1448="","",IFERROR(VLOOKUP($D1448,'ACAH Capital Tracker'!$A:$H,8,FALSE()),""))</f>
        <v/>
      </c>
      <c r="F1448" s="24"/>
      <c r="G1448" s="25" t="str">
        <f>IF($D1448="","",IFERROR(VLOOKUP($D1448,'ACAH Capital Tracker'!$A:$D,4,FALSE()),""))</f>
        <v/>
      </c>
      <c r="H1448" s="22"/>
    </row>
    <row r="1449" spans="1:8">
      <c r="A1449" s="21"/>
      <c r="B1449" s="22"/>
      <c r="C1449" s="22"/>
      <c r="D1449" s="22"/>
      <c r="E1449" s="23" t="str">
        <f>IF($D1449="","",IFERROR(VLOOKUP($D1449,'ACAH Capital Tracker'!$A:$H,8,FALSE()),""))</f>
        <v/>
      </c>
      <c r="F1449" s="24"/>
      <c r="G1449" s="25" t="str">
        <f>IF($D1449="","",IFERROR(VLOOKUP($D1449,'ACAH Capital Tracker'!$A:$D,4,FALSE()),""))</f>
        <v/>
      </c>
      <c r="H1449" s="22"/>
    </row>
    <row r="1450" spans="1:8">
      <c r="A1450" s="21"/>
      <c r="B1450" s="22"/>
      <c r="C1450" s="22"/>
      <c r="D1450" s="22"/>
      <c r="E1450" s="23" t="str">
        <f>IF($D1450="","",IFERROR(VLOOKUP($D1450,'ACAH Capital Tracker'!$A:$H,8,FALSE()),""))</f>
        <v/>
      </c>
      <c r="F1450" s="24"/>
      <c r="G1450" s="25" t="str">
        <f>IF($D1450="","",IFERROR(VLOOKUP($D1450,'ACAH Capital Tracker'!$A:$D,4,FALSE()),""))</f>
        <v/>
      </c>
      <c r="H1450" s="22"/>
    </row>
    <row r="1451" spans="1:8">
      <c r="A1451" s="21"/>
      <c r="B1451" s="22"/>
      <c r="C1451" s="22"/>
      <c r="D1451" s="22"/>
      <c r="E1451" s="23" t="str">
        <f>IF($D1451="","",IFERROR(VLOOKUP($D1451,'ACAH Capital Tracker'!$A:$H,8,FALSE()),""))</f>
        <v/>
      </c>
      <c r="F1451" s="24"/>
      <c r="G1451" s="25" t="str">
        <f>IF($D1451="","",IFERROR(VLOOKUP($D1451,'ACAH Capital Tracker'!$A:$D,4,FALSE()),""))</f>
        <v/>
      </c>
      <c r="H1451" s="22"/>
    </row>
    <row r="1452" spans="1:8">
      <c r="A1452" s="21"/>
      <c r="B1452" s="22"/>
      <c r="C1452" s="22"/>
      <c r="D1452" s="22"/>
      <c r="E1452" s="23" t="str">
        <f>IF($D1452="","",IFERROR(VLOOKUP($D1452,'ACAH Capital Tracker'!$A:$H,8,FALSE()),""))</f>
        <v/>
      </c>
      <c r="F1452" s="24"/>
      <c r="G1452" s="25" t="str">
        <f>IF($D1452="","",IFERROR(VLOOKUP($D1452,'ACAH Capital Tracker'!$A:$D,4,FALSE()),""))</f>
        <v/>
      </c>
      <c r="H1452" s="22"/>
    </row>
    <row r="1453" spans="1:8">
      <c r="A1453" s="21"/>
      <c r="B1453" s="22"/>
      <c r="C1453" s="22"/>
      <c r="D1453" s="22"/>
      <c r="E1453" s="23" t="str">
        <f>IF($D1453="","",IFERROR(VLOOKUP($D1453,'ACAH Capital Tracker'!$A:$H,8,FALSE()),""))</f>
        <v/>
      </c>
      <c r="F1453" s="24"/>
      <c r="G1453" s="25" t="str">
        <f>IF($D1453="","",IFERROR(VLOOKUP($D1453,'ACAH Capital Tracker'!$A:$D,4,FALSE()),""))</f>
        <v/>
      </c>
      <c r="H1453" s="22"/>
    </row>
    <row r="1454" spans="1:8">
      <c r="A1454" s="21"/>
      <c r="B1454" s="22"/>
      <c r="C1454" s="22"/>
      <c r="D1454" s="22"/>
      <c r="E1454" s="23" t="str">
        <f>IF($D1454="","",IFERROR(VLOOKUP($D1454,'ACAH Capital Tracker'!$A:$H,8,FALSE()),""))</f>
        <v/>
      </c>
      <c r="F1454" s="24"/>
      <c r="G1454" s="25" t="str">
        <f>IF($D1454="","",IFERROR(VLOOKUP($D1454,'ACAH Capital Tracker'!$A:$D,4,FALSE()),""))</f>
        <v/>
      </c>
      <c r="H1454" s="22"/>
    </row>
    <row r="1455" spans="1:8">
      <c r="A1455" s="21"/>
      <c r="B1455" s="22"/>
      <c r="C1455" s="22"/>
      <c r="D1455" s="22"/>
      <c r="E1455" s="23" t="str">
        <f>IF($D1455="","",IFERROR(VLOOKUP($D1455,'ACAH Capital Tracker'!$A:$H,8,FALSE()),""))</f>
        <v/>
      </c>
      <c r="F1455" s="24"/>
      <c r="G1455" s="25" t="str">
        <f>IF($D1455="","",IFERROR(VLOOKUP($D1455,'ACAH Capital Tracker'!$A:$D,4,FALSE()),""))</f>
        <v/>
      </c>
      <c r="H1455" s="22"/>
    </row>
    <row r="1456" spans="1:8">
      <c r="A1456" s="21"/>
      <c r="B1456" s="22"/>
      <c r="C1456" s="22"/>
      <c r="D1456" s="22"/>
      <c r="E1456" s="23" t="str">
        <f>IF($D1456="","",IFERROR(VLOOKUP($D1456,'ACAH Capital Tracker'!$A:$H,8,FALSE()),""))</f>
        <v/>
      </c>
      <c r="F1456" s="24"/>
      <c r="G1456" s="25" t="str">
        <f>IF($D1456="","",IFERROR(VLOOKUP($D1456,'ACAH Capital Tracker'!$A:$D,4,FALSE()),""))</f>
        <v/>
      </c>
      <c r="H1456" s="22"/>
    </row>
    <row r="1457" spans="1:8">
      <c r="A1457" s="21"/>
      <c r="B1457" s="22"/>
      <c r="C1457" s="22"/>
      <c r="D1457" s="22"/>
      <c r="E1457" s="23" t="str">
        <f>IF($D1457="","",IFERROR(VLOOKUP($D1457,'ACAH Capital Tracker'!$A:$H,8,FALSE()),""))</f>
        <v/>
      </c>
      <c r="F1457" s="24"/>
      <c r="G1457" s="25" t="str">
        <f>IF($D1457="","",IFERROR(VLOOKUP($D1457,'ACAH Capital Tracker'!$A:$D,4,FALSE()),""))</f>
        <v/>
      </c>
      <c r="H1457" s="22"/>
    </row>
    <row r="1458" spans="1:8">
      <c r="A1458" s="21"/>
      <c r="B1458" s="22"/>
      <c r="C1458" s="22"/>
      <c r="D1458" s="22"/>
      <c r="E1458" s="23" t="str">
        <f>IF($D1458="","",IFERROR(VLOOKUP($D1458,'ACAH Capital Tracker'!$A:$H,8,FALSE()),""))</f>
        <v/>
      </c>
      <c r="F1458" s="24"/>
      <c r="G1458" s="25" t="str">
        <f>IF($D1458="","",IFERROR(VLOOKUP($D1458,'ACAH Capital Tracker'!$A:$D,4,FALSE()),""))</f>
        <v/>
      </c>
      <c r="H1458" s="22"/>
    </row>
    <row r="1459" spans="1:8">
      <c r="A1459" s="21"/>
      <c r="B1459" s="22"/>
      <c r="C1459" s="22"/>
      <c r="D1459" s="22"/>
      <c r="E1459" s="23" t="str">
        <f>IF($D1459="","",IFERROR(VLOOKUP($D1459,'ACAH Capital Tracker'!$A:$H,8,FALSE()),""))</f>
        <v/>
      </c>
      <c r="F1459" s="24"/>
      <c r="G1459" s="25" t="str">
        <f>IF($D1459="","",IFERROR(VLOOKUP($D1459,'ACAH Capital Tracker'!$A:$D,4,FALSE()),""))</f>
        <v/>
      </c>
      <c r="H1459" s="22"/>
    </row>
    <row r="1460" spans="1:8">
      <c r="A1460" s="21"/>
      <c r="B1460" s="22"/>
      <c r="C1460" s="22"/>
      <c r="D1460" s="22"/>
      <c r="E1460" s="23" t="str">
        <f>IF($D1460="","",IFERROR(VLOOKUP($D1460,'ACAH Capital Tracker'!$A:$H,8,FALSE()),""))</f>
        <v/>
      </c>
      <c r="F1460" s="24"/>
      <c r="G1460" s="25" t="str">
        <f>IF($D1460="","",IFERROR(VLOOKUP($D1460,'ACAH Capital Tracker'!$A:$D,4,FALSE()),""))</f>
        <v/>
      </c>
      <c r="H1460" s="22"/>
    </row>
    <row r="1461" spans="1:8">
      <c r="A1461" s="21"/>
      <c r="B1461" s="22"/>
      <c r="C1461" s="22"/>
      <c r="D1461" s="22"/>
      <c r="E1461" s="23" t="str">
        <f>IF($D1461="","",IFERROR(VLOOKUP($D1461,'ACAH Capital Tracker'!$A:$H,8,FALSE()),""))</f>
        <v/>
      </c>
      <c r="F1461" s="24"/>
      <c r="G1461" s="25" t="str">
        <f>IF($D1461="","",IFERROR(VLOOKUP($D1461,'ACAH Capital Tracker'!$A:$D,4,FALSE()),""))</f>
        <v/>
      </c>
      <c r="H1461" s="22"/>
    </row>
    <row r="1462" spans="1:8">
      <c r="A1462" s="21"/>
      <c r="B1462" s="22"/>
      <c r="C1462" s="22"/>
      <c r="D1462" s="22"/>
      <c r="E1462" s="23" t="str">
        <f>IF($D1462="","",IFERROR(VLOOKUP($D1462,'ACAH Capital Tracker'!$A:$H,8,FALSE()),""))</f>
        <v/>
      </c>
      <c r="F1462" s="24"/>
      <c r="G1462" s="25" t="str">
        <f>IF($D1462="","",IFERROR(VLOOKUP($D1462,'ACAH Capital Tracker'!$A:$D,4,FALSE()),""))</f>
        <v/>
      </c>
      <c r="H1462" s="22"/>
    </row>
    <row r="1463" spans="1:8">
      <c r="A1463" s="21"/>
      <c r="B1463" s="22"/>
      <c r="C1463" s="22"/>
      <c r="D1463" s="22"/>
      <c r="E1463" s="23" t="str">
        <f>IF($D1463="","",IFERROR(VLOOKUP($D1463,'ACAH Capital Tracker'!$A:$H,8,FALSE()),""))</f>
        <v/>
      </c>
      <c r="F1463" s="24"/>
      <c r="G1463" s="25" t="str">
        <f>IF($D1463="","",IFERROR(VLOOKUP($D1463,'ACAH Capital Tracker'!$A:$D,4,FALSE()),""))</f>
        <v/>
      </c>
      <c r="H1463" s="22"/>
    </row>
    <row r="1464" spans="1:8">
      <c r="A1464" s="21"/>
      <c r="B1464" s="22"/>
      <c r="C1464" s="22"/>
      <c r="D1464" s="22"/>
      <c r="E1464" s="23" t="str">
        <f>IF($D1464="","",IFERROR(VLOOKUP($D1464,'ACAH Capital Tracker'!$A:$H,8,FALSE()),""))</f>
        <v/>
      </c>
      <c r="F1464" s="24"/>
      <c r="G1464" s="25" t="str">
        <f>IF($D1464="","",IFERROR(VLOOKUP($D1464,'ACAH Capital Tracker'!$A:$D,4,FALSE()),""))</f>
        <v/>
      </c>
      <c r="H1464" s="22"/>
    </row>
    <row r="1465" spans="1:8">
      <c r="A1465" s="21"/>
      <c r="B1465" s="22"/>
      <c r="C1465" s="22"/>
      <c r="D1465" s="22"/>
      <c r="E1465" s="23" t="str">
        <f>IF($D1465="","",IFERROR(VLOOKUP($D1465,'ACAH Capital Tracker'!$A:$H,8,FALSE()),""))</f>
        <v/>
      </c>
      <c r="F1465" s="24"/>
      <c r="G1465" s="25" t="str">
        <f>IF($D1465="","",IFERROR(VLOOKUP($D1465,'ACAH Capital Tracker'!$A:$D,4,FALSE()),""))</f>
        <v/>
      </c>
      <c r="H1465" s="22"/>
    </row>
    <row r="1466" spans="1:8">
      <c r="A1466" s="21"/>
      <c r="B1466" s="22"/>
      <c r="C1466" s="22"/>
      <c r="D1466" s="22"/>
      <c r="E1466" s="23" t="str">
        <f>IF($D1466="","",IFERROR(VLOOKUP($D1466,'ACAH Capital Tracker'!$A:$H,8,FALSE()),""))</f>
        <v/>
      </c>
      <c r="F1466" s="24"/>
      <c r="G1466" s="25" t="str">
        <f>IF($D1466="","",IFERROR(VLOOKUP($D1466,'ACAH Capital Tracker'!$A:$D,4,FALSE()),""))</f>
        <v/>
      </c>
      <c r="H1466" s="22"/>
    </row>
    <row r="1467" spans="1:8">
      <c r="A1467" s="21"/>
      <c r="B1467" s="22"/>
      <c r="C1467" s="22"/>
      <c r="D1467" s="22"/>
      <c r="E1467" s="23" t="str">
        <f>IF($D1467="","",IFERROR(VLOOKUP($D1467,'ACAH Capital Tracker'!$A:$H,8,FALSE()),""))</f>
        <v/>
      </c>
      <c r="F1467" s="24"/>
      <c r="G1467" s="25" t="str">
        <f>IF($D1467="","",IFERROR(VLOOKUP($D1467,'ACAH Capital Tracker'!$A:$D,4,FALSE()),""))</f>
        <v/>
      </c>
      <c r="H1467" s="22"/>
    </row>
    <row r="1468" spans="1:8">
      <c r="A1468" s="21"/>
      <c r="B1468" s="22"/>
      <c r="C1468" s="22"/>
      <c r="D1468" s="22"/>
      <c r="E1468" s="23" t="str">
        <f>IF($D1468="","",IFERROR(VLOOKUP($D1468,'ACAH Capital Tracker'!$A:$H,8,FALSE()),""))</f>
        <v/>
      </c>
      <c r="F1468" s="24"/>
      <c r="G1468" s="25" t="str">
        <f>IF($D1468="","",IFERROR(VLOOKUP($D1468,'ACAH Capital Tracker'!$A:$D,4,FALSE()),""))</f>
        <v/>
      </c>
      <c r="H1468" s="22"/>
    </row>
    <row r="1469" spans="1:8">
      <c r="A1469" s="21"/>
      <c r="B1469" s="22"/>
      <c r="C1469" s="22"/>
      <c r="D1469" s="22"/>
      <c r="E1469" s="23" t="str">
        <f>IF($D1469="","",IFERROR(VLOOKUP($D1469,'ACAH Capital Tracker'!$A:$H,8,FALSE()),""))</f>
        <v/>
      </c>
      <c r="F1469" s="24"/>
      <c r="G1469" s="25" t="str">
        <f>IF($D1469="","",IFERROR(VLOOKUP($D1469,'ACAH Capital Tracker'!$A:$D,4,FALSE()),""))</f>
        <v/>
      </c>
      <c r="H1469" s="22"/>
    </row>
    <row r="1470" spans="1:8">
      <c r="A1470" s="21"/>
      <c r="B1470" s="22"/>
      <c r="C1470" s="22"/>
      <c r="D1470" s="22"/>
      <c r="E1470" s="23" t="str">
        <f>IF($D1470="","",IFERROR(VLOOKUP($D1470,'ACAH Capital Tracker'!$A:$H,8,FALSE()),""))</f>
        <v/>
      </c>
      <c r="F1470" s="24"/>
      <c r="G1470" s="25" t="str">
        <f>IF($D1470="","",IFERROR(VLOOKUP($D1470,'ACAH Capital Tracker'!$A:$D,4,FALSE()),""))</f>
        <v/>
      </c>
      <c r="H1470" s="22"/>
    </row>
    <row r="1471" spans="1:8">
      <c r="A1471" s="21"/>
      <c r="B1471" s="22"/>
      <c r="C1471" s="22"/>
      <c r="D1471" s="22"/>
      <c r="E1471" s="23" t="str">
        <f>IF($D1471="","",IFERROR(VLOOKUP($D1471,'ACAH Capital Tracker'!$A:$H,8,FALSE()),""))</f>
        <v/>
      </c>
      <c r="F1471" s="24"/>
      <c r="G1471" s="25" t="str">
        <f>IF($D1471="","",IFERROR(VLOOKUP($D1471,'ACAH Capital Tracker'!$A:$D,4,FALSE()),""))</f>
        <v/>
      </c>
      <c r="H1471" s="22"/>
    </row>
    <row r="1472" spans="1:8">
      <c r="A1472" s="21"/>
      <c r="B1472" s="22"/>
      <c r="C1472" s="22"/>
      <c r="D1472" s="22"/>
      <c r="E1472" s="23" t="str">
        <f>IF($D1472="","",IFERROR(VLOOKUP($D1472,'ACAH Capital Tracker'!$A:$H,8,FALSE()),""))</f>
        <v/>
      </c>
      <c r="F1472" s="24"/>
      <c r="G1472" s="25" t="str">
        <f>IF($D1472="","",IFERROR(VLOOKUP($D1472,'ACAH Capital Tracker'!$A:$D,4,FALSE()),""))</f>
        <v/>
      </c>
      <c r="H1472" s="22"/>
    </row>
    <row r="1473" spans="1:8">
      <c r="A1473" s="21"/>
      <c r="B1473" s="22"/>
      <c r="C1473" s="22"/>
      <c r="D1473" s="22"/>
      <c r="E1473" s="23" t="str">
        <f>IF($D1473="","",IFERROR(VLOOKUP($D1473,'ACAH Capital Tracker'!$A:$H,8,FALSE()),""))</f>
        <v/>
      </c>
      <c r="F1473" s="24"/>
      <c r="G1473" s="25" t="str">
        <f>IF($D1473="","",IFERROR(VLOOKUP($D1473,'ACAH Capital Tracker'!$A:$D,4,FALSE()),""))</f>
        <v/>
      </c>
      <c r="H1473" s="22"/>
    </row>
    <row r="1474" spans="1:8">
      <c r="A1474" s="21"/>
      <c r="B1474" s="22"/>
      <c r="C1474" s="22"/>
      <c r="D1474" s="22"/>
      <c r="E1474" s="23" t="str">
        <f>IF($D1474="","",IFERROR(VLOOKUP($D1474,'ACAH Capital Tracker'!$A:$H,8,FALSE()),""))</f>
        <v/>
      </c>
      <c r="F1474" s="24"/>
      <c r="G1474" s="25" t="str">
        <f>IF($D1474="","",IFERROR(VLOOKUP($D1474,'ACAH Capital Tracker'!$A:$D,4,FALSE()),""))</f>
        <v/>
      </c>
      <c r="H1474" s="22"/>
    </row>
    <row r="1475" spans="1:8">
      <c r="A1475" s="21"/>
      <c r="B1475" s="22"/>
      <c r="C1475" s="22"/>
      <c r="D1475" s="22"/>
      <c r="E1475" s="23" t="str">
        <f>IF($D1475="","",IFERROR(VLOOKUP($D1475,'ACAH Capital Tracker'!$A:$H,8,FALSE()),""))</f>
        <v/>
      </c>
      <c r="F1475" s="24"/>
      <c r="G1475" s="25" t="str">
        <f>IF($D1475="","",IFERROR(VLOOKUP($D1475,'ACAH Capital Tracker'!$A:$D,4,FALSE()),""))</f>
        <v/>
      </c>
      <c r="H1475" s="22"/>
    </row>
    <row r="1476" spans="1:8">
      <c r="A1476" s="21"/>
      <c r="B1476" s="22"/>
      <c r="C1476" s="22"/>
      <c r="D1476" s="22"/>
      <c r="E1476" s="23" t="str">
        <f>IF($D1476="","",IFERROR(VLOOKUP($D1476,'ACAH Capital Tracker'!$A:$H,8,FALSE()),""))</f>
        <v/>
      </c>
      <c r="F1476" s="24"/>
      <c r="G1476" s="25" t="str">
        <f>IF($D1476="","",IFERROR(VLOOKUP($D1476,'ACAH Capital Tracker'!$A:$D,4,FALSE()),""))</f>
        <v/>
      </c>
      <c r="H1476" s="22"/>
    </row>
    <row r="1477" spans="1:8">
      <c r="A1477" s="21"/>
      <c r="B1477" s="22"/>
      <c r="C1477" s="22"/>
      <c r="D1477" s="22"/>
      <c r="E1477" s="23" t="str">
        <f>IF($D1477="","",IFERROR(VLOOKUP($D1477,'ACAH Capital Tracker'!$A:$H,8,FALSE()),""))</f>
        <v/>
      </c>
      <c r="F1477" s="24"/>
      <c r="G1477" s="25" t="str">
        <f>IF($D1477="","",IFERROR(VLOOKUP($D1477,'ACAH Capital Tracker'!$A:$D,4,FALSE()),""))</f>
        <v/>
      </c>
      <c r="H1477" s="22"/>
    </row>
    <row r="1478" spans="1:8">
      <c r="A1478" s="21"/>
      <c r="B1478" s="22"/>
      <c r="C1478" s="22"/>
      <c r="D1478" s="22"/>
      <c r="E1478" s="23" t="str">
        <f>IF($D1478="","",IFERROR(VLOOKUP($D1478,'ACAH Capital Tracker'!$A:$H,8,FALSE()),""))</f>
        <v/>
      </c>
      <c r="F1478" s="24"/>
      <c r="G1478" s="25" t="str">
        <f>IF($D1478="","",IFERROR(VLOOKUP($D1478,'ACAH Capital Tracker'!$A:$D,4,FALSE()),""))</f>
        <v/>
      </c>
      <c r="H1478" s="22"/>
    </row>
    <row r="1479" spans="1:8">
      <c r="A1479" s="21"/>
      <c r="B1479" s="22"/>
      <c r="C1479" s="22"/>
      <c r="D1479" s="22"/>
      <c r="E1479" s="23" t="str">
        <f>IF($D1479="","",IFERROR(VLOOKUP($D1479,'ACAH Capital Tracker'!$A:$H,8,FALSE()),""))</f>
        <v/>
      </c>
      <c r="F1479" s="24"/>
      <c r="G1479" s="25" t="str">
        <f>IF($D1479="","",IFERROR(VLOOKUP($D1479,'ACAH Capital Tracker'!$A:$D,4,FALSE()),""))</f>
        <v/>
      </c>
      <c r="H1479" s="22"/>
    </row>
    <row r="1480" spans="1:8">
      <c r="A1480" s="21"/>
      <c r="B1480" s="22"/>
      <c r="C1480" s="22"/>
      <c r="D1480" s="22"/>
      <c r="E1480" s="23" t="str">
        <f>IF($D1480="","",IFERROR(VLOOKUP($D1480,'ACAH Capital Tracker'!$A:$H,8,FALSE()),""))</f>
        <v/>
      </c>
      <c r="F1480" s="24"/>
      <c r="G1480" s="25" t="str">
        <f>IF($D1480="","",IFERROR(VLOOKUP($D1480,'ACAH Capital Tracker'!$A:$D,4,FALSE()),""))</f>
        <v/>
      </c>
      <c r="H1480" s="22"/>
    </row>
    <row r="1481" spans="1:8">
      <c r="A1481" s="21"/>
      <c r="B1481" s="22"/>
      <c r="C1481" s="22"/>
      <c r="D1481" s="22"/>
      <c r="E1481" s="23" t="str">
        <f>IF($D1481="","",IFERROR(VLOOKUP($D1481,'ACAH Capital Tracker'!$A:$H,8,FALSE()),""))</f>
        <v/>
      </c>
      <c r="F1481" s="24"/>
      <c r="G1481" s="25" t="str">
        <f>IF($D1481="","",IFERROR(VLOOKUP($D1481,'ACAH Capital Tracker'!$A:$D,4,FALSE()),""))</f>
        <v/>
      </c>
      <c r="H1481" s="22"/>
    </row>
    <row r="1482" spans="1:8">
      <c r="A1482" s="21"/>
      <c r="B1482" s="22"/>
      <c r="C1482" s="22"/>
      <c r="D1482" s="22"/>
      <c r="E1482" s="23" t="str">
        <f>IF($D1482="","",IFERROR(VLOOKUP($D1482,'ACAH Capital Tracker'!$A:$H,8,FALSE()),""))</f>
        <v/>
      </c>
      <c r="F1482" s="24"/>
      <c r="G1482" s="25" t="str">
        <f>IF($D1482="","",IFERROR(VLOOKUP($D1482,'ACAH Capital Tracker'!$A:$D,4,FALSE()),""))</f>
        <v/>
      </c>
      <c r="H1482" s="22"/>
    </row>
    <row r="1483" spans="1:8">
      <c r="A1483" s="21"/>
      <c r="B1483" s="22"/>
      <c r="C1483" s="22"/>
      <c r="D1483" s="22"/>
      <c r="E1483" s="23" t="str">
        <f>IF($D1483="","",IFERROR(VLOOKUP($D1483,'ACAH Capital Tracker'!$A:$H,8,FALSE()),""))</f>
        <v/>
      </c>
      <c r="F1483" s="24"/>
      <c r="G1483" s="25" t="str">
        <f>IF($D1483="","",IFERROR(VLOOKUP($D1483,'ACAH Capital Tracker'!$A:$D,4,FALSE()),""))</f>
        <v/>
      </c>
      <c r="H1483" s="22"/>
    </row>
    <row r="1484" spans="1:8">
      <c r="A1484" s="21"/>
      <c r="B1484" s="22"/>
      <c r="C1484" s="22"/>
      <c r="D1484" s="22"/>
      <c r="E1484" s="23" t="str">
        <f>IF($D1484="","",IFERROR(VLOOKUP($D1484,'ACAH Capital Tracker'!$A:$H,8,FALSE()),""))</f>
        <v/>
      </c>
      <c r="F1484" s="24"/>
      <c r="G1484" s="25" t="str">
        <f>IF($D1484="","",IFERROR(VLOOKUP($D1484,'ACAH Capital Tracker'!$A:$D,4,FALSE()),""))</f>
        <v/>
      </c>
      <c r="H1484" s="22"/>
    </row>
    <row r="1485" spans="1:8">
      <c r="A1485" s="21"/>
      <c r="B1485" s="22"/>
      <c r="C1485" s="22"/>
      <c r="D1485" s="22"/>
      <c r="E1485" s="23" t="str">
        <f>IF($D1485="","",IFERROR(VLOOKUP($D1485,'ACAH Capital Tracker'!$A:$H,8,FALSE()),""))</f>
        <v/>
      </c>
      <c r="F1485" s="24"/>
      <c r="G1485" s="25" t="str">
        <f>IF($D1485="","",IFERROR(VLOOKUP($D1485,'ACAH Capital Tracker'!$A:$D,4,FALSE()),""))</f>
        <v/>
      </c>
      <c r="H1485" s="22"/>
    </row>
    <row r="1486" spans="1:8">
      <c r="A1486" s="21"/>
      <c r="B1486" s="22"/>
      <c r="C1486" s="22"/>
      <c r="D1486" s="22"/>
      <c r="E1486" s="23" t="str">
        <f>IF($D1486="","",IFERROR(VLOOKUP($D1486,'ACAH Capital Tracker'!$A:$H,8,FALSE()),""))</f>
        <v/>
      </c>
      <c r="F1486" s="24"/>
      <c r="G1486" s="25" t="str">
        <f>IF($D1486="","",IFERROR(VLOOKUP($D1486,'ACAH Capital Tracker'!$A:$D,4,FALSE()),""))</f>
        <v/>
      </c>
      <c r="H1486" s="22"/>
    </row>
    <row r="1487" spans="1:8">
      <c r="A1487" s="21"/>
      <c r="B1487" s="22"/>
      <c r="C1487" s="22"/>
      <c r="D1487" s="22"/>
      <c r="E1487" s="23" t="str">
        <f>IF($D1487="","",IFERROR(VLOOKUP($D1487,'ACAH Capital Tracker'!$A:$H,8,FALSE()),""))</f>
        <v/>
      </c>
      <c r="F1487" s="24"/>
      <c r="G1487" s="25" t="str">
        <f>IF($D1487="","",IFERROR(VLOOKUP($D1487,'ACAH Capital Tracker'!$A:$D,4,FALSE()),""))</f>
        <v/>
      </c>
      <c r="H1487" s="22"/>
    </row>
    <row r="1488" spans="1:8">
      <c r="A1488" s="21"/>
      <c r="B1488" s="22"/>
      <c r="C1488" s="22"/>
      <c r="D1488" s="22"/>
      <c r="E1488" s="23" t="str">
        <f>IF($D1488="","",IFERROR(VLOOKUP($D1488,'ACAH Capital Tracker'!$A:$H,8,FALSE()),""))</f>
        <v/>
      </c>
      <c r="F1488" s="24"/>
      <c r="G1488" s="25" t="str">
        <f>IF($D1488="","",IFERROR(VLOOKUP($D1488,'ACAH Capital Tracker'!$A:$D,4,FALSE()),""))</f>
        <v/>
      </c>
      <c r="H1488" s="22"/>
    </row>
    <row r="1489" spans="1:8">
      <c r="A1489" s="21"/>
      <c r="B1489" s="22"/>
      <c r="C1489" s="22"/>
      <c r="D1489" s="22"/>
      <c r="E1489" s="23" t="str">
        <f>IF($D1489="","",IFERROR(VLOOKUP($D1489,'ACAH Capital Tracker'!$A:$H,8,FALSE()),""))</f>
        <v/>
      </c>
      <c r="F1489" s="24"/>
      <c r="G1489" s="25" t="str">
        <f>IF($D1489="","",IFERROR(VLOOKUP($D1489,'ACAH Capital Tracker'!$A:$D,4,FALSE()),""))</f>
        <v/>
      </c>
      <c r="H1489" s="22"/>
    </row>
    <row r="1490" spans="1:8">
      <c r="A1490" s="21"/>
      <c r="B1490" s="22"/>
      <c r="C1490" s="22"/>
      <c r="D1490" s="22"/>
      <c r="E1490" s="23" t="str">
        <f>IF($D1490="","",IFERROR(VLOOKUP($D1490,'ACAH Capital Tracker'!$A:$H,8,FALSE()),""))</f>
        <v/>
      </c>
      <c r="F1490" s="24"/>
      <c r="G1490" s="25" t="str">
        <f>IF($D1490="","",IFERROR(VLOOKUP($D1490,'ACAH Capital Tracker'!$A:$D,4,FALSE()),""))</f>
        <v/>
      </c>
      <c r="H1490" s="22"/>
    </row>
    <row r="1491" spans="1:8">
      <c r="A1491" s="21"/>
      <c r="B1491" s="22"/>
      <c r="C1491" s="22"/>
      <c r="D1491" s="22"/>
      <c r="E1491" s="23" t="str">
        <f>IF($D1491="","",IFERROR(VLOOKUP($D1491,'ACAH Capital Tracker'!$A:$H,8,FALSE()),""))</f>
        <v/>
      </c>
      <c r="F1491" s="24"/>
      <c r="G1491" s="25" t="str">
        <f>IF($D1491="","",IFERROR(VLOOKUP($D1491,'ACAH Capital Tracker'!$A:$D,4,FALSE()),""))</f>
        <v/>
      </c>
      <c r="H1491" s="22"/>
    </row>
    <row r="1492" spans="1:8">
      <c r="A1492" s="21"/>
      <c r="B1492" s="22"/>
      <c r="C1492" s="22"/>
      <c r="D1492" s="22"/>
      <c r="E1492" s="23" t="str">
        <f>IF($D1492="","",IFERROR(VLOOKUP($D1492,'ACAH Capital Tracker'!$A:$H,8,FALSE()),""))</f>
        <v/>
      </c>
      <c r="F1492" s="24"/>
      <c r="G1492" s="25" t="str">
        <f>IF($D1492="","",IFERROR(VLOOKUP($D1492,'ACAH Capital Tracker'!$A:$D,4,FALSE()),""))</f>
        <v/>
      </c>
      <c r="H1492" s="22"/>
    </row>
    <row r="1493" spans="1:8">
      <c r="A1493" s="21"/>
      <c r="B1493" s="22"/>
      <c r="C1493" s="22"/>
      <c r="D1493" s="22"/>
      <c r="E1493" s="23" t="str">
        <f>IF($D1493="","",IFERROR(VLOOKUP($D1493,'ACAH Capital Tracker'!$A:$H,8,FALSE()),""))</f>
        <v/>
      </c>
      <c r="F1493" s="24"/>
      <c r="G1493" s="25" t="str">
        <f>IF($D1493="","",IFERROR(VLOOKUP($D1493,'ACAH Capital Tracker'!$A:$D,4,FALSE()),""))</f>
        <v/>
      </c>
      <c r="H1493" s="22"/>
    </row>
    <row r="1494" spans="1:8">
      <c r="A1494" s="21"/>
      <c r="B1494" s="22"/>
      <c r="C1494" s="22"/>
      <c r="D1494" s="22"/>
      <c r="E1494" s="23" t="str">
        <f>IF($D1494="","",IFERROR(VLOOKUP($D1494,'ACAH Capital Tracker'!$A:$H,8,FALSE()),""))</f>
        <v/>
      </c>
      <c r="F1494" s="24"/>
      <c r="G1494" s="25" t="str">
        <f>IF($D1494="","",IFERROR(VLOOKUP($D1494,'ACAH Capital Tracker'!$A:$D,4,FALSE()),""))</f>
        <v/>
      </c>
      <c r="H1494" s="22"/>
    </row>
    <row r="1495" spans="1:8">
      <c r="A1495" s="21"/>
      <c r="B1495" s="22"/>
      <c r="C1495" s="22"/>
      <c r="D1495" s="22"/>
      <c r="E1495" s="23" t="str">
        <f>IF($D1495="","",IFERROR(VLOOKUP($D1495,'ACAH Capital Tracker'!$A:$H,8,FALSE()),""))</f>
        <v/>
      </c>
      <c r="F1495" s="24"/>
      <c r="G1495" s="25" t="str">
        <f>IF($D1495="","",IFERROR(VLOOKUP($D1495,'ACAH Capital Tracker'!$A:$D,4,FALSE()),""))</f>
        <v/>
      </c>
      <c r="H1495" s="22"/>
    </row>
    <row r="1496" spans="1:8">
      <c r="A1496" s="21"/>
      <c r="B1496" s="22"/>
      <c r="C1496" s="22"/>
      <c r="D1496" s="22"/>
      <c r="E1496" s="23" t="str">
        <f>IF($D1496="","",IFERROR(VLOOKUP($D1496,'ACAH Capital Tracker'!$A:$H,8,FALSE()),""))</f>
        <v/>
      </c>
      <c r="F1496" s="24"/>
      <c r="G1496" s="25" t="str">
        <f>IF($D1496="","",IFERROR(VLOOKUP($D1496,'ACAH Capital Tracker'!$A:$D,4,FALSE()),""))</f>
        <v/>
      </c>
      <c r="H1496" s="22"/>
    </row>
    <row r="1497" spans="1:8">
      <c r="A1497" s="21"/>
      <c r="B1497" s="22"/>
      <c r="C1497" s="22"/>
      <c r="D1497" s="22"/>
      <c r="E1497" s="23" t="str">
        <f>IF($D1497="","",IFERROR(VLOOKUP($D1497,'ACAH Capital Tracker'!$A:$H,8,FALSE()),""))</f>
        <v/>
      </c>
      <c r="F1497" s="24"/>
      <c r="G1497" s="25" t="str">
        <f>IF($D1497="","",IFERROR(VLOOKUP($D1497,'ACAH Capital Tracker'!$A:$D,4,FALSE()),""))</f>
        <v/>
      </c>
      <c r="H1497" s="22"/>
    </row>
    <row r="1498" spans="1:8">
      <c r="A1498" s="21"/>
      <c r="B1498" s="22"/>
      <c r="C1498" s="22"/>
      <c r="D1498" s="22"/>
      <c r="E1498" s="23" t="str">
        <f>IF($D1498="","",IFERROR(VLOOKUP($D1498,'ACAH Capital Tracker'!$A:$H,8,FALSE()),""))</f>
        <v/>
      </c>
      <c r="F1498" s="24"/>
      <c r="G1498" s="25" t="str">
        <f>IF($D1498="","",IFERROR(VLOOKUP($D1498,'ACAH Capital Tracker'!$A:$D,4,FALSE()),""))</f>
        <v/>
      </c>
      <c r="H1498" s="22"/>
    </row>
    <row r="1499" spans="1:8">
      <c r="A1499" s="21"/>
      <c r="B1499" s="22"/>
      <c r="C1499" s="22"/>
      <c r="D1499" s="22"/>
      <c r="E1499" s="23" t="str">
        <f>IF($D1499="","",IFERROR(VLOOKUP($D1499,'ACAH Capital Tracker'!$A:$H,8,FALSE()),""))</f>
        <v/>
      </c>
      <c r="F1499" s="24"/>
      <c r="G1499" s="25" t="str">
        <f>IF($D1499="","",IFERROR(VLOOKUP($D1499,'ACAH Capital Tracker'!$A:$D,4,FALSE()),""))</f>
        <v/>
      </c>
      <c r="H1499" s="22"/>
    </row>
    <row r="1500" spans="1:8">
      <c r="A1500" s="21"/>
      <c r="B1500" s="22"/>
      <c r="C1500" s="22"/>
      <c r="D1500" s="22"/>
      <c r="E1500" s="23" t="str">
        <f>IF($D1500="","",IFERROR(VLOOKUP($D1500,'ACAH Capital Tracker'!$A:$H,8,FALSE()),""))</f>
        <v/>
      </c>
      <c r="F1500" s="24"/>
      <c r="G1500" s="25" t="str">
        <f>IF($D1500="","",IFERROR(VLOOKUP($D1500,'ACAH Capital Tracker'!$A:$D,4,FALSE()),""))</f>
        <v/>
      </c>
      <c r="H1500" s="22"/>
    </row>
    <row r="1501" spans="1:8">
      <c r="A1501" s="21"/>
      <c r="B1501" s="22"/>
      <c r="C1501" s="22"/>
      <c r="D1501" s="22"/>
      <c r="E1501" s="23" t="str">
        <f>IF($D1501="","",IFERROR(VLOOKUP($D1501,'ACAH Capital Tracker'!$A:$H,8,FALSE()),""))</f>
        <v/>
      </c>
      <c r="F1501" s="24"/>
      <c r="G1501" s="25" t="str">
        <f>IF($D1501="","",IFERROR(VLOOKUP($D1501,'ACAH Capital Tracker'!$A:$D,4,FALSE()),""))</f>
        <v/>
      </c>
      <c r="H1501" s="22"/>
    </row>
    <row r="1502" spans="1:8">
      <c r="A1502" s="21"/>
      <c r="B1502" s="22"/>
      <c r="C1502" s="22"/>
      <c r="D1502" s="22"/>
      <c r="E1502" s="23" t="str">
        <f>IF($D1502="","",IFERROR(VLOOKUP($D1502,'ACAH Capital Tracker'!$A:$H,8,FALSE()),""))</f>
        <v/>
      </c>
      <c r="F1502" s="24"/>
      <c r="G1502" s="25" t="str">
        <f>IF($D1502="","",IFERROR(VLOOKUP($D1502,'ACAH Capital Tracker'!$A:$D,4,FALSE()),""))</f>
        <v/>
      </c>
      <c r="H1502" s="22"/>
    </row>
    <row r="1503" spans="1:8">
      <c r="A1503" s="21"/>
      <c r="B1503" s="22"/>
      <c r="C1503" s="22"/>
      <c r="D1503" s="22"/>
      <c r="E1503" s="23" t="str">
        <f>IF($D1503="","",IFERROR(VLOOKUP($D1503,'ACAH Capital Tracker'!$A:$H,8,FALSE()),""))</f>
        <v/>
      </c>
      <c r="F1503" s="24"/>
      <c r="G1503" s="25" t="str">
        <f>IF($D1503="","",IFERROR(VLOOKUP($D1503,'ACAH Capital Tracker'!$A:$D,4,FALSE()),""))</f>
        <v/>
      </c>
      <c r="H1503" s="22"/>
    </row>
    <row r="1504" spans="1:8">
      <c r="A1504" s="21"/>
      <c r="B1504" s="22"/>
      <c r="C1504" s="22"/>
      <c r="D1504" s="22"/>
      <c r="E1504" s="23" t="str">
        <f>IF($D1504="","",IFERROR(VLOOKUP($D1504,'ACAH Capital Tracker'!$A:$H,8,FALSE()),""))</f>
        <v/>
      </c>
      <c r="F1504" s="24"/>
      <c r="G1504" s="25" t="str">
        <f>IF($D1504="","",IFERROR(VLOOKUP($D1504,'ACAH Capital Tracker'!$A:$D,4,FALSE()),""))</f>
        <v/>
      </c>
      <c r="H1504" s="22"/>
    </row>
    <row r="1505" spans="1:8">
      <c r="A1505" s="21"/>
      <c r="B1505" s="22"/>
      <c r="C1505" s="22"/>
      <c r="D1505" s="22"/>
      <c r="E1505" s="23" t="str">
        <f>IF($D1505="","",IFERROR(VLOOKUP($D1505,'ACAH Capital Tracker'!$A:$H,8,FALSE()),""))</f>
        <v/>
      </c>
      <c r="F1505" s="24"/>
      <c r="G1505" s="25" t="str">
        <f>IF($D1505="","",IFERROR(VLOOKUP($D1505,'ACAH Capital Tracker'!$A:$D,4,FALSE()),""))</f>
        <v/>
      </c>
      <c r="H1505" s="22"/>
    </row>
    <row r="1506" spans="1:8">
      <c r="A1506" s="21"/>
      <c r="B1506" s="22"/>
      <c r="C1506" s="22"/>
      <c r="D1506" s="22"/>
      <c r="E1506" s="23" t="str">
        <f>IF($D1506="","",IFERROR(VLOOKUP($D1506,'ACAH Capital Tracker'!$A:$H,8,FALSE()),""))</f>
        <v/>
      </c>
      <c r="F1506" s="24"/>
      <c r="G1506" s="25" t="str">
        <f>IF($D1506="","",IFERROR(VLOOKUP($D1506,'ACAH Capital Tracker'!$A:$D,4,FALSE()),""))</f>
        <v/>
      </c>
      <c r="H1506" s="22"/>
    </row>
    <row r="1507" spans="1:8">
      <c r="A1507" s="21"/>
      <c r="B1507" s="22"/>
      <c r="C1507" s="22"/>
      <c r="D1507" s="22"/>
      <c r="E1507" s="23" t="str">
        <f>IF($D1507="","",IFERROR(VLOOKUP($D1507,'ACAH Capital Tracker'!$A:$H,8,FALSE()),""))</f>
        <v/>
      </c>
      <c r="F1507" s="24"/>
      <c r="G1507" s="25" t="str">
        <f>IF($D1507="","",IFERROR(VLOOKUP($D1507,'ACAH Capital Tracker'!$A:$D,4,FALSE()),""))</f>
        <v/>
      </c>
      <c r="H1507" s="22"/>
    </row>
    <row r="1508" spans="1:8">
      <c r="A1508" s="21"/>
      <c r="B1508" s="22"/>
      <c r="C1508" s="22"/>
      <c r="D1508" s="22"/>
      <c r="E1508" s="23" t="str">
        <f>IF($D1508="","",IFERROR(VLOOKUP($D1508,'ACAH Capital Tracker'!$A:$H,8,FALSE()),""))</f>
        <v/>
      </c>
      <c r="F1508" s="24"/>
      <c r="G1508" s="25" t="str">
        <f>IF($D1508="","",IFERROR(VLOOKUP($D1508,'ACAH Capital Tracker'!$A:$D,4,FALSE()),""))</f>
        <v/>
      </c>
      <c r="H1508" s="22"/>
    </row>
    <row r="1509" spans="1:8">
      <c r="A1509" s="21"/>
      <c r="B1509" s="22"/>
      <c r="C1509" s="22"/>
      <c r="D1509" s="22"/>
      <c r="E1509" s="23" t="str">
        <f>IF($D1509="","",IFERROR(VLOOKUP($D1509,'ACAH Capital Tracker'!$A:$H,8,FALSE()),""))</f>
        <v/>
      </c>
      <c r="F1509" s="24"/>
      <c r="G1509" s="25" t="str">
        <f>IF($D1509="","",IFERROR(VLOOKUP($D1509,'ACAH Capital Tracker'!$A:$D,4,FALSE()),""))</f>
        <v/>
      </c>
      <c r="H1509" s="22"/>
    </row>
    <row r="1510" spans="1:8">
      <c r="A1510" s="21"/>
      <c r="B1510" s="22"/>
      <c r="C1510" s="22"/>
      <c r="D1510" s="22"/>
      <c r="E1510" s="23" t="str">
        <f>IF($D1510="","",IFERROR(VLOOKUP($D1510,'ACAH Capital Tracker'!$A:$H,8,FALSE()),""))</f>
        <v/>
      </c>
      <c r="F1510" s="24"/>
      <c r="G1510" s="25" t="str">
        <f>IF($D1510="","",IFERROR(VLOOKUP($D1510,'ACAH Capital Tracker'!$A:$D,4,FALSE()),""))</f>
        <v/>
      </c>
      <c r="H1510" s="22"/>
    </row>
    <row r="1511" spans="1:8">
      <c r="A1511" s="21"/>
      <c r="B1511" s="22"/>
      <c r="C1511" s="22"/>
      <c r="D1511" s="22"/>
      <c r="E1511" s="23" t="str">
        <f>IF($D1511="","",IFERROR(VLOOKUP($D1511,'ACAH Capital Tracker'!$A:$H,8,FALSE()),""))</f>
        <v/>
      </c>
      <c r="F1511" s="24"/>
      <c r="G1511" s="25" t="str">
        <f>IF($D1511="","",IFERROR(VLOOKUP($D1511,'ACAH Capital Tracker'!$A:$D,4,FALSE()),""))</f>
        <v/>
      </c>
      <c r="H1511" s="22"/>
    </row>
    <row r="1512" spans="1:8">
      <c r="A1512" s="21"/>
      <c r="B1512" s="22"/>
      <c r="C1512" s="22"/>
      <c r="D1512" s="22"/>
      <c r="E1512" s="23" t="str">
        <f>IF($D1512="","",IFERROR(VLOOKUP($D1512,'ACAH Capital Tracker'!$A:$H,8,FALSE()),""))</f>
        <v/>
      </c>
      <c r="F1512" s="24"/>
      <c r="G1512" s="25" t="str">
        <f>IF($D1512="","",IFERROR(VLOOKUP($D1512,'ACAH Capital Tracker'!$A:$D,4,FALSE()),""))</f>
        <v/>
      </c>
      <c r="H1512" s="22"/>
    </row>
    <row r="1513" spans="1:8">
      <c r="A1513" s="21"/>
      <c r="B1513" s="22"/>
      <c r="C1513" s="22"/>
      <c r="D1513" s="22"/>
      <c r="E1513" s="23" t="str">
        <f>IF($D1513="","",IFERROR(VLOOKUP($D1513,'ACAH Capital Tracker'!$A:$H,8,FALSE()),""))</f>
        <v/>
      </c>
      <c r="F1513" s="24"/>
      <c r="G1513" s="25" t="str">
        <f>IF($D1513="","",IFERROR(VLOOKUP($D1513,'ACAH Capital Tracker'!$A:$D,4,FALSE()),""))</f>
        <v/>
      </c>
      <c r="H1513" s="22"/>
    </row>
    <row r="1514" spans="1:8">
      <c r="A1514" s="21"/>
      <c r="B1514" s="22"/>
      <c r="C1514" s="22"/>
      <c r="D1514" s="22"/>
      <c r="E1514" s="23" t="str">
        <f>IF($D1514="","",IFERROR(VLOOKUP($D1514,'ACAH Capital Tracker'!$A:$H,8,FALSE()),""))</f>
        <v/>
      </c>
      <c r="F1514" s="24"/>
      <c r="G1514" s="25" t="str">
        <f>IF($D1514="","",IFERROR(VLOOKUP($D1514,'ACAH Capital Tracker'!$A:$D,4,FALSE()),""))</f>
        <v/>
      </c>
      <c r="H1514" s="22"/>
    </row>
    <row r="1515" spans="1:8">
      <c r="A1515" s="21"/>
      <c r="B1515" s="22"/>
      <c r="C1515" s="22"/>
      <c r="D1515" s="22"/>
      <c r="E1515" s="23" t="str">
        <f>IF($D1515="","",IFERROR(VLOOKUP($D1515,'ACAH Capital Tracker'!$A:$H,8,FALSE()),""))</f>
        <v/>
      </c>
      <c r="F1515" s="24"/>
      <c r="G1515" s="25" t="str">
        <f>IF($D1515="","",IFERROR(VLOOKUP($D1515,'ACAH Capital Tracker'!$A:$D,4,FALSE()),""))</f>
        <v/>
      </c>
      <c r="H1515" s="22"/>
    </row>
    <row r="1516" spans="1:8">
      <c r="A1516" s="21"/>
      <c r="B1516" s="22"/>
      <c r="C1516" s="22"/>
      <c r="D1516" s="22"/>
      <c r="E1516" s="23" t="str">
        <f>IF($D1516="","",IFERROR(VLOOKUP($D1516,'ACAH Capital Tracker'!$A:$H,8,FALSE()),""))</f>
        <v/>
      </c>
      <c r="F1516" s="24"/>
      <c r="G1516" s="25" t="str">
        <f>IF($D1516="","",IFERROR(VLOOKUP($D1516,'ACAH Capital Tracker'!$A:$D,4,FALSE()),""))</f>
        <v/>
      </c>
      <c r="H1516" s="22"/>
    </row>
    <row r="1517" spans="1:8">
      <c r="A1517" s="21"/>
      <c r="B1517" s="22"/>
      <c r="C1517" s="22"/>
      <c r="D1517" s="22"/>
      <c r="E1517" s="23" t="str">
        <f>IF($D1517="","",IFERROR(VLOOKUP($D1517,'ACAH Capital Tracker'!$A:$H,8,FALSE()),""))</f>
        <v/>
      </c>
      <c r="F1517" s="24"/>
      <c r="G1517" s="25" t="str">
        <f>IF($D1517="","",IFERROR(VLOOKUP($D1517,'ACAH Capital Tracker'!$A:$D,4,FALSE()),""))</f>
        <v/>
      </c>
      <c r="H1517" s="22"/>
    </row>
    <row r="1518" spans="1:8">
      <c r="A1518" s="21"/>
      <c r="B1518" s="22"/>
      <c r="C1518" s="22"/>
      <c r="D1518" s="22"/>
      <c r="E1518" s="23" t="str">
        <f>IF($D1518="","",IFERROR(VLOOKUP($D1518,'ACAH Capital Tracker'!$A:$H,8,FALSE()),""))</f>
        <v/>
      </c>
      <c r="F1518" s="24"/>
      <c r="G1518" s="25" t="str">
        <f>IF($D1518="","",IFERROR(VLOOKUP($D1518,'ACAH Capital Tracker'!$A:$D,4,FALSE()),""))</f>
        <v/>
      </c>
      <c r="H1518" s="22"/>
    </row>
    <row r="1519" spans="1:8">
      <c r="A1519" s="21"/>
      <c r="B1519" s="22"/>
      <c r="C1519" s="22"/>
      <c r="D1519" s="22"/>
      <c r="E1519" s="23" t="str">
        <f>IF($D1519="","",IFERROR(VLOOKUP($D1519,'ACAH Capital Tracker'!$A:$H,8,FALSE()),""))</f>
        <v/>
      </c>
      <c r="F1519" s="24"/>
      <c r="G1519" s="25" t="str">
        <f>IF($D1519="","",IFERROR(VLOOKUP($D1519,'ACAH Capital Tracker'!$A:$D,4,FALSE()),""))</f>
        <v/>
      </c>
      <c r="H1519" s="22"/>
    </row>
    <row r="1520" spans="1:8">
      <c r="A1520" s="21"/>
      <c r="B1520" s="22"/>
      <c r="C1520" s="22"/>
      <c r="D1520" s="22"/>
      <c r="E1520" s="23" t="str">
        <f>IF($D1520="","",IFERROR(VLOOKUP($D1520,'ACAH Capital Tracker'!$A:$H,8,FALSE()),""))</f>
        <v/>
      </c>
      <c r="F1520" s="24"/>
      <c r="G1520" s="25" t="str">
        <f>IF($D1520="","",IFERROR(VLOOKUP($D1520,'ACAH Capital Tracker'!$A:$D,4,FALSE()),""))</f>
        <v/>
      </c>
      <c r="H1520" s="22"/>
    </row>
    <row r="1521" spans="1:8">
      <c r="A1521" s="21"/>
      <c r="B1521" s="22"/>
      <c r="C1521" s="22"/>
      <c r="D1521" s="22"/>
      <c r="E1521" s="23" t="str">
        <f>IF($D1521="","",IFERROR(VLOOKUP($D1521,'ACAH Capital Tracker'!$A:$H,8,FALSE()),""))</f>
        <v/>
      </c>
      <c r="F1521" s="24"/>
      <c r="G1521" s="25" t="str">
        <f>IF($D1521="","",IFERROR(VLOOKUP($D1521,'ACAH Capital Tracker'!$A:$D,4,FALSE()),""))</f>
        <v/>
      </c>
      <c r="H1521" s="22"/>
    </row>
    <row r="1522" spans="1:8">
      <c r="A1522" s="21"/>
      <c r="B1522" s="22"/>
      <c r="C1522" s="22"/>
      <c r="D1522" s="22"/>
      <c r="E1522" s="23" t="str">
        <f>IF($D1522="","",IFERROR(VLOOKUP($D1522,'ACAH Capital Tracker'!$A:$H,8,FALSE()),""))</f>
        <v/>
      </c>
      <c r="F1522" s="24"/>
      <c r="G1522" s="25" t="str">
        <f>IF($D1522="","",IFERROR(VLOOKUP($D1522,'ACAH Capital Tracker'!$A:$D,4,FALSE()),""))</f>
        <v/>
      </c>
      <c r="H1522" s="22"/>
    </row>
    <row r="1523" spans="1:8">
      <c r="A1523" s="21"/>
      <c r="B1523" s="22"/>
      <c r="C1523" s="22"/>
      <c r="D1523" s="22"/>
      <c r="E1523" s="23" t="str">
        <f>IF($D1523="","",IFERROR(VLOOKUP($D1523,'ACAH Capital Tracker'!$A:$H,8,FALSE()),""))</f>
        <v/>
      </c>
      <c r="F1523" s="24"/>
      <c r="G1523" s="25" t="str">
        <f>IF($D1523="","",IFERROR(VLOOKUP($D1523,'ACAH Capital Tracker'!$A:$D,4,FALSE()),""))</f>
        <v/>
      </c>
      <c r="H1523" s="22"/>
    </row>
    <row r="1524" spans="1:8">
      <c r="A1524" s="21"/>
      <c r="B1524" s="22"/>
      <c r="C1524" s="22"/>
      <c r="D1524" s="22"/>
      <c r="E1524" s="23" t="str">
        <f>IF($D1524="","",IFERROR(VLOOKUP($D1524,'ACAH Capital Tracker'!$A:$H,8,FALSE()),""))</f>
        <v/>
      </c>
      <c r="F1524" s="24"/>
      <c r="G1524" s="25" t="str">
        <f>IF($D1524="","",IFERROR(VLOOKUP($D1524,'ACAH Capital Tracker'!$A:$D,4,FALSE()),""))</f>
        <v/>
      </c>
      <c r="H1524" s="22"/>
    </row>
    <row r="1525" spans="1:8">
      <c r="A1525" s="21"/>
      <c r="B1525" s="22"/>
      <c r="C1525" s="22"/>
      <c r="D1525" s="22"/>
      <c r="E1525" s="23" t="str">
        <f>IF($D1525="","",IFERROR(VLOOKUP($D1525,'ACAH Capital Tracker'!$A:$H,8,FALSE()),""))</f>
        <v/>
      </c>
      <c r="F1525" s="24"/>
      <c r="G1525" s="25" t="str">
        <f>IF($D1525="","",IFERROR(VLOOKUP($D1525,'ACAH Capital Tracker'!$A:$D,4,FALSE()),""))</f>
        <v/>
      </c>
      <c r="H1525" s="22"/>
    </row>
    <row r="1526" spans="1:8">
      <c r="A1526" s="21"/>
      <c r="B1526" s="22"/>
      <c r="C1526" s="22"/>
      <c r="D1526" s="22"/>
      <c r="E1526" s="23" t="str">
        <f>IF($D1526="","",IFERROR(VLOOKUP($D1526,'ACAH Capital Tracker'!$A:$H,8,FALSE()),""))</f>
        <v/>
      </c>
      <c r="F1526" s="24"/>
      <c r="G1526" s="25" t="str">
        <f>IF($D1526="","",IFERROR(VLOOKUP($D1526,'ACAH Capital Tracker'!$A:$D,4,FALSE()),""))</f>
        <v/>
      </c>
      <c r="H1526" s="22"/>
    </row>
    <row r="1527" spans="1:8">
      <c r="A1527" s="21"/>
      <c r="B1527" s="22"/>
      <c r="C1527" s="22"/>
      <c r="D1527" s="22"/>
      <c r="E1527" s="23" t="str">
        <f>IF($D1527="","",IFERROR(VLOOKUP($D1527,'ACAH Capital Tracker'!$A:$H,8,FALSE()),""))</f>
        <v/>
      </c>
      <c r="F1527" s="24"/>
      <c r="G1527" s="25" t="str">
        <f>IF($D1527="","",IFERROR(VLOOKUP($D1527,'ACAH Capital Tracker'!$A:$D,4,FALSE()),""))</f>
        <v/>
      </c>
      <c r="H1527" s="22"/>
    </row>
    <row r="1528" spans="1:8">
      <c r="A1528" s="21"/>
      <c r="B1528" s="22"/>
      <c r="C1528" s="22"/>
      <c r="D1528" s="22"/>
      <c r="E1528" s="23" t="str">
        <f>IF($D1528="","",IFERROR(VLOOKUP($D1528,'ACAH Capital Tracker'!$A:$H,8,FALSE()),""))</f>
        <v/>
      </c>
      <c r="F1528" s="24"/>
      <c r="G1528" s="25" t="str">
        <f>IF($D1528="","",IFERROR(VLOOKUP($D1528,'ACAH Capital Tracker'!$A:$D,4,FALSE()),""))</f>
        <v/>
      </c>
      <c r="H1528" s="22"/>
    </row>
    <row r="1529" spans="1:8">
      <c r="A1529" s="21"/>
      <c r="B1529" s="22"/>
      <c r="C1529" s="22"/>
      <c r="D1529" s="22"/>
      <c r="E1529" s="23" t="str">
        <f>IF($D1529="","",IFERROR(VLOOKUP($D1529,'ACAH Capital Tracker'!$A:$H,8,FALSE()),""))</f>
        <v/>
      </c>
      <c r="F1529" s="24"/>
      <c r="G1529" s="25" t="str">
        <f>IF($D1529="","",IFERROR(VLOOKUP($D1529,'ACAH Capital Tracker'!$A:$D,4,FALSE()),""))</f>
        <v/>
      </c>
      <c r="H1529" s="22"/>
    </row>
    <row r="1530" spans="1:8">
      <c r="A1530" s="21"/>
      <c r="B1530" s="22"/>
      <c r="C1530" s="22"/>
      <c r="D1530" s="22"/>
      <c r="E1530" s="23" t="str">
        <f>IF($D1530="","",IFERROR(VLOOKUP($D1530,'ACAH Capital Tracker'!$A:$H,8,FALSE()),""))</f>
        <v/>
      </c>
      <c r="F1530" s="24"/>
      <c r="G1530" s="25" t="str">
        <f>IF($D1530="","",IFERROR(VLOOKUP($D1530,'ACAH Capital Tracker'!$A:$D,4,FALSE()),""))</f>
        <v/>
      </c>
      <c r="H1530" s="22"/>
    </row>
    <row r="1531" spans="1:8">
      <c r="A1531" s="21"/>
      <c r="B1531" s="22"/>
      <c r="C1531" s="22"/>
      <c r="D1531" s="22"/>
      <c r="E1531" s="23" t="str">
        <f>IF($D1531="","",IFERROR(VLOOKUP($D1531,'ACAH Capital Tracker'!$A:$H,8,FALSE()),""))</f>
        <v/>
      </c>
      <c r="F1531" s="24"/>
      <c r="G1531" s="25" t="str">
        <f>IF($D1531="","",IFERROR(VLOOKUP($D1531,'ACAH Capital Tracker'!$A:$D,4,FALSE()),""))</f>
        <v/>
      </c>
      <c r="H1531" s="22"/>
    </row>
    <row r="1532" spans="1:8">
      <c r="A1532" s="21"/>
      <c r="B1532" s="22"/>
      <c r="C1532" s="22"/>
      <c r="D1532" s="22"/>
      <c r="E1532" s="23" t="str">
        <f>IF($D1532="","",IFERROR(VLOOKUP($D1532,'ACAH Capital Tracker'!$A:$H,8,FALSE()),""))</f>
        <v/>
      </c>
      <c r="F1532" s="24"/>
      <c r="G1532" s="25" t="str">
        <f>IF($D1532="","",IFERROR(VLOOKUP($D1532,'ACAH Capital Tracker'!$A:$D,4,FALSE()),""))</f>
        <v/>
      </c>
      <c r="H1532" s="22"/>
    </row>
    <row r="1533" spans="1:8">
      <c r="A1533" s="21"/>
      <c r="B1533" s="22"/>
      <c r="C1533" s="22"/>
      <c r="D1533" s="22"/>
      <c r="E1533" s="23" t="str">
        <f>IF($D1533="","",IFERROR(VLOOKUP($D1533,'ACAH Capital Tracker'!$A:$H,8,FALSE()),""))</f>
        <v/>
      </c>
      <c r="F1533" s="24"/>
      <c r="G1533" s="25" t="str">
        <f>IF($D1533="","",IFERROR(VLOOKUP($D1533,'ACAH Capital Tracker'!$A:$D,4,FALSE()),""))</f>
        <v/>
      </c>
      <c r="H1533" s="22"/>
    </row>
    <row r="1534" spans="1:8">
      <c r="A1534" s="21"/>
      <c r="B1534" s="22"/>
      <c r="C1534" s="22"/>
      <c r="D1534" s="22"/>
      <c r="E1534" s="23" t="str">
        <f>IF($D1534="","",IFERROR(VLOOKUP($D1534,'ACAH Capital Tracker'!$A:$H,8,FALSE()),""))</f>
        <v/>
      </c>
      <c r="F1534" s="24"/>
      <c r="G1534" s="25" t="str">
        <f>IF($D1534="","",IFERROR(VLOOKUP($D1534,'ACAH Capital Tracker'!$A:$D,4,FALSE()),""))</f>
        <v/>
      </c>
      <c r="H1534" s="22"/>
    </row>
    <row r="1535" spans="1:8">
      <c r="A1535" s="21"/>
      <c r="B1535" s="22"/>
      <c r="C1535" s="22"/>
      <c r="D1535" s="22"/>
      <c r="E1535" s="23" t="str">
        <f>IF($D1535="","",IFERROR(VLOOKUP($D1535,'ACAH Capital Tracker'!$A:$H,8,FALSE()),""))</f>
        <v/>
      </c>
      <c r="F1535" s="24"/>
      <c r="G1535" s="25" t="str">
        <f>IF($D1535="","",IFERROR(VLOOKUP($D1535,'ACAH Capital Tracker'!$A:$D,4,FALSE()),""))</f>
        <v/>
      </c>
      <c r="H1535" s="22"/>
    </row>
    <row r="1536" spans="1:8">
      <c r="A1536" s="21"/>
      <c r="B1536" s="22"/>
      <c r="C1536" s="22"/>
      <c r="D1536" s="22"/>
      <c r="E1536" s="23" t="str">
        <f>IF($D1536="","",IFERROR(VLOOKUP($D1536,'ACAH Capital Tracker'!$A:$H,8,FALSE()),""))</f>
        <v/>
      </c>
      <c r="F1536" s="24"/>
      <c r="G1536" s="25" t="str">
        <f>IF($D1536="","",IFERROR(VLOOKUP($D1536,'ACAH Capital Tracker'!$A:$D,4,FALSE()),""))</f>
        <v/>
      </c>
      <c r="H1536" s="22"/>
    </row>
    <row r="1537" spans="1:8">
      <c r="A1537" s="21"/>
      <c r="B1537" s="22"/>
      <c r="C1537" s="22"/>
      <c r="D1537" s="22"/>
      <c r="E1537" s="23" t="str">
        <f>IF($D1537="","",IFERROR(VLOOKUP($D1537,'ACAH Capital Tracker'!$A:$H,8,FALSE()),""))</f>
        <v/>
      </c>
      <c r="F1537" s="24"/>
      <c r="G1537" s="25" t="str">
        <f>IF($D1537="","",IFERROR(VLOOKUP($D1537,'ACAH Capital Tracker'!$A:$D,4,FALSE()),""))</f>
        <v/>
      </c>
      <c r="H1537" s="22"/>
    </row>
    <row r="1538" spans="1:8">
      <c r="A1538" s="21"/>
      <c r="B1538" s="22"/>
      <c r="C1538" s="22"/>
      <c r="D1538" s="22"/>
      <c r="E1538" s="23" t="str">
        <f>IF($D1538="","",IFERROR(VLOOKUP($D1538,'ACAH Capital Tracker'!$A:$H,8,FALSE()),""))</f>
        <v/>
      </c>
      <c r="F1538" s="24"/>
      <c r="G1538" s="25" t="str">
        <f>IF($D1538="","",IFERROR(VLOOKUP($D1538,'ACAH Capital Tracker'!$A:$D,4,FALSE()),""))</f>
        <v/>
      </c>
      <c r="H1538" s="22"/>
    </row>
    <row r="1539" spans="1:8">
      <c r="A1539" s="21"/>
      <c r="B1539" s="22"/>
      <c r="C1539" s="22"/>
      <c r="D1539" s="22"/>
      <c r="E1539" s="23" t="str">
        <f>IF($D1539="","",IFERROR(VLOOKUP($D1539,'ACAH Capital Tracker'!$A:$H,8,FALSE()),""))</f>
        <v/>
      </c>
      <c r="F1539" s="24"/>
      <c r="G1539" s="25" t="str">
        <f>IF($D1539="","",IFERROR(VLOOKUP($D1539,'ACAH Capital Tracker'!$A:$D,4,FALSE()),""))</f>
        <v/>
      </c>
      <c r="H1539" s="22"/>
    </row>
    <row r="1540" spans="1:8">
      <c r="A1540" s="21"/>
      <c r="B1540" s="22"/>
      <c r="C1540" s="22"/>
      <c r="D1540" s="22"/>
      <c r="E1540" s="23" t="str">
        <f>IF($D1540="","",IFERROR(VLOOKUP($D1540,'ACAH Capital Tracker'!$A:$H,8,FALSE()),""))</f>
        <v/>
      </c>
      <c r="F1540" s="24"/>
      <c r="G1540" s="25" t="str">
        <f>IF($D1540="","",IFERROR(VLOOKUP($D1540,'ACAH Capital Tracker'!$A:$D,4,FALSE()),""))</f>
        <v/>
      </c>
      <c r="H1540" s="22"/>
    </row>
    <row r="1541" spans="1:8">
      <c r="A1541" s="21"/>
      <c r="B1541" s="22"/>
      <c r="C1541" s="22"/>
      <c r="D1541" s="22"/>
      <c r="E1541" s="23" t="str">
        <f>IF($D1541="","",IFERROR(VLOOKUP($D1541,'ACAH Capital Tracker'!$A:$H,8,FALSE()),""))</f>
        <v/>
      </c>
      <c r="F1541" s="24"/>
      <c r="G1541" s="25" t="str">
        <f>IF($D1541="","",IFERROR(VLOOKUP($D1541,'ACAH Capital Tracker'!$A:$D,4,FALSE()),""))</f>
        <v/>
      </c>
      <c r="H1541" s="22"/>
    </row>
    <row r="1542" spans="1:8">
      <c r="A1542" s="21"/>
      <c r="B1542" s="22"/>
      <c r="C1542" s="22"/>
      <c r="D1542" s="22"/>
      <c r="E1542" s="23" t="str">
        <f>IF($D1542="","",IFERROR(VLOOKUP($D1542,'ACAH Capital Tracker'!$A:$H,8,FALSE()),""))</f>
        <v/>
      </c>
      <c r="F1542" s="24"/>
      <c r="G1542" s="25" t="str">
        <f>IF($D1542="","",IFERROR(VLOOKUP($D1542,'ACAH Capital Tracker'!$A:$D,4,FALSE()),""))</f>
        <v/>
      </c>
      <c r="H1542" s="22"/>
    </row>
    <row r="1543" spans="1:8">
      <c r="A1543" s="21"/>
      <c r="B1543" s="22"/>
      <c r="C1543" s="22"/>
      <c r="D1543" s="22"/>
      <c r="E1543" s="23" t="str">
        <f>IF($D1543="","",IFERROR(VLOOKUP($D1543,'ACAH Capital Tracker'!$A:$H,8,FALSE()),""))</f>
        <v/>
      </c>
      <c r="F1543" s="24"/>
      <c r="G1543" s="25" t="str">
        <f>IF($D1543="","",IFERROR(VLOOKUP($D1543,'ACAH Capital Tracker'!$A:$D,4,FALSE()),""))</f>
        <v/>
      </c>
      <c r="H1543" s="22"/>
    </row>
    <row r="1544" spans="1:8">
      <c r="A1544" s="21"/>
      <c r="B1544" s="22"/>
      <c r="C1544" s="22"/>
      <c r="D1544" s="22"/>
      <c r="E1544" s="23" t="str">
        <f>IF($D1544="","",IFERROR(VLOOKUP($D1544,'ACAH Capital Tracker'!$A:$H,8,FALSE()),""))</f>
        <v/>
      </c>
      <c r="F1544" s="24"/>
      <c r="G1544" s="25" t="str">
        <f>IF($D1544="","",IFERROR(VLOOKUP($D1544,'ACAH Capital Tracker'!$A:$D,4,FALSE()),""))</f>
        <v/>
      </c>
      <c r="H1544" s="22"/>
    </row>
    <row r="1545" spans="1:8">
      <c r="A1545" s="21"/>
      <c r="B1545" s="22"/>
      <c r="C1545" s="22"/>
      <c r="D1545" s="22"/>
      <c r="E1545" s="23" t="str">
        <f>IF($D1545="","",IFERROR(VLOOKUP($D1545,'ACAH Capital Tracker'!$A:$H,8,FALSE()),""))</f>
        <v/>
      </c>
      <c r="F1545" s="24"/>
      <c r="G1545" s="25" t="str">
        <f>IF($D1545="","",IFERROR(VLOOKUP($D1545,'ACAH Capital Tracker'!$A:$D,4,FALSE()),""))</f>
        <v/>
      </c>
      <c r="H1545" s="22"/>
    </row>
    <row r="1546" spans="1:8">
      <c r="A1546" s="21"/>
      <c r="B1546" s="22"/>
      <c r="C1546" s="22"/>
      <c r="D1546" s="22"/>
      <c r="E1546" s="23" t="str">
        <f>IF($D1546="","",IFERROR(VLOOKUP($D1546,'ACAH Capital Tracker'!$A:$H,8,FALSE()),""))</f>
        <v/>
      </c>
      <c r="F1546" s="24"/>
      <c r="G1546" s="25" t="str">
        <f>IF($D1546="","",IFERROR(VLOOKUP($D1546,'ACAH Capital Tracker'!$A:$D,4,FALSE()),""))</f>
        <v/>
      </c>
      <c r="H1546" s="22"/>
    </row>
    <row r="1547" spans="1:8">
      <c r="A1547" s="21"/>
      <c r="B1547" s="22"/>
      <c r="C1547" s="22"/>
      <c r="D1547" s="22"/>
      <c r="E1547" s="23" t="str">
        <f>IF($D1547="","",IFERROR(VLOOKUP($D1547,'ACAH Capital Tracker'!$A:$H,8,FALSE()),""))</f>
        <v/>
      </c>
      <c r="F1547" s="24"/>
      <c r="G1547" s="25" t="str">
        <f>IF($D1547="","",IFERROR(VLOOKUP($D1547,'ACAH Capital Tracker'!$A:$D,4,FALSE()),""))</f>
        <v/>
      </c>
      <c r="H1547" s="22"/>
    </row>
    <row r="1548" spans="1:8">
      <c r="A1548" s="21"/>
      <c r="B1548" s="22"/>
      <c r="C1548" s="22"/>
      <c r="D1548" s="22"/>
      <c r="E1548" s="23" t="str">
        <f>IF($D1548="","",IFERROR(VLOOKUP($D1548,'ACAH Capital Tracker'!$A:$H,8,FALSE()),""))</f>
        <v/>
      </c>
      <c r="F1548" s="24"/>
      <c r="G1548" s="25" t="str">
        <f>IF($D1548="","",IFERROR(VLOOKUP($D1548,'ACAH Capital Tracker'!$A:$D,4,FALSE()),""))</f>
        <v/>
      </c>
      <c r="H1548" s="22"/>
    </row>
    <row r="1549" spans="1:8">
      <c r="A1549" s="21"/>
      <c r="B1549" s="22"/>
      <c r="C1549" s="22"/>
      <c r="D1549" s="22"/>
      <c r="E1549" s="23" t="str">
        <f>IF($D1549="","",IFERROR(VLOOKUP($D1549,'ACAH Capital Tracker'!$A:$H,8,FALSE()),""))</f>
        <v/>
      </c>
      <c r="F1549" s="24"/>
      <c r="G1549" s="25" t="str">
        <f>IF($D1549="","",IFERROR(VLOOKUP($D1549,'ACAH Capital Tracker'!$A:$D,4,FALSE()),""))</f>
        <v/>
      </c>
      <c r="H1549" s="22"/>
    </row>
    <row r="1550" spans="1:8">
      <c r="A1550" s="21"/>
      <c r="B1550" s="22"/>
      <c r="C1550" s="22"/>
      <c r="D1550" s="22"/>
      <c r="E1550" s="23" t="str">
        <f>IF($D1550="","",IFERROR(VLOOKUP($D1550,'ACAH Capital Tracker'!$A:$H,8,FALSE()),""))</f>
        <v/>
      </c>
      <c r="F1550" s="24"/>
      <c r="G1550" s="25" t="str">
        <f>IF($D1550="","",IFERROR(VLOOKUP($D1550,'ACAH Capital Tracker'!$A:$D,4,FALSE()),""))</f>
        <v/>
      </c>
      <c r="H1550" s="22"/>
    </row>
    <row r="1551" spans="1:8">
      <c r="A1551" s="21"/>
      <c r="B1551" s="22"/>
      <c r="C1551" s="22"/>
      <c r="D1551" s="22"/>
      <c r="E1551" s="23" t="str">
        <f>IF($D1551="","",IFERROR(VLOOKUP($D1551,'ACAH Capital Tracker'!$A:$H,8,FALSE()),""))</f>
        <v/>
      </c>
      <c r="F1551" s="24"/>
      <c r="G1551" s="25" t="str">
        <f>IF($D1551="","",IFERROR(VLOOKUP($D1551,'ACAH Capital Tracker'!$A:$D,4,FALSE()),""))</f>
        <v/>
      </c>
      <c r="H1551" s="22"/>
    </row>
    <row r="1552" spans="1:8">
      <c r="A1552" s="21"/>
      <c r="B1552" s="22"/>
      <c r="C1552" s="22"/>
      <c r="D1552" s="22"/>
      <c r="E1552" s="23" t="str">
        <f>IF($D1552="","",IFERROR(VLOOKUP($D1552,'ACAH Capital Tracker'!$A:$H,8,FALSE()),""))</f>
        <v/>
      </c>
      <c r="F1552" s="24"/>
      <c r="G1552" s="25" t="str">
        <f>IF($D1552="","",IFERROR(VLOOKUP($D1552,'ACAH Capital Tracker'!$A:$D,4,FALSE()),""))</f>
        <v/>
      </c>
      <c r="H1552" s="22"/>
    </row>
    <row r="1553" spans="1:8">
      <c r="A1553" s="21"/>
      <c r="B1553" s="22"/>
      <c r="C1553" s="22"/>
      <c r="D1553" s="22"/>
      <c r="E1553" s="23" t="str">
        <f>IF($D1553="","",IFERROR(VLOOKUP($D1553,'ACAH Capital Tracker'!$A:$H,8,FALSE()),""))</f>
        <v/>
      </c>
      <c r="F1553" s="24"/>
      <c r="G1553" s="25" t="str">
        <f>IF($D1553="","",IFERROR(VLOOKUP($D1553,'ACAH Capital Tracker'!$A:$D,4,FALSE()),""))</f>
        <v/>
      </c>
      <c r="H1553" s="22"/>
    </row>
    <row r="1554" spans="1:8">
      <c r="A1554" s="21"/>
      <c r="B1554" s="22"/>
      <c r="C1554" s="22"/>
      <c r="D1554" s="22"/>
      <c r="E1554" s="23" t="str">
        <f>IF($D1554="","",IFERROR(VLOOKUP($D1554,'ACAH Capital Tracker'!$A:$H,8,FALSE()),""))</f>
        <v/>
      </c>
      <c r="F1554" s="24"/>
      <c r="G1554" s="25" t="str">
        <f>IF($D1554="","",IFERROR(VLOOKUP($D1554,'ACAH Capital Tracker'!$A:$D,4,FALSE()),""))</f>
        <v/>
      </c>
      <c r="H1554" s="22"/>
    </row>
    <row r="1555" spans="1:8">
      <c r="A1555" s="21"/>
      <c r="B1555" s="22"/>
      <c r="C1555" s="22"/>
      <c r="D1555" s="22"/>
      <c r="E1555" s="23" t="str">
        <f>IF($D1555="","",IFERROR(VLOOKUP($D1555,'ACAH Capital Tracker'!$A:$H,8,FALSE()),""))</f>
        <v/>
      </c>
      <c r="F1555" s="24"/>
      <c r="G1555" s="25" t="str">
        <f>IF($D1555="","",IFERROR(VLOOKUP($D1555,'ACAH Capital Tracker'!$A:$D,4,FALSE()),""))</f>
        <v/>
      </c>
      <c r="H1555" s="22"/>
    </row>
    <row r="1556" spans="1:8">
      <c r="A1556" s="21"/>
      <c r="B1556" s="22"/>
      <c r="C1556" s="22"/>
      <c r="D1556" s="22"/>
      <c r="E1556" s="23" t="str">
        <f>IF($D1556="","",IFERROR(VLOOKUP($D1556,'ACAH Capital Tracker'!$A:$H,8,FALSE()),""))</f>
        <v/>
      </c>
      <c r="F1556" s="24"/>
      <c r="G1556" s="25" t="str">
        <f>IF($D1556="","",IFERROR(VLOOKUP($D1556,'ACAH Capital Tracker'!$A:$D,4,FALSE()),""))</f>
        <v/>
      </c>
      <c r="H1556" s="22"/>
    </row>
    <row r="1557" spans="1:8">
      <c r="A1557" s="21"/>
      <c r="B1557" s="22"/>
      <c r="C1557" s="22"/>
      <c r="D1557" s="22"/>
      <c r="E1557" s="23" t="str">
        <f>IF($D1557="","",IFERROR(VLOOKUP($D1557,'ACAH Capital Tracker'!$A:$H,8,FALSE()),""))</f>
        <v/>
      </c>
      <c r="F1557" s="24"/>
      <c r="G1557" s="25" t="str">
        <f>IF($D1557="","",IFERROR(VLOOKUP($D1557,'ACAH Capital Tracker'!$A:$D,4,FALSE()),""))</f>
        <v/>
      </c>
      <c r="H1557" s="22"/>
    </row>
    <row r="1558" spans="1:8">
      <c r="A1558" s="21"/>
      <c r="B1558" s="22"/>
      <c r="C1558" s="22"/>
      <c r="D1558" s="22"/>
      <c r="E1558" s="23" t="str">
        <f>IF($D1558="","",IFERROR(VLOOKUP($D1558,'ACAH Capital Tracker'!$A:$H,8,FALSE()),""))</f>
        <v/>
      </c>
      <c r="F1558" s="24"/>
      <c r="G1558" s="25" t="str">
        <f>IF($D1558="","",IFERROR(VLOOKUP($D1558,'ACAH Capital Tracker'!$A:$D,4,FALSE()),""))</f>
        <v/>
      </c>
      <c r="H1558" s="22"/>
    </row>
    <row r="1559" spans="1:8">
      <c r="A1559" s="21"/>
      <c r="B1559" s="22"/>
      <c r="C1559" s="22"/>
      <c r="D1559" s="22"/>
      <c r="E1559" s="23" t="str">
        <f>IF($D1559="","",IFERROR(VLOOKUP($D1559,'ACAH Capital Tracker'!$A:$H,8,FALSE()),""))</f>
        <v/>
      </c>
      <c r="F1559" s="24"/>
      <c r="G1559" s="25" t="str">
        <f>IF($D1559="","",IFERROR(VLOOKUP($D1559,'ACAH Capital Tracker'!$A:$D,4,FALSE()),""))</f>
        <v/>
      </c>
      <c r="H1559" s="22"/>
    </row>
    <row r="1560" spans="1:8">
      <c r="A1560" s="21"/>
      <c r="B1560" s="22"/>
      <c r="C1560" s="22"/>
      <c r="D1560" s="22"/>
      <c r="E1560" s="23" t="str">
        <f>IF($D1560="","",IFERROR(VLOOKUP($D1560,'ACAH Capital Tracker'!$A:$H,8,FALSE()),""))</f>
        <v/>
      </c>
      <c r="F1560" s="24"/>
      <c r="G1560" s="25" t="str">
        <f>IF($D1560="","",IFERROR(VLOOKUP($D1560,'ACAH Capital Tracker'!$A:$D,4,FALSE()),""))</f>
        <v/>
      </c>
      <c r="H1560" s="22"/>
    </row>
    <row r="1561" spans="1:8">
      <c r="A1561" s="21"/>
      <c r="B1561" s="22"/>
      <c r="C1561" s="22"/>
      <c r="D1561" s="22"/>
      <c r="E1561" s="23" t="str">
        <f>IF($D1561="","",IFERROR(VLOOKUP($D1561,'ACAH Capital Tracker'!$A:$H,8,FALSE()),""))</f>
        <v/>
      </c>
      <c r="F1561" s="24"/>
      <c r="G1561" s="25" t="str">
        <f>IF($D1561="","",IFERROR(VLOOKUP($D1561,'ACAH Capital Tracker'!$A:$D,4,FALSE()),""))</f>
        <v/>
      </c>
      <c r="H1561" s="22"/>
    </row>
    <row r="1562" spans="1:8">
      <c r="A1562" s="21"/>
      <c r="B1562" s="22"/>
      <c r="C1562" s="22"/>
      <c r="D1562" s="22"/>
      <c r="E1562" s="23" t="str">
        <f>IF($D1562="","",IFERROR(VLOOKUP($D1562,'ACAH Capital Tracker'!$A:$H,8,FALSE()),""))</f>
        <v/>
      </c>
      <c r="F1562" s="24"/>
      <c r="G1562" s="25" t="str">
        <f>IF($D1562="","",IFERROR(VLOOKUP($D1562,'ACAH Capital Tracker'!$A:$D,4,FALSE()),""))</f>
        <v/>
      </c>
      <c r="H1562" s="22"/>
    </row>
    <row r="1563" spans="1:8">
      <c r="A1563" s="21"/>
      <c r="B1563" s="22"/>
      <c r="C1563" s="22"/>
      <c r="D1563" s="22"/>
      <c r="E1563" s="23" t="str">
        <f>IF($D1563="","",IFERROR(VLOOKUP($D1563,'ACAH Capital Tracker'!$A:$H,8,FALSE()),""))</f>
        <v/>
      </c>
      <c r="F1563" s="24"/>
      <c r="G1563" s="25" t="str">
        <f>IF($D1563="","",IFERROR(VLOOKUP($D1563,'ACAH Capital Tracker'!$A:$D,4,FALSE()),""))</f>
        <v/>
      </c>
      <c r="H1563" s="22"/>
    </row>
    <row r="1564" spans="1:8">
      <c r="A1564" s="21"/>
      <c r="B1564" s="22"/>
      <c r="C1564" s="22"/>
      <c r="D1564" s="22"/>
      <c r="E1564" s="23" t="str">
        <f>IF($D1564="","",IFERROR(VLOOKUP($D1564,'ACAH Capital Tracker'!$A:$H,8,FALSE()),""))</f>
        <v/>
      </c>
      <c r="F1564" s="24"/>
      <c r="G1564" s="25" t="str">
        <f>IF($D1564="","",IFERROR(VLOOKUP($D1564,'ACAH Capital Tracker'!$A:$D,4,FALSE()),""))</f>
        <v/>
      </c>
      <c r="H1564" s="22"/>
    </row>
    <row r="1565" spans="1:8">
      <c r="A1565" s="21"/>
      <c r="B1565" s="22"/>
      <c r="C1565" s="22"/>
      <c r="D1565" s="22"/>
      <c r="E1565" s="23" t="str">
        <f>IF($D1565="","",IFERROR(VLOOKUP($D1565,'ACAH Capital Tracker'!$A:$H,8,FALSE()),""))</f>
        <v/>
      </c>
      <c r="F1565" s="24"/>
      <c r="G1565" s="25" t="str">
        <f>IF($D1565="","",IFERROR(VLOOKUP($D1565,'ACAH Capital Tracker'!$A:$D,4,FALSE()),""))</f>
        <v/>
      </c>
      <c r="H1565" s="22"/>
    </row>
    <row r="1566" spans="1:8">
      <c r="A1566" s="21"/>
      <c r="B1566" s="22"/>
      <c r="C1566" s="22"/>
      <c r="D1566" s="22"/>
      <c r="E1566" s="23" t="str">
        <f>IF($D1566="","",IFERROR(VLOOKUP($D1566,'ACAH Capital Tracker'!$A:$H,8,FALSE()),""))</f>
        <v/>
      </c>
      <c r="F1566" s="24"/>
      <c r="G1566" s="25" t="str">
        <f>IF($D1566="","",IFERROR(VLOOKUP($D1566,'ACAH Capital Tracker'!$A:$D,4,FALSE()),""))</f>
        <v/>
      </c>
      <c r="H1566" s="22"/>
    </row>
    <row r="1567" spans="1:8">
      <c r="A1567" s="21"/>
      <c r="B1567" s="22"/>
      <c r="C1567" s="22"/>
      <c r="D1567" s="22"/>
      <c r="E1567" s="23" t="str">
        <f>IF($D1567="","",IFERROR(VLOOKUP($D1567,'ACAH Capital Tracker'!$A:$H,8,FALSE()),""))</f>
        <v/>
      </c>
      <c r="F1567" s="24"/>
      <c r="G1567" s="25" t="str">
        <f>IF($D1567="","",IFERROR(VLOOKUP($D1567,'ACAH Capital Tracker'!$A:$D,4,FALSE()),""))</f>
        <v/>
      </c>
      <c r="H1567" s="22"/>
    </row>
    <row r="1568" spans="1:8">
      <c r="A1568" s="21"/>
      <c r="B1568" s="22"/>
      <c r="C1568" s="22"/>
      <c r="D1568" s="22"/>
      <c r="E1568" s="23" t="str">
        <f>IF($D1568="","",IFERROR(VLOOKUP($D1568,'ACAH Capital Tracker'!$A:$H,8,FALSE()),""))</f>
        <v/>
      </c>
      <c r="F1568" s="24"/>
      <c r="G1568" s="25" t="str">
        <f>IF($D1568="","",IFERROR(VLOOKUP($D1568,'ACAH Capital Tracker'!$A:$D,4,FALSE()),""))</f>
        <v/>
      </c>
      <c r="H1568" s="22"/>
    </row>
    <row r="1569" spans="1:8">
      <c r="A1569" s="21"/>
      <c r="B1569" s="22"/>
      <c r="C1569" s="22"/>
      <c r="D1569" s="22"/>
      <c r="E1569" s="23" t="str">
        <f>IF($D1569="","",IFERROR(VLOOKUP($D1569,'ACAH Capital Tracker'!$A:$H,8,FALSE()),""))</f>
        <v/>
      </c>
      <c r="F1569" s="24"/>
      <c r="G1569" s="25" t="str">
        <f>IF($D1569="","",IFERROR(VLOOKUP($D1569,'ACAH Capital Tracker'!$A:$D,4,FALSE()),""))</f>
        <v/>
      </c>
      <c r="H1569" s="22"/>
    </row>
    <row r="1570" spans="1:8">
      <c r="A1570" s="21"/>
      <c r="B1570" s="22"/>
      <c r="C1570" s="22"/>
      <c r="D1570" s="22"/>
      <c r="E1570" s="23" t="str">
        <f>IF($D1570="","",IFERROR(VLOOKUP($D1570,'ACAH Capital Tracker'!$A:$H,8,FALSE()),""))</f>
        <v/>
      </c>
      <c r="F1570" s="24"/>
      <c r="G1570" s="25" t="str">
        <f>IF($D1570="","",IFERROR(VLOOKUP($D1570,'ACAH Capital Tracker'!$A:$D,4,FALSE()),""))</f>
        <v/>
      </c>
      <c r="H1570" s="22"/>
    </row>
    <row r="1571" spans="1:8">
      <c r="A1571" s="21"/>
      <c r="B1571" s="22"/>
      <c r="C1571" s="22"/>
      <c r="D1571" s="22"/>
      <c r="E1571" s="23" t="str">
        <f>IF($D1571="","",IFERROR(VLOOKUP($D1571,'ACAH Capital Tracker'!$A:$H,8,FALSE()),""))</f>
        <v/>
      </c>
      <c r="F1571" s="24"/>
      <c r="G1571" s="25" t="str">
        <f>IF($D1571="","",IFERROR(VLOOKUP($D1571,'ACAH Capital Tracker'!$A:$D,4,FALSE()),""))</f>
        <v/>
      </c>
      <c r="H1571" s="22"/>
    </row>
    <row r="1572" spans="1:8">
      <c r="A1572" s="21"/>
      <c r="B1572" s="22"/>
      <c r="C1572" s="22"/>
      <c r="D1572" s="22"/>
      <c r="E1572" s="23" t="str">
        <f>IF($D1572="","",IFERROR(VLOOKUP($D1572,'ACAH Capital Tracker'!$A:$H,8,FALSE()),""))</f>
        <v/>
      </c>
      <c r="F1572" s="24"/>
      <c r="G1572" s="25" t="str">
        <f>IF($D1572="","",IFERROR(VLOOKUP($D1572,'ACAH Capital Tracker'!$A:$D,4,FALSE()),""))</f>
        <v/>
      </c>
      <c r="H1572" s="22"/>
    </row>
    <row r="1573" spans="1:8">
      <c r="A1573" s="21"/>
      <c r="B1573" s="22"/>
      <c r="C1573" s="22"/>
      <c r="D1573" s="22"/>
      <c r="E1573" s="23" t="str">
        <f>IF($D1573="","",IFERROR(VLOOKUP($D1573,'ACAH Capital Tracker'!$A:$H,8,FALSE()),""))</f>
        <v/>
      </c>
      <c r="F1573" s="24"/>
      <c r="G1573" s="25" t="str">
        <f>IF($D1573="","",IFERROR(VLOOKUP($D1573,'ACAH Capital Tracker'!$A:$D,4,FALSE()),""))</f>
        <v/>
      </c>
      <c r="H1573" s="22"/>
    </row>
    <row r="1574" spans="1:8">
      <c r="A1574" s="21"/>
      <c r="B1574" s="22"/>
      <c r="C1574" s="22"/>
      <c r="D1574" s="22"/>
      <c r="E1574" s="23" t="str">
        <f>IF($D1574="","",IFERROR(VLOOKUP($D1574,'ACAH Capital Tracker'!$A:$H,8,FALSE()),""))</f>
        <v/>
      </c>
      <c r="F1574" s="24"/>
      <c r="G1574" s="25" t="str">
        <f>IF($D1574="","",IFERROR(VLOOKUP($D1574,'ACAH Capital Tracker'!$A:$D,4,FALSE()),""))</f>
        <v/>
      </c>
      <c r="H1574" s="22"/>
    </row>
    <row r="1575" spans="1:8">
      <c r="A1575" s="21"/>
      <c r="B1575" s="22"/>
      <c r="C1575" s="22"/>
      <c r="D1575" s="22"/>
      <c r="E1575" s="23" t="str">
        <f>IF($D1575="","",IFERROR(VLOOKUP($D1575,'ACAH Capital Tracker'!$A:$H,8,FALSE()),""))</f>
        <v/>
      </c>
      <c r="F1575" s="24"/>
      <c r="G1575" s="25" t="str">
        <f>IF($D1575="","",IFERROR(VLOOKUP($D1575,'ACAH Capital Tracker'!$A:$D,4,FALSE()),""))</f>
        <v/>
      </c>
      <c r="H1575" s="22"/>
    </row>
    <row r="1576" spans="1:8">
      <c r="A1576" s="21"/>
      <c r="B1576" s="22"/>
      <c r="C1576" s="22"/>
      <c r="D1576" s="22"/>
      <c r="E1576" s="23" t="str">
        <f>IF($D1576="","",IFERROR(VLOOKUP($D1576,'ACAH Capital Tracker'!$A:$H,8,FALSE()),""))</f>
        <v/>
      </c>
      <c r="F1576" s="24"/>
      <c r="G1576" s="25" t="str">
        <f>IF($D1576="","",IFERROR(VLOOKUP($D1576,'ACAH Capital Tracker'!$A:$D,4,FALSE()),""))</f>
        <v/>
      </c>
      <c r="H1576" s="22"/>
    </row>
    <row r="1577" spans="1:8">
      <c r="A1577" s="21"/>
      <c r="B1577" s="22"/>
      <c r="C1577" s="22"/>
      <c r="D1577" s="22"/>
      <c r="E1577" s="23" t="str">
        <f>IF($D1577="","",IFERROR(VLOOKUP($D1577,'ACAH Capital Tracker'!$A:$H,8,FALSE()),""))</f>
        <v/>
      </c>
      <c r="F1577" s="24"/>
      <c r="G1577" s="25" t="str">
        <f>IF($D1577="","",IFERROR(VLOOKUP($D1577,'ACAH Capital Tracker'!$A:$D,4,FALSE()),""))</f>
        <v/>
      </c>
      <c r="H1577" s="22"/>
    </row>
    <row r="1578" spans="1:8">
      <c r="A1578" s="21"/>
      <c r="B1578" s="22"/>
      <c r="C1578" s="22"/>
      <c r="D1578" s="22"/>
      <c r="E1578" s="23" t="str">
        <f>IF($D1578="","",IFERROR(VLOOKUP($D1578,'ACAH Capital Tracker'!$A:$H,8,FALSE()),""))</f>
        <v/>
      </c>
      <c r="F1578" s="24"/>
      <c r="G1578" s="25" t="str">
        <f>IF($D1578="","",IFERROR(VLOOKUP($D1578,'ACAH Capital Tracker'!$A:$D,4,FALSE()),""))</f>
        <v/>
      </c>
      <c r="H1578" s="22"/>
    </row>
    <row r="1579" spans="1:8">
      <c r="A1579" s="21"/>
      <c r="B1579" s="22"/>
      <c r="C1579" s="22"/>
      <c r="D1579" s="22"/>
      <c r="E1579" s="23" t="str">
        <f>IF($D1579="","",IFERROR(VLOOKUP($D1579,'ACAH Capital Tracker'!$A:$H,8,FALSE()),""))</f>
        <v/>
      </c>
      <c r="F1579" s="24"/>
      <c r="G1579" s="25" t="str">
        <f>IF($D1579="","",IFERROR(VLOOKUP($D1579,'ACAH Capital Tracker'!$A:$D,4,FALSE()),""))</f>
        <v/>
      </c>
      <c r="H1579" s="22"/>
    </row>
    <row r="1580" spans="1:8">
      <c r="A1580" s="21"/>
      <c r="B1580" s="22"/>
      <c r="C1580" s="22"/>
      <c r="D1580" s="22"/>
      <c r="E1580" s="23" t="str">
        <f>IF($D1580="","",IFERROR(VLOOKUP($D1580,'ACAH Capital Tracker'!$A:$H,8,FALSE()),""))</f>
        <v/>
      </c>
      <c r="F1580" s="24"/>
      <c r="G1580" s="25" t="str">
        <f>IF($D1580="","",IFERROR(VLOOKUP($D1580,'ACAH Capital Tracker'!$A:$D,4,FALSE()),""))</f>
        <v/>
      </c>
      <c r="H1580" s="22"/>
    </row>
    <row r="1581" spans="1:8">
      <c r="A1581" s="21"/>
      <c r="B1581" s="22"/>
      <c r="C1581" s="22"/>
      <c r="D1581" s="22"/>
      <c r="E1581" s="23" t="str">
        <f>IF($D1581="","",IFERROR(VLOOKUP($D1581,'ACAH Capital Tracker'!$A:$H,8,FALSE()),""))</f>
        <v/>
      </c>
      <c r="F1581" s="24"/>
      <c r="G1581" s="25" t="str">
        <f>IF($D1581="","",IFERROR(VLOOKUP($D1581,'ACAH Capital Tracker'!$A:$D,4,FALSE()),""))</f>
        <v/>
      </c>
      <c r="H1581" s="22"/>
    </row>
    <row r="1582" spans="1:8">
      <c r="A1582" s="21"/>
      <c r="B1582" s="22"/>
      <c r="C1582" s="22"/>
      <c r="D1582" s="22"/>
      <c r="E1582" s="23" t="str">
        <f>IF($D1582="","",IFERROR(VLOOKUP($D1582,'ACAH Capital Tracker'!$A:$H,8,FALSE()),""))</f>
        <v/>
      </c>
      <c r="F1582" s="24"/>
      <c r="G1582" s="25" t="str">
        <f>IF($D1582="","",IFERROR(VLOOKUP($D1582,'ACAH Capital Tracker'!$A:$D,4,FALSE()),""))</f>
        <v/>
      </c>
      <c r="H1582" s="22"/>
    </row>
    <row r="1583" spans="1:8">
      <c r="A1583" s="21"/>
      <c r="B1583" s="22"/>
      <c r="C1583" s="22"/>
      <c r="D1583" s="22"/>
      <c r="E1583" s="23" t="str">
        <f>IF($D1583="","",IFERROR(VLOOKUP($D1583,'ACAH Capital Tracker'!$A:$H,8,FALSE()),""))</f>
        <v/>
      </c>
      <c r="F1583" s="24"/>
      <c r="G1583" s="25" t="str">
        <f>IF($D1583="","",IFERROR(VLOOKUP($D1583,'ACAH Capital Tracker'!$A:$D,4,FALSE()),""))</f>
        <v/>
      </c>
      <c r="H1583" s="22"/>
    </row>
    <row r="1584" spans="1:8">
      <c r="A1584" s="21"/>
      <c r="B1584" s="22"/>
      <c r="C1584" s="22"/>
      <c r="D1584" s="22"/>
      <c r="E1584" s="23" t="str">
        <f>IF($D1584="","",IFERROR(VLOOKUP($D1584,'ACAH Capital Tracker'!$A:$H,8,FALSE()),""))</f>
        <v/>
      </c>
      <c r="F1584" s="24"/>
      <c r="G1584" s="25" t="str">
        <f>IF($D1584="","",IFERROR(VLOOKUP($D1584,'ACAH Capital Tracker'!$A:$D,4,FALSE()),""))</f>
        <v/>
      </c>
      <c r="H1584" s="22"/>
    </row>
    <row r="1585" spans="1:8">
      <c r="A1585" s="21"/>
      <c r="B1585" s="22"/>
      <c r="C1585" s="22"/>
      <c r="D1585" s="22"/>
      <c r="E1585" s="23" t="str">
        <f>IF($D1585="","",IFERROR(VLOOKUP($D1585,'ACAH Capital Tracker'!$A:$H,8,FALSE()),""))</f>
        <v/>
      </c>
      <c r="F1585" s="24"/>
      <c r="G1585" s="25" t="str">
        <f>IF($D1585="","",IFERROR(VLOOKUP($D1585,'ACAH Capital Tracker'!$A:$D,4,FALSE()),""))</f>
        <v/>
      </c>
      <c r="H1585" s="22"/>
    </row>
    <row r="1586" spans="1:8">
      <c r="A1586" s="21"/>
      <c r="B1586" s="22"/>
      <c r="C1586" s="22"/>
      <c r="D1586" s="22"/>
      <c r="E1586" s="23" t="str">
        <f>IF($D1586="","",IFERROR(VLOOKUP($D1586,'ACAH Capital Tracker'!$A:$H,8,FALSE()),""))</f>
        <v/>
      </c>
      <c r="F1586" s="24"/>
      <c r="G1586" s="25" t="str">
        <f>IF($D1586="","",IFERROR(VLOOKUP($D1586,'ACAH Capital Tracker'!$A:$D,4,FALSE()),""))</f>
        <v/>
      </c>
      <c r="H1586" s="22"/>
    </row>
    <row r="1587" spans="1:8">
      <c r="A1587" s="21"/>
      <c r="B1587" s="22"/>
      <c r="C1587" s="22"/>
      <c r="D1587" s="22"/>
      <c r="E1587" s="23" t="str">
        <f>IF($D1587="","",IFERROR(VLOOKUP($D1587,'ACAH Capital Tracker'!$A:$H,8,FALSE()),""))</f>
        <v/>
      </c>
      <c r="F1587" s="24"/>
      <c r="G1587" s="25" t="str">
        <f>IF($D1587="","",IFERROR(VLOOKUP($D1587,'ACAH Capital Tracker'!$A:$D,4,FALSE()),""))</f>
        <v/>
      </c>
      <c r="H1587" s="22"/>
    </row>
    <row r="1588" spans="1:8">
      <c r="A1588" s="21"/>
      <c r="B1588" s="22"/>
      <c r="C1588" s="22"/>
      <c r="D1588" s="22"/>
      <c r="E1588" s="23" t="str">
        <f>IF($D1588="","",IFERROR(VLOOKUP($D1588,'ACAH Capital Tracker'!$A:$H,8,FALSE()),""))</f>
        <v/>
      </c>
      <c r="F1588" s="24"/>
      <c r="G1588" s="25" t="str">
        <f>IF($D1588="","",IFERROR(VLOOKUP($D1588,'ACAH Capital Tracker'!$A:$D,4,FALSE()),""))</f>
        <v/>
      </c>
      <c r="H1588" s="22"/>
    </row>
    <row r="1589" spans="1:8">
      <c r="A1589" s="21"/>
      <c r="B1589" s="22"/>
      <c r="C1589" s="22"/>
      <c r="D1589" s="22"/>
      <c r="E1589" s="23" t="str">
        <f>IF($D1589="","",IFERROR(VLOOKUP($D1589,'ACAH Capital Tracker'!$A:$H,8,FALSE()),""))</f>
        <v/>
      </c>
      <c r="F1589" s="24"/>
      <c r="G1589" s="25" t="str">
        <f>IF($D1589="","",IFERROR(VLOOKUP($D1589,'ACAH Capital Tracker'!$A:$D,4,FALSE()),""))</f>
        <v/>
      </c>
      <c r="H1589" s="22"/>
    </row>
    <row r="1590" spans="1:8">
      <c r="A1590" s="21"/>
      <c r="B1590" s="22"/>
      <c r="C1590" s="22"/>
      <c r="D1590" s="22"/>
      <c r="E1590" s="23" t="str">
        <f>IF($D1590="","",IFERROR(VLOOKUP($D1590,'ACAH Capital Tracker'!$A:$H,8,FALSE()),""))</f>
        <v/>
      </c>
      <c r="F1590" s="24"/>
      <c r="G1590" s="25" t="str">
        <f>IF($D1590="","",IFERROR(VLOOKUP($D1590,'ACAH Capital Tracker'!$A:$D,4,FALSE()),""))</f>
        <v/>
      </c>
      <c r="H1590" s="22"/>
    </row>
    <row r="1591" spans="1:8">
      <c r="A1591" s="21"/>
      <c r="B1591" s="22"/>
      <c r="C1591" s="22"/>
      <c r="D1591" s="22"/>
      <c r="E1591" s="23" t="str">
        <f>IF($D1591="","",IFERROR(VLOOKUP($D1591,'ACAH Capital Tracker'!$A:$H,8,FALSE()),""))</f>
        <v/>
      </c>
      <c r="F1591" s="24"/>
      <c r="G1591" s="25" t="str">
        <f>IF($D1591="","",IFERROR(VLOOKUP($D1591,'ACAH Capital Tracker'!$A:$D,4,FALSE()),""))</f>
        <v/>
      </c>
      <c r="H1591" s="22"/>
    </row>
    <row r="1592" spans="1:8">
      <c r="A1592" s="21"/>
      <c r="B1592" s="22"/>
      <c r="C1592" s="22"/>
      <c r="D1592" s="22"/>
      <c r="E1592" s="23" t="str">
        <f>IF($D1592="","",IFERROR(VLOOKUP($D1592,'ACAH Capital Tracker'!$A:$H,8,FALSE()),""))</f>
        <v/>
      </c>
      <c r="F1592" s="24"/>
      <c r="G1592" s="25" t="str">
        <f>IF($D1592="","",IFERROR(VLOOKUP($D1592,'ACAH Capital Tracker'!$A:$D,4,FALSE()),""))</f>
        <v/>
      </c>
      <c r="H1592" s="22"/>
    </row>
    <row r="1593" spans="1:8">
      <c r="A1593" s="21"/>
      <c r="B1593" s="22"/>
      <c r="C1593" s="22"/>
      <c r="D1593" s="22"/>
      <c r="E1593" s="23" t="str">
        <f>IF($D1593="","",IFERROR(VLOOKUP($D1593,'ACAH Capital Tracker'!$A:$H,8,FALSE()),""))</f>
        <v/>
      </c>
      <c r="F1593" s="24"/>
      <c r="G1593" s="25" t="str">
        <f>IF($D1593="","",IFERROR(VLOOKUP($D1593,'ACAH Capital Tracker'!$A:$D,4,FALSE()),""))</f>
        <v/>
      </c>
      <c r="H1593" s="22"/>
    </row>
    <row r="1594" spans="1:8">
      <c r="A1594" s="21"/>
      <c r="B1594" s="22"/>
      <c r="C1594" s="22"/>
      <c r="D1594" s="22"/>
      <c r="E1594" s="23" t="str">
        <f>IF($D1594="","",IFERROR(VLOOKUP($D1594,'ACAH Capital Tracker'!$A:$H,8,FALSE()),""))</f>
        <v/>
      </c>
      <c r="F1594" s="24"/>
      <c r="G1594" s="25" t="str">
        <f>IF($D1594="","",IFERROR(VLOOKUP($D1594,'ACAH Capital Tracker'!$A:$D,4,FALSE()),""))</f>
        <v/>
      </c>
      <c r="H1594" s="22"/>
    </row>
    <row r="1595" spans="1:8">
      <c r="A1595" s="21"/>
      <c r="B1595" s="22"/>
      <c r="C1595" s="22"/>
      <c r="D1595" s="22"/>
      <c r="E1595" s="23" t="str">
        <f>IF($D1595="","",IFERROR(VLOOKUP($D1595,'ACAH Capital Tracker'!$A:$H,8,FALSE()),""))</f>
        <v/>
      </c>
      <c r="F1595" s="24"/>
      <c r="G1595" s="25" t="str">
        <f>IF($D1595="","",IFERROR(VLOOKUP($D1595,'ACAH Capital Tracker'!$A:$D,4,FALSE()),""))</f>
        <v/>
      </c>
      <c r="H1595" s="22"/>
    </row>
    <row r="1596" spans="1:8">
      <c r="A1596" s="21"/>
      <c r="B1596" s="22"/>
      <c r="C1596" s="22"/>
      <c r="D1596" s="22"/>
      <c r="E1596" s="23" t="str">
        <f>IF($D1596="","",IFERROR(VLOOKUP($D1596,'ACAH Capital Tracker'!$A:$H,8,FALSE()),""))</f>
        <v/>
      </c>
      <c r="F1596" s="24"/>
      <c r="G1596" s="25" t="str">
        <f>IF($D1596="","",IFERROR(VLOOKUP($D1596,'ACAH Capital Tracker'!$A:$D,4,FALSE()),""))</f>
        <v/>
      </c>
      <c r="H1596" s="22"/>
    </row>
    <row r="1597" spans="1:8">
      <c r="A1597" s="21"/>
      <c r="B1597" s="22"/>
      <c r="C1597" s="22"/>
      <c r="D1597" s="22"/>
      <c r="E1597" s="23" t="str">
        <f>IF($D1597="","",IFERROR(VLOOKUP($D1597,'ACAH Capital Tracker'!$A:$H,8,FALSE()),""))</f>
        <v/>
      </c>
      <c r="F1597" s="24"/>
      <c r="G1597" s="25" t="str">
        <f>IF($D1597="","",IFERROR(VLOOKUP($D1597,'ACAH Capital Tracker'!$A:$D,4,FALSE()),""))</f>
        <v/>
      </c>
      <c r="H1597" s="22"/>
    </row>
    <row r="1598" spans="1:8">
      <c r="A1598" s="21"/>
      <c r="B1598" s="22"/>
      <c r="C1598" s="22"/>
      <c r="D1598" s="22"/>
      <c r="E1598" s="23" t="str">
        <f>IF($D1598="","",IFERROR(VLOOKUP($D1598,'ACAH Capital Tracker'!$A:$H,8,FALSE()),""))</f>
        <v/>
      </c>
      <c r="F1598" s="24"/>
      <c r="G1598" s="25" t="str">
        <f>IF($D1598="","",IFERROR(VLOOKUP($D1598,'ACAH Capital Tracker'!$A:$D,4,FALSE()),""))</f>
        <v/>
      </c>
      <c r="H1598" s="22"/>
    </row>
    <row r="1599" spans="1:8">
      <c r="A1599" s="21"/>
      <c r="B1599" s="22"/>
      <c r="C1599" s="22"/>
      <c r="D1599" s="22"/>
      <c r="E1599" s="23" t="str">
        <f>IF($D1599="","",IFERROR(VLOOKUP($D1599,'ACAH Capital Tracker'!$A:$H,8,FALSE()),""))</f>
        <v/>
      </c>
      <c r="F1599" s="24"/>
      <c r="G1599" s="25" t="str">
        <f>IF($D1599="","",IFERROR(VLOOKUP($D1599,'ACAH Capital Tracker'!$A:$D,4,FALSE()),""))</f>
        <v/>
      </c>
      <c r="H1599" s="22"/>
    </row>
    <row r="1600" spans="1:8">
      <c r="A1600" s="21"/>
      <c r="B1600" s="22"/>
      <c r="C1600" s="22"/>
      <c r="D1600" s="22"/>
      <c r="E1600" s="23" t="str">
        <f>IF($D1600="","",IFERROR(VLOOKUP($D1600,'ACAH Capital Tracker'!$A:$H,8,FALSE()),""))</f>
        <v/>
      </c>
      <c r="F1600" s="24"/>
      <c r="G1600" s="25" t="str">
        <f>IF($D1600="","",IFERROR(VLOOKUP($D1600,'ACAH Capital Tracker'!$A:$D,4,FALSE()),""))</f>
        <v/>
      </c>
      <c r="H1600" s="22"/>
    </row>
    <row r="1601" spans="1:8">
      <c r="A1601" s="21"/>
      <c r="B1601" s="22"/>
      <c r="C1601" s="22"/>
      <c r="D1601" s="22"/>
      <c r="E1601" s="23" t="str">
        <f>IF($D1601="","",IFERROR(VLOOKUP($D1601,'ACAH Capital Tracker'!$A:$H,8,FALSE()),""))</f>
        <v/>
      </c>
      <c r="F1601" s="24"/>
      <c r="G1601" s="25" t="str">
        <f>IF($D1601="","",IFERROR(VLOOKUP($D1601,'ACAH Capital Tracker'!$A:$D,4,FALSE()),""))</f>
        <v/>
      </c>
      <c r="H1601" s="22"/>
    </row>
    <row r="1602" spans="1:8">
      <c r="A1602" s="21"/>
      <c r="B1602" s="22"/>
      <c r="C1602" s="22"/>
      <c r="D1602" s="22"/>
      <c r="E1602" s="23" t="str">
        <f>IF($D1602="","",IFERROR(VLOOKUP($D1602,'ACAH Capital Tracker'!$A:$H,8,FALSE()),""))</f>
        <v/>
      </c>
      <c r="F1602" s="24"/>
      <c r="G1602" s="25" t="str">
        <f>IF($D1602="","",IFERROR(VLOOKUP($D1602,'ACAH Capital Tracker'!$A:$D,4,FALSE()),""))</f>
        <v/>
      </c>
      <c r="H1602" s="22"/>
    </row>
    <row r="1603" spans="1:8">
      <c r="A1603" s="21"/>
      <c r="B1603" s="22"/>
      <c r="C1603" s="22"/>
      <c r="D1603" s="22"/>
      <c r="E1603" s="23" t="str">
        <f>IF($D1603="","",IFERROR(VLOOKUP($D1603,'ACAH Capital Tracker'!$A:$H,8,FALSE()),""))</f>
        <v/>
      </c>
      <c r="F1603" s="24"/>
      <c r="G1603" s="25" t="str">
        <f>IF($D1603="","",IFERROR(VLOOKUP($D1603,'ACAH Capital Tracker'!$A:$D,4,FALSE()),""))</f>
        <v/>
      </c>
      <c r="H1603" s="22"/>
    </row>
    <row r="1604" spans="1:8">
      <c r="A1604" s="21"/>
      <c r="B1604" s="22"/>
      <c r="C1604" s="22"/>
      <c r="D1604" s="22"/>
      <c r="E1604" s="23" t="str">
        <f>IF($D1604="","",IFERROR(VLOOKUP($D1604,'ACAH Capital Tracker'!$A:$H,8,FALSE()),""))</f>
        <v/>
      </c>
      <c r="F1604" s="24"/>
      <c r="G1604" s="25" t="str">
        <f>IF($D1604="","",IFERROR(VLOOKUP($D1604,'ACAH Capital Tracker'!$A:$D,4,FALSE()),""))</f>
        <v/>
      </c>
      <c r="H1604" s="22"/>
    </row>
    <row r="1605" spans="1:8">
      <c r="A1605" s="21"/>
      <c r="B1605" s="22"/>
      <c r="C1605" s="22"/>
      <c r="D1605" s="22"/>
      <c r="E1605" s="23" t="str">
        <f>IF($D1605="","",IFERROR(VLOOKUP($D1605,'ACAH Capital Tracker'!$A:$H,8,FALSE()),""))</f>
        <v/>
      </c>
      <c r="F1605" s="24"/>
      <c r="G1605" s="25" t="str">
        <f>IF($D1605="","",IFERROR(VLOOKUP($D1605,'ACAH Capital Tracker'!$A:$D,4,FALSE()),""))</f>
        <v/>
      </c>
      <c r="H1605" s="22"/>
    </row>
    <row r="1606" spans="1:8">
      <c r="A1606" s="21"/>
      <c r="B1606" s="22"/>
      <c r="C1606" s="22"/>
      <c r="D1606" s="22"/>
      <c r="E1606" s="23" t="str">
        <f>IF($D1606="","",IFERROR(VLOOKUP($D1606,'ACAH Capital Tracker'!$A:$H,8,FALSE()),""))</f>
        <v/>
      </c>
      <c r="F1606" s="24"/>
      <c r="G1606" s="25" t="str">
        <f>IF($D1606="","",IFERROR(VLOOKUP($D1606,'ACAH Capital Tracker'!$A:$D,4,FALSE()),""))</f>
        <v/>
      </c>
      <c r="H1606" s="22"/>
    </row>
    <row r="1607" spans="1:8">
      <c r="A1607" s="21"/>
      <c r="B1607" s="22"/>
      <c r="C1607" s="22"/>
      <c r="D1607" s="22"/>
      <c r="E1607" s="23" t="str">
        <f>IF($D1607="","",IFERROR(VLOOKUP($D1607,'ACAH Capital Tracker'!$A:$H,8,FALSE()),""))</f>
        <v/>
      </c>
      <c r="F1607" s="24"/>
      <c r="G1607" s="25" t="str">
        <f>IF($D1607="","",IFERROR(VLOOKUP($D1607,'ACAH Capital Tracker'!$A:$D,4,FALSE()),""))</f>
        <v/>
      </c>
      <c r="H1607" s="22"/>
    </row>
    <row r="1608" spans="1:8">
      <c r="A1608" s="21"/>
      <c r="B1608" s="22"/>
      <c r="C1608" s="22"/>
      <c r="D1608" s="22"/>
      <c r="E1608" s="23" t="str">
        <f>IF($D1608="","",IFERROR(VLOOKUP($D1608,'ACAH Capital Tracker'!$A:$H,8,FALSE()),""))</f>
        <v/>
      </c>
      <c r="F1608" s="24"/>
      <c r="G1608" s="25" t="str">
        <f>IF($D1608="","",IFERROR(VLOOKUP($D1608,'ACAH Capital Tracker'!$A:$D,4,FALSE()),""))</f>
        <v/>
      </c>
      <c r="H1608" s="22"/>
    </row>
    <row r="1609" spans="1:8">
      <c r="A1609" s="21"/>
      <c r="B1609" s="22"/>
      <c r="C1609" s="22"/>
      <c r="D1609" s="22"/>
      <c r="E1609" s="23" t="str">
        <f>IF($D1609="","",IFERROR(VLOOKUP($D1609,'ACAH Capital Tracker'!$A:$H,8,FALSE()),""))</f>
        <v/>
      </c>
      <c r="F1609" s="24"/>
      <c r="G1609" s="25" t="str">
        <f>IF($D1609="","",IFERROR(VLOOKUP($D1609,'ACAH Capital Tracker'!$A:$D,4,FALSE()),""))</f>
        <v/>
      </c>
      <c r="H1609" s="22"/>
    </row>
    <row r="1610" spans="1:8">
      <c r="A1610" s="21"/>
      <c r="B1610" s="22"/>
      <c r="C1610" s="22"/>
      <c r="D1610" s="22"/>
      <c r="E1610" s="23" t="str">
        <f>IF($D1610="","",IFERROR(VLOOKUP($D1610,'ACAH Capital Tracker'!$A:$H,8,FALSE()),""))</f>
        <v/>
      </c>
      <c r="F1610" s="24"/>
      <c r="G1610" s="25" t="str">
        <f>IF($D1610="","",IFERROR(VLOOKUP($D1610,'ACAH Capital Tracker'!$A:$D,4,FALSE()),""))</f>
        <v/>
      </c>
      <c r="H1610" s="22"/>
    </row>
    <row r="1611" spans="1:8">
      <c r="A1611" s="21"/>
      <c r="B1611" s="22"/>
      <c r="C1611" s="22"/>
      <c r="D1611" s="22"/>
      <c r="E1611" s="23" t="str">
        <f>IF($D1611="","",IFERROR(VLOOKUP($D1611,'ACAH Capital Tracker'!$A:$H,8,FALSE()),""))</f>
        <v/>
      </c>
      <c r="F1611" s="24"/>
      <c r="G1611" s="25" t="str">
        <f>IF($D1611="","",IFERROR(VLOOKUP($D1611,'ACAH Capital Tracker'!$A:$D,4,FALSE()),""))</f>
        <v/>
      </c>
      <c r="H1611" s="22"/>
    </row>
    <row r="1612" spans="1:8">
      <c r="A1612" s="21"/>
      <c r="B1612" s="22"/>
      <c r="C1612" s="22"/>
      <c r="D1612" s="22"/>
      <c r="E1612" s="23" t="str">
        <f>IF($D1612="","",IFERROR(VLOOKUP($D1612,'ACAH Capital Tracker'!$A:$H,8,FALSE()),""))</f>
        <v/>
      </c>
      <c r="F1612" s="24"/>
      <c r="G1612" s="25" t="str">
        <f>IF($D1612="","",IFERROR(VLOOKUP($D1612,'ACAH Capital Tracker'!$A:$D,4,FALSE()),""))</f>
        <v/>
      </c>
      <c r="H1612" s="22"/>
    </row>
    <row r="1613" spans="1:8">
      <c r="A1613" s="21"/>
      <c r="B1613" s="22"/>
      <c r="C1613" s="22"/>
      <c r="D1613" s="22"/>
      <c r="E1613" s="23" t="str">
        <f>IF($D1613="","",IFERROR(VLOOKUP($D1613,'ACAH Capital Tracker'!$A:$H,8,FALSE()),""))</f>
        <v/>
      </c>
      <c r="F1613" s="24"/>
      <c r="G1613" s="25" t="str">
        <f>IF($D1613="","",IFERROR(VLOOKUP($D1613,'ACAH Capital Tracker'!$A:$D,4,FALSE()),""))</f>
        <v/>
      </c>
      <c r="H1613" s="22"/>
    </row>
    <row r="1614" spans="1:8">
      <c r="A1614" s="21"/>
      <c r="B1614" s="22"/>
      <c r="C1614" s="22"/>
      <c r="D1614" s="22"/>
      <c r="E1614" s="23" t="str">
        <f>IF($D1614="","",IFERROR(VLOOKUP($D1614,'ACAH Capital Tracker'!$A:$H,8,FALSE()),""))</f>
        <v/>
      </c>
      <c r="F1614" s="24"/>
      <c r="G1614" s="25" t="str">
        <f>IF($D1614="","",IFERROR(VLOOKUP($D1614,'ACAH Capital Tracker'!$A:$D,4,FALSE()),""))</f>
        <v/>
      </c>
      <c r="H1614" s="22"/>
    </row>
    <row r="1615" spans="1:8">
      <c r="A1615" s="21"/>
      <c r="B1615" s="22"/>
      <c r="C1615" s="22"/>
      <c r="D1615" s="22"/>
      <c r="E1615" s="23" t="str">
        <f>IF($D1615="","",IFERROR(VLOOKUP($D1615,'ACAH Capital Tracker'!$A:$H,8,FALSE()),""))</f>
        <v/>
      </c>
      <c r="F1615" s="24"/>
      <c r="G1615" s="25" t="str">
        <f>IF($D1615="","",IFERROR(VLOOKUP($D1615,'ACAH Capital Tracker'!$A:$D,4,FALSE()),""))</f>
        <v/>
      </c>
      <c r="H1615" s="22"/>
    </row>
    <row r="1616" spans="1:8">
      <c r="A1616" s="21"/>
      <c r="B1616" s="22"/>
      <c r="C1616" s="22"/>
      <c r="D1616" s="22"/>
      <c r="E1616" s="23" t="str">
        <f>IF($D1616="","",IFERROR(VLOOKUP($D1616,'ACAH Capital Tracker'!$A:$H,8,FALSE()),""))</f>
        <v/>
      </c>
      <c r="F1616" s="24"/>
      <c r="G1616" s="25" t="str">
        <f>IF($D1616="","",IFERROR(VLOOKUP($D1616,'ACAH Capital Tracker'!$A:$D,4,FALSE()),""))</f>
        <v/>
      </c>
      <c r="H1616" s="22"/>
    </row>
    <row r="1617" spans="1:8">
      <c r="A1617" s="21"/>
      <c r="B1617" s="22"/>
      <c r="C1617" s="22"/>
      <c r="D1617" s="22"/>
      <c r="E1617" s="23" t="str">
        <f>IF($D1617="","",IFERROR(VLOOKUP($D1617,'ACAH Capital Tracker'!$A:$H,8,FALSE()),""))</f>
        <v/>
      </c>
      <c r="F1617" s="24"/>
      <c r="G1617" s="25" t="str">
        <f>IF($D1617="","",IFERROR(VLOOKUP($D1617,'ACAH Capital Tracker'!$A:$D,4,FALSE()),""))</f>
        <v/>
      </c>
      <c r="H1617" s="22"/>
    </row>
    <row r="1618" spans="1:8">
      <c r="A1618" s="21"/>
      <c r="B1618" s="22"/>
      <c r="C1618" s="22"/>
      <c r="D1618" s="22"/>
      <c r="E1618" s="23" t="str">
        <f>IF($D1618="","",IFERROR(VLOOKUP($D1618,'ACAH Capital Tracker'!$A:$H,8,FALSE()),""))</f>
        <v/>
      </c>
      <c r="F1618" s="24"/>
      <c r="G1618" s="25" t="str">
        <f>IF($D1618="","",IFERROR(VLOOKUP($D1618,'ACAH Capital Tracker'!$A:$D,4,FALSE()),""))</f>
        <v/>
      </c>
      <c r="H1618" s="22"/>
    </row>
    <row r="1619" spans="1:8">
      <c r="A1619" s="21"/>
      <c r="B1619" s="22"/>
      <c r="C1619" s="22"/>
      <c r="D1619" s="22"/>
      <c r="E1619" s="23" t="str">
        <f>IF($D1619="","",IFERROR(VLOOKUP($D1619,'ACAH Capital Tracker'!$A:$H,8,FALSE()),""))</f>
        <v/>
      </c>
      <c r="F1619" s="24"/>
      <c r="G1619" s="25" t="str">
        <f>IF($D1619="","",IFERROR(VLOOKUP($D1619,'ACAH Capital Tracker'!$A:$D,4,FALSE()),""))</f>
        <v/>
      </c>
      <c r="H1619" s="22"/>
    </row>
    <row r="1620" spans="1:8">
      <c r="A1620" s="21"/>
      <c r="B1620" s="22"/>
      <c r="C1620" s="22"/>
      <c r="D1620" s="22"/>
      <c r="E1620" s="23" t="str">
        <f>IF($D1620="","",IFERROR(VLOOKUP($D1620,'ACAH Capital Tracker'!$A:$H,8,FALSE()),""))</f>
        <v/>
      </c>
      <c r="F1620" s="24"/>
      <c r="G1620" s="25" t="str">
        <f>IF($D1620="","",IFERROR(VLOOKUP($D1620,'ACAH Capital Tracker'!$A:$D,4,FALSE()),""))</f>
        <v/>
      </c>
      <c r="H1620" s="22"/>
    </row>
    <row r="1621" spans="1:8">
      <c r="A1621" s="21"/>
      <c r="B1621" s="22"/>
      <c r="C1621" s="22"/>
      <c r="D1621" s="22"/>
      <c r="E1621" s="23" t="str">
        <f>IF($D1621="","",IFERROR(VLOOKUP($D1621,'ACAH Capital Tracker'!$A:$H,8,FALSE()),""))</f>
        <v/>
      </c>
      <c r="F1621" s="24"/>
      <c r="G1621" s="25" t="str">
        <f>IF($D1621="","",IFERROR(VLOOKUP($D1621,'ACAH Capital Tracker'!$A:$D,4,FALSE()),""))</f>
        <v/>
      </c>
      <c r="H1621" s="22"/>
    </row>
    <row r="1622" spans="1:8">
      <c r="A1622" s="21"/>
      <c r="B1622" s="22"/>
      <c r="C1622" s="22"/>
      <c r="D1622" s="22"/>
      <c r="E1622" s="23" t="str">
        <f>IF($D1622="","",IFERROR(VLOOKUP($D1622,'ACAH Capital Tracker'!$A:$H,8,FALSE()),""))</f>
        <v/>
      </c>
      <c r="F1622" s="24"/>
      <c r="G1622" s="25" t="str">
        <f>IF($D1622="","",IFERROR(VLOOKUP($D1622,'ACAH Capital Tracker'!$A:$D,4,FALSE()),""))</f>
        <v/>
      </c>
      <c r="H1622" s="22"/>
    </row>
    <row r="1623" spans="1:8">
      <c r="A1623" s="21"/>
      <c r="B1623" s="22"/>
      <c r="C1623" s="22"/>
      <c r="D1623" s="22"/>
      <c r="E1623" s="23" t="str">
        <f>IF($D1623="","",IFERROR(VLOOKUP($D1623,'ACAH Capital Tracker'!$A:$H,8,FALSE()),""))</f>
        <v/>
      </c>
      <c r="F1623" s="24"/>
      <c r="G1623" s="25" t="str">
        <f>IF($D1623="","",IFERROR(VLOOKUP($D1623,'ACAH Capital Tracker'!$A:$D,4,FALSE()),""))</f>
        <v/>
      </c>
      <c r="H1623" s="22"/>
    </row>
    <row r="1624" spans="1:8">
      <c r="A1624" s="21"/>
      <c r="B1624" s="22"/>
      <c r="C1624" s="22"/>
      <c r="D1624" s="22"/>
      <c r="E1624" s="23" t="str">
        <f>IF($D1624="","",IFERROR(VLOOKUP($D1624,'ACAH Capital Tracker'!$A:$H,8,FALSE()),""))</f>
        <v/>
      </c>
      <c r="F1624" s="24"/>
      <c r="G1624" s="25" t="str">
        <f>IF($D1624="","",IFERROR(VLOOKUP($D1624,'ACAH Capital Tracker'!$A:$D,4,FALSE()),""))</f>
        <v/>
      </c>
      <c r="H1624" s="22"/>
    </row>
    <row r="1625" spans="1:8">
      <c r="A1625" s="21"/>
      <c r="B1625" s="22"/>
      <c r="C1625" s="22"/>
      <c r="D1625" s="22"/>
      <c r="E1625" s="23" t="str">
        <f>IF($D1625="","",IFERROR(VLOOKUP($D1625,'ACAH Capital Tracker'!$A:$H,8,FALSE()),""))</f>
        <v/>
      </c>
      <c r="F1625" s="24"/>
      <c r="G1625" s="25" t="str">
        <f>IF($D1625="","",IFERROR(VLOOKUP($D1625,'ACAH Capital Tracker'!$A:$D,4,FALSE()),""))</f>
        <v/>
      </c>
      <c r="H1625" s="22"/>
    </row>
    <row r="1626" spans="1:8">
      <c r="A1626" s="21"/>
      <c r="B1626" s="22"/>
      <c r="C1626" s="22"/>
      <c r="D1626" s="22"/>
      <c r="E1626" s="23" t="str">
        <f>IF($D1626="","",IFERROR(VLOOKUP($D1626,'ACAH Capital Tracker'!$A:$H,8,FALSE()),""))</f>
        <v/>
      </c>
      <c r="F1626" s="24"/>
      <c r="G1626" s="25" t="str">
        <f>IF($D1626="","",IFERROR(VLOOKUP($D1626,'ACAH Capital Tracker'!$A:$D,4,FALSE()),""))</f>
        <v/>
      </c>
      <c r="H1626" s="22"/>
    </row>
    <row r="1627" spans="1:8">
      <c r="A1627" s="21"/>
      <c r="B1627" s="22"/>
      <c r="C1627" s="22"/>
      <c r="D1627" s="22"/>
      <c r="E1627" s="23" t="str">
        <f>IF($D1627="","",IFERROR(VLOOKUP($D1627,'ACAH Capital Tracker'!$A:$H,8,FALSE()),""))</f>
        <v/>
      </c>
      <c r="F1627" s="24"/>
      <c r="G1627" s="25" t="str">
        <f>IF($D1627="","",IFERROR(VLOOKUP($D1627,'ACAH Capital Tracker'!$A:$D,4,FALSE()),""))</f>
        <v/>
      </c>
      <c r="H1627" s="22"/>
    </row>
    <row r="1628" spans="1:8">
      <c r="A1628" s="21"/>
      <c r="B1628" s="22"/>
      <c r="C1628" s="22"/>
      <c r="D1628" s="22"/>
      <c r="E1628" s="23" t="str">
        <f>IF($D1628="","",IFERROR(VLOOKUP($D1628,'ACAH Capital Tracker'!$A:$H,8,FALSE()),""))</f>
        <v/>
      </c>
      <c r="F1628" s="24"/>
      <c r="G1628" s="25" t="str">
        <f>IF($D1628="","",IFERROR(VLOOKUP($D1628,'ACAH Capital Tracker'!$A:$D,4,FALSE()),""))</f>
        <v/>
      </c>
      <c r="H1628" s="22"/>
    </row>
    <row r="1629" spans="1:8">
      <c r="A1629" s="21"/>
      <c r="B1629" s="22"/>
      <c r="C1629" s="22"/>
      <c r="D1629" s="22"/>
      <c r="E1629" s="23" t="str">
        <f>IF($D1629="","",IFERROR(VLOOKUP($D1629,'ACAH Capital Tracker'!$A:$H,8,FALSE()),""))</f>
        <v/>
      </c>
      <c r="F1629" s="24"/>
      <c r="G1629" s="25" t="str">
        <f>IF($D1629="","",IFERROR(VLOOKUP($D1629,'ACAH Capital Tracker'!$A:$D,4,FALSE()),""))</f>
        <v/>
      </c>
      <c r="H1629" s="22"/>
    </row>
    <row r="1630" spans="1:8">
      <c r="A1630" s="21"/>
      <c r="B1630" s="22"/>
      <c r="C1630" s="22"/>
      <c r="D1630" s="22"/>
      <c r="E1630" s="23" t="str">
        <f>IF($D1630="","",IFERROR(VLOOKUP($D1630,'ACAH Capital Tracker'!$A:$H,8,FALSE()),""))</f>
        <v/>
      </c>
      <c r="F1630" s="24"/>
      <c r="G1630" s="25" t="str">
        <f>IF($D1630="","",IFERROR(VLOOKUP($D1630,'ACAH Capital Tracker'!$A:$D,4,FALSE()),""))</f>
        <v/>
      </c>
      <c r="H1630" s="22"/>
    </row>
    <row r="1631" spans="1:8">
      <c r="A1631" s="21"/>
      <c r="B1631" s="22"/>
      <c r="C1631" s="22"/>
      <c r="D1631" s="22"/>
      <c r="E1631" s="23" t="str">
        <f>IF($D1631="","",IFERROR(VLOOKUP($D1631,'ACAH Capital Tracker'!$A:$H,8,FALSE()),""))</f>
        <v/>
      </c>
      <c r="F1631" s="24"/>
      <c r="G1631" s="25" t="str">
        <f>IF($D1631="","",IFERROR(VLOOKUP($D1631,'ACAH Capital Tracker'!$A:$D,4,FALSE()),""))</f>
        <v/>
      </c>
      <c r="H1631" s="22"/>
    </row>
    <row r="1632" spans="1:8">
      <c r="A1632" s="21"/>
      <c r="B1632" s="22"/>
      <c r="C1632" s="22"/>
      <c r="D1632" s="22"/>
      <c r="E1632" s="23" t="str">
        <f>IF($D1632="","",IFERROR(VLOOKUP($D1632,'ACAH Capital Tracker'!$A:$H,8,FALSE()),""))</f>
        <v/>
      </c>
      <c r="F1632" s="24"/>
      <c r="G1632" s="25" t="str">
        <f>IF($D1632="","",IFERROR(VLOOKUP($D1632,'ACAH Capital Tracker'!$A:$D,4,FALSE()),""))</f>
        <v/>
      </c>
      <c r="H1632" s="22"/>
    </row>
    <row r="1633" spans="1:8">
      <c r="A1633" s="21"/>
      <c r="B1633" s="22"/>
      <c r="C1633" s="22"/>
      <c r="D1633" s="22"/>
      <c r="E1633" s="23" t="str">
        <f>IF($D1633="","",IFERROR(VLOOKUP($D1633,'ACAH Capital Tracker'!$A:$H,8,FALSE()),""))</f>
        <v/>
      </c>
      <c r="F1633" s="24"/>
      <c r="G1633" s="25" t="str">
        <f>IF($D1633="","",IFERROR(VLOOKUP($D1633,'ACAH Capital Tracker'!$A:$D,4,FALSE()),""))</f>
        <v/>
      </c>
      <c r="H1633" s="22"/>
    </row>
    <row r="1634" spans="1:8">
      <c r="A1634" s="21"/>
      <c r="B1634" s="22"/>
      <c r="C1634" s="22"/>
      <c r="D1634" s="22"/>
      <c r="E1634" s="23" t="str">
        <f>IF($D1634="","",IFERROR(VLOOKUP($D1634,'ACAH Capital Tracker'!$A:$H,8,FALSE()),""))</f>
        <v/>
      </c>
      <c r="F1634" s="24"/>
      <c r="G1634" s="25" t="str">
        <f>IF($D1634="","",IFERROR(VLOOKUP($D1634,'ACAH Capital Tracker'!$A:$D,4,FALSE()),""))</f>
        <v/>
      </c>
      <c r="H1634" s="22"/>
    </row>
    <row r="1635" spans="1:8">
      <c r="A1635" s="21"/>
      <c r="B1635" s="22"/>
      <c r="C1635" s="22"/>
      <c r="D1635" s="22"/>
      <c r="E1635" s="23" t="str">
        <f>IF($D1635="","",IFERROR(VLOOKUP($D1635,'ACAH Capital Tracker'!$A:$H,8,FALSE()),""))</f>
        <v/>
      </c>
      <c r="F1635" s="24"/>
      <c r="G1635" s="25" t="str">
        <f>IF($D1635="","",IFERROR(VLOOKUP($D1635,'ACAH Capital Tracker'!$A:$D,4,FALSE()),""))</f>
        <v/>
      </c>
      <c r="H1635" s="22"/>
    </row>
    <row r="1636" spans="1:8">
      <c r="A1636" s="21"/>
      <c r="B1636" s="22"/>
      <c r="C1636" s="22"/>
      <c r="D1636" s="22"/>
      <c r="E1636" s="23" t="str">
        <f>IF($D1636="","",IFERROR(VLOOKUP($D1636,'ACAH Capital Tracker'!$A:$H,8,FALSE()),""))</f>
        <v/>
      </c>
      <c r="F1636" s="24"/>
      <c r="G1636" s="25" t="str">
        <f>IF($D1636="","",IFERROR(VLOOKUP($D1636,'ACAH Capital Tracker'!$A:$D,4,FALSE()),""))</f>
        <v/>
      </c>
      <c r="H1636" s="22"/>
    </row>
    <row r="1637" spans="1:8">
      <c r="A1637" s="21"/>
      <c r="B1637" s="22"/>
      <c r="C1637" s="22"/>
      <c r="D1637" s="22"/>
      <c r="E1637" s="23" t="str">
        <f>IF($D1637="","",IFERROR(VLOOKUP($D1637,'ACAH Capital Tracker'!$A:$H,8,FALSE()),""))</f>
        <v/>
      </c>
      <c r="F1637" s="24"/>
      <c r="G1637" s="25" t="str">
        <f>IF($D1637="","",IFERROR(VLOOKUP($D1637,'ACAH Capital Tracker'!$A:$D,4,FALSE()),""))</f>
        <v/>
      </c>
      <c r="H1637" s="22"/>
    </row>
    <row r="1638" spans="1:8">
      <c r="A1638" s="21"/>
      <c r="B1638" s="22"/>
      <c r="C1638" s="22"/>
      <c r="D1638" s="22"/>
      <c r="E1638" s="23" t="str">
        <f>IF($D1638="","",IFERROR(VLOOKUP($D1638,'ACAH Capital Tracker'!$A:$H,8,FALSE()),""))</f>
        <v/>
      </c>
      <c r="F1638" s="24"/>
      <c r="G1638" s="25" t="str">
        <f>IF($D1638="","",IFERROR(VLOOKUP($D1638,'ACAH Capital Tracker'!$A:$D,4,FALSE()),""))</f>
        <v/>
      </c>
      <c r="H1638" s="22"/>
    </row>
    <row r="1639" spans="1:8">
      <c r="A1639" s="21"/>
      <c r="B1639" s="22"/>
      <c r="C1639" s="22"/>
      <c r="D1639" s="22"/>
      <c r="E1639" s="23" t="str">
        <f>IF($D1639="","",IFERROR(VLOOKUP($D1639,'ACAH Capital Tracker'!$A:$H,8,FALSE()),""))</f>
        <v/>
      </c>
      <c r="F1639" s="24"/>
      <c r="G1639" s="25" t="str">
        <f>IF($D1639="","",IFERROR(VLOOKUP($D1639,'ACAH Capital Tracker'!$A:$D,4,FALSE()),""))</f>
        <v/>
      </c>
      <c r="H1639" s="22"/>
    </row>
    <row r="1640" spans="1:8">
      <c r="A1640" s="21"/>
      <c r="B1640" s="22"/>
      <c r="C1640" s="22"/>
      <c r="D1640" s="22"/>
      <c r="E1640" s="23" t="str">
        <f>IF($D1640="","",IFERROR(VLOOKUP($D1640,'ACAH Capital Tracker'!$A:$H,8,FALSE()),""))</f>
        <v/>
      </c>
      <c r="F1640" s="24"/>
      <c r="G1640" s="25" t="str">
        <f>IF($D1640="","",IFERROR(VLOOKUP($D1640,'ACAH Capital Tracker'!$A:$D,4,FALSE()),""))</f>
        <v/>
      </c>
      <c r="H1640" s="22"/>
    </row>
    <row r="1641" spans="1:8">
      <c r="A1641" s="21"/>
      <c r="B1641" s="22"/>
      <c r="C1641" s="22"/>
      <c r="D1641" s="22"/>
      <c r="E1641" s="23" t="str">
        <f>IF($D1641="","",IFERROR(VLOOKUP($D1641,'ACAH Capital Tracker'!$A:$H,8,FALSE()),""))</f>
        <v/>
      </c>
      <c r="F1641" s="24"/>
      <c r="G1641" s="25" t="str">
        <f>IF($D1641="","",IFERROR(VLOOKUP($D1641,'ACAH Capital Tracker'!$A:$D,4,FALSE()),""))</f>
        <v/>
      </c>
      <c r="H1641" s="22"/>
    </row>
    <row r="1642" spans="1:8">
      <c r="A1642" s="21"/>
      <c r="B1642" s="22"/>
      <c r="C1642" s="22"/>
      <c r="D1642" s="22"/>
      <c r="E1642" s="23" t="str">
        <f>IF($D1642="","",IFERROR(VLOOKUP($D1642,'ACAH Capital Tracker'!$A:$H,8,FALSE()),""))</f>
        <v/>
      </c>
      <c r="F1642" s="24"/>
      <c r="G1642" s="25" t="str">
        <f>IF($D1642="","",IFERROR(VLOOKUP($D1642,'ACAH Capital Tracker'!$A:$D,4,FALSE()),""))</f>
        <v/>
      </c>
      <c r="H1642" s="22"/>
    </row>
    <row r="1643" spans="1:8">
      <c r="A1643" s="21"/>
      <c r="B1643" s="22"/>
      <c r="C1643" s="22"/>
      <c r="D1643" s="22"/>
      <c r="E1643" s="23" t="str">
        <f>IF($D1643="","",IFERROR(VLOOKUP($D1643,'ACAH Capital Tracker'!$A:$H,8,FALSE()),""))</f>
        <v/>
      </c>
      <c r="F1643" s="24"/>
      <c r="G1643" s="25" t="str">
        <f>IF($D1643="","",IFERROR(VLOOKUP($D1643,'ACAH Capital Tracker'!$A:$D,4,FALSE()),""))</f>
        <v/>
      </c>
      <c r="H1643" s="22"/>
    </row>
    <row r="1644" spans="1:8">
      <c r="A1644" s="21"/>
      <c r="B1644" s="22"/>
      <c r="C1644" s="22"/>
      <c r="D1644" s="22"/>
      <c r="E1644" s="23" t="str">
        <f>IF($D1644="","",IFERROR(VLOOKUP($D1644,'ACAH Capital Tracker'!$A:$H,8,FALSE()),""))</f>
        <v/>
      </c>
      <c r="F1644" s="24"/>
      <c r="G1644" s="25" t="str">
        <f>IF($D1644="","",IFERROR(VLOOKUP($D1644,'ACAH Capital Tracker'!$A:$D,4,FALSE()),""))</f>
        <v/>
      </c>
      <c r="H1644" s="22"/>
    </row>
    <row r="1645" spans="1:8">
      <c r="A1645" s="21"/>
      <c r="B1645" s="22"/>
      <c r="C1645" s="22"/>
      <c r="D1645" s="22"/>
      <c r="E1645" s="23" t="str">
        <f>IF($D1645="","",IFERROR(VLOOKUP($D1645,'ACAH Capital Tracker'!$A:$H,8,FALSE()),""))</f>
        <v/>
      </c>
      <c r="F1645" s="24"/>
      <c r="G1645" s="25" t="str">
        <f>IF($D1645="","",IFERROR(VLOOKUP($D1645,'ACAH Capital Tracker'!$A:$D,4,FALSE()),""))</f>
        <v/>
      </c>
      <c r="H1645" s="22"/>
    </row>
    <row r="1646" spans="1:8">
      <c r="A1646" s="21"/>
      <c r="B1646" s="22"/>
      <c r="C1646" s="22"/>
      <c r="D1646" s="22"/>
      <c r="E1646" s="23" t="str">
        <f>IF($D1646="","",IFERROR(VLOOKUP($D1646,'ACAH Capital Tracker'!$A:$H,8,FALSE()),""))</f>
        <v/>
      </c>
      <c r="F1646" s="24"/>
      <c r="G1646" s="25" t="str">
        <f>IF($D1646="","",IFERROR(VLOOKUP($D1646,'ACAH Capital Tracker'!$A:$D,4,FALSE()),""))</f>
        <v/>
      </c>
      <c r="H1646" s="22"/>
    </row>
    <row r="1647" spans="1:8">
      <c r="A1647" s="21"/>
      <c r="B1647" s="22"/>
      <c r="C1647" s="22"/>
      <c r="D1647" s="22"/>
      <c r="E1647" s="23" t="str">
        <f>IF($D1647="","",IFERROR(VLOOKUP($D1647,'ACAH Capital Tracker'!$A:$H,8,FALSE()),""))</f>
        <v/>
      </c>
      <c r="F1647" s="24"/>
      <c r="G1647" s="25" t="str">
        <f>IF($D1647="","",IFERROR(VLOOKUP($D1647,'ACAH Capital Tracker'!$A:$D,4,FALSE()),""))</f>
        <v/>
      </c>
      <c r="H1647" s="22"/>
    </row>
    <row r="1648" spans="1:8">
      <c r="A1648" s="21"/>
      <c r="B1648" s="22"/>
      <c r="C1648" s="22"/>
      <c r="D1648" s="22"/>
      <c r="E1648" s="23" t="str">
        <f>IF($D1648="","",IFERROR(VLOOKUP($D1648,'ACAH Capital Tracker'!$A:$H,8,FALSE()),""))</f>
        <v/>
      </c>
      <c r="F1648" s="24"/>
      <c r="G1648" s="25" t="str">
        <f>IF($D1648="","",IFERROR(VLOOKUP($D1648,'ACAH Capital Tracker'!$A:$D,4,FALSE()),""))</f>
        <v/>
      </c>
      <c r="H1648" s="22"/>
    </row>
    <row r="1649" spans="1:8">
      <c r="A1649" s="21"/>
      <c r="B1649" s="22"/>
      <c r="C1649" s="22"/>
      <c r="D1649" s="22"/>
      <c r="E1649" s="23" t="str">
        <f>IF($D1649="","",IFERROR(VLOOKUP($D1649,'ACAH Capital Tracker'!$A:$H,8,FALSE()),""))</f>
        <v/>
      </c>
      <c r="F1649" s="24"/>
      <c r="G1649" s="25" t="str">
        <f>IF($D1649="","",IFERROR(VLOOKUP($D1649,'ACAH Capital Tracker'!$A:$D,4,FALSE()),""))</f>
        <v/>
      </c>
      <c r="H1649" s="22"/>
    </row>
    <row r="1650" spans="1:8">
      <c r="A1650" s="21"/>
      <c r="B1650" s="22"/>
      <c r="C1650" s="22"/>
      <c r="D1650" s="22"/>
      <c r="E1650" s="23" t="str">
        <f>IF($D1650="","",IFERROR(VLOOKUP($D1650,'ACAH Capital Tracker'!$A:$H,8,FALSE()),""))</f>
        <v/>
      </c>
      <c r="F1650" s="24"/>
      <c r="G1650" s="25" t="str">
        <f>IF($D1650="","",IFERROR(VLOOKUP($D1650,'ACAH Capital Tracker'!$A:$D,4,FALSE()),""))</f>
        <v/>
      </c>
      <c r="H1650" s="22"/>
    </row>
    <row r="1651" spans="1:8">
      <c r="A1651" s="21"/>
      <c r="B1651" s="22"/>
      <c r="C1651" s="22"/>
      <c r="D1651" s="22"/>
      <c r="E1651" s="23" t="str">
        <f>IF($D1651="","",IFERROR(VLOOKUP($D1651,'ACAH Capital Tracker'!$A:$H,8,FALSE()),""))</f>
        <v/>
      </c>
      <c r="F1651" s="24"/>
      <c r="G1651" s="25" t="str">
        <f>IF($D1651="","",IFERROR(VLOOKUP($D1651,'ACAH Capital Tracker'!$A:$D,4,FALSE()),""))</f>
        <v/>
      </c>
      <c r="H1651" s="22"/>
    </row>
    <row r="1652" spans="1:8">
      <c r="A1652" s="21"/>
      <c r="B1652" s="22"/>
      <c r="C1652" s="22"/>
      <c r="D1652" s="22"/>
      <c r="E1652" s="23" t="str">
        <f>IF($D1652="","",IFERROR(VLOOKUP($D1652,'ACAH Capital Tracker'!$A:$H,8,FALSE()),""))</f>
        <v/>
      </c>
      <c r="F1652" s="24"/>
      <c r="G1652" s="25" t="str">
        <f>IF($D1652="","",IFERROR(VLOOKUP($D1652,'ACAH Capital Tracker'!$A:$D,4,FALSE()),""))</f>
        <v/>
      </c>
      <c r="H1652" s="22"/>
    </row>
    <row r="1653" spans="1:8">
      <c r="A1653" s="21"/>
      <c r="B1653" s="22"/>
      <c r="C1653" s="22"/>
      <c r="D1653" s="22"/>
      <c r="E1653" s="23" t="str">
        <f>IF($D1653="","",IFERROR(VLOOKUP($D1653,'ACAH Capital Tracker'!$A:$H,8,FALSE()),""))</f>
        <v/>
      </c>
      <c r="F1653" s="24"/>
      <c r="G1653" s="25" t="str">
        <f>IF($D1653="","",IFERROR(VLOOKUP($D1653,'ACAH Capital Tracker'!$A:$D,4,FALSE()),""))</f>
        <v/>
      </c>
      <c r="H1653" s="22"/>
    </row>
    <row r="1654" spans="1:8">
      <c r="A1654" s="21"/>
      <c r="B1654" s="22"/>
      <c r="C1654" s="22"/>
      <c r="D1654" s="22"/>
      <c r="E1654" s="23" t="str">
        <f>IF($D1654="","",IFERROR(VLOOKUP($D1654,'ACAH Capital Tracker'!$A:$H,8,FALSE()),""))</f>
        <v/>
      </c>
      <c r="F1654" s="24"/>
      <c r="G1654" s="25" t="str">
        <f>IF($D1654="","",IFERROR(VLOOKUP($D1654,'ACAH Capital Tracker'!$A:$D,4,FALSE()),""))</f>
        <v/>
      </c>
      <c r="H1654" s="22"/>
    </row>
    <row r="1655" spans="1:8">
      <c r="A1655" s="21"/>
      <c r="B1655" s="22"/>
      <c r="C1655" s="22"/>
      <c r="D1655" s="22"/>
      <c r="E1655" s="23" t="str">
        <f>IF($D1655="","",IFERROR(VLOOKUP($D1655,'ACAH Capital Tracker'!$A:$H,8,FALSE()),""))</f>
        <v/>
      </c>
      <c r="F1655" s="24"/>
      <c r="G1655" s="25" t="str">
        <f>IF($D1655="","",IFERROR(VLOOKUP($D1655,'ACAH Capital Tracker'!$A:$D,4,FALSE()),""))</f>
        <v/>
      </c>
      <c r="H1655" s="22"/>
    </row>
    <row r="1656" spans="1:8">
      <c r="A1656" s="21"/>
      <c r="B1656" s="22"/>
      <c r="C1656" s="22"/>
      <c r="D1656" s="22"/>
      <c r="E1656" s="23" t="str">
        <f>IF($D1656="","",IFERROR(VLOOKUP($D1656,'ACAH Capital Tracker'!$A:$H,8,FALSE()),""))</f>
        <v/>
      </c>
      <c r="F1656" s="24"/>
      <c r="G1656" s="25" t="str">
        <f>IF($D1656="","",IFERROR(VLOOKUP($D1656,'ACAH Capital Tracker'!$A:$D,4,FALSE()),""))</f>
        <v/>
      </c>
      <c r="H1656" s="22"/>
    </row>
    <row r="1657" spans="1:8">
      <c r="A1657" s="21"/>
      <c r="B1657" s="22"/>
      <c r="C1657" s="22"/>
      <c r="D1657" s="22"/>
      <c r="E1657" s="23" t="str">
        <f>IF($D1657="","",IFERROR(VLOOKUP($D1657,'ACAH Capital Tracker'!$A:$H,8,FALSE()),""))</f>
        <v/>
      </c>
      <c r="F1657" s="24"/>
      <c r="G1657" s="25" t="str">
        <f>IF($D1657="","",IFERROR(VLOOKUP($D1657,'ACAH Capital Tracker'!$A:$D,4,FALSE()),""))</f>
        <v/>
      </c>
      <c r="H1657" s="22"/>
    </row>
    <row r="1658" spans="1:8">
      <c r="A1658" s="21"/>
      <c r="B1658" s="22"/>
      <c r="C1658" s="22"/>
      <c r="D1658" s="22"/>
      <c r="E1658" s="23" t="str">
        <f>IF($D1658="","",IFERROR(VLOOKUP($D1658,'ACAH Capital Tracker'!$A:$H,8,FALSE()),""))</f>
        <v/>
      </c>
      <c r="F1658" s="24"/>
      <c r="G1658" s="25" t="str">
        <f>IF($D1658="","",IFERROR(VLOOKUP($D1658,'ACAH Capital Tracker'!$A:$D,4,FALSE()),""))</f>
        <v/>
      </c>
      <c r="H1658" s="22"/>
    </row>
    <row r="1659" spans="1:8">
      <c r="A1659" s="21"/>
      <c r="B1659" s="22"/>
      <c r="C1659" s="22"/>
      <c r="D1659" s="22"/>
      <c r="E1659" s="23" t="str">
        <f>IF($D1659="","",IFERROR(VLOOKUP($D1659,'ACAH Capital Tracker'!$A:$H,8,FALSE()),""))</f>
        <v/>
      </c>
      <c r="F1659" s="24"/>
      <c r="G1659" s="25" t="str">
        <f>IF($D1659="","",IFERROR(VLOOKUP($D1659,'ACAH Capital Tracker'!$A:$D,4,FALSE()),""))</f>
        <v/>
      </c>
      <c r="H1659" s="22"/>
    </row>
    <row r="1660" spans="1:8">
      <c r="A1660" s="21"/>
      <c r="B1660" s="22"/>
      <c r="C1660" s="22"/>
      <c r="D1660" s="22"/>
      <c r="E1660" s="23" t="str">
        <f>IF($D1660="","",IFERROR(VLOOKUP($D1660,'ACAH Capital Tracker'!$A:$H,8,FALSE()),""))</f>
        <v/>
      </c>
      <c r="F1660" s="24"/>
      <c r="G1660" s="25" t="str">
        <f>IF($D1660="","",IFERROR(VLOOKUP($D1660,'ACAH Capital Tracker'!$A:$D,4,FALSE()),""))</f>
        <v/>
      </c>
      <c r="H1660" s="22"/>
    </row>
    <row r="1661" spans="1:8">
      <c r="A1661" s="21"/>
      <c r="B1661" s="22"/>
      <c r="C1661" s="22"/>
      <c r="D1661" s="22"/>
      <c r="E1661" s="23" t="str">
        <f>IF($D1661="","",IFERROR(VLOOKUP($D1661,'ACAH Capital Tracker'!$A:$H,8,FALSE()),""))</f>
        <v/>
      </c>
      <c r="F1661" s="24"/>
      <c r="G1661" s="25" t="str">
        <f>IF($D1661="","",IFERROR(VLOOKUP($D1661,'ACAH Capital Tracker'!$A:$D,4,FALSE()),""))</f>
        <v/>
      </c>
      <c r="H1661" s="22"/>
    </row>
    <row r="1662" spans="1:8">
      <c r="A1662" s="21"/>
      <c r="B1662" s="22"/>
      <c r="C1662" s="22"/>
      <c r="D1662" s="22"/>
      <c r="E1662" s="23" t="str">
        <f>IF($D1662="","",IFERROR(VLOOKUP($D1662,'ACAH Capital Tracker'!$A:$H,8,FALSE()),""))</f>
        <v/>
      </c>
      <c r="F1662" s="24"/>
      <c r="G1662" s="25" t="str">
        <f>IF($D1662="","",IFERROR(VLOOKUP($D1662,'ACAH Capital Tracker'!$A:$D,4,FALSE()),""))</f>
        <v/>
      </c>
      <c r="H1662" s="22"/>
    </row>
    <row r="1663" spans="1:8">
      <c r="A1663" s="21"/>
      <c r="B1663" s="22"/>
      <c r="C1663" s="22"/>
      <c r="D1663" s="22"/>
      <c r="E1663" s="23" t="str">
        <f>IF($D1663="","",IFERROR(VLOOKUP($D1663,'ACAH Capital Tracker'!$A:$H,8,FALSE()),""))</f>
        <v/>
      </c>
      <c r="F1663" s="24"/>
      <c r="G1663" s="25" t="str">
        <f>IF($D1663="","",IFERROR(VLOOKUP($D1663,'ACAH Capital Tracker'!$A:$D,4,FALSE()),""))</f>
        <v/>
      </c>
      <c r="H1663" s="22"/>
    </row>
    <row r="1664" spans="1:8">
      <c r="A1664" s="21"/>
      <c r="B1664" s="22"/>
      <c r="C1664" s="22"/>
      <c r="D1664" s="22"/>
      <c r="E1664" s="23" t="str">
        <f>IF($D1664="","",IFERROR(VLOOKUP($D1664,'ACAH Capital Tracker'!$A:$H,8,FALSE()),""))</f>
        <v/>
      </c>
      <c r="F1664" s="24"/>
      <c r="G1664" s="25" t="str">
        <f>IF($D1664="","",IFERROR(VLOOKUP($D1664,'ACAH Capital Tracker'!$A:$D,4,FALSE()),""))</f>
        <v/>
      </c>
      <c r="H1664" s="22"/>
    </row>
    <row r="1665" spans="1:8">
      <c r="A1665" s="21"/>
      <c r="B1665" s="22"/>
      <c r="C1665" s="22"/>
      <c r="D1665" s="22"/>
      <c r="E1665" s="23" t="str">
        <f>IF($D1665="","",IFERROR(VLOOKUP($D1665,'ACAH Capital Tracker'!$A:$H,8,FALSE()),""))</f>
        <v/>
      </c>
      <c r="F1665" s="24"/>
      <c r="G1665" s="25" t="str">
        <f>IF($D1665="","",IFERROR(VLOOKUP($D1665,'ACAH Capital Tracker'!$A:$D,4,FALSE()),""))</f>
        <v/>
      </c>
      <c r="H1665" s="22"/>
    </row>
    <row r="1666" spans="1:8">
      <c r="A1666" s="21"/>
      <c r="B1666" s="22"/>
      <c r="C1666" s="22"/>
      <c r="D1666" s="22"/>
      <c r="E1666" s="23" t="str">
        <f>IF($D1666="","",IFERROR(VLOOKUP($D1666,'ACAH Capital Tracker'!$A:$H,8,FALSE()),""))</f>
        <v/>
      </c>
      <c r="F1666" s="24"/>
      <c r="G1666" s="25" t="str">
        <f>IF($D1666="","",IFERROR(VLOOKUP($D1666,'ACAH Capital Tracker'!$A:$D,4,FALSE()),""))</f>
        <v/>
      </c>
      <c r="H1666" s="22"/>
    </row>
    <row r="1667" spans="1:8">
      <c r="A1667" s="21"/>
      <c r="B1667" s="22"/>
      <c r="C1667" s="22"/>
      <c r="D1667" s="22"/>
      <c r="E1667" s="23" t="str">
        <f>IF($D1667="","",IFERROR(VLOOKUP($D1667,'ACAH Capital Tracker'!$A:$H,8,FALSE()),""))</f>
        <v/>
      </c>
      <c r="F1667" s="24"/>
      <c r="G1667" s="25" t="str">
        <f>IF($D1667="","",IFERROR(VLOOKUP($D1667,'ACAH Capital Tracker'!$A:$D,4,FALSE()),""))</f>
        <v/>
      </c>
      <c r="H1667" s="22"/>
    </row>
    <row r="1668" spans="1:8">
      <c r="A1668" s="21"/>
      <c r="B1668" s="22"/>
      <c r="C1668" s="22"/>
      <c r="D1668" s="22"/>
      <c r="E1668" s="23" t="str">
        <f>IF($D1668="","",IFERROR(VLOOKUP($D1668,'ACAH Capital Tracker'!$A:$H,8,FALSE()),""))</f>
        <v/>
      </c>
      <c r="F1668" s="24"/>
      <c r="G1668" s="25" t="str">
        <f>IF($D1668="","",IFERROR(VLOOKUP($D1668,'ACAH Capital Tracker'!$A:$D,4,FALSE()),""))</f>
        <v/>
      </c>
      <c r="H1668" s="22"/>
    </row>
    <row r="1669" spans="1:8">
      <c r="A1669" s="21"/>
      <c r="B1669" s="22"/>
      <c r="C1669" s="22"/>
      <c r="D1669" s="22"/>
      <c r="E1669" s="23" t="str">
        <f>IF($D1669="","",IFERROR(VLOOKUP($D1669,'ACAH Capital Tracker'!$A:$H,8,FALSE()),""))</f>
        <v/>
      </c>
      <c r="F1669" s="24"/>
      <c r="G1669" s="25" t="str">
        <f>IF($D1669="","",IFERROR(VLOOKUP($D1669,'ACAH Capital Tracker'!$A:$D,4,FALSE()),""))</f>
        <v/>
      </c>
      <c r="H1669" s="22"/>
    </row>
    <row r="1670" spans="1:8">
      <c r="A1670" s="21"/>
      <c r="B1670" s="22"/>
      <c r="C1670" s="22"/>
      <c r="D1670" s="22"/>
      <c r="E1670" s="23" t="str">
        <f>IF($D1670="","",IFERROR(VLOOKUP($D1670,'ACAH Capital Tracker'!$A:$H,8,FALSE()),""))</f>
        <v/>
      </c>
      <c r="F1670" s="24"/>
      <c r="G1670" s="25" t="str">
        <f>IF($D1670="","",IFERROR(VLOOKUP($D1670,'ACAH Capital Tracker'!$A:$D,4,FALSE()),""))</f>
        <v/>
      </c>
      <c r="H1670" s="22"/>
    </row>
    <row r="1671" spans="1:8">
      <c r="A1671" s="21"/>
      <c r="B1671" s="22"/>
      <c r="C1671" s="22"/>
      <c r="D1671" s="22"/>
      <c r="E1671" s="23" t="str">
        <f>IF($D1671="","",IFERROR(VLOOKUP($D1671,'ACAH Capital Tracker'!$A:$H,8,FALSE()),""))</f>
        <v/>
      </c>
      <c r="F1671" s="24"/>
      <c r="G1671" s="25" t="str">
        <f>IF($D1671="","",IFERROR(VLOOKUP($D1671,'ACAH Capital Tracker'!$A:$D,4,FALSE()),""))</f>
        <v/>
      </c>
      <c r="H1671" s="22"/>
    </row>
    <row r="1672" spans="1:8">
      <c r="A1672" s="21"/>
      <c r="B1672" s="22"/>
      <c r="C1672" s="22"/>
      <c r="D1672" s="22"/>
      <c r="E1672" s="23" t="str">
        <f>IF($D1672="","",IFERROR(VLOOKUP($D1672,'ACAH Capital Tracker'!$A:$H,8,FALSE()),""))</f>
        <v/>
      </c>
      <c r="F1672" s="24"/>
      <c r="G1672" s="25" t="str">
        <f>IF($D1672="","",IFERROR(VLOOKUP($D1672,'ACAH Capital Tracker'!$A:$D,4,FALSE()),""))</f>
        <v/>
      </c>
      <c r="H1672" s="22"/>
    </row>
    <row r="1673" spans="1:8">
      <c r="A1673" s="21"/>
      <c r="B1673" s="22"/>
      <c r="C1673" s="22"/>
      <c r="D1673" s="22"/>
      <c r="E1673" s="23" t="str">
        <f>IF($D1673="","",IFERROR(VLOOKUP($D1673,'ACAH Capital Tracker'!$A:$H,8,FALSE()),""))</f>
        <v/>
      </c>
      <c r="F1673" s="24"/>
      <c r="G1673" s="25" t="str">
        <f>IF($D1673="","",IFERROR(VLOOKUP($D1673,'ACAH Capital Tracker'!$A:$D,4,FALSE()),""))</f>
        <v/>
      </c>
      <c r="H1673" s="22"/>
    </row>
    <row r="1674" spans="1:8">
      <c r="A1674" s="21"/>
      <c r="B1674" s="22"/>
      <c r="C1674" s="22"/>
      <c r="D1674" s="22"/>
      <c r="E1674" s="23" t="str">
        <f>IF($D1674="","",IFERROR(VLOOKUP($D1674,'ACAH Capital Tracker'!$A:$H,8,FALSE()),""))</f>
        <v/>
      </c>
      <c r="F1674" s="24"/>
      <c r="G1674" s="25" t="str">
        <f>IF($D1674="","",IFERROR(VLOOKUP($D1674,'ACAH Capital Tracker'!$A:$D,4,FALSE()),""))</f>
        <v/>
      </c>
      <c r="H1674" s="22"/>
    </row>
    <row r="1675" spans="1:8">
      <c r="A1675" s="21"/>
      <c r="B1675" s="22"/>
      <c r="C1675" s="22"/>
      <c r="D1675" s="22"/>
      <c r="E1675" s="23" t="str">
        <f>IF($D1675="","",IFERROR(VLOOKUP($D1675,'ACAH Capital Tracker'!$A:$H,8,FALSE()),""))</f>
        <v/>
      </c>
      <c r="F1675" s="24"/>
      <c r="G1675" s="25" t="str">
        <f>IF($D1675="","",IFERROR(VLOOKUP($D1675,'ACAH Capital Tracker'!$A:$D,4,FALSE()),""))</f>
        <v/>
      </c>
      <c r="H1675" s="22"/>
    </row>
    <row r="1676" spans="1:8">
      <c r="A1676" s="21"/>
      <c r="B1676" s="22"/>
      <c r="C1676" s="22"/>
      <c r="D1676" s="22"/>
      <c r="E1676" s="23" t="str">
        <f>IF($D1676="","",IFERROR(VLOOKUP($D1676,'ACAH Capital Tracker'!$A:$H,8,FALSE()),""))</f>
        <v/>
      </c>
      <c r="F1676" s="24"/>
      <c r="G1676" s="25" t="str">
        <f>IF($D1676="","",IFERROR(VLOOKUP($D1676,'ACAH Capital Tracker'!$A:$D,4,FALSE()),""))</f>
        <v/>
      </c>
      <c r="H1676" s="22"/>
    </row>
    <row r="1677" spans="1:8">
      <c r="A1677" s="21"/>
      <c r="B1677" s="22"/>
      <c r="C1677" s="22"/>
      <c r="D1677" s="22"/>
      <c r="E1677" s="23" t="str">
        <f>IF($D1677="","",IFERROR(VLOOKUP($D1677,'ACAH Capital Tracker'!$A:$H,8,FALSE()),""))</f>
        <v/>
      </c>
      <c r="F1677" s="24"/>
      <c r="G1677" s="25" t="str">
        <f>IF($D1677="","",IFERROR(VLOOKUP($D1677,'ACAH Capital Tracker'!$A:$D,4,FALSE()),""))</f>
        <v/>
      </c>
      <c r="H1677" s="22"/>
    </row>
    <row r="1678" spans="1:8">
      <c r="A1678" s="21"/>
      <c r="B1678" s="22"/>
      <c r="C1678" s="22"/>
      <c r="D1678" s="22"/>
      <c r="E1678" s="23" t="str">
        <f>IF($D1678="","",IFERROR(VLOOKUP($D1678,'ACAH Capital Tracker'!$A:$H,8,FALSE()),""))</f>
        <v/>
      </c>
      <c r="F1678" s="24"/>
      <c r="G1678" s="25" t="str">
        <f>IF($D1678="","",IFERROR(VLOOKUP($D1678,'ACAH Capital Tracker'!$A:$D,4,FALSE()),""))</f>
        <v/>
      </c>
      <c r="H1678" s="22"/>
    </row>
    <row r="1679" spans="1:8">
      <c r="A1679" s="21"/>
      <c r="B1679" s="22"/>
      <c r="C1679" s="22"/>
      <c r="D1679" s="22"/>
      <c r="E1679" s="23" t="str">
        <f>IF($D1679="","",IFERROR(VLOOKUP($D1679,'ACAH Capital Tracker'!$A:$H,8,FALSE()),""))</f>
        <v/>
      </c>
      <c r="F1679" s="24"/>
      <c r="G1679" s="25" t="str">
        <f>IF($D1679="","",IFERROR(VLOOKUP($D1679,'ACAH Capital Tracker'!$A:$D,4,FALSE()),""))</f>
        <v/>
      </c>
      <c r="H1679" s="22"/>
    </row>
    <row r="1680" spans="1:8">
      <c r="A1680" s="21"/>
      <c r="B1680" s="22"/>
      <c r="C1680" s="22"/>
      <c r="D1680" s="22"/>
      <c r="E1680" s="23" t="str">
        <f>IF($D1680="","",IFERROR(VLOOKUP($D1680,'ACAH Capital Tracker'!$A:$H,8,FALSE()),""))</f>
        <v/>
      </c>
      <c r="F1680" s="24"/>
      <c r="G1680" s="25" t="str">
        <f>IF($D1680="","",IFERROR(VLOOKUP($D1680,'ACAH Capital Tracker'!$A:$D,4,FALSE()),""))</f>
        <v/>
      </c>
      <c r="H1680" s="22"/>
    </row>
    <row r="1681" spans="1:8">
      <c r="A1681" s="21"/>
      <c r="B1681" s="22"/>
      <c r="C1681" s="22"/>
      <c r="D1681" s="22"/>
      <c r="E1681" s="23" t="str">
        <f>IF($D1681="","",IFERROR(VLOOKUP($D1681,'ACAH Capital Tracker'!$A:$H,8,FALSE()),""))</f>
        <v/>
      </c>
      <c r="F1681" s="24"/>
      <c r="G1681" s="25" t="str">
        <f>IF($D1681="","",IFERROR(VLOOKUP($D1681,'ACAH Capital Tracker'!$A:$D,4,FALSE()),""))</f>
        <v/>
      </c>
      <c r="H1681" s="22"/>
    </row>
    <row r="1682" spans="1:8">
      <c r="A1682" s="21"/>
      <c r="B1682" s="22"/>
      <c r="C1682" s="22"/>
      <c r="D1682" s="22"/>
      <c r="E1682" s="23" t="str">
        <f>IF($D1682="","",IFERROR(VLOOKUP($D1682,'ACAH Capital Tracker'!$A:$H,8,FALSE()),""))</f>
        <v/>
      </c>
      <c r="F1682" s="24"/>
      <c r="G1682" s="25" t="str">
        <f>IF($D1682="","",IFERROR(VLOOKUP($D1682,'ACAH Capital Tracker'!$A:$D,4,FALSE()),""))</f>
        <v/>
      </c>
      <c r="H1682" s="22"/>
    </row>
    <row r="1683" spans="1:8">
      <c r="A1683" s="21"/>
      <c r="B1683" s="22"/>
      <c r="C1683" s="22"/>
      <c r="D1683" s="22"/>
      <c r="E1683" s="23" t="str">
        <f>IF($D1683="","",IFERROR(VLOOKUP($D1683,'ACAH Capital Tracker'!$A:$H,8,FALSE()),""))</f>
        <v/>
      </c>
      <c r="F1683" s="24"/>
      <c r="G1683" s="25" t="str">
        <f>IF($D1683="","",IFERROR(VLOOKUP($D1683,'ACAH Capital Tracker'!$A:$D,4,FALSE()),""))</f>
        <v/>
      </c>
      <c r="H1683" s="22"/>
    </row>
    <row r="1684" spans="1:8">
      <c r="A1684" s="21"/>
      <c r="B1684" s="22"/>
      <c r="C1684" s="22"/>
      <c r="D1684" s="22"/>
      <c r="E1684" s="23" t="str">
        <f>IF($D1684="","",IFERROR(VLOOKUP($D1684,'ACAH Capital Tracker'!$A:$H,8,FALSE()),""))</f>
        <v/>
      </c>
      <c r="F1684" s="24"/>
      <c r="G1684" s="25" t="str">
        <f>IF($D1684="","",IFERROR(VLOOKUP($D1684,'ACAH Capital Tracker'!$A:$D,4,FALSE()),""))</f>
        <v/>
      </c>
      <c r="H1684" s="22"/>
    </row>
    <row r="1685" spans="1:8">
      <c r="A1685" s="21"/>
      <c r="B1685" s="22"/>
      <c r="C1685" s="22"/>
      <c r="D1685" s="22"/>
      <c r="E1685" s="23" t="str">
        <f>IF($D1685="","",IFERROR(VLOOKUP($D1685,'ACAH Capital Tracker'!$A:$H,8,FALSE()),""))</f>
        <v/>
      </c>
      <c r="F1685" s="24"/>
      <c r="G1685" s="25" t="str">
        <f>IF($D1685="","",IFERROR(VLOOKUP($D1685,'ACAH Capital Tracker'!$A:$D,4,FALSE()),""))</f>
        <v/>
      </c>
      <c r="H1685" s="22"/>
    </row>
    <row r="1686" spans="1:8">
      <c r="A1686" s="21"/>
      <c r="B1686" s="22"/>
      <c r="C1686" s="22"/>
      <c r="D1686" s="22"/>
      <c r="E1686" s="23" t="str">
        <f>IF($D1686="","",IFERROR(VLOOKUP($D1686,'ACAH Capital Tracker'!$A:$H,8,FALSE()),""))</f>
        <v/>
      </c>
      <c r="F1686" s="24"/>
      <c r="G1686" s="25" t="str">
        <f>IF($D1686="","",IFERROR(VLOOKUP($D1686,'ACAH Capital Tracker'!$A:$D,4,FALSE()),""))</f>
        <v/>
      </c>
      <c r="H1686" s="22"/>
    </row>
    <row r="1687" spans="1:8">
      <c r="A1687" s="21"/>
      <c r="B1687" s="22"/>
      <c r="C1687" s="22"/>
      <c r="D1687" s="22"/>
      <c r="E1687" s="23" t="str">
        <f>IF($D1687="","",IFERROR(VLOOKUP($D1687,'ACAH Capital Tracker'!$A:$H,8,FALSE()),""))</f>
        <v/>
      </c>
      <c r="F1687" s="24"/>
      <c r="G1687" s="25" t="str">
        <f>IF($D1687="","",IFERROR(VLOOKUP($D1687,'ACAH Capital Tracker'!$A:$D,4,FALSE()),""))</f>
        <v/>
      </c>
      <c r="H1687" s="22"/>
    </row>
    <row r="1688" spans="1:8">
      <c r="A1688" s="21"/>
      <c r="B1688" s="22"/>
      <c r="C1688" s="22"/>
      <c r="D1688" s="22"/>
      <c r="E1688" s="23" t="str">
        <f>IF($D1688="","",IFERROR(VLOOKUP($D1688,'ACAH Capital Tracker'!$A:$H,8,FALSE()),""))</f>
        <v/>
      </c>
      <c r="F1688" s="24"/>
      <c r="G1688" s="25" t="str">
        <f>IF($D1688="","",IFERROR(VLOOKUP($D1688,'ACAH Capital Tracker'!$A:$D,4,FALSE()),""))</f>
        <v/>
      </c>
      <c r="H1688" s="22"/>
    </row>
    <row r="1689" spans="1:8">
      <c r="A1689" s="21"/>
      <c r="B1689" s="22"/>
      <c r="C1689" s="22"/>
      <c r="D1689" s="22"/>
      <c r="E1689" s="23" t="str">
        <f>IF($D1689="","",IFERROR(VLOOKUP($D1689,'ACAH Capital Tracker'!$A:$H,8,FALSE()),""))</f>
        <v/>
      </c>
      <c r="F1689" s="24"/>
      <c r="G1689" s="25" t="str">
        <f>IF($D1689="","",IFERROR(VLOOKUP($D1689,'ACAH Capital Tracker'!$A:$D,4,FALSE()),""))</f>
        <v/>
      </c>
      <c r="H1689" s="22"/>
    </row>
    <row r="1690" spans="1:8">
      <c r="A1690" s="21"/>
      <c r="B1690" s="22"/>
      <c r="C1690" s="22"/>
      <c r="D1690" s="22"/>
      <c r="E1690" s="23" t="str">
        <f>IF($D1690="","",IFERROR(VLOOKUP($D1690,'ACAH Capital Tracker'!$A:$H,8,FALSE()),""))</f>
        <v/>
      </c>
      <c r="F1690" s="24"/>
      <c r="G1690" s="25" t="str">
        <f>IF($D1690="","",IFERROR(VLOOKUP($D1690,'ACAH Capital Tracker'!$A:$D,4,FALSE()),""))</f>
        <v/>
      </c>
      <c r="H1690" s="22"/>
    </row>
    <row r="1691" spans="1:8">
      <c r="A1691" s="21"/>
      <c r="B1691" s="22"/>
      <c r="C1691" s="22"/>
      <c r="D1691" s="22"/>
      <c r="E1691" s="23" t="str">
        <f>IF($D1691="","",IFERROR(VLOOKUP($D1691,'ACAH Capital Tracker'!$A:$H,8,FALSE()),""))</f>
        <v/>
      </c>
      <c r="F1691" s="24"/>
      <c r="G1691" s="25" t="str">
        <f>IF($D1691="","",IFERROR(VLOOKUP($D1691,'ACAH Capital Tracker'!$A:$D,4,FALSE()),""))</f>
        <v/>
      </c>
      <c r="H1691" s="22"/>
    </row>
    <row r="1692" spans="1:8">
      <c r="A1692" s="21"/>
      <c r="B1692" s="22"/>
      <c r="C1692" s="22"/>
      <c r="D1692" s="22"/>
      <c r="E1692" s="23" t="str">
        <f>IF($D1692="","",IFERROR(VLOOKUP($D1692,'ACAH Capital Tracker'!$A:$H,8,FALSE()),""))</f>
        <v/>
      </c>
      <c r="F1692" s="24"/>
      <c r="G1692" s="25" t="str">
        <f>IF($D1692="","",IFERROR(VLOOKUP($D1692,'ACAH Capital Tracker'!$A:$D,4,FALSE()),""))</f>
        <v/>
      </c>
      <c r="H1692" s="22"/>
    </row>
    <row r="1693" spans="1:8">
      <c r="A1693" s="21"/>
      <c r="B1693" s="22"/>
      <c r="C1693" s="22"/>
      <c r="D1693" s="22"/>
      <c r="E1693" s="23" t="str">
        <f>IF($D1693="","",IFERROR(VLOOKUP($D1693,'ACAH Capital Tracker'!$A:$H,8,FALSE()),""))</f>
        <v/>
      </c>
      <c r="F1693" s="24"/>
      <c r="G1693" s="25" t="str">
        <f>IF($D1693="","",IFERROR(VLOOKUP($D1693,'ACAH Capital Tracker'!$A:$D,4,FALSE()),""))</f>
        <v/>
      </c>
      <c r="H1693" s="22"/>
    </row>
    <row r="1694" spans="1:8">
      <c r="A1694" s="21"/>
      <c r="B1694" s="22"/>
      <c r="C1694" s="22"/>
      <c r="D1694" s="22"/>
      <c r="E1694" s="23" t="str">
        <f>IF($D1694="","",IFERROR(VLOOKUP($D1694,'ACAH Capital Tracker'!$A:$H,8,FALSE()),""))</f>
        <v/>
      </c>
      <c r="F1694" s="24"/>
      <c r="G1694" s="25" t="str">
        <f>IF($D1694="","",IFERROR(VLOOKUP($D1694,'ACAH Capital Tracker'!$A:$D,4,FALSE()),""))</f>
        <v/>
      </c>
      <c r="H1694" s="22"/>
    </row>
    <row r="1695" spans="1:8">
      <c r="A1695" s="21"/>
      <c r="B1695" s="22"/>
      <c r="C1695" s="22"/>
      <c r="D1695" s="22"/>
      <c r="E1695" s="23" t="str">
        <f>IF($D1695="","",IFERROR(VLOOKUP($D1695,'ACAH Capital Tracker'!$A:$H,8,FALSE()),""))</f>
        <v/>
      </c>
      <c r="F1695" s="24"/>
      <c r="G1695" s="25" t="str">
        <f>IF($D1695="","",IFERROR(VLOOKUP($D1695,'ACAH Capital Tracker'!$A:$D,4,FALSE()),""))</f>
        <v/>
      </c>
      <c r="H1695" s="22"/>
    </row>
    <row r="1696" spans="1:8">
      <c r="A1696" s="21"/>
      <c r="B1696" s="22"/>
      <c r="C1696" s="22"/>
      <c r="D1696" s="22"/>
      <c r="E1696" s="23" t="str">
        <f>IF($D1696="","",IFERROR(VLOOKUP($D1696,'ACAH Capital Tracker'!$A:$H,8,FALSE()),""))</f>
        <v/>
      </c>
      <c r="F1696" s="24"/>
      <c r="G1696" s="25" t="str">
        <f>IF($D1696="","",IFERROR(VLOOKUP($D1696,'ACAH Capital Tracker'!$A:$D,4,FALSE()),""))</f>
        <v/>
      </c>
      <c r="H1696" s="22"/>
    </row>
    <row r="1697" spans="1:8">
      <c r="A1697" s="21"/>
      <c r="B1697" s="22"/>
      <c r="C1697" s="22"/>
      <c r="D1697" s="22"/>
      <c r="E1697" s="23" t="str">
        <f>IF($D1697="","",IFERROR(VLOOKUP($D1697,'ACAH Capital Tracker'!$A:$H,8,FALSE()),""))</f>
        <v/>
      </c>
      <c r="F1697" s="24"/>
      <c r="G1697" s="25" t="str">
        <f>IF($D1697="","",IFERROR(VLOOKUP($D1697,'ACAH Capital Tracker'!$A:$D,4,FALSE()),""))</f>
        <v/>
      </c>
      <c r="H1697" s="22"/>
    </row>
    <row r="1698" spans="1:8">
      <c r="A1698" s="21"/>
      <c r="B1698" s="22"/>
      <c r="C1698" s="22"/>
      <c r="D1698" s="22"/>
      <c r="E1698" s="23" t="str">
        <f>IF($D1698="","",IFERROR(VLOOKUP($D1698,'ACAH Capital Tracker'!$A:$H,8,FALSE()),""))</f>
        <v/>
      </c>
      <c r="F1698" s="24"/>
      <c r="G1698" s="25" t="str">
        <f>IF($D1698="","",IFERROR(VLOOKUP($D1698,'ACAH Capital Tracker'!$A:$D,4,FALSE()),""))</f>
        <v/>
      </c>
      <c r="H1698" s="22"/>
    </row>
    <row r="1699" spans="1:8">
      <c r="A1699" s="21"/>
      <c r="B1699" s="22"/>
      <c r="C1699" s="22"/>
      <c r="D1699" s="22"/>
      <c r="E1699" s="23" t="str">
        <f>IF($D1699="","",IFERROR(VLOOKUP($D1699,'ACAH Capital Tracker'!$A:$H,8,FALSE()),""))</f>
        <v/>
      </c>
      <c r="F1699" s="24"/>
      <c r="G1699" s="25" t="str">
        <f>IF($D1699="","",IFERROR(VLOOKUP($D1699,'ACAH Capital Tracker'!$A:$D,4,FALSE()),""))</f>
        <v/>
      </c>
      <c r="H1699" s="22"/>
    </row>
    <row r="1700" spans="1:8">
      <c r="A1700" s="21"/>
      <c r="B1700" s="22"/>
      <c r="C1700" s="22"/>
      <c r="D1700" s="22"/>
      <c r="E1700" s="23" t="str">
        <f>IF($D1700="","",IFERROR(VLOOKUP($D1700,'ACAH Capital Tracker'!$A:$H,8,FALSE()),""))</f>
        <v/>
      </c>
      <c r="F1700" s="24"/>
      <c r="G1700" s="25" t="str">
        <f>IF($D1700="","",IFERROR(VLOOKUP($D1700,'ACAH Capital Tracker'!$A:$D,4,FALSE()),""))</f>
        <v/>
      </c>
      <c r="H1700" s="22"/>
    </row>
    <row r="1701" spans="1:8">
      <c r="A1701" s="21"/>
      <c r="B1701" s="22"/>
      <c r="C1701" s="22"/>
      <c r="D1701" s="22"/>
      <c r="E1701" s="23" t="str">
        <f>IF($D1701="","",IFERROR(VLOOKUP($D1701,'ACAH Capital Tracker'!$A:$H,8,FALSE()),""))</f>
        <v/>
      </c>
      <c r="F1701" s="24"/>
      <c r="G1701" s="25" t="str">
        <f>IF($D1701="","",IFERROR(VLOOKUP($D1701,'ACAH Capital Tracker'!$A:$D,4,FALSE()),""))</f>
        <v/>
      </c>
      <c r="H1701" s="22"/>
    </row>
    <row r="1702" spans="1:8">
      <c r="A1702" s="21"/>
      <c r="B1702" s="22"/>
      <c r="C1702" s="22"/>
      <c r="D1702" s="22"/>
      <c r="E1702" s="23" t="str">
        <f>IF($D1702="","",IFERROR(VLOOKUP($D1702,'ACAH Capital Tracker'!$A:$H,8,FALSE()),""))</f>
        <v/>
      </c>
      <c r="F1702" s="24"/>
      <c r="G1702" s="25" t="str">
        <f>IF($D1702="","",IFERROR(VLOOKUP($D1702,'ACAH Capital Tracker'!$A:$D,4,FALSE()),""))</f>
        <v/>
      </c>
      <c r="H1702" s="22"/>
    </row>
    <row r="1703" spans="1:8">
      <c r="A1703" s="21"/>
      <c r="B1703" s="22"/>
      <c r="C1703" s="22"/>
      <c r="D1703" s="22"/>
      <c r="E1703" s="23" t="str">
        <f>IF($D1703="","",IFERROR(VLOOKUP($D1703,'ACAH Capital Tracker'!$A:$H,8,FALSE()),""))</f>
        <v/>
      </c>
      <c r="F1703" s="24"/>
      <c r="G1703" s="25" t="str">
        <f>IF($D1703="","",IFERROR(VLOOKUP($D1703,'ACAH Capital Tracker'!$A:$D,4,FALSE()),""))</f>
        <v/>
      </c>
      <c r="H1703" s="22"/>
    </row>
    <row r="1704" spans="1:8">
      <c r="A1704" s="21"/>
      <c r="B1704" s="22"/>
      <c r="C1704" s="22"/>
      <c r="D1704" s="22"/>
      <c r="E1704" s="23" t="str">
        <f>IF($D1704="","",IFERROR(VLOOKUP($D1704,'ACAH Capital Tracker'!$A:$H,8,FALSE()),""))</f>
        <v/>
      </c>
      <c r="F1704" s="24"/>
      <c r="G1704" s="25" t="str">
        <f>IF($D1704="","",IFERROR(VLOOKUP($D1704,'ACAH Capital Tracker'!$A:$D,4,FALSE()),""))</f>
        <v/>
      </c>
      <c r="H1704" s="22"/>
    </row>
    <row r="1705" spans="1:8">
      <c r="A1705" s="21"/>
      <c r="B1705" s="22"/>
      <c r="C1705" s="22"/>
      <c r="D1705" s="22"/>
      <c r="E1705" s="23" t="str">
        <f>IF($D1705="","",IFERROR(VLOOKUP($D1705,'ACAH Capital Tracker'!$A:$H,8,FALSE()),""))</f>
        <v/>
      </c>
      <c r="F1705" s="24"/>
      <c r="G1705" s="25" t="str">
        <f>IF($D1705="","",IFERROR(VLOOKUP($D1705,'ACAH Capital Tracker'!$A:$D,4,FALSE()),""))</f>
        <v/>
      </c>
      <c r="H1705" s="22"/>
    </row>
    <row r="1706" spans="1:8">
      <c r="A1706" s="21"/>
      <c r="B1706" s="22"/>
      <c r="C1706" s="22"/>
      <c r="D1706" s="22"/>
      <c r="E1706" s="23" t="str">
        <f>IF($D1706="","",IFERROR(VLOOKUP($D1706,'ACAH Capital Tracker'!$A:$H,8,FALSE()),""))</f>
        <v/>
      </c>
      <c r="F1706" s="24"/>
      <c r="G1706" s="25" t="str">
        <f>IF($D1706="","",IFERROR(VLOOKUP($D1706,'ACAH Capital Tracker'!$A:$D,4,FALSE()),""))</f>
        <v/>
      </c>
      <c r="H1706" s="22"/>
    </row>
    <row r="1707" spans="1:8">
      <c r="A1707" s="21"/>
      <c r="B1707" s="22"/>
      <c r="C1707" s="22"/>
      <c r="D1707" s="22"/>
      <c r="E1707" s="23" t="str">
        <f>IF($D1707="","",IFERROR(VLOOKUP($D1707,'ACAH Capital Tracker'!$A:$H,8,FALSE()),""))</f>
        <v/>
      </c>
      <c r="F1707" s="24"/>
      <c r="G1707" s="25" t="str">
        <f>IF($D1707="","",IFERROR(VLOOKUP($D1707,'ACAH Capital Tracker'!$A:$D,4,FALSE()),""))</f>
        <v/>
      </c>
      <c r="H1707" s="22"/>
    </row>
    <row r="1708" spans="1:8">
      <c r="A1708" s="21"/>
      <c r="B1708" s="22"/>
      <c r="C1708" s="22"/>
      <c r="D1708" s="22"/>
      <c r="E1708" s="23" t="str">
        <f>IF($D1708="","",IFERROR(VLOOKUP($D1708,'ACAH Capital Tracker'!$A:$H,8,FALSE()),""))</f>
        <v/>
      </c>
      <c r="F1708" s="24"/>
      <c r="G1708" s="25" t="str">
        <f>IF($D1708="","",IFERROR(VLOOKUP($D1708,'ACAH Capital Tracker'!$A:$D,4,FALSE()),""))</f>
        <v/>
      </c>
      <c r="H1708" s="22"/>
    </row>
    <row r="1709" spans="1:8">
      <c r="A1709" s="21"/>
      <c r="B1709" s="22"/>
      <c r="C1709" s="22"/>
      <c r="D1709" s="22"/>
      <c r="E1709" s="23" t="str">
        <f>IF($D1709="","",IFERROR(VLOOKUP($D1709,'ACAH Capital Tracker'!$A:$H,8,FALSE()),""))</f>
        <v/>
      </c>
      <c r="F1709" s="24"/>
      <c r="G1709" s="25" t="str">
        <f>IF($D1709="","",IFERROR(VLOOKUP($D1709,'ACAH Capital Tracker'!$A:$D,4,FALSE()),""))</f>
        <v/>
      </c>
      <c r="H1709" s="22"/>
    </row>
    <row r="1710" spans="1:8">
      <c r="A1710" s="21"/>
      <c r="B1710" s="22"/>
      <c r="C1710" s="22"/>
      <c r="D1710" s="22"/>
      <c r="E1710" s="23" t="str">
        <f>IF($D1710="","",IFERROR(VLOOKUP($D1710,'ACAH Capital Tracker'!$A:$H,8,FALSE()),""))</f>
        <v/>
      </c>
      <c r="F1710" s="24"/>
      <c r="G1710" s="25" t="str">
        <f>IF($D1710="","",IFERROR(VLOOKUP($D1710,'ACAH Capital Tracker'!$A:$D,4,FALSE()),""))</f>
        <v/>
      </c>
      <c r="H1710" s="22"/>
    </row>
    <row r="1711" spans="1:8">
      <c r="A1711" s="21"/>
      <c r="B1711" s="22"/>
      <c r="C1711" s="22"/>
      <c r="D1711" s="22"/>
      <c r="E1711" s="23" t="str">
        <f>IF($D1711="","",IFERROR(VLOOKUP($D1711,'ACAH Capital Tracker'!$A:$H,8,FALSE()),""))</f>
        <v/>
      </c>
      <c r="F1711" s="24"/>
      <c r="G1711" s="25" t="str">
        <f>IF($D1711="","",IFERROR(VLOOKUP($D1711,'ACAH Capital Tracker'!$A:$D,4,FALSE()),""))</f>
        <v/>
      </c>
      <c r="H1711" s="22"/>
    </row>
    <row r="1712" spans="1:8">
      <c r="A1712" s="21"/>
      <c r="B1712" s="22"/>
      <c r="C1712" s="22"/>
      <c r="D1712" s="22"/>
      <c r="E1712" s="23" t="str">
        <f>IF($D1712="","",IFERROR(VLOOKUP($D1712,'ACAH Capital Tracker'!$A:$H,8,FALSE()),""))</f>
        <v/>
      </c>
      <c r="F1712" s="24"/>
      <c r="G1712" s="25" t="str">
        <f>IF($D1712="","",IFERROR(VLOOKUP($D1712,'ACAH Capital Tracker'!$A:$D,4,FALSE()),""))</f>
        <v/>
      </c>
      <c r="H1712" s="22"/>
    </row>
    <row r="1713" spans="1:8">
      <c r="A1713" s="21"/>
      <c r="B1713" s="22"/>
      <c r="C1713" s="22"/>
      <c r="D1713" s="22"/>
      <c r="E1713" s="23" t="str">
        <f>IF($D1713="","",IFERROR(VLOOKUP($D1713,'ACAH Capital Tracker'!$A:$H,8,FALSE()),""))</f>
        <v/>
      </c>
      <c r="F1713" s="24"/>
      <c r="G1713" s="25" t="str">
        <f>IF($D1713="","",IFERROR(VLOOKUP($D1713,'ACAH Capital Tracker'!$A:$D,4,FALSE()),""))</f>
        <v/>
      </c>
      <c r="H1713" s="22"/>
    </row>
    <row r="1714" spans="1:8">
      <c r="A1714" s="21"/>
      <c r="B1714" s="22"/>
      <c r="C1714" s="22"/>
      <c r="D1714" s="22"/>
      <c r="E1714" s="23" t="str">
        <f>IF($D1714="","",IFERROR(VLOOKUP($D1714,'ACAH Capital Tracker'!$A:$H,8,FALSE()),""))</f>
        <v/>
      </c>
      <c r="F1714" s="24"/>
      <c r="G1714" s="25" t="str">
        <f>IF($D1714="","",IFERROR(VLOOKUP($D1714,'ACAH Capital Tracker'!$A:$D,4,FALSE()),""))</f>
        <v/>
      </c>
      <c r="H1714" s="22"/>
    </row>
    <row r="1715" spans="1:8">
      <c r="A1715" s="21"/>
      <c r="B1715" s="22"/>
      <c r="C1715" s="22"/>
      <c r="D1715" s="22"/>
      <c r="E1715" s="23" t="str">
        <f>IF($D1715="","",IFERROR(VLOOKUP($D1715,'ACAH Capital Tracker'!$A:$H,8,FALSE()),""))</f>
        <v/>
      </c>
      <c r="F1715" s="24"/>
      <c r="G1715" s="25" t="str">
        <f>IF($D1715="","",IFERROR(VLOOKUP($D1715,'ACAH Capital Tracker'!$A:$D,4,FALSE()),""))</f>
        <v/>
      </c>
      <c r="H1715" s="22"/>
    </row>
    <row r="1716" spans="1:8">
      <c r="A1716" s="21"/>
      <c r="B1716" s="22"/>
      <c r="C1716" s="22"/>
      <c r="D1716" s="22"/>
      <c r="E1716" s="23" t="str">
        <f>IF($D1716="","",IFERROR(VLOOKUP($D1716,'ACAH Capital Tracker'!$A:$H,8,FALSE()),""))</f>
        <v/>
      </c>
      <c r="F1716" s="24"/>
      <c r="G1716" s="25" t="str">
        <f>IF($D1716="","",IFERROR(VLOOKUP($D1716,'ACAH Capital Tracker'!$A:$D,4,FALSE()),""))</f>
        <v/>
      </c>
      <c r="H1716" s="22"/>
    </row>
    <row r="1717" spans="1:8">
      <c r="A1717" s="21"/>
      <c r="B1717" s="22"/>
      <c r="C1717" s="22"/>
      <c r="D1717" s="22"/>
      <c r="E1717" s="23" t="str">
        <f>IF($D1717="","",IFERROR(VLOOKUP($D1717,'ACAH Capital Tracker'!$A:$H,8,FALSE()),""))</f>
        <v/>
      </c>
      <c r="F1717" s="24"/>
      <c r="G1717" s="25" t="str">
        <f>IF($D1717="","",IFERROR(VLOOKUP($D1717,'ACAH Capital Tracker'!$A:$D,4,FALSE()),""))</f>
        <v/>
      </c>
      <c r="H1717" s="22"/>
    </row>
    <row r="1718" spans="1:8">
      <c r="A1718" s="21"/>
      <c r="B1718" s="22"/>
      <c r="C1718" s="22"/>
      <c r="D1718" s="22"/>
      <c r="E1718" s="23" t="str">
        <f>IF($D1718="","",IFERROR(VLOOKUP($D1718,'ACAH Capital Tracker'!$A:$H,8,FALSE()),""))</f>
        <v/>
      </c>
      <c r="F1718" s="24"/>
      <c r="G1718" s="25" t="str">
        <f>IF($D1718="","",IFERROR(VLOOKUP($D1718,'ACAH Capital Tracker'!$A:$D,4,FALSE()),""))</f>
        <v/>
      </c>
      <c r="H1718" s="22"/>
    </row>
    <row r="1719" spans="1:8">
      <c r="A1719" s="21"/>
      <c r="B1719" s="22"/>
      <c r="C1719" s="22"/>
      <c r="D1719" s="22"/>
      <c r="E1719" s="23" t="str">
        <f>IF($D1719="","",IFERROR(VLOOKUP($D1719,'ACAH Capital Tracker'!$A:$H,8,FALSE()),""))</f>
        <v/>
      </c>
      <c r="F1719" s="24"/>
      <c r="G1719" s="25" t="str">
        <f>IF($D1719="","",IFERROR(VLOOKUP($D1719,'ACAH Capital Tracker'!$A:$D,4,FALSE()),""))</f>
        <v/>
      </c>
      <c r="H1719" s="22"/>
    </row>
    <row r="1720" spans="1:8">
      <c r="A1720" s="21"/>
      <c r="B1720" s="22"/>
      <c r="C1720" s="22"/>
      <c r="D1720" s="22"/>
      <c r="E1720" s="23" t="str">
        <f>IF($D1720="","",IFERROR(VLOOKUP($D1720,'ACAH Capital Tracker'!$A:$H,8,FALSE()),""))</f>
        <v/>
      </c>
      <c r="F1720" s="24"/>
      <c r="G1720" s="25" t="str">
        <f>IF($D1720="","",IFERROR(VLOOKUP($D1720,'ACAH Capital Tracker'!$A:$D,4,FALSE()),""))</f>
        <v/>
      </c>
      <c r="H1720" s="22"/>
    </row>
    <row r="1721" spans="1:8">
      <c r="A1721" s="21"/>
      <c r="B1721" s="22"/>
      <c r="C1721" s="22"/>
      <c r="D1721" s="22"/>
      <c r="E1721" s="23" t="str">
        <f>IF($D1721="","",IFERROR(VLOOKUP($D1721,'ACAH Capital Tracker'!$A:$H,8,FALSE()),""))</f>
        <v/>
      </c>
      <c r="F1721" s="24"/>
      <c r="G1721" s="25" t="str">
        <f>IF($D1721="","",IFERROR(VLOOKUP($D1721,'ACAH Capital Tracker'!$A:$D,4,FALSE()),""))</f>
        <v/>
      </c>
      <c r="H1721" s="22"/>
    </row>
    <row r="1722" spans="1:8">
      <c r="A1722" s="21"/>
      <c r="B1722" s="22"/>
      <c r="C1722" s="22"/>
      <c r="D1722" s="22"/>
      <c r="E1722" s="23" t="str">
        <f>IF($D1722="","",IFERROR(VLOOKUP($D1722,'ACAH Capital Tracker'!$A:$H,8,FALSE()),""))</f>
        <v/>
      </c>
      <c r="F1722" s="24"/>
      <c r="G1722" s="25" t="str">
        <f>IF($D1722="","",IFERROR(VLOOKUP($D1722,'ACAH Capital Tracker'!$A:$D,4,FALSE()),""))</f>
        <v/>
      </c>
      <c r="H1722" s="22"/>
    </row>
    <row r="1723" spans="1:8">
      <c r="A1723" s="21"/>
      <c r="B1723" s="22"/>
      <c r="C1723" s="22"/>
      <c r="D1723" s="22"/>
      <c r="E1723" s="23" t="str">
        <f>IF($D1723="","",IFERROR(VLOOKUP($D1723,'ACAH Capital Tracker'!$A:$H,8,FALSE()),""))</f>
        <v/>
      </c>
      <c r="F1723" s="24"/>
      <c r="G1723" s="25" t="str">
        <f>IF($D1723="","",IFERROR(VLOOKUP($D1723,'ACAH Capital Tracker'!$A:$D,4,FALSE()),""))</f>
        <v/>
      </c>
      <c r="H1723" s="22"/>
    </row>
    <row r="1724" spans="1:8">
      <c r="A1724" s="21"/>
      <c r="B1724" s="22"/>
      <c r="C1724" s="22"/>
      <c r="D1724" s="22"/>
      <c r="E1724" s="23" t="str">
        <f>IF($D1724="","",IFERROR(VLOOKUP($D1724,'ACAH Capital Tracker'!$A:$H,8,FALSE()),""))</f>
        <v/>
      </c>
      <c r="F1724" s="24"/>
      <c r="G1724" s="25" t="str">
        <f>IF($D1724="","",IFERROR(VLOOKUP($D1724,'ACAH Capital Tracker'!$A:$D,4,FALSE()),""))</f>
        <v/>
      </c>
      <c r="H1724" s="22"/>
    </row>
    <row r="1725" spans="1:8">
      <c r="A1725" s="21"/>
      <c r="B1725" s="22"/>
      <c r="C1725" s="22"/>
      <c r="D1725" s="22"/>
      <c r="E1725" s="23" t="str">
        <f>IF($D1725="","",IFERROR(VLOOKUP($D1725,'ACAH Capital Tracker'!$A:$H,8,FALSE()),""))</f>
        <v/>
      </c>
      <c r="F1725" s="24"/>
      <c r="G1725" s="25" t="str">
        <f>IF($D1725="","",IFERROR(VLOOKUP($D1725,'ACAH Capital Tracker'!$A:$D,4,FALSE()),""))</f>
        <v/>
      </c>
      <c r="H1725" s="22"/>
    </row>
    <row r="1726" spans="1:8">
      <c r="A1726" s="21"/>
      <c r="B1726" s="22"/>
      <c r="C1726" s="22"/>
      <c r="D1726" s="22"/>
      <c r="E1726" s="23" t="str">
        <f>IF($D1726="","",IFERROR(VLOOKUP($D1726,'ACAH Capital Tracker'!$A:$H,8,FALSE()),""))</f>
        <v/>
      </c>
      <c r="F1726" s="24"/>
      <c r="G1726" s="25" t="str">
        <f>IF($D1726="","",IFERROR(VLOOKUP($D1726,'ACAH Capital Tracker'!$A:$D,4,FALSE()),""))</f>
        <v/>
      </c>
      <c r="H1726" s="22"/>
    </row>
    <row r="1727" spans="1:8">
      <c r="A1727" s="21"/>
      <c r="B1727" s="22"/>
      <c r="C1727" s="22"/>
      <c r="D1727" s="22"/>
      <c r="E1727" s="23" t="str">
        <f>IF($D1727="","",IFERROR(VLOOKUP($D1727,'ACAH Capital Tracker'!$A:$H,8,FALSE()),""))</f>
        <v/>
      </c>
      <c r="F1727" s="24"/>
      <c r="G1727" s="25" t="str">
        <f>IF($D1727="","",IFERROR(VLOOKUP($D1727,'ACAH Capital Tracker'!$A:$D,4,FALSE()),""))</f>
        <v/>
      </c>
      <c r="H1727" s="22"/>
    </row>
    <row r="1728" spans="1:8">
      <c r="A1728" s="21"/>
      <c r="B1728" s="22"/>
      <c r="C1728" s="22"/>
      <c r="D1728" s="22"/>
      <c r="E1728" s="23" t="str">
        <f>IF($D1728="","",IFERROR(VLOOKUP($D1728,'ACAH Capital Tracker'!$A:$H,8,FALSE()),""))</f>
        <v/>
      </c>
      <c r="F1728" s="24"/>
      <c r="G1728" s="25" t="str">
        <f>IF($D1728="","",IFERROR(VLOOKUP($D1728,'ACAH Capital Tracker'!$A:$D,4,FALSE()),""))</f>
        <v/>
      </c>
      <c r="H1728" s="22"/>
    </row>
    <row r="1729" spans="1:8">
      <c r="A1729" s="21"/>
      <c r="B1729" s="22"/>
      <c r="C1729" s="22"/>
      <c r="D1729" s="22"/>
      <c r="E1729" s="23" t="str">
        <f>IF($D1729="","",IFERROR(VLOOKUP($D1729,'ACAH Capital Tracker'!$A:$H,8,FALSE()),""))</f>
        <v/>
      </c>
      <c r="F1729" s="24"/>
      <c r="G1729" s="25" t="str">
        <f>IF($D1729="","",IFERROR(VLOOKUP($D1729,'ACAH Capital Tracker'!$A:$D,4,FALSE()),""))</f>
        <v/>
      </c>
      <c r="H1729" s="22"/>
    </row>
    <row r="1730" spans="1:8">
      <c r="A1730" s="21"/>
      <c r="B1730" s="22"/>
      <c r="C1730" s="22"/>
      <c r="D1730" s="22"/>
      <c r="E1730" s="23" t="str">
        <f>IF($D1730="","",IFERROR(VLOOKUP($D1730,'ACAH Capital Tracker'!$A:$H,8,FALSE()),""))</f>
        <v/>
      </c>
      <c r="F1730" s="24"/>
      <c r="G1730" s="25" t="str">
        <f>IF($D1730="","",IFERROR(VLOOKUP($D1730,'ACAH Capital Tracker'!$A:$D,4,FALSE()),""))</f>
        <v/>
      </c>
      <c r="H1730" s="22"/>
    </row>
    <row r="1731" spans="1:8">
      <c r="A1731" s="21"/>
      <c r="B1731" s="22"/>
      <c r="C1731" s="22"/>
      <c r="D1731" s="22"/>
      <c r="E1731" s="23" t="str">
        <f>IF($D1731="","",IFERROR(VLOOKUP($D1731,'ACAH Capital Tracker'!$A:$H,8,FALSE()),""))</f>
        <v/>
      </c>
      <c r="F1731" s="24"/>
      <c r="G1731" s="25" t="str">
        <f>IF($D1731="","",IFERROR(VLOOKUP($D1731,'ACAH Capital Tracker'!$A:$D,4,FALSE()),""))</f>
        <v/>
      </c>
      <c r="H1731" s="22"/>
    </row>
    <row r="1732" spans="1:8">
      <c r="A1732" s="21"/>
      <c r="B1732" s="22"/>
      <c r="C1732" s="22"/>
      <c r="D1732" s="22"/>
      <c r="E1732" s="23" t="str">
        <f>IF($D1732="","",IFERROR(VLOOKUP($D1732,'ACAH Capital Tracker'!$A:$H,8,FALSE()),""))</f>
        <v/>
      </c>
      <c r="F1732" s="24"/>
      <c r="G1732" s="25" t="str">
        <f>IF($D1732="","",IFERROR(VLOOKUP($D1732,'ACAH Capital Tracker'!$A:$D,4,FALSE()),""))</f>
        <v/>
      </c>
      <c r="H1732" s="22"/>
    </row>
    <row r="1733" spans="1:8">
      <c r="A1733" s="21"/>
      <c r="B1733" s="22"/>
      <c r="C1733" s="22"/>
      <c r="D1733" s="22"/>
      <c r="E1733" s="23" t="str">
        <f>IF($D1733="","",IFERROR(VLOOKUP($D1733,'ACAH Capital Tracker'!$A:$H,8,FALSE()),""))</f>
        <v/>
      </c>
      <c r="F1733" s="24"/>
      <c r="G1733" s="25" t="str">
        <f>IF($D1733="","",IFERROR(VLOOKUP($D1733,'ACAH Capital Tracker'!$A:$D,4,FALSE()),""))</f>
        <v/>
      </c>
      <c r="H1733" s="22"/>
    </row>
    <row r="1734" spans="1:8">
      <c r="A1734" s="21"/>
      <c r="B1734" s="22"/>
      <c r="C1734" s="22"/>
      <c r="D1734" s="22"/>
      <c r="E1734" s="23" t="str">
        <f>IF($D1734="","",IFERROR(VLOOKUP($D1734,'ACAH Capital Tracker'!$A:$H,8,FALSE()),""))</f>
        <v/>
      </c>
      <c r="F1734" s="24"/>
      <c r="G1734" s="25" t="str">
        <f>IF($D1734="","",IFERROR(VLOOKUP($D1734,'ACAH Capital Tracker'!$A:$D,4,FALSE()),""))</f>
        <v/>
      </c>
      <c r="H1734" s="22"/>
    </row>
    <row r="1735" spans="1:8">
      <c r="A1735" s="21"/>
      <c r="B1735" s="22"/>
      <c r="C1735" s="22"/>
      <c r="D1735" s="22"/>
      <c r="E1735" s="23" t="str">
        <f>IF($D1735="","",IFERROR(VLOOKUP($D1735,'ACAH Capital Tracker'!$A:$H,8,FALSE()),""))</f>
        <v/>
      </c>
      <c r="F1735" s="24"/>
      <c r="G1735" s="25" t="str">
        <f>IF($D1735="","",IFERROR(VLOOKUP($D1735,'ACAH Capital Tracker'!$A:$D,4,FALSE()),""))</f>
        <v/>
      </c>
      <c r="H1735" s="22"/>
    </row>
    <row r="1736" spans="1:8">
      <c r="A1736" s="21"/>
      <c r="B1736" s="22"/>
      <c r="C1736" s="22"/>
      <c r="D1736" s="22"/>
      <c r="E1736" s="23" t="str">
        <f>IF($D1736="","",IFERROR(VLOOKUP($D1736,'ACAH Capital Tracker'!$A:$H,8,FALSE()),""))</f>
        <v/>
      </c>
      <c r="F1736" s="24"/>
      <c r="G1736" s="25" t="str">
        <f>IF($D1736="","",IFERROR(VLOOKUP($D1736,'ACAH Capital Tracker'!$A:$D,4,FALSE()),""))</f>
        <v/>
      </c>
      <c r="H1736" s="22"/>
    </row>
    <row r="1737" spans="1:8">
      <c r="A1737" s="21"/>
      <c r="B1737" s="22"/>
      <c r="C1737" s="22"/>
      <c r="D1737" s="22"/>
      <c r="E1737" s="23" t="str">
        <f>IF($D1737="","",IFERROR(VLOOKUP($D1737,'ACAH Capital Tracker'!$A:$H,8,FALSE()),""))</f>
        <v/>
      </c>
      <c r="F1737" s="24"/>
      <c r="G1737" s="25" t="str">
        <f>IF($D1737="","",IFERROR(VLOOKUP($D1737,'ACAH Capital Tracker'!$A:$D,4,FALSE()),""))</f>
        <v/>
      </c>
      <c r="H1737" s="22"/>
    </row>
    <row r="1738" spans="1:8">
      <c r="A1738" s="21"/>
      <c r="B1738" s="22"/>
      <c r="C1738" s="22"/>
      <c r="D1738" s="22"/>
      <c r="E1738" s="23" t="str">
        <f>IF($D1738="","",IFERROR(VLOOKUP($D1738,'ACAH Capital Tracker'!$A:$H,8,FALSE()),""))</f>
        <v/>
      </c>
      <c r="F1738" s="24"/>
      <c r="G1738" s="25" t="str">
        <f>IF($D1738="","",IFERROR(VLOOKUP($D1738,'ACAH Capital Tracker'!$A:$D,4,FALSE()),""))</f>
        <v/>
      </c>
      <c r="H1738" s="22"/>
    </row>
    <row r="1739" spans="1:8">
      <c r="A1739" s="21"/>
      <c r="B1739" s="22"/>
      <c r="C1739" s="22"/>
      <c r="D1739" s="22"/>
      <c r="E1739" s="23" t="str">
        <f>IF($D1739="","",IFERROR(VLOOKUP($D1739,'ACAH Capital Tracker'!$A:$H,8,FALSE()),""))</f>
        <v/>
      </c>
      <c r="F1739" s="24"/>
      <c r="G1739" s="25" t="str">
        <f>IF($D1739="","",IFERROR(VLOOKUP($D1739,'ACAH Capital Tracker'!$A:$D,4,FALSE()),""))</f>
        <v/>
      </c>
      <c r="H1739" s="22"/>
    </row>
    <row r="1740" spans="1:8">
      <c r="A1740" s="21"/>
      <c r="B1740" s="22"/>
      <c r="C1740" s="22"/>
      <c r="D1740" s="22"/>
      <c r="E1740" s="23" t="str">
        <f>IF($D1740="","",IFERROR(VLOOKUP($D1740,'ACAH Capital Tracker'!$A:$H,8,FALSE()),""))</f>
        <v/>
      </c>
      <c r="F1740" s="24"/>
      <c r="G1740" s="25" t="str">
        <f>IF($D1740="","",IFERROR(VLOOKUP($D1740,'ACAH Capital Tracker'!$A:$D,4,FALSE()),""))</f>
        <v/>
      </c>
      <c r="H1740" s="22"/>
    </row>
    <row r="1741" spans="1:8">
      <c r="A1741" s="21"/>
      <c r="B1741" s="22"/>
      <c r="C1741" s="22"/>
      <c r="D1741" s="22"/>
      <c r="E1741" s="23" t="str">
        <f>IF($D1741="","",IFERROR(VLOOKUP($D1741,'ACAH Capital Tracker'!$A:$H,8,FALSE()),""))</f>
        <v/>
      </c>
      <c r="F1741" s="24"/>
      <c r="G1741" s="25" t="str">
        <f>IF($D1741="","",IFERROR(VLOOKUP($D1741,'ACAH Capital Tracker'!$A:$D,4,FALSE()),""))</f>
        <v/>
      </c>
      <c r="H1741" s="22"/>
    </row>
    <row r="1742" spans="1:8">
      <c r="A1742" s="21"/>
      <c r="B1742" s="22"/>
      <c r="C1742" s="22"/>
      <c r="D1742" s="22"/>
      <c r="E1742" s="23" t="str">
        <f>IF($D1742="","",IFERROR(VLOOKUP($D1742,'ACAH Capital Tracker'!$A:$H,8,FALSE()),""))</f>
        <v/>
      </c>
      <c r="F1742" s="24"/>
      <c r="G1742" s="25" t="str">
        <f>IF($D1742="","",IFERROR(VLOOKUP($D1742,'ACAH Capital Tracker'!$A:$D,4,FALSE()),""))</f>
        <v/>
      </c>
      <c r="H1742" s="22"/>
    </row>
    <row r="1743" spans="1:8">
      <c r="A1743" s="21"/>
      <c r="B1743" s="22"/>
      <c r="C1743" s="22"/>
      <c r="D1743" s="22"/>
      <c r="E1743" s="23" t="str">
        <f>IF($D1743="","",IFERROR(VLOOKUP($D1743,'ACAH Capital Tracker'!$A:$H,8,FALSE()),""))</f>
        <v/>
      </c>
      <c r="F1743" s="24"/>
      <c r="G1743" s="25" t="str">
        <f>IF($D1743="","",IFERROR(VLOOKUP($D1743,'ACAH Capital Tracker'!$A:$D,4,FALSE()),""))</f>
        <v/>
      </c>
      <c r="H1743" s="22"/>
    </row>
    <row r="1744" spans="1:8">
      <c r="A1744" s="21"/>
      <c r="B1744" s="22"/>
      <c r="C1744" s="22"/>
      <c r="D1744" s="22"/>
      <c r="E1744" s="23" t="str">
        <f>IF($D1744="","",IFERROR(VLOOKUP($D1744,'ACAH Capital Tracker'!$A:$H,8,FALSE()),""))</f>
        <v/>
      </c>
      <c r="F1744" s="24"/>
      <c r="G1744" s="25" t="str">
        <f>IF($D1744="","",IFERROR(VLOOKUP($D1744,'ACAH Capital Tracker'!$A:$D,4,FALSE()),""))</f>
        <v/>
      </c>
      <c r="H1744" s="22"/>
    </row>
    <row r="1745" spans="1:8">
      <c r="A1745" s="21"/>
      <c r="B1745" s="22"/>
      <c r="C1745" s="22"/>
      <c r="D1745" s="22"/>
      <c r="E1745" s="23" t="str">
        <f>IF($D1745="","",IFERROR(VLOOKUP($D1745,'ACAH Capital Tracker'!$A:$H,8,FALSE()),""))</f>
        <v/>
      </c>
      <c r="F1745" s="24"/>
      <c r="G1745" s="25" t="str">
        <f>IF($D1745="","",IFERROR(VLOOKUP($D1745,'ACAH Capital Tracker'!$A:$D,4,FALSE()),""))</f>
        <v/>
      </c>
      <c r="H1745" s="22"/>
    </row>
    <row r="1746" spans="1:8">
      <c r="A1746" s="21"/>
      <c r="B1746" s="22"/>
      <c r="C1746" s="22"/>
      <c r="D1746" s="22"/>
      <c r="E1746" s="23" t="str">
        <f>IF($D1746="","",IFERROR(VLOOKUP($D1746,'ACAH Capital Tracker'!$A:$H,8,FALSE()),""))</f>
        <v/>
      </c>
      <c r="F1746" s="24"/>
      <c r="G1746" s="25" t="str">
        <f>IF($D1746="","",IFERROR(VLOOKUP($D1746,'ACAH Capital Tracker'!$A:$D,4,FALSE()),""))</f>
        <v/>
      </c>
      <c r="H1746" s="22"/>
    </row>
    <row r="1747" spans="1:8">
      <c r="A1747" s="21"/>
      <c r="B1747" s="22"/>
      <c r="C1747" s="22"/>
      <c r="D1747" s="22"/>
      <c r="E1747" s="23" t="str">
        <f>IF($D1747="","",IFERROR(VLOOKUP($D1747,'ACAH Capital Tracker'!$A:$H,8,FALSE()),""))</f>
        <v/>
      </c>
      <c r="F1747" s="24"/>
      <c r="G1747" s="25" t="str">
        <f>IF($D1747="","",IFERROR(VLOOKUP($D1747,'ACAH Capital Tracker'!$A:$D,4,FALSE()),""))</f>
        <v/>
      </c>
      <c r="H1747" s="22"/>
    </row>
    <row r="1748" spans="1:8">
      <c r="A1748" s="21"/>
      <c r="B1748" s="22"/>
      <c r="C1748" s="22"/>
      <c r="D1748" s="22"/>
      <c r="E1748" s="23" t="str">
        <f>IF($D1748="","",IFERROR(VLOOKUP($D1748,'ACAH Capital Tracker'!$A:$H,8,FALSE()),""))</f>
        <v/>
      </c>
      <c r="F1748" s="24"/>
      <c r="G1748" s="25" t="str">
        <f>IF($D1748="","",IFERROR(VLOOKUP($D1748,'ACAH Capital Tracker'!$A:$D,4,FALSE()),""))</f>
        <v/>
      </c>
      <c r="H1748" s="22"/>
    </row>
    <row r="1749" spans="1:8">
      <c r="A1749" s="21"/>
      <c r="B1749" s="22"/>
      <c r="C1749" s="22"/>
      <c r="D1749" s="22"/>
      <c r="E1749" s="23" t="str">
        <f>IF($D1749="","",IFERROR(VLOOKUP($D1749,'ACAH Capital Tracker'!$A:$H,8,FALSE()),""))</f>
        <v/>
      </c>
      <c r="F1749" s="24"/>
      <c r="G1749" s="25" t="str">
        <f>IF($D1749="","",IFERROR(VLOOKUP($D1749,'ACAH Capital Tracker'!$A:$D,4,FALSE()),""))</f>
        <v/>
      </c>
      <c r="H1749" s="22"/>
    </row>
    <row r="1750" spans="1:8">
      <c r="A1750" s="21"/>
      <c r="B1750" s="22"/>
      <c r="C1750" s="22"/>
      <c r="D1750" s="22"/>
      <c r="E1750" s="23" t="str">
        <f>IF($D1750="","",IFERROR(VLOOKUP($D1750,'ACAH Capital Tracker'!$A:$H,8,FALSE()),""))</f>
        <v/>
      </c>
      <c r="F1750" s="24"/>
      <c r="G1750" s="25" t="str">
        <f>IF($D1750="","",IFERROR(VLOOKUP($D1750,'ACAH Capital Tracker'!$A:$D,4,FALSE()),""))</f>
        <v/>
      </c>
      <c r="H1750" s="22"/>
    </row>
    <row r="1751" spans="1:8">
      <c r="A1751" s="21"/>
      <c r="B1751" s="22"/>
      <c r="C1751" s="22"/>
      <c r="D1751" s="22"/>
      <c r="E1751" s="23" t="str">
        <f>IF($D1751="","",IFERROR(VLOOKUP($D1751,'ACAH Capital Tracker'!$A:$H,8,FALSE()),""))</f>
        <v/>
      </c>
      <c r="F1751" s="24"/>
      <c r="G1751" s="25" t="str">
        <f>IF($D1751="","",IFERROR(VLOOKUP($D1751,'ACAH Capital Tracker'!$A:$D,4,FALSE()),""))</f>
        <v/>
      </c>
      <c r="H1751" s="22"/>
    </row>
    <row r="1752" spans="1:8">
      <c r="A1752" s="21"/>
      <c r="B1752" s="22"/>
      <c r="C1752" s="22"/>
      <c r="D1752" s="22"/>
      <c r="E1752" s="23" t="str">
        <f>IF($D1752="","",IFERROR(VLOOKUP($D1752,'ACAH Capital Tracker'!$A:$H,8,FALSE()),""))</f>
        <v/>
      </c>
      <c r="F1752" s="24"/>
      <c r="G1752" s="25" t="str">
        <f>IF($D1752="","",IFERROR(VLOOKUP($D1752,'ACAH Capital Tracker'!$A:$D,4,FALSE()),""))</f>
        <v/>
      </c>
      <c r="H1752" s="22"/>
    </row>
    <row r="1753" spans="1:8">
      <c r="A1753" s="21"/>
      <c r="B1753" s="22"/>
      <c r="C1753" s="22"/>
      <c r="D1753" s="22"/>
      <c r="E1753" s="23" t="str">
        <f>IF($D1753="","",IFERROR(VLOOKUP($D1753,'ACAH Capital Tracker'!$A:$H,8,FALSE()),""))</f>
        <v/>
      </c>
      <c r="F1753" s="24"/>
      <c r="G1753" s="25" t="str">
        <f>IF($D1753="","",IFERROR(VLOOKUP($D1753,'ACAH Capital Tracker'!$A:$D,4,FALSE()),""))</f>
        <v/>
      </c>
      <c r="H1753" s="22"/>
    </row>
    <row r="1754" spans="1:8">
      <c r="A1754" s="21"/>
      <c r="B1754" s="22"/>
      <c r="C1754" s="22"/>
      <c r="D1754" s="22"/>
      <c r="E1754" s="23" t="str">
        <f>IF($D1754="","",IFERROR(VLOOKUP($D1754,'ACAH Capital Tracker'!$A:$H,8,FALSE()),""))</f>
        <v/>
      </c>
      <c r="F1754" s="24"/>
      <c r="G1754" s="25" t="str">
        <f>IF($D1754="","",IFERROR(VLOOKUP($D1754,'ACAH Capital Tracker'!$A:$D,4,FALSE()),""))</f>
        <v/>
      </c>
      <c r="H1754" s="22"/>
    </row>
    <row r="1755" spans="1:8">
      <c r="A1755" s="21"/>
      <c r="B1755" s="22"/>
      <c r="C1755" s="22"/>
      <c r="D1755" s="22"/>
      <c r="E1755" s="23" t="str">
        <f>IF($D1755="","",IFERROR(VLOOKUP($D1755,'ACAH Capital Tracker'!$A:$H,8,FALSE()),""))</f>
        <v/>
      </c>
      <c r="F1755" s="24"/>
      <c r="G1755" s="25" t="str">
        <f>IF($D1755="","",IFERROR(VLOOKUP($D1755,'ACAH Capital Tracker'!$A:$D,4,FALSE()),""))</f>
        <v/>
      </c>
      <c r="H1755" s="22"/>
    </row>
    <row r="1756" spans="1:8">
      <c r="A1756" s="21"/>
      <c r="B1756" s="22"/>
      <c r="C1756" s="22"/>
      <c r="D1756" s="22"/>
      <c r="E1756" s="23" t="str">
        <f>IF($D1756="","",IFERROR(VLOOKUP($D1756,'ACAH Capital Tracker'!$A:$H,8,FALSE()),""))</f>
        <v/>
      </c>
      <c r="F1756" s="24"/>
      <c r="G1756" s="25" t="str">
        <f>IF($D1756="","",IFERROR(VLOOKUP($D1756,'ACAH Capital Tracker'!$A:$D,4,FALSE()),""))</f>
        <v/>
      </c>
      <c r="H1756" s="22"/>
    </row>
    <row r="1757" spans="1:8">
      <c r="A1757" s="21"/>
      <c r="B1757" s="22"/>
      <c r="C1757" s="22"/>
      <c r="D1757" s="22"/>
      <c r="E1757" s="23" t="str">
        <f>IF($D1757="","",IFERROR(VLOOKUP($D1757,'ACAH Capital Tracker'!$A:$H,8,FALSE()),""))</f>
        <v/>
      </c>
      <c r="F1757" s="24"/>
      <c r="G1757" s="25" t="str">
        <f>IF($D1757="","",IFERROR(VLOOKUP($D1757,'ACAH Capital Tracker'!$A:$D,4,FALSE()),""))</f>
        <v/>
      </c>
      <c r="H1757" s="22"/>
    </row>
    <row r="1758" spans="1:8">
      <c r="A1758" s="21"/>
      <c r="B1758" s="22"/>
      <c r="C1758" s="22"/>
      <c r="D1758" s="22"/>
      <c r="E1758" s="23" t="str">
        <f>IF($D1758="","",IFERROR(VLOOKUP($D1758,'ACAH Capital Tracker'!$A:$H,8,FALSE()),""))</f>
        <v/>
      </c>
      <c r="F1758" s="24"/>
      <c r="G1758" s="25" t="str">
        <f>IF($D1758="","",IFERROR(VLOOKUP($D1758,'ACAH Capital Tracker'!$A:$D,4,FALSE()),""))</f>
        <v/>
      </c>
      <c r="H1758" s="22"/>
    </row>
    <row r="1759" spans="1:8">
      <c r="A1759" s="21"/>
      <c r="B1759" s="22"/>
      <c r="C1759" s="22"/>
      <c r="D1759" s="22"/>
      <c r="E1759" s="23" t="str">
        <f>IF($D1759="","",IFERROR(VLOOKUP($D1759,'ACAH Capital Tracker'!$A:$H,8,FALSE()),""))</f>
        <v/>
      </c>
      <c r="F1759" s="24"/>
      <c r="G1759" s="25" t="str">
        <f>IF($D1759="","",IFERROR(VLOOKUP($D1759,'ACAH Capital Tracker'!$A:$D,4,FALSE()),""))</f>
        <v/>
      </c>
      <c r="H1759" s="22"/>
    </row>
    <row r="1760" spans="1:8">
      <c r="A1760" s="21"/>
      <c r="B1760" s="22"/>
      <c r="C1760" s="22"/>
      <c r="D1760" s="22"/>
      <c r="E1760" s="23" t="str">
        <f>IF($D1760="","",IFERROR(VLOOKUP($D1760,'ACAH Capital Tracker'!$A:$H,8,FALSE()),""))</f>
        <v/>
      </c>
      <c r="F1760" s="24"/>
      <c r="G1760" s="25" t="str">
        <f>IF($D1760="","",IFERROR(VLOOKUP($D1760,'ACAH Capital Tracker'!$A:$D,4,FALSE()),""))</f>
        <v/>
      </c>
      <c r="H1760" s="22"/>
    </row>
    <row r="1761" spans="1:8">
      <c r="A1761" s="21"/>
      <c r="B1761" s="22"/>
      <c r="C1761" s="22"/>
      <c r="D1761" s="22"/>
      <c r="E1761" s="23" t="str">
        <f>IF($D1761="","",IFERROR(VLOOKUP($D1761,'ACAH Capital Tracker'!$A:$H,8,FALSE()),""))</f>
        <v/>
      </c>
      <c r="F1761" s="24"/>
      <c r="G1761" s="25" t="str">
        <f>IF($D1761="","",IFERROR(VLOOKUP($D1761,'ACAH Capital Tracker'!$A:$D,4,FALSE()),""))</f>
        <v/>
      </c>
      <c r="H1761" s="22"/>
    </row>
    <row r="1762" spans="1:8">
      <c r="A1762" s="21"/>
      <c r="B1762" s="22"/>
      <c r="C1762" s="22"/>
      <c r="D1762" s="22"/>
      <c r="E1762" s="23" t="str">
        <f>IF($D1762="","",IFERROR(VLOOKUP($D1762,'ACAH Capital Tracker'!$A:$H,8,FALSE()),""))</f>
        <v/>
      </c>
      <c r="F1762" s="24"/>
      <c r="G1762" s="25" t="str">
        <f>IF($D1762="","",IFERROR(VLOOKUP($D1762,'ACAH Capital Tracker'!$A:$D,4,FALSE()),""))</f>
        <v/>
      </c>
      <c r="H1762" s="22"/>
    </row>
    <row r="1763" spans="1:8">
      <c r="A1763" s="21"/>
      <c r="B1763" s="22"/>
      <c r="C1763" s="22"/>
      <c r="D1763" s="22"/>
      <c r="E1763" s="23" t="str">
        <f>IF($D1763="","",IFERROR(VLOOKUP($D1763,'ACAH Capital Tracker'!$A:$H,8,FALSE()),""))</f>
        <v/>
      </c>
      <c r="F1763" s="24"/>
      <c r="G1763" s="25" t="str">
        <f>IF($D1763="","",IFERROR(VLOOKUP($D1763,'ACAH Capital Tracker'!$A:$D,4,FALSE()),""))</f>
        <v/>
      </c>
      <c r="H1763" s="22"/>
    </row>
    <row r="1764" spans="1:8">
      <c r="A1764" s="21"/>
      <c r="B1764" s="22"/>
      <c r="C1764" s="22"/>
      <c r="D1764" s="22"/>
      <c r="E1764" s="23" t="str">
        <f>IF($D1764="","",IFERROR(VLOOKUP($D1764,'ACAH Capital Tracker'!$A:$H,8,FALSE()),""))</f>
        <v/>
      </c>
      <c r="F1764" s="24"/>
      <c r="G1764" s="25" t="str">
        <f>IF($D1764="","",IFERROR(VLOOKUP($D1764,'ACAH Capital Tracker'!$A:$D,4,FALSE()),""))</f>
        <v/>
      </c>
      <c r="H1764" s="22"/>
    </row>
    <row r="1765" spans="1:8">
      <c r="A1765" s="21"/>
      <c r="B1765" s="22"/>
      <c r="C1765" s="22"/>
      <c r="D1765" s="22"/>
      <c r="E1765" s="23" t="str">
        <f>IF($D1765="","",IFERROR(VLOOKUP($D1765,'ACAH Capital Tracker'!$A:$H,8,FALSE()),""))</f>
        <v/>
      </c>
      <c r="F1765" s="24"/>
      <c r="G1765" s="25" t="str">
        <f>IF($D1765="","",IFERROR(VLOOKUP($D1765,'ACAH Capital Tracker'!$A:$D,4,FALSE()),""))</f>
        <v/>
      </c>
      <c r="H1765" s="22"/>
    </row>
    <row r="1766" spans="1:8">
      <c r="A1766" s="21"/>
      <c r="B1766" s="22"/>
      <c r="C1766" s="22"/>
      <c r="D1766" s="22"/>
      <c r="E1766" s="23" t="str">
        <f>IF($D1766="","",IFERROR(VLOOKUP($D1766,'ACAH Capital Tracker'!$A:$H,8,FALSE()),""))</f>
        <v/>
      </c>
      <c r="F1766" s="24"/>
      <c r="G1766" s="25" t="str">
        <f>IF($D1766="","",IFERROR(VLOOKUP($D1766,'ACAH Capital Tracker'!$A:$D,4,FALSE()),""))</f>
        <v/>
      </c>
      <c r="H1766" s="22"/>
    </row>
    <row r="1767" spans="1:8">
      <c r="A1767" s="21"/>
      <c r="B1767" s="22"/>
      <c r="C1767" s="22"/>
      <c r="D1767" s="22"/>
      <c r="E1767" s="23" t="str">
        <f>IF($D1767="","",IFERROR(VLOOKUP($D1767,'ACAH Capital Tracker'!$A:$H,8,FALSE()),""))</f>
        <v/>
      </c>
      <c r="F1767" s="24"/>
      <c r="G1767" s="25" t="str">
        <f>IF($D1767="","",IFERROR(VLOOKUP($D1767,'ACAH Capital Tracker'!$A:$D,4,FALSE()),""))</f>
        <v/>
      </c>
      <c r="H1767" s="22"/>
    </row>
    <row r="1768" spans="1:8">
      <c r="A1768" s="21"/>
      <c r="B1768" s="22"/>
      <c r="C1768" s="22"/>
      <c r="D1768" s="22"/>
      <c r="E1768" s="23" t="str">
        <f>IF($D1768="","",IFERROR(VLOOKUP($D1768,'ACAH Capital Tracker'!$A:$H,8,FALSE()),""))</f>
        <v/>
      </c>
      <c r="F1768" s="24"/>
      <c r="G1768" s="25" t="str">
        <f>IF($D1768="","",IFERROR(VLOOKUP($D1768,'ACAH Capital Tracker'!$A:$D,4,FALSE()),""))</f>
        <v/>
      </c>
      <c r="H1768" s="22"/>
    </row>
    <row r="1769" spans="1:8">
      <c r="A1769" s="21"/>
      <c r="B1769" s="22"/>
      <c r="C1769" s="22"/>
      <c r="D1769" s="22"/>
      <c r="E1769" s="23" t="str">
        <f>IF($D1769="","",IFERROR(VLOOKUP($D1769,'ACAH Capital Tracker'!$A:$H,8,FALSE()),""))</f>
        <v/>
      </c>
      <c r="F1769" s="24"/>
      <c r="G1769" s="25" t="str">
        <f>IF($D1769="","",IFERROR(VLOOKUP($D1769,'ACAH Capital Tracker'!$A:$D,4,FALSE()),""))</f>
        <v/>
      </c>
      <c r="H1769" s="22"/>
    </row>
    <row r="1770" spans="1:8">
      <c r="A1770" s="21"/>
      <c r="B1770" s="22"/>
      <c r="C1770" s="22"/>
      <c r="D1770" s="22"/>
      <c r="E1770" s="23" t="str">
        <f>IF($D1770="","",IFERROR(VLOOKUP($D1770,'ACAH Capital Tracker'!$A:$H,8,FALSE()),""))</f>
        <v/>
      </c>
      <c r="F1770" s="24"/>
      <c r="G1770" s="25" t="str">
        <f>IF($D1770="","",IFERROR(VLOOKUP($D1770,'ACAH Capital Tracker'!$A:$D,4,FALSE()),""))</f>
        <v/>
      </c>
      <c r="H1770" s="22"/>
    </row>
    <row r="1771" spans="1:8">
      <c r="A1771" s="21"/>
      <c r="B1771" s="22"/>
      <c r="C1771" s="22"/>
      <c r="D1771" s="22"/>
      <c r="E1771" s="23" t="str">
        <f>IF($D1771="","",IFERROR(VLOOKUP($D1771,'ACAH Capital Tracker'!$A:$H,8,FALSE()),""))</f>
        <v/>
      </c>
      <c r="F1771" s="24"/>
      <c r="G1771" s="25" t="str">
        <f>IF($D1771="","",IFERROR(VLOOKUP($D1771,'ACAH Capital Tracker'!$A:$D,4,FALSE()),""))</f>
        <v/>
      </c>
      <c r="H1771" s="22"/>
    </row>
    <row r="1772" spans="1:8">
      <c r="A1772" s="21"/>
      <c r="B1772" s="22"/>
      <c r="C1772" s="22"/>
      <c r="D1772" s="22"/>
      <c r="E1772" s="23" t="str">
        <f>IF($D1772="","",IFERROR(VLOOKUP($D1772,'ACAH Capital Tracker'!$A:$H,8,FALSE()),""))</f>
        <v/>
      </c>
      <c r="F1772" s="24"/>
      <c r="G1772" s="25" t="str">
        <f>IF($D1772="","",IFERROR(VLOOKUP($D1772,'ACAH Capital Tracker'!$A:$D,4,FALSE()),""))</f>
        <v/>
      </c>
      <c r="H1772" s="22"/>
    </row>
    <row r="1773" spans="1:8">
      <c r="A1773" s="21"/>
      <c r="B1773" s="22"/>
      <c r="C1773" s="22"/>
      <c r="D1773" s="22"/>
      <c r="E1773" s="23" t="str">
        <f>IF($D1773="","",IFERROR(VLOOKUP($D1773,'ACAH Capital Tracker'!$A:$H,8,FALSE()),""))</f>
        <v/>
      </c>
      <c r="F1773" s="24"/>
      <c r="G1773" s="25" t="str">
        <f>IF($D1773="","",IFERROR(VLOOKUP($D1773,'ACAH Capital Tracker'!$A:$D,4,FALSE()),""))</f>
        <v/>
      </c>
      <c r="H1773" s="22"/>
    </row>
    <row r="1774" spans="1:8">
      <c r="A1774" s="21"/>
      <c r="B1774" s="22"/>
      <c r="C1774" s="22"/>
      <c r="D1774" s="22"/>
      <c r="E1774" s="23" t="str">
        <f>IF($D1774="","",IFERROR(VLOOKUP($D1774,'ACAH Capital Tracker'!$A:$H,8,FALSE()),""))</f>
        <v/>
      </c>
      <c r="F1774" s="24"/>
      <c r="G1774" s="25" t="str">
        <f>IF($D1774="","",IFERROR(VLOOKUP($D1774,'ACAH Capital Tracker'!$A:$D,4,FALSE()),""))</f>
        <v/>
      </c>
      <c r="H1774" s="22"/>
    </row>
    <row r="1775" spans="1:8">
      <c r="A1775" s="21"/>
      <c r="B1775" s="22"/>
      <c r="C1775" s="22"/>
      <c r="D1775" s="22"/>
      <c r="E1775" s="23" t="str">
        <f>IF($D1775="","",IFERROR(VLOOKUP($D1775,'ACAH Capital Tracker'!$A:$H,8,FALSE()),""))</f>
        <v/>
      </c>
      <c r="F1775" s="24"/>
      <c r="G1775" s="25" t="str">
        <f>IF($D1775="","",IFERROR(VLOOKUP($D1775,'ACAH Capital Tracker'!$A:$D,4,FALSE()),""))</f>
        <v/>
      </c>
      <c r="H1775" s="22"/>
    </row>
    <row r="1776" spans="1:8">
      <c r="A1776" s="21"/>
      <c r="B1776" s="22"/>
      <c r="C1776" s="22"/>
      <c r="D1776" s="22"/>
      <c r="E1776" s="23" t="str">
        <f>IF($D1776="","",IFERROR(VLOOKUP($D1776,'ACAH Capital Tracker'!$A:$H,8,FALSE()),""))</f>
        <v/>
      </c>
      <c r="F1776" s="24"/>
      <c r="G1776" s="25" t="str">
        <f>IF($D1776="","",IFERROR(VLOOKUP($D1776,'ACAH Capital Tracker'!$A:$D,4,FALSE()),""))</f>
        <v/>
      </c>
      <c r="H1776" s="22"/>
    </row>
    <row r="1777" spans="1:8">
      <c r="A1777" s="21"/>
      <c r="B1777" s="22"/>
      <c r="C1777" s="22"/>
      <c r="D1777" s="22"/>
      <c r="E1777" s="23" t="str">
        <f>IF($D1777="","",IFERROR(VLOOKUP($D1777,'ACAH Capital Tracker'!$A:$H,8,FALSE()),""))</f>
        <v/>
      </c>
      <c r="F1777" s="24"/>
      <c r="G1777" s="25" t="str">
        <f>IF($D1777="","",IFERROR(VLOOKUP($D1777,'ACAH Capital Tracker'!$A:$D,4,FALSE()),""))</f>
        <v/>
      </c>
      <c r="H1777" s="22"/>
    </row>
    <row r="1778" spans="1:8">
      <c r="A1778" s="21"/>
      <c r="B1778" s="22"/>
      <c r="C1778" s="22"/>
      <c r="D1778" s="22"/>
      <c r="E1778" s="23" t="str">
        <f>IF($D1778="","",IFERROR(VLOOKUP($D1778,'ACAH Capital Tracker'!$A:$H,8,FALSE()),""))</f>
        <v/>
      </c>
      <c r="F1778" s="24"/>
      <c r="G1778" s="25" t="str">
        <f>IF($D1778="","",IFERROR(VLOOKUP($D1778,'ACAH Capital Tracker'!$A:$D,4,FALSE()),""))</f>
        <v/>
      </c>
      <c r="H1778" s="22"/>
    </row>
    <row r="1779" spans="1:8">
      <c r="A1779" s="21"/>
      <c r="B1779" s="22"/>
      <c r="C1779" s="22"/>
      <c r="D1779" s="22"/>
      <c r="E1779" s="23" t="str">
        <f>IF($D1779="","",IFERROR(VLOOKUP($D1779,'ACAH Capital Tracker'!$A:$H,8,FALSE()),""))</f>
        <v/>
      </c>
      <c r="F1779" s="24"/>
      <c r="G1779" s="25" t="str">
        <f>IF($D1779="","",IFERROR(VLOOKUP($D1779,'ACAH Capital Tracker'!$A:$D,4,FALSE()),""))</f>
        <v/>
      </c>
      <c r="H1779" s="22"/>
    </row>
    <row r="1780" spans="1:8">
      <c r="A1780" s="21"/>
      <c r="B1780" s="22"/>
      <c r="C1780" s="22"/>
      <c r="D1780" s="22"/>
      <c r="E1780" s="23" t="str">
        <f>IF($D1780="","",IFERROR(VLOOKUP($D1780,'ACAH Capital Tracker'!$A:$H,8,FALSE()),""))</f>
        <v/>
      </c>
      <c r="F1780" s="24"/>
      <c r="G1780" s="25" t="str">
        <f>IF($D1780="","",IFERROR(VLOOKUP($D1780,'ACAH Capital Tracker'!$A:$D,4,FALSE()),""))</f>
        <v/>
      </c>
      <c r="H1780" s="22"/>
    </row>
    <row r="1781" spans="1:8">
      <c r="A1781" s="21"/>
      <c r="B1781" s="22"/>
      <c r="C1781" s="22"/>
      <c r="D1781" s="22"/>
      <c r="E1781" s="23" t="str">
        <f>IF($D1781="","",IFERROR(VLOOKUP($D1781,'ACAH Capital Tracker'!$A:$H,8,FALSE()),""))</f>
        <v/>
      </c>
      <c r="F1781" s="24"/>
      <c r="G1781" s="25" t="str">
        <f>IF($D1781="","",IFERROR(VLOOKUP($D1781,'ACAH Capital Tracker'!$A:$D,4,FALSE()),""))</f>
        <v/>
      </c>
      <c r="H1781" s="22"/>
    </row>
    <row r="1782" spans="1:8">
      <c r="A1782" s="21"/>
      <c r="B1782" s="22"/>
      <c r="C1782" s="22"/>
      <c r="D1782" s="22"/>
      <c r="E1782" s="23" t="str">
        <f>IF($D1782="","",IFERROR(VLOOKUP($D1782,'ACAH Capital Tracker'!$A:$H,8,FALSE()),""))</f>
        <v/>
      </c>
      <c r="F1782" s="24"/>
      <c r="G1782" s="25" t="str">
        <f>IF($D1782="","",IFERROR(VLOOKUP($D1782,'ACAH Capital Tracker'!$A:$D,4,FALSE()),""))</f>
        <v/>
      </c>
      <c r="H1782" s="22"/>
    </row>
    <row r="1783" spans="1:8">
      <c r="A1783" s="21"/>
      <c r="B1783" s="22"/>
      <c r="C1783" s="22"/>
      <c r="D1783" s="22"/>
      <c r="E1783" s="23" t="str">
        <f>IF($D1783="","",IFERROR(VLOOKUP($D1783,'ACAH Capital Tracker'!$A:$H,8,FALSE()),""))</f>
        <v/>
      </c>
      <c r="F1783" s="24"/>
      <c r="G1783" s="25" t="str">
        <f>IF($D1783="","",IFERROR(VLOOKUP($D1783,'ACAH Capital Tracker'!$A:$D,4,FALSE()),""))</f>
        <v/>
      </c>
      <c r="H1783" s="22"/>
    </row>
    <row r="1784" spans="1:8">
      <c r="A1784" s="21"/>
      <c r="B1784" s="22"/>
      <c r="C1784" s="22"/>
      <c r="D1784" s="22"/>
      <c r="E1784" s="23" t="str">
        <f>IF($D1784="","",IFERROR(VLOOKUP($D1784,'ACAH Capital Tracker'!$A:$H,8,FALSE()),""))</f>
        <v/>
      </c>
      <c r="F1784" s="24"/>
      <c r="G1784" s="25" t="str">
        <f>IF($D1784="","",IFERROR(VLOOKUP($D1784,'ACAH Capital Tracker'!$A:$D,4,FALSE()),""))</f>
        <v/>
      </c>
      <c r="H1784" s="22"/>
    </row>
    <row r="1785" spans="1:8">
      <c r="A1785" s="21"/>
      <c r="B1785" s="22"/>
      <c r="C1785" s="22"/>
      <c r="D1785" s="22"/>
      <c r="E1785" s="23" t="str">
        <f>IF($D1785="","",IFERROR(VLOOKUP($D1785,'ACAH Capital Tracker'!$A:$H,8,FALSE()),""))</f>
        <v/>
      </c>
      <c r="F1785" s="24"/>
      <c r="G1785" s="25" t="str">
        <f>IF($D1785="","",IFERROR(VLOOKUP($D1785,'ACAH Capital Tracker'!$A:$D,4,FALSE()),""))</f>
        <v/>
      </c>
      <c r="H1785" s="22"/>
    </row>
    <row r="1786" spans="1:8">
      <c r="A1786" s="21"/>
      <c r="B1786" s="22"/>
      <c r="C1786" s="22"/>
      <c r="D1786" s="22"/>
      <c r="E1786" s="23" t="str">
        <f>IF($D1786="","",IFERROR(VLOOKUP($D1786,'ACAH Capital Tracker'!$A:$H,8,FALSE()),""))</f>
        <v/>
      </c>
      <c r="F1786" s="24"/>
      <c r="G1786" s="25" t="str">
        <f>IF($D1786="","",IFERROR(VLOOKUP($D1786,'ACAH Capital Tracker'!$A:$D,4,FALSE()),""))</f>
        <v/>
      </c>
      <c r="H1786" s="22"/>
    </row>
    <row r="1787" spans="1:8">
      <c r="A1787" s="21"/>
      <c r="B1787" s="22"/>
      <c r="C1787" s="22"/>
      <c r="D1787" s="22"/>
      <c r="E1787" s="23" t="str">
        <f>IF($D1787="","",IFERROR(VLOOKUP($D1787,'ACAH Capital Tracker'!$A:$H,8,FALSE()),""))</f>
        <v/>
      </c>
      <c r="F1787" s="24"/>
      <c r="G1787" s="25" t="str">
        <f>IF($D1787="","",IFERROR(VLOOKUP($D1787,'ACAH Capital Tracker'!$A:$D,4,FALSE()),""))</f>
        <v/>
      </c>
      <c r="H1787" s="22"/>
    </row>
    <row r="1788" spans="1:8">
      <c r="A1788" s="21"/>
      <c r="B1788" s="22"/>
      <c r="C1788" s="22"/>
      <c r="D1788" s="22"/>
      <c r="E1788" s="23" t="str">
        <f>IF($D1788="","",IFERROR(VLOOKUP($D1788,'ACAH Capital Tracker'!$A:$H,8,FALSE()),""))</f>
        <v/>
      </c>
      <c r="F1788" s="24"/>
      <c r="G1788" s="25" t="str">
        <f>IF($D1788="","",IFERROR(VLOOKUP($D1788,'ACAH Capital Tracker'!$A:$D,4,FALSE()),""))</f>
        <v/>
      </c>
      <c r="H1788" s="22"/>
    </row>
    <row r="1789" spans="1:8">
      <c r="A1789" s="21"/>
      <c r="B1789" s="22"/>
      <c r="C1789" s="22"/>
      <c r="D1789" s="22"/>
      <c r="E1789" s="23" t="str">
        <f>IF($D1789="","",IFERROR(VLOOKUP($D1789,'ACAH Capital Tracker'!$A:$H,8,FALSE()),""))</f>
        <v/>
      </c>
      <c r="F1789" s="24"/>
      <c r="G1789" s="25" t="str">
        <f>IF($D1789="","",IFERROR(VLOOKUP($D1789,'ACAH Capital Tracker'!$A:$D,4,FALSE()),""))</f>
        <v/>
      </c>
      <c r="H1789" s="22"/>
    </row>
    <row r="1790" spans="1:8">
      <c r="A1790" s="21"/>
      <c r="B1790" s="22"/>
      <c r="C1790" s="22"/>
      <c r="D1790" s="22"/>
      <c r="E1790" s="23" t="str">
        <f>IF($D1790="","",IFERROR(VLOOKUP($D1790,'ACAH Capital Tracker'!$A:$H,8,FALSE()),""))</f>
        <v/>
      </c>
      <c r="F1790" s="24"/>
      <c r="G1790" s="25" t="str">
        <f>IF($D1790="","",IFERROR(VLOOKUP($D1790,'ACAH Capital Tracker'!$A:$D,4,FALSE()),""))</f>
        <v/>
      </c>
      <c r="H1790" s="22"/>
    </row>
    <row r="1791" spans="1:8">
      <c r="A1791" s="21"/>
      <c r="B1791" s="22"/>
      <c r="C1791" s="22"/>
      <c r="D1791" s="22"/>
      <c r="E1791" s="23" t="str">
        <f>IF($D1791="","",IFERROR(VLOOKUP($D1791,'ACAH Capital Tracker'!$A:$H,8,FALSE()),""))</f>
        <v/>
      </c>
      <c r="F1791" s="24"/>
      <c r="G1791" s="25" t="str">
        <f>IF($D1791="","",IFERROR(VLOOKUP($D1791,'ACAH Capital Tracker'!$A:$D,4,FALSE()),""))</f>
        <v/>
      </c>
      <c r="H1791" s="22"/>
    </row>
    <row r="1792" spans="1:8">
      <c r="A1792" s="21"/>
      <c r="B1792" s="22"/>
      <c r="C1792" s="22"/>
      <c r="D1792" s="22"/>
      <c r="E1792" s="23" t="str">
        <f>IF($D1792="","",IFERROR(VLOOKUP($D1792,'ACAH Capital Tracker'!$A:$H,8,FALSE()),""))</f>
        <v/>
      </c>
      <c r="F1792" s="24"/>
      <c r="G1792" s="25" t="str">
        <f>IF($D1792="","",IFERROR(VLOOKUP($D1792,'ACAH Capital Tracker'!$A:$D,4,FALSE()),""))</f>
        <v/>
      </c>
      <c r="H1792" s="22"/>
    </row>
    <row r="1793" spans="1:8">
      <c r="A1793" s="21"/>
      <c r="B1793" s="22"/>
      <c r="C1793" s="22"/>
      <c r="D1793" s="22"/>
      <c r="E1793" s="23" t="str">
        <f>IF($D1793="","",IFERROR(VLOOKUP($D1793,'ACAH Capital Tracker'!$A:$H,8,FALSE()),""))</f>
        <v/>
      </c>
      <c r="F1793" s="24"/>
      <c r="G1793" s="25" t="str">
        <f>IF($D1793="","",IFERROR(VLOOKUP($D1793,'ACAH Capital Tracker'!$A:$D,4,FALSE()),""))</f>
        <v/>
      </c>
      <c r="H1793" s="22"/>
    </row>
    <row r="1794" spans="1:8">
      <c r="A1794" s="21"/>
      <c r="B1794" s="22"/>
      <c r="C1794" s="22"/>
      <c r="D1794" s="22"/>
      <c r="E1794" s="23" t="str">
        <f>IF($D1794="","",IFERROR(VLOOKUP($D1794,'ACAH Capital Tracker'!$A:$H,8,FALSE()),""))</f>
        <v/>
      </c>
      <c r="F1794" s="24"/>
      <c r="G1794" s="25" t="str">
        <f>IF($D1794="","",IFERROR(VLOOKUP($D1794,'ACAH Capital Tracker'!$A:$D,4,FALSE()),""))</f>
        <v/>
      </c>
      <c r="H1794" s="22"/>
    </row>
    <row r="1795" spans="1:8">
      <c r="A1795" s="21"/>
      <c r="B1795" s="22"/>
      <c r="C1795" s="22"/>
      <c r="D1795" s="22"/>
      <c r="E1795" s="23" t="str">
        <f>IF($D1795="","",IFERROR(VLOOKUP($D1795,'ACAH Capital Tracker'!$A:$H,8,FALSE()),""))</f>
        <v/>
      </c>
      <c r="F1795" s="24"/>
      <c r="G1795" s="25" t="str">
        <f>IF($D1795="","",IFERROR(VLOOKUP($D1795,'ACAH Capital Tracker'!$A:$D,4,FALSE()),""))</f>
        <v/>
      </c>
      <c r="H1795" s="22"/>
    </row>
    <row r="1796" spans="1:8">
      <c r="A1796" s="21"/>
      <c r="B1796" s="22"/>
      <c r="C1796" s="22"/>
      <c r="D1796" s="22"/>
      <c r="E1796" s="23" t="str">
        <f>IF($D1796="","",IFERROR(VLOOKUP($D1796,'ACAH Capital Tracker'!$A:$H,8,FALSE()),""))</f>
        <v/>
      </c>
      <c r="F1796" s="24"/>
      <c r="G1796" s="25" t="str">
        <f>IF($D1796="","",IFERROR(VLOOKUP($D1796,'ACAH Capital Tracker'!$A:$D,4,FALSE()),""))</f>
        <v/>
      </c>
      <c r="H1796" s="22"/>
    </row>
    <row r="1797" spans="1:8">
      <c r="A1797" s="21"/>
      <c r="B1797" s="22"/>
      <c r="C1797" s="22"/>
      <c r="D1797" s="22"/>
      <c r="E1797" s="23" t="str">
        <f>IF($D1797="","",IFERROR(VLOOKUP($D1797,'ACAH Capital Tracker'!$A:$H,8,FALSE()),""))</f>
        <v/>
      </c>
      <c r="F1797" s="24"/>
      <c r="G1797" s="25" t="str">
        <f>IF($D1797="","",IFERROR(VLOOKUP($D1797,'ACAH Capital Tracker'!$A:$D,4,FALSE()),""))</f>
        <v/>
      </c>
      <c r="H1797" s="22"/>
    </row>
    <row r="1798" spans="1:8">
      <c r="A1798" s="21"/>
      <c r="B1798" s="22"/>
      <c r="C1798" s="22"/>
      <c r="D1798" s="22"/>
      <c r="E1798" s="23" t="str">
        <f>IF($D1798="","",IFERROR(VLOOKUP($D1798,'ACAH Capital Tracker'!$A:$H,8,FALSE()),""))</f>
        <v/>
      </c>
      <c r="F1798" s="24"/>
      <c r="G1798" s="25" t="str">
        <f>IF($D1798="","",IFERROR(VLOOKUP($D1798,'ACAH Capital Tracker'!$A:$D,4,FALSE()),""))</f>
        <v/>
      </c>
      <c r="H1798" s="22"/>
    </row>
    <row r="1799" spans="1:8">
      <c r="A1799" s="21"/>
      <c r="B1799" s="22"/>
      <c r="C1799" s="22"/>
      <c r="D1799" s="22"/>
      <c r="E1799" s="23" t="str">
        <f>IF($D1799="","",IFERROR(VLOOKUP($D1799,'ACAH Capital Tracker'!$A:$H,8,FALSE()),""))</f>
        <v/>
      </c>
      <c r="F1799" s="24"/>
      <c r="G1799" s="25" t="str">
        <f>IF($D1799="","",IFERROR(VLOOKUP($D1799,'ACAH Capital Tracker'!$A:$D,4,FALSE()),""))</f>
        <v/>
      </c>
      <c r="H1799" s="22"/>
    </row>
    <row r="1800" spans="1:8">
      <c r="A1800" s="21"/>
      <c r="B1800" s="22"/>
      <c r="C1800" s="22"/>
      <c r="D1800" s="22"/>
      <c r="E1800" s="23" t="str">
        <f>IF($D1800="","",IFERROR(VLOOKUP($D1800,'ACAH Capital Tracker'!$A:$H,8,FALSE()),""))</f>
        <v/>
      </c>
      <c r="F1800" s="24"/>
      <c r="G1800" s="25" t="str">
        <f>IF($D1800="","",IFERROR(VLOOKUP($D1800,'ACAH Capital Tracker'!$A:$D,4,FALSE()),""))</f>
        <v/>
      </c>
      <c r="H1800" s="22"/>
    </row>
    <row r="1801" spans="1:8">
      <c r="A1801" s="21"/>
      <c r="B1801" s="22"/>
      <c r="C1801" s="22"/>
      <c r="D1801" s="22"/>
      <c r="E1801" s="23" t="str">
        <f>IF($D1801="","",IFERROR(VLOOKUP($D1801,'ACAH Capital Tracker'!$A:$H,8,FALSE()),""))</f>
        <v/>
      </c>
      <c r="F1801" s="24"/>
      <c r="G1801" s="25" t="str">
        <f>IF($D1801="","",IFERROR(VLOOKUP($D1801,'ACAH Capital Tracker'!$A:$D,4,FALSE()),""))</f>
        <v/>
      </c>
      <c r="H1801" s="22"/>
    </row>
    <row r="1802" spans="1:8">
      <c r="A1802" s="21"/>
      <c r="B1802" s="22"/>
      <c r="C1802" s="22"/>
      <c r="D1802" s="22"/>
      <c r="E1802" s="23" t="str">
        <f>IF($D1802="","",IFERROR(VLOOKUP($D1802,'ACAH Capital Tracker'!$A:$H,8,FALSE()),""))</f>
        <v/>
      </c>
      <c r="F1802" s="24"/>
      <c r="G1802" s="25" t="str">
        <f>IF($D1802="","",IFERROR(VLOOKUP($D1802,'ACAH Capital Tracker'!$A:$D,4,FALSE()),""))</f>
        <v/>
      </c>
      <c r="H1802" s="22"/>
    </row>
    <row r="1803" spans="1:8">
      <c r="A1803" s="21"/>
      <c r="B1803" s="22"/>
      <c r="C1803" s="22"/>
      <c r="D1803" s="22"/>
      <c r="E1803" s="23" t="str">
        <f>IF($D1803="","",IFERROR(VLOOKUP($D1803,'ACAH Capital Tracker'!$A:$H,8,FALSE()),""))</f>
        <v/>
      </c>
      <c r="F1803" s="24"/>
      <c r="G1803" s="25" t="str">
        <f>IF($D1803="","",IFERROR(VLOOKUP($D1803,'ACAH Capital Tracker'!$A:$D,4,FALSE()),""))</f>
        <v/>
      </c>
      <c r="H1803" s="22"/>
    </row>
    <row r="1804" spans="1:8">
      <c r="A1804" s="21"/>
      <c r="B1804" s="22"/>
      <c r="C1804" s="22"/>
      <c r="D1804" s="22"/>
      <c r="E1804" s="23" t="str">
        <f>IF($D1804="","",IFERROR(VLOOKUP($D1804,'ACAH Capital Tracker'!$A:$H,8,FALSE()),""))</f>
        <v/>
      </c>
      <c r="F1804" s="24"/>
      <c r="G1804" s="25" t="str">
        <f>IF($D1804="","",IFERROR(VLOOKUP($D1804,'ACAH Capital Tracker'!$A:$D,4,FALSE()),""))</f>
        <v/>
      </c>
      <c r="H1804" s="22"/>
    </row>
    <row r="1805" spans="1:8">
      <c r="A1805" s="21"/>
      <c r="B1805" s="22"/>
      <c r="C1805" s="22"/>
      <c r="D1805" s="22"/>
      <c r="E1805" s="23" t="str">
        <f>IF($D1805="","",IFERROR(VLOOKUP($D1805,'ACAH Capital Tracker'!$A:$H,8,FALSE()),""))</f>
        <v/>
      </c>
      <c r="F1805" s="24"/>
      <c r="G1805" s="25" t="str">
        <f>IF($D1805="","",IFERROR(VLOOKUP($D1805,'ACAH Capital Tracker'!$A:$D,4,FALSE()),""))</f>
        <v/>
      </c>
      <c r="H1805" s="22"/>
    </row>
    <row r="1806" spans="1:8">
      <c r="A1806" s="21"/>
      <c r="B1806" s="22"/>
      <c r="C1806" s="22"/>
      <c r="D1806" s="22"/>
      <c r="E1806" s="23" t="str">
        <f>IF($D1806="","",IFERROR(VLOOKUP($D1806,'ACAH Capital Tracker'!$A:$H,8,FALSE()),""))</f>
        <v/>
      </c>
      <c r="F1806" s="24"/>
      <c r="G1806" s="25" t="str">
        <f>IF($D1806="","",IFERROR(VLOOKUP($D1806,'ACAH Capital Tracker'!$A:$D,4,FALSE()),""))</f>
        <v/>
      </c>
      <c r="H1806" s="22"/>
    </row>
    <row r="1807" spans="1:8">
      <c r="A1807" s="21"/>
      <c r="B1807" s="22"/>
      <c r="C1807" s="22"/>
      <c r="D1807" s="22"/>
      <c r="E1807" s="23" t="str">
        <f>IF($D1807="","",IFERROR(VLOOKUP($D1807,'ACAH Capital Tracker'!$A:$H,8,FALSE()),""))</f>
        <v/>
      </c>
      <c r="F1807" s="24"/>
      <c r="G1807" s="25" t="str">
        <f>IF($D1807="","",IFERROR(VLOOKUP($D1807,'ACAH Capital Tracker'!$A:$D,4,FALSE()),""))</f>
        <v/>
      </c>
      <c r="H1807" s="22"/>
    </row>
    <row r="1808" spans="1:8">
      <c r="A1808" s="21"/>
      <c r="B1808" s="22"/>
      <c r="C1808" s="22"/>
      <c r="D1808" s="22"/>
      <c r="E1808" s="23" t="str">
        <f>IF($D1808="","",IFERROR(VLOOKUP($D1808,'ACAH Capital Tracker'!$A:$H,8,FALSE()),""))</f>
        <v/>
      </c>
      <c r="F1808" s="24"/>
      <c r="G1808" s="25" t="str">
        <f>IF($D1808="","",IFERROR(VLOOKUP($D1808,'ACAH Capital Tracker'!$A:$D,4,FALSE()),""))</f>
        <v/>
      </c>
      <c r="H1808" s="22"/>
    </row>
    <row r="1809" spans="1:8">
      <c r="A1809" s="21"/>
      <c r="B1809" s="22"/>
      <c r="C1809" s="22"/>
      <c r="D1809" s="22"/>
      <c r="E1809" s="23" t="str">
        <f>IF($D1809="","",IFERROR(VLOOKUP($D1809,'ACAH Capital Tracker'!$A:$H,8,FALSE()),""))</f>
        <v/>
      </c>
      <c r="F1809" s="24"/>
      <c r="G1809" s="25" t="str">
        <f>IF($D1809="","",IFERROR(VLOOKUP($D1809,'ACAH Capital Tracker'!$A:$D,4,FALSE()),""))</f>
        <v/>
      </c>
      <c r="H1809" s="22"/>
    </row>
    <row r="1810" spans="1:8">
      <c r="A1810" s="21"/>
      <c r="B1810" s="22"/>
      <c r="C1810" s="22"/>
      <c r="D1810" s="22"/>
      <c r="E1810" s="23" t="str">
        <f>IF($D1810="","",IFERROR(VLOOKUP($D1810,'ACAH Capital Tracker'!$A:$H,8,FALSE()),""))</f>
        <v/>
      </c>
      <c r="F1810" s="24"/>
      <c r="G1810" s="25" t="str">
        <f>IF($D1810="","",IFERROR(VLOOKUP($D1810,'ACAH Capital Tracker'!$A:$D,4,FALSE()),""))</f>
        <v/>
      </c>
      <c r="H1810" s="22"/>
    </row>
    <row r="1811" spans="1:8">
      <c r="A1811" s="21"/>
      <c r="B1811" s="22"/>
      <c r="C1811" s="22"/>
      <c r="D1811" s="22"/>
      <c r="E1811" s="23" t="str">
        <f>IF($D1811="","",IFERROR(VLOOKUP($D1811,'ACAH Capital Tracker'!$A:$H,8,FALSE()),""))</f>
        <v/>
      </c>
      <c r="F1811" s="24"/>
      <c r="G1811" s="25" t="str">
        <f>IF($D1811="","",IFERROR(VLOOKUP($D1811,'ACAH Capital Tracker'!$A:$D,4,FALSE()),""))</f>
        <v/>
      </c>
      <c r="H1811" s="22"/>
    </row>
    <row r="1812" spans="1:8">
      <c r="A1812" s="21"/>
      <c r="B1812" s="22"/>
      <c r="C1812" s="22"/>
      <c r="D1812" s="22"/>
      <c r="E1812" s="23" t="str">
        <f>IF($D1812="","",IFERROR(VLOOKUP($D1812,'ACAH Capital Tracker'!$A:$H,8,FALSE()),""))</f>
        <v/>
      </c>
      <c r="F1812" s="24"/>
      <c r="G1812" s="25" t="str">
        <f>IF($D1812="","",IFERROR(VLOOKUP($D1812,'ACAH Capital Tracker'!$A:$D,4,FALSE()),""))</f>
        <v/>
      </c>
      <c r="H1812" s="22"/>
    </row>
    <row r="1813" spans="1:8">
      <c r="A1813" s="21"/>
      <c r="B1813" s="22"/>
      <c r="C1813" s="22"/>
      <c r="D1813" s="22"/>
      <c r="E1813" s="23" t="str">
        <f>IF($D1813="","",IFERROR(VLOOKUP($D1813,'ACAH Capital Tracker'!$A:$H,8,FALSE()),""))</f>
        <v/>
      </c>
      <c r="F1813" s="24"/>
      <c r="G1813" s="25" t="str">
        <f>IF($D1813="","",IFERROR(VLOOKUP($D1813,'ACAH Capital Tracker'!$A:$D,4,FALSE()),""))</f>
        <v/>
      </c>
      <c r="H1813" s="22"/>
    </row>
    <row r="1814" spans="1:8">
      <c r="A1814" s="21"/>
      <c r="B1814" s="22"/>
      <c r="C1814" s="22"/>
      <c r="D1814" s="22"/>
      <c r="E1814" s="23" t="str">
        <f>IF($D1814="","",IFERROR(VLOOKUP($D1814,'ACAH Capital Tracker'!$A:$H,8,FALSE()),""))</f>
        <v/>
      </c>
      <c r="F1814" s="24"/>
      <c r="G1814" s="25" t="str">
        <f>IF($D1814="","",IFERROR(VLOOKUP($D1814,'ACAH Capital Tracker'!$A:$D,4,FALSE()),""))</f>
        <v/>
      </c>
      <c r="H1814" s="22"/>
    </row>
    <row r="1815" spans="1:8">
      <c r="A1815" s="21"/>
      <c r="B1815" s="22"/>
      <c r="C1815" s="22"/>
      <c r="D1815" s="22"/>
      <c r="E1815" s="23" t="str">
        <f>IF($D1815="","",IFERROR(VLOOKUP($D1815,'ACAH Capital Tracker'!$A:$H,8,FALSE()),""))</f>
        <v/>
      </c>
      <c r="F1815" s="24"/>
      <c r="G1815" s="25" t="str">
        <f>IF($D1815="","",IFERROR(VLOOKUP($D1815,'ACAH Capital Tracker'!$A:$D,4,FALSE()),""))</f>
        <v/>
      </c>
      <c r="H1815" s="22"/>
    </row>
    <row r="1816" spans="1:8">
      <c r="A1816" s="21"/>
      <c r="B1816" s="22"/>
      <c r="C1816" s="22"/>
      <c r="D1816" s="22"/>
      <c r="E1816" s="23" t="str">
        <f>IF($D1816="","",IFERROR(VLOOKUP($D1816,'ACAH Capital Tracker'!$A:$H,8,FALSE()),""))</f>
        <v/>
      </c>
      <c r="F1816" s="24"/>
      <c r="G1816" s="25" t="str">
        <f>IF($D1816="","",IFERROR(VLOOKUP($D1816,'ACAH Capital Tracker'!$A:$D,4,FALSE()),""))</f>
        <v/>
      </c>
      <c r="H1816" s="22"/>
    </row>
    <row r="1817" spans="1:8">
      <c r="A1817" s="21"/>
      <c r="B1817" s="22"/>
      <c r="C1817" s="22"/>
      <c r="D1817" s="22"/>
      <c r="E1817" s="23" t="str">
        <f>IF($D1817="","",IFERROR(VLOOKUP($D1817,'ACAH Capital Tracker'!$A:$H,8,FALSE()),""))</f>
        <v/>
      </c>
      <c r="F1817" s="24"/>
      <c r="G1817" s="25" t="str">
        <f>IF($D1817="","",IFERROR(VLOOKUP($D1817,'ACAH Capital Tracker'!$A:$D,4,FALSE()),""))</f>
        <v/>
      </c>
      <c r="H1817" s="22"/>
    </row>
    <row r="1818" spans="1:8">
      <c r="A1818" s="21"/>
      <c r="B1818" s="22"/>
      <c r="C1818" s="22"/>
      <c r="D1818" s="22"/>
      <c r="E1818" s="23" t="str">
        <f>IF($D1818="","",IFERROR(VLOOKUP($D1818,'ACAH Capital Tracker'!$A:$H,8,FALSE()),""))</f>
        <v/>
      </c>
      <c r="F1818" s="24"/>
      <c r="G1818" s="25" t="str">
        <f>IF($D1818="","",IFERROR(VLOOKUP($D1818,'ACAH Capital Tracker'!$A:$D,4,FALSE()),""))</f>
        <v/>
      </c>
      <c r="H1818" s="22"/>
    </row>
    <row r="1819" spans="1:8">
      <c r="A1819" s="21"/>
      <c r="B1819" s="22"/>
      <c r="C1819" s="22"/>
      <c r="D1819" s="22"/>
      <c r="E1819" s="23" t="str">
        <f>IF($D1819="","",IFERROR(VLOOKUP($D1819,'ACAH Capital Tracker'!$A:$H,8,FALSE()),""))</f>
        <v/>
      </c>
      <c r="F1819" s="24"/>
      <c r="G1819" s="25" t="str">
        <f>IF($D1819="","",IFERROR(VLOOKUP($D1819,'ACAH Capital Tracker'!$A:$D,4,FALSE()),""))</f>
        <v/>
      </c>
      <c r="H1819" s="22"/>
    </row>
    <row r="1820" spans="1:8">
      <c r="A1820" s="21"/>
      <c r="B1820" s="22"/>
      <c r="C1820" s="22"/>
      <c r="D1820" s="22"/>
      <c r="E1820" s="23" t="str">
        <f>IF($D1820="","",IFERROR(VLOOKUP($D1820,'ACAH Capital Tracker'!$A:$H,8,FALSE()),""))</f>
        <v/>
      </c>
      <c r="F1820" s="24"/>
      <c r="G1820" s="25" t="str">
        <f>IF($D1820="","",IFERROR(VLOOKUP($D1820,'ACAH Capital Tracker'!$A:$D,4,FALSE()),""))</f>
        <v/>
      </c>
      <c r="H1820" s="22"/>
    </row>
    <row r="1821" spans="1:8">
      <c r="A1821" s="21"/>
      <c r="B1821" s="22"/>
      <c r="C1821" s="22"/>
      <c r="D1821" s="22"/>
      <c r="E1821" s="23" t="str">
        <f>IF($D1821="","",IFERROR(VLOOKUP($D1821,'ACAH Capital Tracker'!$A:$H,8,FALSE()),""))</f>
        <v/>
      </c>
      <c r="F1821" s="24"/>
      <c r="G1821" s="25" t="str">
        <f>IF($D1821="","",IFERROR(VLOOKUP($D1821,'ACAH Capital Tracker'!$A:$D,4,FALSE()),""))</f>
        <v/>
      </c>
      <c r="H1821" s="22"/>
    </row>
    <row r="1822" spans="1:8">
      <c r="A1822" s="21"/>
      <c r="B1822" s="22"/>
      <c r="C1822" s="22"/>
      <c r="D1822" s="22"/>
      <c r="E1822" s="23" t="str">
        <f>IF($D1822="","",IFERROR(VLOOKUP($D1822,'ACAH Capital Tracker'!$A:$H,8,FALSE()),""))</f>
        <v/>
      </c>
      <c r="F1822" s="24"/>
      <c r="G1822" s="25" t="str">
        <f>IF($D1822="","",IFERROR(VLOOKUP($D1822,'ACAH Capital Tracker'!$A:$D,4,FALSE()),""))</f>
        <v/>
      </c>
      <c r="H1822" s="22"/>
    </row>
    <row r="1823" spans="1:8">
      <c r="A1823" s="21"/>
      <c r="B1823" s="22"/>
      <c r="C1823" s="22"/>
      <c r="D1823" s="22"/>
      <c r="E1823" s="23" t="str">
        <f>IF($D1823="","",IFERROR(VLOOKUP($D1823,'ACAH Capital Tracker'!$A:$H,8,FALSE()),""))</f>
        <v/>
      </c>
      <c r="F1823" s="24"/>
      <c r="G1823" s="25" t="str">
        <f>IF($D1823="","",IFERROR(VLOOKUP($D1823,'ACAH Capital Tracker'!$A:$D,4,FALSE()),""))</f>
        <v/>
      </c>
      <c r="H1823" s="22"/>
    </row>
    <row r="1824" spans="1:8">
      <c r="A1824" s="21"/>
      <c r="B1824" s="22"/>
      <c r="C1824" s="22"/>
      <c r="D1824" s="22"/>
      <c r="E1824" s="23" t="str">
        <f>IF($D1824="","",IFERROR(VLOOKUP($D1824,'ACAH Capital Tracker'!$A:$H,8,FALSE()),""))</f>
        <v/>
      </c>
      <c r="F1824" s="24"/>
      <c r="G1824" s="25" t="str">
        <f>IF($D1824="","",IFERROR(VLOOKUP($D1824,'ACAH Capital Tracker'!$A:$D,4,FALSE()),""))</f>
        <v/>
      </c>
      <c r="H1824" s="22"/>
    </row>
    <row r="1825" spans="1:8">
      <c r="A1825" s="21"/>
      <c r="B1825" s="22"/>
      <c r="C1825" s="22"/>
      <c r="D1825" s="22"/>
      <c r="E1825" s="23" t="str">
        <f>IF($D1825="","",IFERROR(VLOOKUP($D1825,'ACAH Capital Tracker'!$A:$H,8,FALSE()),""))</f>
        <v/>
      </c>
      <c r="F1825" s="24"/>
      <c r="G1825" s="25" t="str">
        <f>IF($D1825="","",IFERROR(VLOOKUP($D1825,'ACAH Capital Tracker'!$A:$D,4,FALSE()),""))</f>
        <v/>
      </c>
      <c r="H1825" s="22"/>
    </row>
    <row r="1826" spans="1:8">
      <c r="A1826" s="21"/>
      <c r="B1826" s="22"/>
      <c r="C1826" s="22"/>
      <c r="D1826" s="22"/>
      <c r="E1826" s="23" t="str">
        <f>IF($D1826="","",IFERROR(VLOOKUP($D1826,'ACAH Capital Tracker'!$A:$H,8,FALSE()),""))</f>
        <v/>
      </c>
      <c r="F1826" s="24"/>
      <c r="G1826" s="25" t="str">
        <f>IF($D1826="","",IFERROR(VLOOKUP($D1826,'ACAH Capital Tracker'!$A:$D,4,FALSE()),""))</f>
        <v/>
      </c>
      <c r="H1826" s="22"/>
    </row>
    <row r="1827" spans="1:8">
      <c r="A1827" s="21"/>
      <c r="B1827" s="22"/>
      <c r="C1827" s="22"/>
      <c r="D1827" s="22"/>
      <c r="E1827" s="23" t="str">
        <f>IF($D1827="","",IFERROR(VLOOKUP($D1827,'ACAH Capital Tracker'!$A:$H,8,FALSE()),""))</f>
        <v/>
      </c>
      <c r="F1827" s="24"/>
      <c r="G1827" s="25" t="str">
        <f>IF($D1827="","",IFERROR(VLOOKUP($D1827,'ACAH Capital Tracker'!$A:$D,4,FALSE()),""))</f>
        <v/>
      </c>
      <c r="H1827" s="22"/>
    </row>
    <row r="1828" spans="1:8">
      <c r="A1828" s="21"/>
      <c r="B1828" s="22"/>
      <c r="C1828" s="22"/>
      <c r="D1828" s="22"/>
      <c r="E1828" s="23" t="str">
        <f>IF($D1828="","",IFERROR(VLOOKUP($D1828,'ACAH Capital Tracker'!$A:$H,8,FALSE()),""))</f>
        <v/>
      </c>
      <c r="F1828" s="24"/>
      <c r="G1828" s="25" t="str">
        <f>IF($D1828="","",IFERROR(VLOOKUP($D1828,'ACAH Capital Tracker'!$A:$D,4,FALSE()),""))</f>
        <v/>
      </c>
      <c r="H1828" s="22"/>
    </row>
    <row r="1829" spans="1:8">
      <c r="A1829" s="21"/>
      <c r="B1829" s="22"/>
      <c r="C1829" s="22"/>
      <c r="D1829" s="22"/>
      <c r="E1829" s="23" t="str">
        <f>IF($D1829="","",IFERROR(VLOOKUP($D1829,'ACAH Capital Tracker'!$A:$H,8,FALSE()),""))</f>
        <v/>
      </c>
      <c r="F1829" s="24"/>
      <c r="G1829" s="25" t="str">
        <f>IF($D1829="","",IFERROR(VLOOKUP($D1829,'ACAH Capital Tracker'!$A:$D,4,FALSE()),""))</f>
        <v/>
      </c>
      <c r="H1829" s="22"/>
    </row>
    <row r="1830" spans="1:8">
      <c r="A1830" s="21"/>
      <c r="B1830" s="22"/>
      <c r="C1830" s="22"/>
      <c r="D1830" s="22"/>
      <c r="E1830" s="23" t="str">
        <f>IF($D1830="","",IFERROR(VLOOKUP($D1830,'ACAH Capital Tracker'!$A:$H,8,FALSE()),""))</f>
        <v/>
      </c>
      <c r="F1830" s="24"/>
      <c r="G1830" s="25" t="str">
        <f>IF($D1830="","",IFERROR(VLOOKUP($D1830,'ACAH Capital Tracker'!$A:$D,4,FALSE()),""))</f>
        <v/>
      </c>
      <c r="H1830" s="22"/>
    </row>
    <row r="1831" spans="1:8">
      <c r="A1831" s="21"/>
      <c r="B1831" s="22"/>
      <c r="C1831" s="22"/>
      <c r="D1831" s="22"/>
      <c r="E1831" s="23" t="str">
        <f>IF($D1831="","",IFERROR(VLOOKUP($D1831,'ACAH Capital Tracker'!$A:$H,8,FALSE()),""))</f>
        <v/>
      </c>
      <c r="F1831" s="24"/>
      <c r="G1831" s="25" t="str">
        <f>IF($D1831="","",IFERROR(VLOOKUP($D1831,'ACAH Capital Tracker'!$A:$D,4,FALSE()),""))</f>
        <v/>
      </c>
      <c r="H1831" s="22"/>
    </row>
    <row r="1832" spans="1:8">
      <c r="A1832" s="21"/>
      <c r="B1832" s="22"/>
      <c r="C1832" s="22"/>
      <c r="D1832" s="22"/>
      <c r="E1832" s="23" t="str">
        <f>IF($D1832="","",IFERROR(VLOOKUP($D1832,'ACAH Capital Tracker'!$A:$H,8,FALSE()),""))</f>
        <v/>
      </c>
      <c r="F1832" s="24"/>
      <c r="G1832" s="25" t="str">
        <f>IF($D1832="","",IFERROR(VLOOKUP($D1832,'ACAH Capital Tracker'!$A:$D,4,FALSE()),""))</f>
        <v/>
      </c>
      <c r="H1832" s="22"/>
    </row>
    <row r="1833" spans="1:8">
      <c r="A1833" s="21"/>
      <c r="B1833" s="22"/>
      <c r="C1833" s="22"/>
      <c r="D1833" s="22"/>
      <c r="E1833" s="23" t="str">
        <f>IF($D1833="","",IFERROR(VLOOKUP($D1833,'ACAH Capital Tracker'!$A:$H,8,FALSE()),""))</f>
        <v/>
      </c>
      <c r="F1833" s="24"/>
      <c r="G1833" s="25" t="str">
        <f>IF($D1833="","",IFERROR(VLOOKUP($D1833,'ACAH Capital Tracker'!$A:$D,4,FALSE()),""))</f>
        <v/>
      </c>
      <c r="H1833" s="22"/>
    </row>
    <row r="1834" spans="1:8">
      <c r="A1834" s="21"/>
      <c r="B1834" s="22"/>
      <c r="C1834" s="22"/>
      <c r="D1834" s="22"/>
      <c r="E1834" s="23" t="str">
        <f>IF($D1834="","",IFERROR(VLOOKUP($D1834,'ACAH Capital Tracker'!$A:$H,8,FALSE()),""))</f>
        <v/>
      </c>
      <c r="F1834" s="24"/>
      <c r="G1834" s="25" t="str">
        <f>IF($D1834="","",IFERROR(VLOOKUP($D1834,'ACAH Capital Tracker'!$A:$D,4,FALSE()),""))</f>
        <v/>
      </c>
      <c r="H1834" s="22"/>
    </row>
    <row r="1835" spans="1:8">
      <c r="A1835" s="21"/>
      <c r="B1835" s="22"/>
      <c r="C1835" s="22"/>
      <c r="D1835" s="22"/>
      <c r="E1835" s="23" t="str">
        <f>IF($D1835="","",IFERROR(VLOOKUP($D1835,'ACAH Capital Tracker'!$A:$H,8,FALSE()),""))</f>
        <v/>
      </c>
      <c r="F1835" s="24"/>
      <c r="G1835" s="25" t="str">
        <f>IF($D1835="","",IFERROR(VLOOKUP($D1835,'ACAH Capital Tracker'!$A:$D,4,FALSE()),""))</f>
        <v/>
      </c>
      <c r="H1835" s="22"/>
    </row>
    <row r="1836" spans="1:8">
      <c r="A1836" s="21"/>
      <c r="B1836" s="22"/>
      <c r="C1836" s="22"/>
      <c r="D1836" s="22"/>
      <c r="E1836" s="23" t="str">
        <f>IF($D1836="","",IFERROR(VLOOKUP($D1836,'ACAH Capital Tracker'!$A:$H,8,FALSE()),""))</f>
        <v/>
      </c>
      <c r="F1836" s="24"/>
      <c r="G1836" s="25" t="str">
        <f>IF($D1836="","",IFERROR(VLOOKUP($D1836,'ACAH Capital Tracker'!$A:$D,4,FALSE()),""))</f>
        <v/>
      </c>
      <c r="H1836" s="22"/>
    </row>
    <row r="1837" spans="1:8">
      <c r="A1837" s="21"/>
      <c r="B1837" s="22"/>
      <c r="C1837" s="22"/>
      <c r="D1837" s="22"/>
      <c r="E1837" s="23" t="str">
        <f>IF($D1837="","",IFERROR(VLOOKUP($D1837,'ACAH Capital Tracker'!$A:$H,8,FALSE()),""))</f>
        <v/>
      </c>
      <c r="F1837" s="24"/>
      <c r="G1837" s="25" t="str">
        <f>IF($D1837="","",IFERROR(VLOOKUP($D1837,'ACAH Capital Tracker'!$A:$D,4,FALSE()),""))</f>
        <v/>
      </c>
      <c r="H1837" s="22"/>
    </row>
    <row r="1838" spans="1:8">
      <c r="A1838" s="21"/>
      <c r="B1838" s="22"/>
      <c r="C1838" s="22"/>
      <c r="D1838" s="22"/>
      <c r="E1838" s="23" t="str">
        <f>IF($D1838="","",IFERROR(VLOOKUP($D1838,'ACAH Capital Tracker'!$A:$H,8,FALSE()),""))</f>
        <v/>
      </c>
      <c r="F1838" s="24"/>
      <c r="G1838" s="25" t="str">
        <f>IF($D1838="","",IFERROR(VLOOKUP($D1838,'ACAH Capital Tracker'!$A:$D,4,FALSE()),""))</f>
        <v/>
      </c>
      <c r="H1838" s="22"/>
    </row>
    <row r="1839" spans="1:8">
      <c r="A1839" s="21"/>
      <c r="B1839" s="22"/>
      <c r="C1839" s="22"/>
      <c r="D1839" s="22"/>
      <c r="E1839" s="23" t="str">
        <f>IF($D1839="","",IFERROR(VLOOKUP($D1839,'ACAH Capital Tracker'!$A:$H,8,FALSE()),""))</f>
        <v/>
      </c>
      <c r="F1839" s="24"/>
      <c r="G1839" s="25" t="str">
        <f>IF($D1839="","",IFERROR(VLOOKUP($D1839,'ACAH Capital Tracker'!$A:$D,4,FALSE()),""))</f>
        <v/>
      </c>
      <c r="H1839" s="22"/>
    </row>
    <row r="1840" spans="1:8">
      <c r="A1840" s="21"/>
      <c r="B1840" s="22"/>
      <c r="C1840" s="22"/>
      <c r="D1840" s="22"/>
      <c r="E1840" s="23" t="str">
        <f>IF($D1840="","",IFERROR(VLOOKUP($D1840,'ACAH Capital Tracker'!$A:$H,8,FALSE()),""))</f>
        <v/>
      </c>
      <c r="F1840" s="24"/>
      <c r="G1840" s="25" t="str">
        <f>IF($D1840="","",IFERROR(VLOOKUP($D1840,'ACAH Capital Tracker'!$A:$D,4,FALSE()),""))</f>
        <v/>
      </c>
      <c r="H1840" s="22"/>
    </row>
    <row r="1841" spans="1:8">
      <c r="A1841" s="21"/>
      <c r="B1841" s="22"/>
      <c r="C1841" s="22"/>
      <c r="D1841" s="22"/>
      <c r="E1841" s="23" t="str">
        <f>IF($D1841="","",IFERROR(VLOOKUP($D1841,'ACAH Capital Tracker'!$A:$H,8,FALSE()),""))</f>
        <v/>
      </c>
      <c r="F1841" s="24"/>
      <c r="G1841" s="25" t="str">
        <f>IF($D1841="","",IFERROR(VLOOKUP($D1841,'ACAH Capital Tracker'!$A:$D,4,FALSE()),""))</f>
        <v/>
      </c>
      <c r="H1841" s="22"/>
    </row>
    <row r="1842" spans="1:8">
      <c r="A1842" s="21"/>
      <c r="B1842" s="22"/>
      <c r="C1842" s="22"/>
      <c r="D1842" s="22"/>
      <c r="E1842" s="23" t="str">
        <f>IF($D1842="","",IFERROR(VLOOKUP($D1842,'ACAH Capital Tracker'!$A:$H,8,FALSE()),""))</f>
        <v/>
      </c>
      <c r="F1842" s="24"/>
      <c r="G1842" s="25" t="str">
        <f>IF($D1842="","",IFERROR(VLOOKUP($D1842,'ACAH Capital Tracker'!$A:$D,4,FALSE()),""))</f>
        <v/>
      </c>
      <c r="H1842" s="22"/>
    </row>
    <row r="1843" spans="1:8">
      <c r="A1843" s="21"/>
      <c r="B1843" s="22"/>
      <c r="C1843" s="22"/>
      <c r="D1843" s="22"/>
      <c r="E1843" s="23" t="str">
        <f>IF($D1843="","",IFERROR(VLOOKUP($D1843,'ACAH Capital Tracker'!$A:$H,8,FALSE()),""))</f>
        <v/>
      </c>
      <c r="F1843" s="24"/>
      <c r="G1843" s="25" t="str">
        <f>IF($D1843="","",IFERROR(VLOOKUP($D1843,'ACAH Capital Tracker'!$A:$D,4,FALSE()),""))</f>
        <v/>
      </c>
      <c r="H1843" s="22"/>
    </row>
    <row r="1844" spans="1:8">
      <c r="A1844" s="21"/>
      <c r="B1844" s="22"/>
      <c r="C1844" s="22"/>
      <c r="D1844" s="22"/>
      <c r="E1844" s="23" t="str">
        <f>IF($D1844="","",IFERROR(VLOOKUP($D1844,'ACAH Capital Tracker'!$A:$H,8,FALSE()),""))</f>
        <v/>
      </c>
      <c r="F1844" s="24"/>
      <c r="G1844" s="25" t="str">
        <f>IF($D1844="","",IFERROR(VLOOKUP($D1844,'ACAH Capital Tracker'!$A:$D,4,FALSE()),""))</f>
        <v/>
      </c>
      <c r="H1844" s="22"/>
    </row>
    <row r="1845" spans="1:8">
      <c r="A1845" s="21"/>
      <c r="B1845" s="22"/>
      <c r="C1845" s="22"/>
      <c r="D1845" s="22"/>
      <c r="E1845" s="23" t="str">
        <f>IF($D1845="","",IFERROR(VLOOKUP($D1845,'ACAH Capital Tracker'!$A:$H,8,FALSE()),""))</f>
        <v/>
      </c>
      <c r="F1845" s="24"/>
      <c r="G1845" s="25" t="str">
        <f>IF($D1845="","",IFERROR(VLOOKUP($D1845,'ACAH Capital Tracker'!$A:$D,4,FALSE()),""))</f>
        <v/>
      </c>
      <c r="H1845" s="22"/>
    </row>
    <row r="1846" spans="1:8">
      <c r="A1846" s="21"/>
      <c r="B1846" s="22"/>
      <c r="C1846" s="22"/>
      <c r="D1846" s="22"/>
      <c r="E1846" s="23" t="str">
        <f>IF($D1846="","",IFERROR(VLOOKUP($D1846,'ACAH Capital Tracker'!$A:$H,8,FALSE()),""))</f>
        <v/>
      </c>
      <c r="F1846" s="24"/>
      <c r="G1846" s="25" t="str">
        <f>IF($D1846="","",IFERROR(VLOOKUP($D1846,'ACAH Capital Tracker'!$A:$D,4,FALSE()),""))</f>
        <v/>
      </c>
      <c r="H1846" s="22"/>
    </row>
    <row r="1847" spans="1:8">
      <c r="A1847" s="21"/>
      <c r="B1847" s="22"/>
      <c r="C1847" s="22"/>
      <c r="D1847" s="22"/>
      <c r="E1847" s="23" t="str">
        <f>IF($D1847="","",IFERROR(VLOOKUP($D1847,'ACAH Capital Tracker'!$A:$H,8,FALSE()),""))</f>
        <v/>
      </c>
      <c r="F1847" s="24"/>
      <c r="G1847" s="25" t="str">
        <f>IF($D1847="","",IFERROR(VLOOKUP($D1847,'ACAH Capital Tracker'!$A:$D,4,FALSE()),""))</f>
        <v/>
      </c>
      <c r="H1847" s="22"/>
    </row>
    <row r="1848" spans="1:8">
      <c r="A1848" s="21"/>
      <c r="B1848" s="22"/>
      <c r="C1848" s="22"/>
      <c r="D1848" s="22"/>
      <c r="E1848" s="23" t="str">
        <f>IF($D1848="","",IFERROR(VLOOKUP($D1848,'ACAH Capital Tracker'!$A:$H,8,FALSE()),""))</f>
        <v/>
      </c>
      <c r="F1848" s="24"/>
      <c r="G1848" s="25" t="str">
        <f>IF($D1848="","",IFERROR(VLOOKUP($D1848,'ACAH Capital Tracker'!$A:$D,4,FALSE()),""))</f>
        <v/>
      </c>
      <c r="H1848" s="22"/>
    </row>
    <row r="1849" spans="1:8">
      <c r="A1849" s="21"/>
      <c r="B1849" s="22"/>
      <c r="C1849" s="22"/>
      <c r="D1849" s="22"/>
      <c r="E1849" s="23" t="str">
        <f>IF($D1849="","",IFERROR(VLOOKUP($D1849,'ACAH Capital Tracker'!$A:$H,8,FALSE()),""))</f>
        <v/>
      </c>
      <c r="F1849" s="24"/>
      <c r="G1849" s="25" t="str">
        <f>IF($D1849="","",IFERROR(VLOOKUP($D1849,'ACAH Capital Tracker'!$A:$D,4,FALSE()),""))</f>
        <v/>
      </c>
      <c r="H1849" s="22"/>
    </row>
    <row r="1850" spans="1:8">
      <c r="A1850" s="21"/>
      <c r="B1850" s="22"/>
      <c r="C1850" s="22"/>
      <c r="D1850" s="22"/>
      <c r="E1850" s="23" t="str">
        <f>IF($D1850="","",IFERROR(VLOOKUP($D1850,'ACAH Capital Tracker'!$A:$H,8,FALSE()),""))</f>
        <v/>
      </c>
      <c r="F1850" s="24"/>
      <c r="G1850" s="25" t="str">
        <f>IF($D1850="","",IFERROR(VLOOKUP($D1850,'ACAH Capital Tracker'!$A:$D,4,FALSE()),""))</f>
        <v/>
      </c>
      <c r="H1850" s="22"/>
    </row>
    <row r="1851" spans="1:8">
      <c r="A1851" s="21"/>
      <c r="B1851" s="22"/>
      <c r="C1851" s="22"/>
      <c r="D1851" s="22"/>
      <c r="E1851" s="23" t="str">
        <f>IF($D1851="","",IFERROR(VLOOKUP($D1851,'ACAH Capital Tracker'!$A:$H,8,FALSE()),""))</f>
        <v/>
      </c>
      <c r="F1851" s="24"/>
      <c r="G1851" s="25" t="str">
        <f>IF($D1851="","",IFERROR(VLOOKUP($D1851,'ACAH Capital Tracker'!$A:$D,4,FALSE()),""))</f>
        <v/>
      </c>
      <c r="H1851" s="22"/>
    </row>
    <row r="1852" spans="1:8">
      <c r="A1852" s="21"/>
      <c r="B1852" s="22"/>
      <c r="C1852" s="22"/>
      <c r="D1852" s="22"/>
      <c r="E1852" s="23" t="str">
        <f>IF($D1852="","",IFERROR(VLOOKUP($D1852,'ACAH Capital Tracker'!$A:$H,8,FALSE()),""))</f>
        <v/>
      </c>
      <c r="F1852" s="24"/>
      <c r="G1852" s="25" t="str">
        <f>IF($D1852="","",IFERROR(VLOOKUP($D1852,'ACAH Capital Tracker'!$A:$D,4,FALSE()),""))</f>
        <v/>
      </c>
      <c r="H1852" s="22"/>
    </row>
    <row r="1853" spans="1:8">
      <c r="A1853" s="21"/>
      <c r="B1853" s="22"/>
      <c r="C1853" s="22"/>
      <c r="D1853" s="22"/>
      <c r="E1853" s="23" t="str">
        <f>IF($D1853="","",IFERROR(VLOOKUP($D1853,'ACAH Capital Tracker'!$A:$H,8,FALSE()),""))</f>
        <v/>
      </c>
      <c r="F1853" s="24"/>
      <c r="G1853" s="25" t="str">
        <f>IF($D1853="","",IFERROR(VLOOKUP($D1853,'ACAH Capital Tracker'!$A:$D,4,FALSE()),""))</f>
        <v/>
      </c>
      <c r="H1853" s="22"/>
    </row>
    <row r="1854" spans="1:8">
      <c r="A1854" s="21"/>
      <c r="B1854" s="22"/>
      <c r="C1854" s="22"/>
      <c r="D1854" s="22"/>
      <c r="E1854" s="23" t="str">
        <f>IF($D1854="","",IFERROR(VLOOKUP($D1854,'ACAH Capital Tracker'!$A:$H,8,FALSE()),""))</f>
        <v/>
      </c>
      <c r="F1854" s="24"/>
      <c r="G1854" s="25" t="str">
        <f>IF($D1854="","",IFERROR(VLOOKUP($D1854,'ACAH Capital Tracker'!$A:$D,4,FALSE()),""))</f>
        <v/>
      </c>
      <c r="H1854" s="22"/>
    </row>
    <row r="1855" spans="1:8">
      <c r="A1855" s="21"/>
      <c r="B1855" s="22"/>
      <c r="C1855" s="22"/>
      <c r="D1855" s="22"/>
      <c r="E1855" s="23" t="str">
        <f>IF($D1855="","",IFERROR(VLOOKUP($D1855,'ACAH Capital Tracker'!$A:$H,8,FALSE()),""))</f>
        <v/>
      </c>
      <c r="F1855" s="24"/>
      <c r="G1855" s="25" t="str">
        <f>IF($D1855="","",IFERROR(VLOOKUP($D1855,'ACAH Capital Tracker'!$A:$D,4,FALSE()),""))</f>
        <v/>
      </c>
      <c r="H1855" s="22"/>
    </row>
    <row r="1856" spans="1:8">
      <c r="A1856" s="21"/>
      <c r="B1856" s="22"/>
      <c r="C1856" s="22"/>
      <c r="D1856" s="22"/>
      <c r="E1856" s="23" t="str">
        <f>IF($D1856="","",IFERROR(VLOOKUP($D1856,'ACAH Capital Tracker'!$A:$H,8,FALSE()),""))</f>
        <v/>
      </c>
      <c r="F1856" s="24"/>
      <c r="G1856" s="25" t="str">
        <f>IF($D1856="","",IFERROR(VLOOKUP($D1856,'ACAH Capital Tracker'!$A:$D,4,FALSE()),""))</f>
        <v/>
      </c>
      <c r="H1856" s="22"/>
    </row>
    <row r="1857" spans="1:8">
      <c r="A1857" s="21"/>
      <c r="B1857" s="22"/>
      <c r="C1857" s="22"/>
      <c r="D1857" s="22"/>
      <c r="E1857" s="23" t="str">
        <f>IF($D1857="","",IFERROR(VLOOKUP($D1857,'ACAH Capital Tracker'!$A:$H,8,FALSE()),""))</f>
        <v/>
      </c>
      <c r="F1857" s="24"/>
      <c r="G1857" s="25" t="str">
        <f>IF($D1857="","",IFERROR(VLOOKUP($D1857,'ACAH Capital Tracker'!$A:$D,4,FALSE()),""))</f>
        <v/>
      </c>
      <c r="H1857" s="22"/>
    </row>
    <row r="1858" spans="1:8">
      <c r="A1858" s="21"/>
      <c r="B1858" s="22"/>
      <c r="C1858" s="22"/>
      <c r="D1858" s="22"/>
      <c r="E1858" s="23" t="str">
        <f>IF($D1858="","",IFERROR(VLOOKUP($D1858,'ACAH Capital Tracker'!$A:$H,8,FALSE()),""))</f>
        <v/>
      </c>
      <c r="F1858" s="24"/>
      <c r="G1858" s="25" t="str">
        <f>IF($D1858="","",IFERROR(VLOOKUP($D1858,'ACAH Capital Tracker'!$A:$D,4,FALSE()),""))</f>
        <v/>
      </c>
      <c r="H1858" s="22"/>
    </row>
    <row r="1859" spans="1:8">
      <c r="A1859" s="21"/>
      <c r="B1859" s="22"/>
      <c r="C1859" s="22"/>
      <c r="D1859" s="22"/>
      <c r="E1859" s="23" t="str">
        <f>IF($D1859="","",IFERROR(VLOOKUP($D1859,'ACAH Capital Tracker'!$A:$H,8,FALSE()),""))</f>
        <v/>
      </c>
      <c r="F1859" s="24"/>
      <c r="G1859" s="25" t="str">
        <f>IF($D1859="","",IFERROR(VLOOKUP($D1859,'ACAH Capital Tracker'!$A:$D,4,FALSE()),""))</f>
        <v/>
      </c>
      <c r="H1859" s="22"/>
    </row>
    <row r="1860" spans="1:8">
      <c r="A1860" s="21"/>
      <c r="B1860" s="22"/>
      <c r="C1860" s="22"/>
      <c r="D1860" s="22"/>
      <c r="E1860" s="23" t="str">
        <f>IF($D1860="","",IFERROR(VLOOKUP($D1860,'ACAH Capital Tracker'!$A:$H,8,FALSE()),""))</f>
        <v/>
      </c>
      <c r="F1860" s="24"/>
      <c r="G1860" s="25" t="str">
        <f>IF($D1860="","",IFERROR(VLOOKUP($D1860,'ACAH Capital Tracker'!$A:$D,4,FALSE()),""))</f>
        <v/>
      </c>
      <c r="H1860" s="22"/>
    </row>
    <row r="1861" spans="1:8">
      <c r="A1861" s="21"/>
      <c r="B1861" s="22"/>
      <c r="C1861" s="22"/>
      <c r="D1861" s="22"/>
      <c r="E1861" s="23" t="str">
        <f>IF($D1861="","",IFERROR(VLOOKUP($D1861,'ACAH Capital Tracker'!$A:$H,8,FALSE()),""))</f>
        <v/>
      </c>
      <c r="F1861" s="24"/>
      <c r="G1861" s="25" t="str">
        <f>IF($D1861="","",IFERROR(VLOOKUP($D1861,'ACAH Capital Tracker'!$A:$D,4,FALSE()),""))</f>
        <v/>
      </c>
      <c r="H1861" s="22"/>
    </row>
    <row r="1862" spans="1:8">
      <c r="A1862" s="21"/>
      <c r="B1862" s="22"/>
      <c r="C1862" s="22"/>
      <c r="D1862" s="22"/>
      <c r="E1862" s="23" t="str">
        <f>IF($D1862="","",IFERROR(VLOOKUP($D1862,'ACAH Capital Tracker'!$A:$H,8,FALSE()),""))</f>
        <v/>
      </c>
      <c r="F1862" s="24"/>
      <c r="G1862" s="25" t="str">
        <f>IF($D1862="","",IFERROR(VLOOKUP($D1862,'ACAH Capital Tracker'!$A:$D,4,FALSE()),""))</f>
        <v/>
      </c>
      <c r="H1862" s="22"/>
    </row>
    <row r="1863" spans="1:8">
      <c r="A1863" s="21"/>
      <c r="B1863" s="22"/>
      <c r="C1863" s="22"/>
      <c r="D1863" s="22"/>
      <c r="E1863" s="23" t="str">
        <f>IF($D1863="","",IFERROR(VLOOKUP($D1863,'ACAH Capital Tracker'!$A:$H,8,FALSE()),""))</f>
        <v/>
      </c>
      <c r="F1863" s="24"/>
      <c r="G1863" s="25" t="str">
        <f>IF($D1863="","",IFERROR(VLOOKUP($D1863,'ACAH Capital Tracker'!$A:$D,4,FALSE()),""))</f>
        <v/>
      </c>
      <c r="H1863" s="22"/>
    </row>
    <row r="1864" spans="1:8">
      <c r="A1864" s="21"/>
      <c r="B1864" s="22"/>
      <c r="C1864" s="22"/>
      <c r="D1864" s="22"/>
      <c r="E1864" s="23" t="str">
        <f>IF($D1864="","",IFERROR(VLOOKUP($D1864,'ACAH Capital Tracker'!$A:$H,8,FALSE()),""))</f>
        <v/>
      </c>
      <c r="F1864" s="24"/>
      <c r="G1864" s="25" t="str">
        <f>IF($D1864="","",IFERROR(VLOOKUP($D1864,'ACAH Capital Tracker'!$A:$D,4,FALSE()),""))</f>
        <v/>
      </c>
      <c r="H1864" s="22"/>
    </row>
    <row r="1865" spans="1:8">
      <c r="A1865" s="21"/>
      <c r="B1865" s="22"/>
      <c r="C1865" s="22"/>
      <c r="D1865" s="22"/>
      <c r="E1865" s="23" t="str">
        <f>IF($D1865="","",IFERROR(VLOOKUP($D1865,'ACAH Capital Tracker'!$A:$H,8,FALSE()),""))</f>
        <v/>
      </c>
      <c r="F1865" s="24"/>
      <c r="G1865" s="25" t="str">
        <f>IF($D1865="","",IFERROR(VLOOKUP($D1865,'ACAH Capital Tracker'!$A:$D,4,FALSE()),""))</f>
        <v/>
      </c>
      <c r="H1865" s="22"/>
    </row>
    <row r="1866" spans="1:8">
      <c r="A1866" s="21"/>
      <c r="B1866" s="22"/>
      <c r="C1866" s="22"/>
      <c r="D1866" s="22"/>
      <c r="E1866" s="23" t="str">
        <f>IF($D1866="","",IFERROR(VLOOKUP($D1866,'ACAH Capital Tracker'!$A:$H,8,FALSE()),""))</f>
        <v/>
      </c>
      <c r="F1866" s="24"/>
      <c r="G1866" s="25" t="str">
        <f>IF($D1866="","",IFERROR(VLOOKUP($D1866,'ACAH Capital Tracker'!$A:$D,4,FALSE()),""))</f>
        <v/>
      </c>
      <c r="H1866" s="22"/>
    </row>
    <row r="1867" spans="1:8">
      <c r="A1867" s="21"/>
      <c r="B1867" s="22"/>
      <c r="C1867" s="22"/>
      <c r="D1867" s="22"/>
      <c r="E1867" s="23" t="str">
        <f>IF($D1867="","",IFERROR(VLOOKUP($D1867,'ACAH Capital Tracker'!$A:$H,8,FALSE()),""))</f>
        <v/>
      </c>
      <c r="F1867" s="24"/>
      <c r="G1867" s="25" t="str">
        <f>IF($D1867="","",IFERROR(VLOOKUP($D1867,'ACAH Capital Tracker'!$A:$D,4,FALSE()),""))</f>
        <v/>
      </c>
      <c r="H1867" s="22"/>
    </row>
    <row r="1868" spans="1:8">
      <c r="A1868" s="21"/>
      <c r="B1868" s="22"/>
      <c r="C1868" s="22"/>
      <c r="D1868" s="22"/>
      <c r="E1868" s="23" t="str">
        <f>IF($D1868="","",IFERROR(VLOOKUP($D1868,'ACAH Capital Tracker'!$A:$H,8,FALSE()),""))</f>
        <v/>
      </c>
      <c r="F1868" s="24"/>
      <c r="G1868" s="25" t="str">
        <f>IF($D1868="","",IFERROR(VLOOKUP($D1868,'ACAH Capital Tracker'!$A:$D,4,FALSE()),""))</f>
        <v/>
      </c>
      <c r="H1868" s="22"/>
    </row>
    <row r="1869" spans="1:8">
      <c r="A1869" s="21"/>
      <c r="B1869" s="22"/>
      <c r="C1869" s="22"/>
      <c r="D1869" s="22"/>
      <c r="E1869" s="23" t="str">
        <f>IF($D1869="","",IFERROR(VLOOKUP($D1869,'ACAH Capital Tracker'!$A:$H,8,FALSE()),""))</f>
        <v/>
      </c>
      <c r="F1869" s="24"/>
      <c r="G1869" s="25" t="str">
        <f>IF($D1869="","",IFERROR(VLOOKUP($D1869,'ACAH Capital Tracker'!$A:$D,4,FALSE()),""))</f>
        <v/>
      </c>
      <c r="H1869" s="22"/>
    </row>
    <row r="1870" spans="1:8">
      <c r="A1870" s="21"/>
      <c r="B1870" s="22"/>
      <c r="C1870" s="22"/>
      <c r="D1870" s="22"/>
      <c r="E1870" s="23" t="str">
        <f>IF($D1870="","",IFERROR(VLOOKUP($D1870,'ACAH Capital Tracker'!$A:$H,8,FALSE()),""))</f>
        <v/>
      </c>
      <c r="F1870" s="24"/>
      <c r="G1870" s="25" t="str">
        <f>IF($D1870="","",IFERROR(VLOOKUP($D1870,'ACAH Capital Tracker'!$A:$D,4,FALSE()),""))</f>
        <v/>
      </c>
      <c r="H1870" s="22"/>
    </row>
    <row r="1871" spans="1:8">
      <c r="A1871" s="21"/>
      <c r="B1871" s="22"/>
      <c r="C1871" s="22"/>
      <c r="D1871" s="22"/>
      <c r="E1871" s="23" t="str">
        <f>IF($D1871="","",IFERROR(VLOOKUP($D1871,'ACAH Capital Tracker'!$A:$H,8,FALSE()),""))</f>
        <v/>
      </c>
      <c r="F1871" s="24"/>
      <c r="G1871" s="25" t="str">
        <f>IF($D1871="","",IFERROR(VLOOKUP($D1871,'ACAH Capital Tracker'!$A:$D,4,FALSE()),""))</f>
        <v/>
      </c>
      <c r="H1871" s="22"/>
    </row>
    <row r="1872" spans="1:8">
      <c r="A1872" s="21"/>
      <c r="B1872" s="22"/>
      <c r="C1872" s="22"/>
      <c r="D1872" s="22"/>
      <c r="E1872" s="23" t="str">
        <f>IF($D1872="","",IFERROR(VLOOKUP($D1872,'ACAH Capital Tracker'!$A:$H,8,FALSE()),""))</f>
        <v/>
      </c>
      <c r="F1872" s="24"/>
      <c r="G1872" s="25" t="str">
        <f>IF($D1872="","",IFERROR(VLOOKUP($D1872,'ACAH Capital Tracker'!$A:$D,4,FALSE()),""))</f>
        <v/>
      </c>
      <c r="H1872" s="22"/>
    </row>
    <row r="1873" spans="1:8">
      <c r="A1873" s="21"/>
      <c r="B1873" s="22"/>
      <c r="C1873" s="22"/>
      <c r="D1873" s="22"/>
      <c r="E1873" s="23" t="str">
        <f>IF($D1873="","",IFERROR(VLOOKUP($D1873,'ACAH Capital Tracker'!$A:$H,8,FALSE()),""))</f>
        <v/>
      </c>
      <c r="F1873" s="24"/>
      <c r="G1873" s="25" t="str">
        <f>IF($D1873="","",IFERROR(VLOOKUP($D1873,'ACAH Capital Tracker'!$A:$D,4,FALSE()),""))</f>
        <v/>
      </c>
      <c r="H1873" s="22"/>
    </row>
    <row r="1874" spans="1:8">
      <c r="A1874" s="21"/>
      <c r="B1874" s="22"/>
      <c r="C1874" s="22"/>
      <c r="D1874" s="22"/>
      <c r="E1874" s="23" t="str">
        <f>IF($D1874="","",IFERROR(VLOOKUP($D1874,'ACAH Capital Tracker'!$A:$H,8,FALSE()),""))</f>
        <v/>
      </c>
      <c r="F1874" s="24"/>
      <c r="G1874" s="25" t="str">
        <f>IF($D1874="","",IFERROR(VLOOKUP($D1874,'ACAH Capital Tracker'!$A:$D,4,FALSE()),""))</f>
        <v/>
      </c>
      <c r="H1874" s="22"/>
    </row>
    <row r="1875" spans="1:8">
      <c r="A1875" s="21"/>
      <c r="B1875" s="22"/>
      <c r="C1875" s="22"/>
      <c r="D1875" s="22"/>
      <c r="E1875" s="23" t="str">
        <f>IF($D1875="","",IFERROR(VLOOKUP($D1875,'ACAH Capital Tracker'!$A:$H,8,FALSE()),""))</f>
        <v/>
      </c>
      <c r="F1875" s="24"/>
      <c r="G1875" s="25" t="str">
        <f>IF($D1875="","",IFERROR(VLOOKUP($D1875,'ACAH Capital Tracker'!$A:$D,4,FALSE()),""))</f>
        <v/>
      </c>
      <c r="H1875" s="22"/>
    </row>
    <row r="1876" spans="1:8">
      <c r="A1876" s="21"/>
      <c r="B1876" s="22"/>
      <c r="C1876" s="22"/>
      <c r="D1876" s="22"/>
      <c r="E1876" s="23" t="str">
        <f>IF($D1876="","",IFERROR(VLOOKUP($D1876,'ACAH Capital Tracker'!$A:$H,8,FALSE()),""))</f>
        <v/>
      </c>
      <c r="F1876" s="24"/>
      <c r="G1876" s="25" t="str">
        <f>IF($D1876="","",IFERROR(VLOOKUP($D1876,'ACAH Capital Tracker'!$A:$D,4,FALSE()),""))</f>
        <v/>
      </c>
      <c r="H1876" s="22"/>
    </row>
    <row r="1877" spans="1:8">
      <c r="A1877" s="21"/>
      <c r="B1877" s="22"/>
      <c r="C1877" s="22"/>
      <c r="D1877" s="22"/>
      <c r="E1877" s="23" t="str">
        <f>IF($D1877="","",IFERROR(VLOOKUP($D1877,'ACAH Capital Tracker'!$A:$H,8,FALSE()),""))</f>
        <v/>
      </c>
      <c r="F1877" s="24"/>
      <c r="G1877" s="25" t="str">
        <f>IF($D1877="","",IFERROR(VLOOKUP($D1877,'ACAH Capital Tracker'!$A:$D,4,FALSE()),""))</f>
        <v/>
      </c>
      <c r="H1877" s="22"/>
    </row>
    <row r="1878" spans="1:8">
      <c r="A1878" s="21"/>
      <c r="B1878" s="22"/>
      <c r="C1878" s="22"/>
      <c r="D1878" s="22"/>
      <c r="E1878" s="23" t="str">
        <f>IF($D1878="","",IFERROR(VLOOKUP($D1878,'ACAH Capital Tracker'!$A:$H,8,FALSE()),""))</f>
        <v/>
      </c>
      <c r="F1878" s="24"/>
      <c r="G1878" s="25" t="str">
        <f>IF($D1878="","",IFERROR(VLOOKUP($D1878,'ACAH Capital Tracker'!$A:$D,4,FALSE()),""))</f>
        <v/>
      </c>
      <c r="H1878" s="22"/>
    </row>
    <row r="1879" spans="1:8">
      <c r="A1879" s="21"/>
      <c r="B1879" s="22"/>
      <c r="C1879" s="22"/>
      <c r="D1879" s="22"/>
      <c r="E1879" s="23" t="str">
        <f>IF($D1879="","",IFERROR(VLOOKUP($D1879,'ACAH Capital Tracker'!$A:$H,8,FALSE()),""))</f>
        <v/>
      </c>
      <c r="F1879" s="24"/>
      <c r="G1879" s="25" t="str">
        <f>IF($D1879="","",IFERROR(VLOOKUP($D1879,'ACAH Capital Tracker'!$A:$D,4,FALSE()),""))</f>
        <v/>
      </c>
      <c r="H1879" s="22"/>
    </row>
    <row r="1880" spans="1:8">
      <c r="A1880" s="21"/>
      <c r="B1880" s="22"/>
      <c r="C1880" s="22"/>
      <c r="D1880" s="22"/>
      <c r="E1880" s="23" t="str">
        <f>IF($D1880="","",IFERROR(VLOOKUP($D1880,'ACAH Capital Tracker'!$A:$H,8,FALSE()),""))</f>
        <v/>
      </c>
      <c r="F1880" s="24"/>
      <c r="G1880" s="25" t="str">
        <f>IF($D1880="","",IFERROR(VLOOKUP($D1880,'ACAH Capital Tracker'!$A:$D,4,FALSE()),""))</f>
        <v/>
      </c>
      <c r="H1880" s="22"/>
    </row>
    <row r="1881" spans="1:8">
      <c r="A1881" s="21"/>
      <c r="B1881" s="22"/>
      <c r="C1881" s="22"/>
      <c r="D1881" s="22"/>
      <c r="E1881" s="23" t="str">
        <f>IF($D1881="","",IFERROR(VLOOKUP($D1881,'ACAH Capital Tracker'!$A:$H,8,FALSE()),""))</f>
        <v/>
      </c>
      <c r="F1881" s="24"/>
      <c r="G1881" s="25" t="str">
        <f>IF($D1881="","",IFERROR(VLOOKUP($D1881,'ACAH Capital Tracker'!$A:$D,4,FALSE()),""))</f>
        <v/>
      </c>
      <c r="H1881" s="22"/>
    </row>
    <row r="1882" spans="1:8">
      <c r="A1882" s="21"/>
      <c r="B1882" s="22"/>
      <c r="C1882" s="22"/>
      <c r="D1882" s="22"/>
      <c r="E1882" s="23" t="str">
        <f>IF($D1882="","",IFERROR(VLOOKUP($D1882,'ACAH Capital Tracker'!$A:$H,8,FALSE()),""))</f>
        <v/>
      </c>
      <c r="F1882" s="24"/>
      <c r="G1882" s="25" t="str">
        <f>IF($D1882="","",IFERROR(VLOOKUP($D1882,'ACAH Capital Tracker'!$A:$D,4,FALSE()),""))</f>
        <v/>
      </c>
      <c r="H1882" s="22"/>
    </row>
    <row r="1883" spans="1:8">
      <c r="A1883" s="21"/>
      <c r="B1883" s="22"/>
      <c r="C1883" s="22"/>
      <c r="D1883" s="22"/>
      <c r="E1883" s="23" t="str">
        <f>IF($D1883="","",IFERROR(VLOOKUP($D1883,'ACAH Capital Tracker'!$A:$H,8,FALSE()),""))</f>
        <v/>
      </c>
      <c r="F1883" s="24"/>
      <c r="G1883" s="25" t="str">
        <f>IF($D1883="","",IFERROR(VLOOKUP($D1883,'ACAH Capital Tracker'!$A:$D,4,FALSE()),""))</f>
        <v/>
      </c>
      <c r="H1883" s="22"/>
    </row>
    <row r="1884" spans="1:8">
      <c r="A1884" s="21"/>
      <c r="B1884" s="22"/>
      <c r="C1884" s="22"/>
      <c r="D1884" s="22"/>
      <c r="E1884" s="23" t="str">
        <f>IF($D1884="","",IFERROR(VLOOKUP($D1884,'ACAH Capital Tracker'!$A:$H,8,FALSE()),""))</f>
        <v/>
      </c>
      <c r="F1884" s="24"/>
      <c r="G1884" s="25" t="str">
        <f>IF($D1884="","",IFERROR(VLOOKUP($D1884,'ACAH Capital Tracker'!$A:$D,4,FALSE()),""))</f>
        <v/>
      </c>
      <c r="H1884" s="22"/>
    </row>
    <row r="1885" spans="1:8">
      <c r="A1885" s="21"/>
      <c r="B1885" s="22"/>
      <c r="C1885" s="22"/>
      <c r="D1885" s="22"/>
      <c r="E1885" s="23" t="str">
        <f>IF($D1885="","",IFERROR(VLOOKUP($D1885,'ACAH Capital Tracker'!$A:$H,8,FALSE()),""))</f>
        <v/>
      </c>
      <c r="F1885" s="24"/>
      <c r="G1885" s="25" t="str">
        <f>IF($D1885="","",IFERROR(VLOOKUP($D1885,'ACAH Capital Tracker'!$A:$D,4,FALSE()),""))</f>
        <v/>
      </c>
      <c r="H1885" s="22"/>
    </row>
    <row r="1886" spans="1:8">
      <c r="A1886" s="21"/>
      <c r="B1886" s="22"/>
      <c r="C1886" s="22"/>
      <c r="D1886" s="22"/>
      <c r="E1886" s="23" t="str">
        <f>IF($D1886="","",IFERROR(VLOOKUP($D1886,'ACAH Capital Tracker'!$A:$H,8,FALSE()),""))</f>
        <v/>
      </c>
      <c r="F1886" s="24"/>
      <c r="G1886" s="25" t="str">
        <f>IF($D1886="","",IFERROR(VLOOKUP($D1886,'ACAH Capital Tracker'!$A:$D,4,FALSE()),""))</f>
        <v/>
      </c>
      <c r="H1886" s="22"/>
    </row>
    <row r="1887" spans="1:8">
      <c r="A1887" s="21"/>
      <c r="B1887" s="22"/>
      <c r="C1887" s="22"/>
      <c r="D1887" s="22"/>
      <c r="E1887" s="23" t="str">
        <f>IF($D1887="","",IFERROR(VLOOKUP($D1887,'ACAH Capital Tracker'!$A:$H,8,FALSE()),""))</f>
        <v/>
      </c>
      <c r="F1887" s="24"/>
      <c r="G1887" s="25" t="str">
        <f>IF($D1887="","",IFERROR(VLOOKUP($D1887,'ACAH Capital Tracker'!$A:$D,4,FALSE()),""))</f>
        <v/>
      </c>
      <c r="H1887" s="22"/>
    </row>
    <row r="1888" spans="1:8">
      <c r="A1888" s="21"/>
      <c r="B1888" s="22"/>
      <c r="C1888" s="22"/>
      <c r="D1888" s="22"/>
      <c r="E1888" s="23" t="str">
        <f>IF($D1888="","",IFERROR(VLOOKUP($D1888,'ACAH Capital Tracker'!$A:$H,8,FALSE()),""))</f>
        <v/>
      </c>
      <c r="F1888" s="24"/>
      <c r="G1888" s="25" t="str">
        <f>IF($D1888="","",IFERROR(VLOOKUP($D1888,'ACAH Capital Tracker'!$A:$D,4,FALSE()),""))</f>
        <v/>
      </c>
      <c r="H1888" s="22"/>
    </row>
    <row r="1889" spans="1:8">
      <c r="A1889" s="21"/>
      <c r="B1889" s="22"/>
      <c r="C1889" s="22"/>
      <c r="D1889" s="22"/>
      <c r="E1889" s="23" t="str">
        <f>IF($D1889="","",IFERROR(VLOOKUP($D1889,'ACAH Capital Tracker'!$A:$H,8,FALSE()),""))</f>
        <v/>
      </c>
      <c r="F1889" s="24"/>
      <c r="G1889" s="25" t="str">
        <f>IF($D1889="","",IFERROR(VLOOKUP($D1889,'ACAH Capital Tracker'!$A:$D,4,FALSE()),""))</f>
        <v/>
      </c>
      <c r="H1889" s="22"/>
    </row>
    <row r="1890" spans="1:8">
      <c r="A1890" s="21"/>
      <c r="B1890" s="22"/>
      <c r="C1890" s="22"/>
      <c r="D1890" s="22"/>
      <c r="E1890" s="23" t="str">
        <f>IF($D1890="","",IFERROR(VLOOKUP($D1890,'ACAH Capital Tracker'!$A:$H,8,FALSE()),""))</f>
        <v/>
      </c>
      <c r="F1890" s="24"/>
      <c r="G1890" s="25" t="str">
        <f>IF($D1890="","",IFERROR(VLOOKUP($D1890,'ACAH Capital Tracker'!$A:$D,4,FALSE()),""))</f>
        <v/>
      </c>
      <c r="H1890" s="22"/>
    </row>
    <row r="1891" spans="1:8">
      <c r="A1891" s="21"/>
      <c r="B1891" s="22"/>
      <c r="C1891" s="22"/>
      <c r="D1891" s="22"/>
      <c r="E1891" s="23" t="str">
        <f>IF($D1891="","",IFERROR(VLOOKUP($D1891,'ACAH Capital Tracker'!$A:$H,8,FALSE()),""))</f>
        <v/>
      </c>
      <c r="F1891" s="24"/>
      <c r="G1891" s="25" t="str">
        <f>IF($D1891="","",IFERROR(VLOOKUP($D1891,'ACAH Capital Tracker'!$A:$D,4,FALSE()),""))</f>
        <v/>
      </c>
      <c r="H1891" s="22"/>
    </row>
    <row r="1892" spans="1:8">
      <c r="A1892" s="21"/>
      <c r="B1892" s="22"/>
      <c r="C1892" s="22"/>
      <c r="D1892" s="22"/>
      <c r="E1892" s="23" t="str">
        <f>IF($D1892="","",IFERROR(VLOOKUP($D1892,'ACAH Capital Tracker'!$A:$H,8,FALSE()),""))</f>
        <v/>
      </c>
      <c r="F1892" s="24"/>
      <c r="G1892" s="25" t="str">
        <f>IF($D1892="","",IFERROR(VLOOKUP($D1892,'ACAH Capital Tracker'!$A:$D,4,FALSE()),""))</f>
        <v/>
      </c>
      <c r="H1892" s="22"/>
    </row>
    <row r="1893" spans="1:8">
      <c r="A1893" s="21"/>
      <c r="B1893" s="22"/>
      <c r="C1893" s="22"/>
      <c r="D1893" s="22"/>
      <c r="E1893" s="23" t="str">
        <f>IF($D1893="","",IFERROR(VLOOKUP($D1893,'ACAH Capital Tracker'!$A:$H,8,FALSE()),""))</f>
        <v/>
      </c>
      <c r="F1893" s="24"/>
      <c r="G1893" s="25" t="str">
        <f>IF($D1893="","",IFERROR(VLOOKUP($D1893,'ACAH Capital Tracker'!$A:$D,4,FALSE()),""))</f>
        <v/>
      </c>
      <c r="H1893" s="22"/>
    </row>
    <row r="1894" spans="1:8">
      <c r="A1894" s="21"/>
      <c r="B1894" s="22"/>
      <c r="C1894" s="22"/>
      <c r="D1894" s="22"/>
      <c r="E1894" s="23" t="str">
        <f>IF($D1894="","",IFERROR(VLOOKUP($D1894,'ACAH Capital Tracker'!$A:$H,8,FALSE()),""))</f>
        <v/>
      </c>
      <c r="F1894" s="24"/>
      <c r="G1894" s="25" t="str">
        <f>IF($D1894="","",IFERROR(VLOOKUP($D1894,'ACAH Capital Tracker'!$A:$D,4,FALSE()),""))</f>
        <v/>
      </c>
      <c r="H1894" s="22"/>
    </row>
    <row r="1895" spans="1:8">
      <c r="A1895" s="21"/>
      <c r="B1895" s="22"/>
      <c r="C1895" s="22"/>
      <c r="D1895" s="22"/>
      <c r="E1895" s="23" t="str">
        <f>IF($D1895="","",IFERROR(VLOOKUP($D1895,'ACAH Capital Tracker'!$A:$H,8,FALSE()),""))</f>
        <v/>
      </c>
      <c r="F1895" s="24"/>
      <c r="G1895" s="25" t="str">
        <f>IF($D1895="","",IFERROR(VLOOKUP($D1895,'ACAH Capital Tracker'!$A:$D,4,FALSE()),""))</f>
        <v/>
      </c>
      <c r="H1895" s="22"/>
    </row>
    <row r="1896" spans="1:8">
      <c r="A1896" s="21"/>
      <c r="B1896" s="22"/>
      <c r="C1896" s="22"/>
      <c r="D1896" s="22"/>
      <c r="E1896" s="23" t="str">
        <f>IF($D1896="","",IFERROR(VLOOKUP($D1896,'ACAH Capital Tracker'!$A:$H,8,FALSE()),""))</f>
        <v/>
      </c>
      <c r="F1896" s="24"/>
      <c r="G1896" s="25" t="str">
        <f>IF($D1896="","",IFERROR(VLOOKUP($D1896,'ACAH Capital Tracker'!$A:$D,4,FALSE()),""))</f>
        <v/>
      </c>
      <c r="H1896" s="22"/>
    </row>
    <row r="1897" spans="1:8">
      <c r="A1897" s="21"/>
      <c r="B1897" s="22"/>
      <c r="C1897" s="22"/>
      <c r="D1897" s="22"/>
      <c r="E1897" s="23" t="str">
        <f>IF($D1897="","",IFERROR(VLOOKUP($D1897,'ACAH Capital Tracker'!$A:$H,8,FALSE()),""))</f>
        <v/>
      </c>
      <c r="F1897" s="24"/>
      <c r="G1897" s="25" t="str">
        <f>IF($D1897="","",IFERROR(VLOOKUP($D1897,'ACAH Capital Tracker'!$A:$D,4,FALSE()),""))</f>
        <v/>
      </c>
      <c r="H1897" s="22"/>
    </row>
    <row r="1898" spans="1:8">
      <c r="A1898" s="21"/>
      <c r="B1898" s="22"/>
      <c r="C1898" s="22"/>
      <c r="D1898" s="22"/>
      <c r="E1898" s="23" t="str">
        <f>IF($D1898="","",IFERROR(VLOOKUP($D1898,'ACAH Capital Tracker'!$A:$H,8,FALSE()),""))</f>
        <v/>
      </c>
      <c r="F1898" s="24"/>
      <c r="G1898" s="25" t="str">
        <f>IF($D1898="","",IFERROR(VLOOKUP($D1898,'ACAH Capital Tracker'!$A:$D,4,FALSE()),""))</f>
        <v/>
      </c>
      <c r="H1898" s="22"/>
    </row>
    <row r="1899" spans="1:8">
      <c r="A1899" s="21"/>
      <c r="B1899" s="22"/>
      <c r="C1899" s="22"/>
      <c r="D1899" s="22"/>
      <c r="E1899" s="23" t="str">
        <f>IF($D1899="","",IFERROR(VLOOKUP($D1899,'ACAH Capital Tracker'!$A:$H,8,FALSE()),""))</f>
        <v/>
      </c>
      <c r="F1899" s="24"/>
      <c r="G1899" s="25" t="str">
        <f>IF($D1899="","",IFERROR(VLOOKUP($D1899,'ACAH Capital Tracker'!$A:$D,4,FALSE()),""))</f>
        <v/>
      </c>
      <c r="H1899" s="22"/>
    </row>
    <row r="1900" spans="1:8">
      <c r="A1900" s="21"/>
      <c r="B1900" s="22"/>
      <c r="C1900" s="22"/>
      <c r="D1900" s="22"/>
      <c r="E1900" s="23" t="str">
        <f>IF($D1900="","",IFERROR(VLOOKUP($D1900,'ACAH Capital Tracker'!$A:$H,8,FALSE()),""))</f>
        <v/>
      </c>
      <c r="F1900" s="24"/>
      <c r="G1900" s="25" t="str">
        <f>IF($D1900="","",IFERROR(VLOOKUP($D1900,'ACAH Capital Tracker'!$A:$D,4,FALSE()),""))</f>
        <v/>
      </c>
      <c r="H1900" s="22"/>
    </row>
    <row r="1901" spans="1:8">
      <c r="A1901" s="21"/>
      <c r="B1901" s="22"/>
      <c r="C1901" s="22"/>
      <c r="D1901" s="22"/>
      <c r="E1901" s="23" t="str">
        <f>IF($D1901="","",IFERROR(VLOOKUP($D1901,'ACAH Capital Tracker'!$A:$H,8,FALSE()),""))</f>
        <v/>
      </c>
      <c r="F1901" s="24"/>
      <c r="G1901" s="25" t="str">
        <f>IF($D1901="","",IFERROR(VLOOKUP($D1901,'ACAH Capital Tracker'!$A:$D,4,FALSE()),""))</f>
        <v/>
      </c>
      <c r="H1901" s="22"/>
    </row>
    <row r="1902" spans="1:8">
      <c r="A1902" s="21"/>
      <c r="B1902" s="22"/>
      <c r="C1902" s="22"/>
      <c r="D1902" s="22"/>
      <c r="E1902" s="23" t="str">
        <f>IF($D1902="","",IFERROR(VLOOKUP($D1902,'ACAH Capital Tracker'!$A:$H,8,FALSE()),""))</f>
        <v/>
      </c>
      <c r="F1902" s="24"/>
      <c r="G1902" s="25" t="str">
        <f>IF($D1902="","",IFERROR(VLOOKUP($D1902,'ACAH Capital Tracker'!$A:$D,4,FALSE()),""))</f>
        <v/>
      </c>
      <c r="H1902" s="22"/>
    </row>
    <row r="1903" spans="1:8">
      <c r="A1903" s="21"/>
      <c r="B1903" s="22"/>
      <c r="C1903" s="22"/>
      <c r="D1903" s="22"/>
      <c r="E1903" s="23" t="str">
        <f>IF($D1903="","",IFERROR(VLOOKUP($D1903,'ACAH Capital Tracker'!$A:$H,8,FALSE()),""))</f>
        <v/>
      </c>
      <c r="F1903" s="24"/>
      <c r="G1903" s="25" t="str">
        <f>IF($D1903="","",IFERROR(VLOOKUP($D1903,'ACAH Capital Tracker'!$A:$D,4,FALSE()),""))</f>
        <v/>
      </c>
      <c r="H1903" s="22"/>
    </row>
    <row r="1904" spans="1:8">
      <c r="A1904" s="21"/>
      <c r="B1904" s="22"/>
      <c r="C1904" s="22"/>
      <c r="D1904" s="22"/>
      <c r="E1904" s="23" t="str">
        <f>IF($D1904="","",IFERROR(VLOOKUP($D1904,'ACAH Capital Tracker'!$A:$H,8,FALSE()),""))</f>
        <v/>
      </c>
      <c r="F1904" s="24"/>
      <c r="G1904" s="25" t="str">
        <f>IF($D1904="","",IFERROR(VLOOKUP($D1904,'ACAH Capital Tracker'!$A:$D,4,FALSE()),""))</f>
        <v/>
      </c>
      <c r="H1904" s="22"/>
    </row>
    <row r="1905" spans="1:8">
      <c r="A1905" s="21"/>
      <c r="B1905" s="22"/>
      <c r="C1905" s="22"/>
      <c r="D1905" s="22"/>
      <c r="E1905" s="23" t="str">
        <f>IF($D1905="","",IFERROR(VLOOKUP($D1905,'ACAH Capital Tracker'!$A:$H,8,FALSE()),""))</f>
        <v/>
      </c>
      <c r="F1905" s="24"/>
      <c r="G1905" s="25" t="str">
        <f>IF($D1905="","",IFERROR(VLOOKUP($D1905,'ACAH Capital Tracker'!$A:$D,4,FALSE()),""))</f>
        <v/>
      </c>
      <c r="H1905" s="22"/>
    </row>
    <row r="1906" spans="1:8">
      <c r="A1906" s="21"/>
      <c r="B1906" s="22"/>
      <c r="C1906" s="22"/>
      <c r="D1906" s="22"/>
      <c r="E1906" s="23" t="str">
        <f>IF($D1906="","",IFERROR(VLOOKUP($D1906,'ACAH Capital Tracker'!$A:$H,8,FALSE()),""))</f>
        <v/>
      </c>
      <c r="F1906" s="24"/>
      <c r="G1906" s="25" t="str">
        <f>IF($D1906="","",IFERROR(VLOOKUP($D1906,'ACAH Capital Tracker'!$A:$D,4,FALSE()),""))</f>
        <v/>
      </c>
      <c r="H1906" s="22"/>
    </row>
    <row r="1907" spans="1:8">
      <c r="A1907" s="21"/>
      <c r="B1907" s="22"/>
      <c r="C1907" s="22"/>
      <c r="D1907" s="22"/>
      <c r="E1907" s="23" t="str">
        <f>IF($D1907="","",IFERROR(VLOOKUP($D1907,'ACAH Capital Tracker'!$A:$H,8,FALSE()),""))</f>
        <v/>
      </c>
      <c r="F1907" s="24"/>
      <c r="G1907" s="25" t="str">
        <f>IF($D1907="","",IFERROR(VLOOKUP($D1907,'ACAH Capital Tracker'!$A:$D,4,FALSE()),""))</f>
        <v/>
      </c>
      <c r="H1907" s="22"/>
    </row>
    <row r="1908" spans="1:8">
      <c r="A1908" s="21"/>
      <c r="B1908" s="22"/>
      <c r="C1908" s="22"/>
      <c r="D1908" s="22"/>
      <c r="E1908" s="23" t="str">
        <f>IF($D1908="","",IFERROR(VLOOKUP($D1908,'ACAH Capital Tracker'!$A:$H,8,FALSE()),""))</f>
        <v/>
      </c>
      <c r="F1908" s="24"/>
      <c r="G1908" s="25" t="str">
        <f>IF($D1908="","",IFERROR(VLOOKUP($D1908,'ACAH Capital Tracker'!$A:$D,4,FALSE()),""))</f>
        <v/>
      </c>
      <c r="H1908" s="22"/>
    </row>
    <row r="1909" spans="1:8">
      <c r="A1909" s="21"/>
      <c r="B1909" s="22"/>
      <c r="C1909" s="22"/>
      <c r="D1909" s="22"/>
      <c r="E1909" s="23" t="str">
        <f>IF($D1909="","",IFERROR(VLOOKUP($D1909,'ACAH Capital Tracker'!$A:$H,8,FALSE()),""))</f>
        <v/>
      </c>
      <c r="F1909" s="24"/>
      <c r="G1909" s="25" t="str">
        <f>IF($D1909="","",IFERROR(VLOOKUP($D1909,'ACAH Capital Tracker'!$A:$D,4,FALSE()),""))</f>
        <v/>
      </c>
      <c r="H1909" s="22"/>
    </row>
    <row r="1910" spans="1:8">
      <c r="A1910" s="21"/>
      <c r="B1910" s="22"/>
      <c r="C1910" s="22"/>
      <c r="D1910" s="22"/>
      <c r="E1910" s="23" t="str">
        <f>IF($D1910="","",IFERROR(VLOOKUP($D1910,'ACAH Capital Tracker'!$A:$H,8,FALSE()),""))</f>
        <v/>
      </c>
      <c r="F1910" s="24"/>
      <c r="G1910" s="25" t="str">
        <f>IF($D1910="","",IFERROR(VLOOKUP($D1910,'ACAH Capital Tracker'!$A:$D,4,FALSE()),""))</f>
        <v/>
      </c>
      <c r="H1910" s="22"/>
    </row>
    <row r="1911" spans="1:8">
      <c r="A1911" s="21"/>
      <c r="B1911" s="22"/>
      <c r="C1911" s="22"/>
      <c r="D1911" s="22"/>
      <c r="E1911" s="23" t="str">
        <f>IF($D1911="","",IFERROR(VLOOKUP($D1911,'ACAH Capital Tracker'!$A:$H,8,FALSE()),""))</f>
        <v/>
      </c>
      <c r="F1911" s="24"/>
      <c r="G1911" s="25" t="str">
        <f>IF($D1911="","",IFERROR(VLOOKUP($D1911,'ACAH Capital Tracker'!$A:$D,4,FALSE()),""))</f>
        <v/>
      </c>
      <c r="H1911" s="22"/>
    </row>
    <row r="1912" spans="1:8">
      <c r="A1912" s="21"/>
      <c r="B1912" s="22"/>
      <c r="C1912" s="22"/>
      <c r="D1912" s="22"/>
      <c r="E1912" s="23" t="str">
        <f>IF($D1912="","",IFERROR(VLOOKUP($D1912,'ACAH Capital Tracker'!$A:$H,8,FALSE()),""))</f>
        <v/>
      </c>
      <c r="F1912" s="24"/>
      <c r="G1912" s="25" t="str">
        <f>IF($D1912="","",IFERROR(VLOOKUP($D1912,'ACAH Capital Tracker'!$A:$D,4,FALSE()),""))</f>
        <v/>
      </c>
      <c r="H1912" s="22"/>
    </row>
    <row r="1913" spans="1:8">
      <c r="A1913" s="21"/>
      <c r="B1913" s="22"/>
      <c r="C1913" s="22"/>
      <c r="D1913" s="22"/>
      <c r="E1913" s="23" t="str">
        <f>IF($D1913="","",IFERROR(VLOOKUP($D1913,'ACAH Capital Tracker'!$A:$H,8,FALSE()),""))</f>
        <v/>
      </c>
      <c r="F1913" s="24"/>
      <c r="G1913" s="25" t="str">
        <f>IF($D1913="","",IFERROR(VLOOKUP($D1913,'ACAH Capital Tracker'!$A:$D,4,FALSE()),""))</f>
        <v/>
      </c>
      <c r="H1913" s="22"/>
    </row>
    <row r="1914" spans="1:8">
      <c r="A1914" s="21"/>
      <c r="B1914" s="22"/>
      <c r="C1914" s="22"/>
      <c r="D1914" s="22"/>
      <c r="E1914" s="23" t="str">
        <f>IF($D1914="","",IFERROR(VLOOKUP($D1914,'ACAH Capital Tracker'!$A:$H,8,FALSE()),""))</f>
        <v/>
      </c>
      <c r="F1914" s="24"/>
      <c r="G1914" s="25" t="str">
        <f>IF($D1914="","",IFERROR(VLOOKUP($D1914,'ACAH Capital Tracker'!$A:$D,4,FALSE()),""))</f>
        <v/>
      </c>
      <c r="H1914" s="22"/>
    </row>
    <row r="1915" spans="1:8">
      <c r="A1915" s="21"/>
      <c r="B1915" s="22"/>
      <c r="C1915" s="22"/>
      <c r="D1915" s="22"/>
      <c r="E1915" s="23" t="str">
        <f>IF($D1915="","",IFERROR(VLOOKUP($D1915,'ACAH Capital Tracker'!$A:$H,8,FALSE()),""))</f>
        <v/>
      </c>
      <c r="F1915" s="24"/>
      <c r="G1915" s="25" t="str">
        <f>IF($D1915="","",IFERROR(VLOOKUP($D1915,'ACAH Capital Tracker'!$A:$D,4,FALSE()),""))</f>
        <v/>
      </c>
      <c r="H1915" s="22"/>
    </row>
    <row r="1916" spans="1:8">
      <c r="A1916" s="21"/>
      <c r="B1916" s="22"/>
      <c r="C1916" s="22"/>
      <c r="D1916" s="22"/>
      <c r="E1916" s="23" t="str">
        <f>IF($D1916="","",IFERROR(VLOOKUP($D1916,'ACAH Capital Tracker'!$A:$H,8,FALSE()),""))</f>
        <v/>
      </c>
      <c r="F1916" s="24"/>
      <c r="G1916" s="25" t="str">
        <f>IF($D1916="","",IFERROR(VLOOKUP($D1916,'ACAH Capital Tracker'!$A:$D,4,FALSE()),""))</f>
        <v/>
      </c>
      <c r="H1916" s="22"/>
    </row>
    <row r="1917" spans="1:8">
      <c r="A1917" s="21"/>
      <c r="B1917" s="22"/>
      <c r="C1917" s="22"/>
      <c r="D1917" s="22"/>
      <c r="E1917" s="23" t="str">
        <f>IF($D1917="","",IFERROR(VLOOKUP($D1917,'ACAH Capital Tracker'!$A:$H,8,FALSE()),""))</f>
        <v/>
      </c>
      <c r="F1917" s="24"/>
      <c r="G1917" s="25" t="str">
        <f>IF($D1917="","",IFERROR(VLOOKUP($D1917,'ACAH Capital Tracker'!$A:$D,4,FALSE()),""))</f>
        <v/>
      </c>
      <c r="H1917" s="22"/>
    </row>
    <row r="1918" spans="1:8">
      <c r="A1918" s="21"/>
      <c r="B1918" s="22"/>
      <c r="C1918" s="22"/>
      <c r="D1918" s="22"/>
      <c r="E1918" s="23" t="str">
        <f>IF($D1918="","",IFERROR(VLOOKUP($D1918,'ACAH Capital Tracker'!$A:$H,8,FALSE()),""))</f>
        <v/>
      </c>
      <c r="F1918" s="24"/>
      <c r="G1918" s="25" t="str">
        <f>IF($D1918="","",IFERROR(VLOOKUP($D1918,'ACAH Capital Tracker'!$A:$D,4,FALSE()),""))</f>
        <v/>
      </c>
      <c r="H1918" s="22"/>
    </row>
    <row r="1919" spans="1:8">
      <c r="A1919" s="21"/>
      <c r="B1919" s="22"/>
      <c r="C1919" s="22"/>
      <c r="D1919" s="22"/>
      <c r="E1919" s="23" t="str">
        <f>IF($D1919="","",IFERROR(VLOOKUP($D1919,'ACAH Capital Tracker'!$A:$H,8,FALSE()),""))</f>
        <v/>
      </c>
      <c r="F1919" s="24"/>
      <c r="G1919" s="25" t="str">
        <f>IF($D1919="","",IFERROR(VLOOKUP($D1919,'ACAH Capital Tracker'!$A:$D,4,FALSE()),""))</f>
        <v/>
      </c>
      <c r="H1919" s="22"/>
    </row>
    <row r="1920" spans="1:8">
      <c r="A1920" s="21"/>
      <c r="B1920" s="22"/>
      <c r="C1920" s="22"/>
      <c r="D1920" s="22"/>
      <c r="E1920" s="23" t="str">
        <f>IF($D1920="","",IFERROR(VLOOKUP($D1920,'ACAH Capital Tracker'!$A:$H,8,FALSE()),""))</f>
        <v/>
      </c>
      <c r="F1920" s="24"/>
      <c r="G1920" s="25" t="str">
        <f>IF($D1920="","",IFERROR(VLOOKUP($D1920,'ACAH Capital Tracker'!$A:$D,4,FALSE()),""))</f>
        <v/>
      </c>
      <c r="H1920" s="22"/>
    </row>
    <row r="1921" spans="1:8">
      <c r="A1921" s="21"/>
      <c r="B1921" s="22"/>
      <c r="C1921" s="22"/>
      <c r="D1921" s="22"/>
      <c r="E1921" s="23" t="str">
        <f>IF($D1921="","",IFERROR(VLOOKUP($D1921,'ACAH Capital Tracker'!$A:$H,8,FALSE()),""))</f>
        <v/>
      </c>
      <c r="F1921" s="24"/>
      <c r="G1921" s="25" t="str">
        <f>IF($D1921="","",IFERROR(VLOOKUP($D1921,'ACAH Capital Tracker'!$A:$D,4,FALSE()),""))</f>
        <v/>
      </c>
      <c r="H1921" s="22"/>
    </row>
    <row r="1922" spans="1:8">
      <c r="A1922" s="21"/>
      <c r="B1922" s="22"/>
      <c r="C1922" s="22"/>
      <c r="D1922" s="22"/>
      <c r="E1922" s="23" t="str">
        <f>IF($D1922="","",IFERROR(VLOOKUP($D1922,'ACAH Capital Tracker'!$A:$H,8,FALSE()),""))</f>
        <v/>
      </c>
      <c r="F1922" s="24"/>
      <c r="G1922" s="25" t="str">
        <f>IF($D1922="","",IFERROR(VLOOKUP($D1922,'ACAH Capital Tracker'!$A:$D,4,FALSE()),""))</f>
        <v/>
      </c>
      <c r="H1922" s="22"/>
    </row>
    <row r="1923" spans="1:8">
      <c r="A1923" s="21"/>
      <c r="B1923" s="22"/>
      <c r="C1923" s="22"/>
      <c r="D1923" s="22"/>
      <c r="E1923" s="23" t="str">
        <f>IF($D1923="","",IFERROR(VLOOKUP($D1923,'ACAH Capital Tracker'!$A:$H,8,FALSE()),""))</f>
        <v/>
      </c>
      <c r="F1923" s="24"/>
      <c r="G1923" s="25" t="str">
        <f>IF($D1923="","",IFERROR(VLOOKUP($D1923,'ACAH Capital Tracker'!$A:$D,4,FALSE()),""))</f>
        <v/>
      </c>
      <c r="H1923" s="22"/>
    </row>
    <row r="1924" spans="1:8">
      <c r="A1924" s="21"/>
      <c r="B1924" s="22"/>
      <c r="C1924" s="22"/>
      <c r="D1924" s="22"/>
      <c r="E1924" s="23" t="str">
        <f>IF($D1924="","",IFERROR(VLOOKUP($D1924,'ACAH Capital Tracker'!$A:$H,8,FALSE()),""))</f>
        <v/>
      </c>
      <c r="F1924" s="24"/>
      <c r="G1924" s="25" t="str">
        <f>IF($D1924="","",IFERROR(VLOOKUP($D1924,'ACAH Capital Tracker'!$A:$D,4,FALSE()),""))</f>
        <v/>
      </c>
      <c r="H1924" s="22"/>
    </row>
    <row r="1925" spans="1:8">
      <c r="A1925" s="21"/>
      <c r="B1925" s="22"/>
      <c r="C1925" s="22"/>
      <c r="D1925" s="22"/>
      <c r="E1925" s="23" t="str">
        <f>IF($D1925="","",IFERROR(VLOOKUP($D1925,'ACAH Capital Tracker'!$A:$H,8,FALSE()),""))</f>
        <v/>
      </c>
      <c r="F1925" s="24"/>
      <c r="G1925" s="25" t="str">
        <f>IF($D1925="","",IFERROR(VLOOKUP($D1925,'ACAH Capital Tracker'!$A:$D,4,FALSE()),""))</f>
        <v/>
      </c>
      <c r="H1925" s="22"/>
    </row>
    <row r="1926" spans="1:8">
      <c r="A1926" s="21"/>
      <c r="B1926" s="22"/>
      <c r="C1926" s="22"/>
      <c r="D1926" s="22"/>
      <c r="E1926" s="23" t="str">
        <f>IF($D1926="","",IFERROR(VLOOKUP($D1926,'ACAH Capital Tracker'!$A:$H,8,FALSE()),""))</f>
        <v/>
      </c>
      <c r="F1926" s="24"/>
      <c r="G1926" s="25" t="str">
        <f>IF($D1926="","",IFERROR(VLOOKUP($D1926,'ACAH Capital Tracker'!$A:$D,4,FALSE()),""))</f>
        <v/>
      </c>
      <c r="H1926" s="22"/>
    </row>
    <row r="1927" spans="1:8">
      <c r="A1927" s="21"/>
      <c r="B1927" s="22"/>
      <c r="C1927" s="22"/>
      <c r="D1927" s="22"/>
      <c r="E1927" s="23" t="str">
        <f>IF($D1927="","",IFERROR(VLOOKUP($D1927,'ACAH Capital Tracker'!$A:$H,8,FALSE()),""))</f>
        <v/>
      </c>
      <c r="F1927" s="24"/>
      <c r="G1927" s="25" t="str">
        <f>IF($D1927="","",IFERROR(VLOOKUP($D1927,'ACAH Capital Tracker'!$A:$D,4,FALSE()),""))</f>
        <v/>
      </c>
      <c r="H1927" s="22"/>
    </row>
    <row r="1928" spans="1:8">
      <c r="A1928" s="21"/>
      <c r="B1928" s="22"/>
      <c r="C1928" s="22"/>
      <c r="D1928" s="22"/>
      <c r="E1928" s="23" t="str">
        <f>IF($D1928="","",IFERROR(VLOOKUP($D1928,'ACAH Capital Tracker'!$A:$H,8,FALSE()),""))</f>
        <v/>
      </c>
      <c r="F1928" s="24"/>
      <c r="G1928" s="25" t="str">
        <f>IF($D1928="","",IFERROR(VLOOKUP($D1928,'ACAH Capital Tracker'!$A:$D,4,FALSE()),""))</f>
        <v/>
      </c>
      <c r="H1928" s="22"/>
    </row>
    <row r="1929" spans="1:8">
      <c r="A1929" s="21"/>
      <c r="B1929" s="22"/>
      <c r="C1929" s="22"/>
      <c r="D1929" s="22"/>
      <c r="E1929" s="23" t="str">
        <f>IF($D1929="","",IFERROR(VLOOKUP($D1929,'ACAH Capital Tracker'!$A:$H,8,FALSE()),""))</f>
        <v/>
      </c>
      <c r="F1929" s="24"/>
      <c r="G1929" s="25" t="str">
        <f>IF($D1929="","",IFERROR(VLOOKUP($D1929,'ACAH Capital Tracker'!$A:$D,4,FALSE()),""))</f>
        <v/>
      </c>
      <c r="H1929" s="22"/>
    </row>
    <row r="1930" spans="1:8">
      <c r="A1930" s="21"/>
      <c r="B1930" s="22"/>
      <c r="C1930" s="22"/>
      <c r="D1930" s="22"/>
      <c r="E1930" s="23" t="str">
        <f>IF($D1930="","",IFERROR(VLOOKUP($D1930,'ACAH Capital Tracker'!$A:$H,8,FALSE()),""))</f>
        <v/>
      </c>
      <c r="F1930" s="24"/>
      <c r="G1930" s="25" t="str">
        <f>IF($D1930="","",IFERROR(VLOOKUP($D1930,'ACAH Capital Tracker'!$A:$D,4,FALSE()),""))</f>
        <v/>
      </c>
      <c r="H1930" s="22"/>
    </row>
    <row r="1931" spans="1:8">
      <c r="A1931" s="21"/>
      <c r="B1931" s="22"/>
      <c r="C1931" s="22"/>
      <c r="D1931" s="22"/>
      <c r="E1931" s="23" t="str">
        <f>IF($D1931="","",IFERROR(VLOOKUP($D1931,'ACAH Capital Tracker'!$A:$H,8,FALSE()),""))</f>
        <v/>
      </c>
      <c r="F1931" s="24"/>
      <c r="G1931" s="25" t="str">
        <f>IF($D1931="","",IFERROR(VLOOKUP($D1931,'ACAH Capital Tracker'!$A:$D,4,FALSE()),""))</f>
        <v/>
      </c>
      <c r="H1931" s="22"/>
    </row>
    <row r="1932" spans="1:8">
      <c r="A1932" s="21"/>
      <c r="B1932" s="22"/>
      <c r="C1932" s="22"/>
      <c r="D1932" s="22"/>
      <c r="E1932" s="23" t="str">
        <f>IF($D1932="","",IFERROR(VLOOKUP($D1932,'ACAH Capital Tracker'!$A:$H,8,FALSE()),""))</f>
        <v/>
      </c>
      <c r="F1932" s="24"/>
      <c r="G1932" s="25" t="str">
        <f>IF($D1932="","",IFERROR(VLOOKUP($D1932,'ACAH Capital Tracker'!$A:$D,4,FALSE()),""))</f>
        <v/>
      </c>
      <c r="H1932" s="22"/>
    </row>
    <row r="1933" spans="1:8">
      <c r="A1933" s="21"/>
      <c r="B1933" s="22"/>
      <c r="C1933" s="22"/>
      <c r="D1933" s="22"/>
      <c r="E1933" s="23" t="str">
        <f>IF($D1933="","",IFERROR(VLOOKUP($D1933,'ACAH Capital Tracker'!$A:$H,8,FALSE()),""))</f>
        <v/>
      </c>
      <c r="F1933" s="24"/>
      <c r="G1933" s="25" t="str">
        <f>IF($D1933="","",IFERROR(VLOOKUP($D1933,'ACAH Capital Tracker'!$A:$D,4,FALSE()),""))</f>
        <v/>
      </c>
      <c r="H1933" s="22"/>
    </row>
    <row r="1934" spans="1:8">
      <c r="A1934" s="21"/>
      <c r="B1934" s="22"/>
      <c r="C1934" s="22"/>
      <c r="D1934" s="22"/>
      <c r="E1934" s="23" t="str">
        <f>IF($D1934="","",IFERROR(VLOOKUP($D1934,'ACAH Capital Tracker'!$A:$H,8,FALSE()),""))</f>
        <v/>
      </c>
      <c r="F1934" s="24"/>
      <c r="G1934" s="25" t="str">
        <f>IF($D1934="","",IFERROR(VLOOKUP($D1934,'ACAH Capital Tracker'!$A:$D,4,FALSE()),""))</f>
        <v/>
      </c>
      <c r="H1934" s="22"/>
    </row>
    <row r="1935" spans="1:8">
      <c r="A1935" s="21"/>
      <c r="B1935" s="22"/>
      <c r="C1935" s="22"/>
      <c r="D1935" s="22"/>
      <c r="E1935" s="23" t="str">
        <f>IF($D1935="","",IFERROR(VLOOKUP($D1935,'ACAH Capital Tracker'!$A:$H,8,FALSE()),""))</f>
        <v/>
      </c>
      <c r="F1935" s="24"/>
      <c r="G1935" s="25" t="str">
        <f>IF($D1935="","",IFERROR(VLOOKUP($D1935,'ACAH Capital Tracker'!$A:$D,4,FALSE()),""))</f>
        <v/>
      </c>
      <c r="H1935" s="22"/>
    </row>
    <row r="1936" spans="1:8">
      <c r="A1936" s="21"/>
      <c r="B1936" s="22"/>
      <c r="C1936" s="22"/>
      <c r="D1936" s="22"/>
      <c r="E1936" s="23" t="str">
        <f>IF($D1936="","",IFERROR(VLOOKUP($D1936,'ACAH Capital Tracker'!$A:$H,8,FALSE()),""))</f>
        <v/>
      </c>
      <c r="F1936" s="24"/>
      <c r="G1936" s="25" t="str">
        <f>IF($D1936="","",IFERROR(VLOOKUP($D1936,'ACAH Capital Tracker'!$A:$D,4,FALSE()),""))</f>
        <v/>
      </c>
      <c r="H1936" s="22"/>
    </row>
    <row r="1937" spans="1:8">
      <c r="A1937" s="21"/>
      <c r="B1937" s="22"/>
      <c r="C1937" s="22"/>
      <c r="D1937" s="22"/>
      <c r="E1937" s="23" t="str">
        <f>IF($D1937="","",IFERROR(VLOOKUP($D1937,'ACAH Capital Tracker'!$A:$H,8,FALSE()),""))</f>
        <v/>
      </c>
      <c r="F1937" s="24"/>
      <c r="G1937" s="25" t="str">
        <f>IF($D1937="","",IFERROR(VLOOKUP($D1937,'ACAH Capital Tracker'!$A:$D,4,FALSE()),""))</f>
        <v/>
      </c>
      <c r="H1937" s="22"/>
    </row>
    <row r="1938" spans="1:8">
      <c r="A1938" s="21"/>
      <c r="B1938" s="22"/>
      <c r="C1938" s="22"/>
      <c r="D1938" s="22"/>
      <c r="E1938" s="23" t="str">
        <f>IF($D1938="","",IFERROR(VLOOKUP($D1938,'ACAH Capital Tracker'!$A:$H,8,FALSE()),""))</f>
        <v/>
      </c>
      <c r="F1938" s="24"/>
      <c r="G1938" s="25" t="str">
        <f>IF($D1938="","",IFERROR(VLOOKUP($D1938,'ACAH Capital Tracker'!$A:$D,4,FALSE()),""))</f>
        <v/>
      </c>
      <c r="H1938" s="22"/>
    </row>
    <row r="1939" spans="1:8">
      <c r="A1939" s="21"/>
      <c r="B1939" s="22"/>
      <c r="C1939" s="22"/>
      <c r="D1939" s="22"/>
      <c r="E1939" s="23" t="str">
        <f>IF($D1939="","",IFERROR(VLOOKUP($D1939,'ACAH Capital Tracker'!$A:$H,8,FALSE()),""))</f>
        <v/>
      </c>
      <c r="F1939" s="24"/>
      <c r="G1939" s="25" t="str">
        <f>IF($D1939="","",IFERROR(VLOOKUP($D1939,'ACAH Capital Tracker'!$A:$D,4,FALSE()),""))</f>
        <v/>
      </c>
      <c r="H1939" s="22"/>
    </row>
    <row r="1940" spans="1:8">
      <c r="A1940" s="21"/>
      <c r="B1940" s="22"/>
      <c r="C1940" s="22"/>
      <c r="D1940" s="22"/>
      <c r="E1940" s="23" t="str">
        <f>IF($D1940="","",IFERROR(VLOOKUP($D1940,'ACAH Capital Tracker'!$A:$H,8,FALSE()),""))</f>
        <v/>
      </c>
      <c r="F1940" s="24"/>
      <c r="G1940" s="25" t="str">
        <f>IF($D1940="","",IFERROR(VLOOKUP($D1940,'ACAH Capital Tracker'!$A:$D,4,FALSE()),""))</f>
        <v/>
      </c>
      <c r="H1940" s="22"/>
    </row>
    <row r="1941" spans="1:8">
      <c r="A1941" s="21"/>
      <c r="B1941" s="22"/>
      <c r="C1941" s="22"/>
      <c r="D1941" s="22"/>
      <c r="E1941" s="23" t="str">
        <f>IF($D1941="","",IFERROR(VLOOKUP($D1941,'ACAH Capital Tracker'!$A:$H,8,FALSE()),""))</f>
        <v/>
      </c>
      <c r="F1941" s="24"/>
      <c r="G1941" s="25" t="str">
        <f>IF($D1941="","",IFERROR(VLOOKUP($D1941,'ACAH Capital Tracker'!$A:$D,4,FALSE()),""))</f>
        <v/>
      </c>
      <c r="H1941" s="22"/>
    </row>
    <row r="1942" spans="1:8">
      <c r="A1942" s="21"/>
      <c r="B1942" s="22"/>
      <c r="C1942" s="22"/>
      <c r="D1942" s="22"/>
      <c r="E1942" s="23" t="str">
        <f>IF($D1942="","",IFERROR(VLOOKUP($D1942,'ACAH Capital Tracker'!$A:$H,8,FALSE()),""))</f>
        <v/>
      </c>
      <c r="F1942" s="24"/>
      <c r="G1942" s="25" t="str">
        <f>IF($D1942="","",IFERROR(VLOOKUP($D1942,'ACAH Capital Tracker'!$A:$D,4,FALSE()),""))</f>
        <v/>
      </c>
      <c r="H1942" s="22"/>
    </row>
    <row r="1943" spans="1:8">
      <c r="A1943" s="21"/>
      <c r="B1943" s="22"/>
      <c r="C1943" s="22"/>
      <c r="D1943" s="22"/>
      <c r="E1943" s="23" t="str">
        <f>IF($D1943="","",IFERROR(VLOOKUP($D1943,'ACAH Capital Tracker'!$A:$H,8,FALSE()),""))</f>
        <v/>
      </c>
      <c r="F1943" s="24"/>
      <c r="G1943" s="25" t="str">
        <f>IF($D1943="","",IFERROR(VLOOKUP($D1943,'ACAH Capital Tracker'!$A:$D,4,FALSE()),""))</f>
        <v/>
      </c>
      <c r="H1943" s="22"/>
    </row>
    <row r="1944" spans="1:8">
      <c r="A1944" s="21"/>
      <c r="B1944" s="22"/>
      <c r="C1944" s="22"/>
      <c r="D1944" s="22"/>
      <c r="E1944" s="23" t="str">
        <f>IF($D1944="","",IFERROR(VLOOKUP($D1944,'ACAH Capital Tracker'!$A:$H,8,FALSE()),""))</f>
        <v/>
      </c>
      <c r="F1944" s="24"/>
      <c r="G1944" s="25" t="str">
        <f>IF($D1944="","",IFERROR(VLOOKUP($D1944,'ACAH Capital Tracker'!$A:$D,4,FALSE()),""))</f>
        <v/>
      </c>
      <c r="H1944" s="22"/>
    </row>
    <row r="1945" spans="1:8">
      <c r="A1945" s="21"/>
      <c r="B1945" s="22"/>
      <c r="C1945" s="22"/>
      <c r="D1945" s="22"/>
      <c r="E1945" s="23" t="str">
        <f>IF($D1945="","",IFERROR(VLOOKUP($D1945,'ACAH Capital Tracker'!$A:$H,8,FALSE()),""))</f>
        <v/>
      </c>
      <c r="F1945" s="24"/>
      <c r="G1945" s="25" t="str">
        <f>IF($D1945="","",IFERROR(VLOOKUP($D1945,'ACAH Capital Tracker'!$A:$D,4,FALSE()),""))</f>
        <v/>
      </c>
      <c r="H1945" s="22"/>
    </row>
    <row r="1946" spans="1:8">
      <c r="A1946" s="21"/>
      <c r="B1946" s="22"/>
      <c r="C1946" s="22"/>
      <c r="D1946" s="22"/>
      <c r="E1946" s="23" t="str">
        <f>IF($D1946="","",IFERROR(VLOOKUP($D1946,'ACAH Capital Tracker'!$A:$H,8,FALSE()),""))</f>
        <v/>
      </c>
      <c r="F1946" s="24"/>
      <c r="G1946" s="25" t="str">
        <f>IF($D1946="","",IFERROR(VLOOKUP($D1946,'ACAH Capital Tracker'!$A:$D,4,FALSE()),""))</f>
        <v/>
      </c>
      <c r="H1946" s="22"/>
    </row>
    <row r="1947" spans="1:8">
      <c r="A1947" s="21"/>
      <c r="B1947" s="22"/>
      <c r="C1947" s="22"/>
      <c r="D1947" s="22"/>
      <c r="E1947" s="23" t="str">
        <f>IF($D1947="","",IFERROR(VLOOKUP($D1947,'ACAH Capital Tracker'!$A:$H,8,FALSE()),""))</f>
        <v/>
      </c>
      <c r="F1947" s="24"/>
      <c r="G1947" s="25" t="str">
        <f>IF($D1947="","",IFERROR(VLOOKUP($D1947,'ACAH Capital Tracker'!$A:$D,4,FALSE()),""))</f>
        <v/>
      </c>
      <c r="H1947" s="22"/>
    </row>
    <row r="1948" spans="1:8">
      <c r="A1948" s="21"/>
      <c r="B1948" s="22"/>
      <c r="C1948" s="22"/>
      <c r="D1948" s="22"/>
      <c r="E1948" s="23" t="str">
        <f>IF($D1948="","",IFERROR(VLOOKUP($D1948,'ACAH Capital Tracker'!$A:$H,8,FALSE()),""))</f>
        <v/>
      </c>
      <c r="F1948" s="24"/>
      <c r="G1948" s="25" t="str">
        <f>IF($D1948="","",IFERROR(VLOOKUP($D1948,'ACAH Capital Tracker'!$A:$D,4,FALSE()),""))</f>
        <v/>
      </c>
      <c r="H1948" s="22"/>
    </row>
    <row r="1949" spans="1:8">
      <c r="A1949" s="21"/>
      <c r="B1949" s="22"/>
      <c r="C1949" s="22"/>
      <c r="D1949" s="22"/>
      <c r="E1949" s="23" t="str">
        <f>IF($D1949="","",IFERROR(VLOOKUP($D1949,'ACAH Capital Tracker'!$A:$H,8,FALSE()),""))</f>
        <v/>
      </c>
      <c r="F1949" s="24"/>
      <c r="G1949" s="25" t="str">
        <f>IF($D1949="","",IFERROR(VLOOKUP($D1949,'ACAH Capital Tracker'!$A:$D,4,FALSE()),""))</f>
        <v/>
      </c>
      <c r="H1949" s="22"/>
    </row>
    <row r="1950" spans="1:8">
      <c r="A1950" s="21"/>
      <c r="B1950" s="22"/>
      <c r="C1950" s="22"/>
      <c r="D1950" s="22"/>
      <c r="E1950" s="23" t="str">
        <f>IF($D1950="","",IFERROR(VLOOKUP($D1950,'ACAH Capital Tracker'!$A:$H,8,FALSE()),""))</f>
        <v/>
      </c>
      <c r="F1950" s="24"/>
      <c r="G1950" s="25" t="str">
        <f>IF($D1950="","",IFERROR(VLOOKUP($D1950,'ACAH Capital Tracker'!$A:$D,4,FALSE()),""))</f>
        <v/>
      </c>
      <c r="H1950" s="22"/>
    </row>
    <row r="1951" spans="1:8">
      <c r="A1951" s="21"/>
      <c r="B1951" s="22"/>
      <c r="C1951" s="22"/>
      <c r="D1951" s="22"/>
      <c r="E1951" s="23" t="str">
        <f>IF($D1951="","",IFERROR(VLOOKUP($D1951,'ACAH Capital Tracker'!$A:$H,8,FALSE()),""))</f>
        <v/>
      </c>
      <c r="F1951" s="24"/>
      <c r="G1951" s="25" t="str">
        <f>IF($D1951="","",IFERROR(VLOOKUP($D1951,'ACAH Capital Tracker'!$A:$D,4,FALSE()),""))</f>
        <v/>
      </c>
      <c r="H1951" s="22"/>
    </row>
    <row r="1952" spans="1:8">
      <c r="A1952" s="21"/>
      <c r="B1952" s="22"/>
      <c r="C1952" s="22"/>
      <c r="D1952" s="22"/>
      <c r="E1952" s="23" t="str">
        <f>IF($D1952="","",IFERROR(VLOOKUP($D1952,'ACAH Capital Tracker'!$A:$H,8,FALSE()),""))</f>
        <v/>
      </c>
      <c r="F1952" s="24"/>
      <c r="G1952" s="25" t="str">
        <f>IF($D1952="","",IFERROR(VLOOKUP($D1952,'ACAH Capital Tracker'!$A:$D,4,FALSE()),""))</f>
        <v/>
      </c>
      <c r="H1952" s="22"/>
    </row>
    <row r="1953" spans="1:8">
      <c r="A1953" s="21"/>
      <c r="B1953" s="22"/>
      <c r="C1953" s="22"/>
      <c r="D1953" s="22"/>
      <c r="E1953" s="23" t="str">
        <f>IF($D1953="","",IFERROR(VLOOKUP($D1953,'ACAH Capital Tracker'!$A:$H,8,FALSE()),""))</f>
        <v/>
      </c>
      <c r="F1953" s="24"/>
      <c r="G1953" s="25" t="str">
        <f>IF($D1953="","",IFERROR(VLOOKUP($D1953,'ACAH Capital Tracker'!$A:$D,4,FALSE()),""))</f>
        <v/>
      </c>
      <c r="H1953" s="22"/>
    </row>
    <row r="1954" spans="1:8">
      <c r="A1954" s="21"/>
      <c r="B1954" s="22"/>
      <c r="C1954" s="22"/>
      <c r="D1954" s="22"/>
      <c r="E1954" s="23" t="str">
        <f>IF($D1954="","",IFERROR(VLOOKUP($D1954,'ACAH Capital Tracker'!$A:$H,8,FALSE()),""))</f>
        <v/>
      </c>
      <c r="F1954" s="24"/>
      <c r="G1954" s="25" t="str">
        <f>IF($D1954="","",IFERROR(VLOOKUP($D1954,'ACAH Capital Tracker'!$A:$D,4,FALSE()),""))</f>
        <v/>
      </c>
      <c r="H1954" s="22"/>
    </row>
    <row r="1955" spans="1:8">
      <c r="A1955" s="21"/>
      <c r="B1955" s="22"/>
      <c r="C1955" s="22"/>
      <c r="D1955" s="22"/>
      <c r="E1955" s="23" t="str">
        <f>IF($D1955="","",IFERROR(VLOOKUP($D1955,'ACAH Capital Tracker'!$A:$H,8,FALSE()),""))</f>
        <v/>
      </c>
      <c r="F1955" s="24"/>
      <c r="G1955" s="25" t="str">
        <f>IF($D1955="","",IFERROR(VLOOKUP($D1955,'ACAH Capital Tracker'!$A:$D,4,FALSE()),""))</f>
        <v/>
      </c>
      <c r="H1955" s="22"/>
    </row>
    <row r="1956" spans="1:8">
      <c r="A1956" s="21"/>
      <c r="B1956" s="22"/>
      <c r="C1956" s="22"/>
      <c r="D1956" s="22"/>
      <c r="E1956" s="23" t="str">
        <f>IF($D1956="","",IFERROR(VLOOKUP($D1956,'ACAH Capital Tracker'!$A:$H,8,FALSE()),""))</f>
        <v/>
      </c>
      <c r="F1956" s="24"/>
      <c r="G1956" s="25" t="str">
        <f>IF($D1956="","",IFERROR(VLOOKUP($D1956,'ACAH Capital Tracker'!$A:$D,4,FALSE()),""))</f>
        <v/>
      </c>
      <c r="H1956" s="22"/>
    </row>
    <row r="1957" spans="1:8">
      <c r="A1957" s="21"/>
      <c r="B1957" s="22"/>
      <c r="C1957" s="22"/>
      <c r="D1957" s="22"/>
      <c r="E1957" s="23" t="str">
        <f>IF($D1957="","",IFERROR(VLOOKUP($D1957,'ACAH Capital Tracker'!$A:$H,8,FALSE()),""))</f>
        <v/>
      </c>
      <c r="F1957" s="24"/>
      <c r="G1957" s="25" t="str">
        <f>IF($D1957="","",IFERROR(VLOOKUP($D1957,'ACAH Capital Tracker'!$A:$D,4,FALSE()),""))</f>
        <v/>
      </c>
      <c r="H1957" s="22"/>
    </row>
    <row r="1958" spans="1:8">
      <c r="A1958" s="21"/>
      <c r="B1958" s="22"/>
      <c r="C1958" s="22"/>
      <c r="D1958" s="22"/>
      <c r="E1958" s="23" t="str">
        <f>IF($D1958="","",IFERROR(VLOOKUP($D1958,'ACAH Capital Tracker'!$A:$H,8,FALSE()),""))</f>
        <v/>
      </c>
      <c r="F1958" s="24"/>
      <c r="G1958" s="25" t="str">
        <f>IF($D1958="","",IFERROR(VLOOKUP($D1958,'ACAH Capital Tracker'!$A:$D,4,FALSE()),""))</f>
        <v/>
      </c>
      <c r="H1958" s="22"/>
    </row>
    <row r="1959" spans="1:8">
      <c r="A1959" s="21"/>
      <c r="B1959" s="22"/>
      <c r="C1959" s="22"/>
      <c r="D1959" s="22"/>
      <c r="E1959" s="23" t="str">
        <f>IF($D1959="","",IFERROR(VLOOKUP($D1959,'ACAH Capital Tracker'!$A:$H,8,FALSE()),""))</f>
        <v/>
      </c>
      <c r="F1959" s="24"/>
      <c r="G1959" s="25" t="str">
        <f>IF($D1959="","",IFERROR(VLOOKUP($D1959,'ACAH Capital Tracker'!$A:$D,4,FALSE()),""))</f>
        <v/>
      </c>
      <c r="H1959" s="22"/>
    </row>
    <row r="1960" spans="1:8">
      <c r="A1960" s="21"/>
      <c r="B1960" s="22"/>
      <c r="C1960" s="22"/>
      <c r="D1960" s="22"/>
      <c r="E1960" s="23" t="str">
        <f>IF($D1960="","",IFERROR(VLOOKUP($D1960,'ACAH Capital Tracker'!$A:$H,8,FALSE()),""))</f>
        <v/>
      </c>
      <c r="F1960" s="24"/>
      <c r="G1960" s="25" t="str">
        <f>IF($D1960="","",IFERROR(VLOOKUP($D1960,'ACAH Capital Tracker'!$A:$D,4,FALSE()),""))</f>
        <v/>
      </c>
      <c r="H1960" s="22"/>
    </row>
    <row r="1961" spans="1:8">
      <c r="A1961" s="21"/>
      <c r="B1961" s="22"/>
      <c r="C1961" s="22"/>
      <c r="D1961" s="22"/>
      <c r="E1961" s="23" t="str">
        <f>IF($D1961="","",IFERROR(VLOOKUP($D1961,'ACAH Capital Tracker'!$A:$H,8,FALSE()),""))</f>
        <v/>
      </c>
      <c r="F1961" s="24"/>
      <c r="G1961" s="25" t="str">
        <f>IF($D1961="","",IFERROR(VLOOKUP($D1961,'ACAH Capital Tracker'!$A:$D,4,FALSE()),""))</f>
        <v/>
      </c>
      <c r="H1961" s="22"/>
    </row>
    <row r="1962" spans="1:8">
      <c r="A1962" s="21"/>
      <c r="B1962" s="22"/>
      <c r="C1962" s="22"/>
      <c r="D1962" s="22"/>
      <c r="E1962" s="23" t="str">
        <f>IF($D1962="","",IFERROR(VLOOKUP($D1962,'ACAH Capital Tracker'!$A:$H,8,FALSE()),""))</f>
        <v/>
      </c>
      <c r="F1962" s="24"/>
      <c r="G1962" s="25" t="str">
        <f>IF($D1962="","",IFERROR(VLOOKUP($D1962,'ACAH Capital Tracker'!$A:$D,4,FALSE()),""))</f>
        <v/>
      </c>
      <c r="H1962" s="22"/>
    </row>
    <row r="1963" spans="1:8">
      <c r="A1963" s="21"/>
      <c r="B1963" s="22"/>
      <c r="C1963" s="22"/>
      <c r="D1963" s="22"/>
      <c r="E1963" s="23" t="str">
        <f>IF($D1963="","",IFERROR(VLOOKUP($D1963,'ACAH Capital Tracker'!$A:$H,8,FALSE()),""))</f>
        <v/>
      </c>
      <c r="F1963" s="24"/>
      <c r="G1963" s="25" t="str">
        <f>IF($D1963="","",IFERROR(VLOOKUP($D1963,'ACAH Capital Tracker'!$A:$D,4,FALSE()),""))</f>
        <v/>
      </c>
      <c r="H1963" s="22"/>
    </row>
    <row r="1964" spans="1:8">
      <c r="A1964" s="21"/>
      <c r="B1964" s="22"/>
      <c r="C1964" s="22"/>
      <c r="D1964" s="22"/>
      <c r="E1964" s="23" t="str">
        <f>IF($D1964="","",IFERROR(VLOOKUP($D1964,'ACAH Capital Tracker'!$A:$H,8,FALSE()),""))</f>
        <v/>
      </c>
      <c r="F1964" s="24"/>
      <c r="G1964" s="25" t="str">
        <f>IF($D1964="","",IFERROR(VLOOKUP($D1964,'ACAH Capital Tracker'!$A:$D,4,FALSE()),""))</f>
        <v/>
      </c>
      <c r="H1964" s="22"/>
    </row>
    <row r="1965" spans="1:8">
      <c r="A1965" s="21"/>
      <c r="B1965" s="22"/>
      <c r="C1965" s="22"/>
      <c r="D1965" s="22"/>
      <c r="E1965" s="23" t="str">
        <f>IF($D1965="","",IFERROR(VLOOKUP($D1965,'ACAH Capital Tracker'!$A:$H,8,FALSE()),""))</f>
        <v/>
      </c>
      <c r="F1965" s="24"/>
      <c r="G1965" s="25" t="str">
        <f>IF($D1965="","",IFERROR(VLOOKUP($D1965,'ACAH Capital Tracker'!$A:$D,4,FALSE()),""))</f>
        <v/>
      </c>
      <c r="H1965" s="22"/>
    </row>
    <row r="1966" spans="1:8">
      <c r="A1966" s="21"/>
      <c r="B1966" s="22"/>
      <c r="C1966" s="22"/>
      <c r="D1966" s="22"/>
      <c r="E1966" s="23" t="str">
        <f>IF($D1966="","",IFERROR(VLOOKUP($D1966,'ACAH Capital Tracker'!$A:$H,8,FALSE()),""))</f>
        <v/>
      </c>
      <c r="F1966" s="24"/>
      <c r="G1966" s="25" t="str">
        <f>IF($D1966="","",IFERROR(VLOOKUP($D1966,'ACAH Capital Tracker'!$A:$D,4,FALSE()),""))</f>
        <v/>
      </c>
      <c r="H1966" s="22"/>
    </row>
    <row r="1967" spans="1:8">
      <c r="A1967" s="21"/>
      <c r="B1967" s="22"/>
      <c r="C1967" s="22"/>
      <c r="D1967" s="22"/>
      <c r="E1967" s="23" t="str">
        <f>IF($D1967="","",IFERROR(VLOOKUP($D1967,'ACAH Capital Tracker'!$A:$H,8,FALSE()),""))</f>
        <v/>
      </c>
      <c r="F1967" s="24"/>
      <c r="G1967" s="25" t="str">
        <f>IF($D1967="","",IFERROR(VLOOKUP($D1967,'ACAH Capital Tracker'!$A:$D,4,FALSE()),""))</f>
        <v/>
      </c>
      <c r="H1967" s="22"/>
    </row>
    <row r="1968" spans="1:8">
      <c r="A1968" s="21"/>
      <c r="B1968" s="22"/>
      <c r="C1968" s="22"/>
      <c r="D1968" s="22"/>
      <c r="E1968" s="23" t="str">
        <f>IF($D1968="","",IFERROR(VLOOKUP($D1968,'ACAH Capital Tracker'!$A:$H,8,FALSE()),""))</f>
        <v/>
      </c>
      <c r="F1968" s="24"/>
      <c r="G1968" s="25" t="str">
        <f>IF($D1968="","",IFERROR(VLOOKUP($D1968,'ACAH Capital Tracker'!$A:$D,4,FALSE()),""))</f>
        <v/>
      </c>
      <c r="H1968" s="22"/>
    </row>
    <row r="1969" spans="1:8">
      <c r="A1969" s="21"/>
      <c r="B1969" s="22"/>
      <c r="C1969" s="22"/>
      <c r="D1969" s="22"/>
      <c r="E1969" s="23" t="str">
        <f>IF($D1969="","",IFERROR(VLOOKUP($D1969,'ACAH Capital Tracker'!$A:$H,8,FALSE()),""))</f>
        <v/>
      </c>
      <c r="F1969" s="24"/>
      <c r="G1969" s="25" t="str">
        <f>IF($D1969="","",IFERROR(VLOOKUP($D1969,'ACAH Capital Tracker'!$A:$D,4,FALSE()),""))</f>
        <v/>
      </c>
      <c r="H1969" s="22"/>
    </row>
    <row r="1970" spans="1:8">
      <c r="A1970" s="21"/>
      <c r="B1970" s="22"/>
      <c r="C1970" s="22"/>
      <c r="D1970" s="22"/>
      <c r="E1970" s="23" t="str">
        <f>IF($D1970="","",IFERROR(VLOOKUP($D1970,'ACAH Capital Tracker'!$A:$H,8,FALSE()),""))</f>
        <v/>
      </c>
      <c r="F1970" s="24"/>
      <c r="G1970" s="25" t="str">
        <f>IF($D1970="","",IFERROR(VLOOKUP($D1970,'ACAH Capital Tracker'!$A:$D,4,FALSE()),""))</f>
        <v/>
      </c>
      <c r="H1970" s="22"/>
    </row>
    <row r="1971" spans="1:8">
      <c r="A1971" s="21"/>
      <c r="B1971" s="22"/>
      <c r="C1971" s="22"/>
      <c r="D1971" s="22"/>
      <c r="E1971" s="23" t="str">
        <f>IF($D1971="","",IFERROR(VLOOKUP($D1971,'ACAH Capital Tracker'!$A:$H,8,FALSE()),""))</f>
        <v/>
      </c>
      <c r="F1971" s="24"/>
      <c r="G1971" s="25" t="str">
        <f>IF($D1971="","",IFERROR(VLOOKUP($D1971,'ACAH Capital Tracker'!$A:$D,4,FALSE()),""))</f>
        <v/>
      </c>
      <c r="H1971" s="22"/>
    </row>
    <row r="1972" spans="1:8">
      <c r="A1972" s="21"/>
      <c r="B1972" s="22"/>
      <c r="C1972" s="22"/>
      <c r="D1972" s="22"/>
      <c r="E1972" s="23" t="str">
        <f>IF($D1972="","",IFERROR(VLOOKUP($D1972,'ACAH Capital Tracker'!$A:$H,8,FALSE()),""))</f>
        <v/>
      </c>
      <c r="F1972" s="24"/>
      <c r="G1972" s="25" t="str">
        <f>IF($D1972="","",IFERROR(VLOOKUP($D1972,'ACAH Capital Tracker'!$A:$D,4,FALSE()),""))</f>
        <v/>
      </c>
      <c r="H1972" s="22"/>
    </row>
    <row r="1973" spans="1:8">
      <c r="A1973" s="21"/>
      <c r="B1973" s="22"/>
      <c r="C1973" s="22"/>
      <c r="D1973" s="22"/>
      <c r="E1973" s="23" t="str">
        <f>IF($D1973="","",IFERROR(VLOOKUP($D1973,'ACAH Capital Tracker'!$A:$H,8,FALSE()),""))</f>
        <v/>
      </c>
      <c r="F1973" s="24"/>
      <c r="G1973" s="25" t="str">
        <f>IF($D1973="","",IFERROR(VLOOKUP($D1973,'ACAH Capital Tracker'!$A:$D,4,FALSE()),""))</f>
        <v/>
      </c>
      <c r="H1973" s="22"/>
    </row>
    <row r="1974" spans="1:8">
      <c r="A1974" s="21"/>
      <c r="B1974" s="22"/>
      <c r="C1974" s="22"/>
      <c r="D1974" s="22"/>
      <c r="E1974" s="23" t="str">
        <f>IF($D1974="","",IFERROR(VLOOKUP($D1974,'ACAH Capital Tracker'!$A:$H,8,FALSE()),""))</f>
        <v/>
      </c>
      <c r="F1974" s="24"/>
      <c r="G1974" s="25" t="str">
        <f>IF($D1974="","",IFERROR(VLOOKUP($D1974,'ACAH Capital Tracker'!$A:$D,4,FALSE()),""))</f>
        <v/>
      </c>
      <c r="H1974" s="22"/>
    </row>
    <row r="1975" spans="1:8">
      <c r="A1975" s="21"/>
      <c r="B1975" s="22"/>
      <c r="C1975" s="22"/>
      <c r="D1975" s="22"/>
      <c r="E1975" s="23" t="str">
        <f>IF($D1975="","",IFERROR(VLOOKUP($D1975,'ACAH Capital Tracker'!$A:$H,8,FALSE()),""))</f>
        <v/>
      </c>
      <c r="F1975" s="24"/>
      <c r="G1975" s="25" t="str">
        <f>IF($D1975="","",IFERROR(VLOOKUP($D1975,'ACAH Capital Tracker'!$A:$D,4,FALSE()),""))</f>
        <v/>
      </c>
      <c r="H1975" s="22"/>
    </row>
    <row r="1976" spans="1:8">
      <c r="A1976" s="21"/>
      <c r="B1976" s="22"/>
      <c r="C1976" s="22"/>
      <c r="D1976" s="22"/>
      <c r="E1976" s="23" t="str">
        <f>IF($D1976="","",IFERROR(VLOOKUP($D1976,'ACAH Capital Tracker'!$A:$H,8,FALSE()),""))</f>
        <v/>
      </c>
      <c r="F1976" s="24"/>
      <c r="G1976" s="25" t="str">
        <f>IF($D1976="","",IFERROR(VLOOKUP($D1976,'ACAH Capital Tracker'!$A:$D,4,FALSE()),""))</f>
        <v/>
      </c>
      <c r="H1976" s="22"/>
    </row>
    <row r="1977" spans="1:8">
      <c r="A1977" s="21"/>
      <c r="B1977" s="22"/>
      <c r="C1977" s="22"/>
      <c r="D1977" s="22"/>
      <c r="E1977" s="23" t="str">
        <f>IF($D1977="","",IFERROR(VLOOKUP($D1977,'ACAH Capital Tracker'!$A:$H,8,FALSE()),""))</f>
        <v/>
      </c>
      <c r="F1977" s="24"/>
      <c r="G1977" s="25" t="str">
        <f>IF($D1977="","",IFERROR(VLOOKUP($D1977,'ACAH Capital Tracker'!$A:$D,4,FALSE()),""))</f>
        <v/>
      </c>
      <c r="H1977" s="22"/>
    </row>
    <row r="1978" spans="1:8">
      <c r="A1978" s="21"/>
      <c r="B1978" s="22"/>
      <c r="C1978" s="22"/>
      <c r="D1978" s="22"/>
      <c r="E1978" s="23" t="str">
        <f>IF($D1978="","",IFERROR(VLOOKUP($D1978,'ACAH Capital Tracker'!$A:$H,8,FALSE()),""))</f>
        <v/>
      </c>
      <c r="F1978" s="24"/>
      <c r="G1978" s="25" t="str">
        <f>IF($D1978="","",IFERROR(VLOOKUP($D1978,'ACAH Capital Tracker'!$A:$D,4,FALSE()),""))</f>
        <v/>
      </c>
      <c r="H1978" s="22"/>
    </row>
    <row r="1979" spans="1:8">
      <c r="A1979" s="21"/>
      <c r="B1979" s="22"/>
      <c r="C1979" s="22"/>
      <c r="D1979" s="22"/>
      <c r="E1979" s="23" t="str">
        <f>IF($D1979="","",IFERROR(VLOOKUP($D1979,'ACAH Capital Tracker'!$A:$H,8,FALSE()),""))</f>
        <v/>
      </c>
      <c r="F1979" s="24"/>
      <c r="G1979" s="25" t="str">
        <f>IF($D1979="","",IFERROR(VLOOKUP($D1979,'ACAH Capital Tracker'!$A:$D,4,FALSE()),""))</f>
        <v/>
      </c>
      <c r="H1979" s="22"/>
    </row>
    <row r="1980" spans="1:8">
      <c r="A1980" s="21"/>
      <c r="B1980" s="22"/>
      <c r="C1980" s="22"/>
      <c r="D1980" s="22"/>
      <c r="E1980" s="23" t="str">
        <f>IF($D1980="","",IFERROR(VLOOKUP($D1980,'ACAH Capital Tracker'!$A:$H,8,FALSE()),""))</f>
        <v/>
      </c>
      <c r="F1980" s="24"/>
      <c r="G1980" s="25" t="str">
        <f>IF($D1980="","",IFERROR(VLOOKUP($D1980,'ACAH Capital Tracker'!$A:$D,4,FALSE()),""))</f>
        <v/>
      </c>
      <c r="H1980" s="22"/>
    </row>
    <row r="1981" spans="1:8">
      <c r="A1981" s="21"/>
      <c r="B1981" s="22"/>
      <c r="C1981" s="22"/>
      <c r="D1981" s="22"/>
      <c r="E1981" s="23" t="str">
        <f>IF($D1981="","",IFERROR(VLOOKUP($D1981,'ACAH Capital Tracker'!$A:$H,8,FALSE()),""))</f>
        <v/>
      </c>
      <c r="F1981" s="24"/>
      <c r="G1981" s="25" t="str">
        <f>IF($D1981="","",IFERROR(VLOOKUP($D1981,'ACAH Capital Tracker'!$A:$D,4,FALSE()),""))</f>
        <v/>
      </c>
      <c r="H1981" s="22"/>
    </row>
    <row r="1982" spans="1:8">
      <c r="A1982" s="21"/>
      <c r="B1982" s="22"/>
      <c r="C1982" s="22"/>
      <c r="D1982" s="22"/>
      <c r="E1982" s="23" t="str">
        <f>IF($D1982="","",IFERROR(VLOOKUP($D1982,'ACAH Capital Tracker'!$A:$H,8,FALSE()),""))</f>
        <v/>
      </c>
      <c r="F1982" s="24"/>
      <c r="G1982" s="25" t="str">
        <f>IF($D1982="","",IFERROR(VLOOKUP($D1982,'ACAH Capital Tracker'!$A:$D,4,FALSE()),""))</f>
        <v/>
      </c>
      <c r="H1982" s="22"/>
    </row>
    <row r="1983" spans="1:8">
      <c r="A1983" s="21"/>
      <c r="B1983" s="22"/>
      <c r="C1983" s="22"/>
      <c r="D1983" s="22"/>
      <c r="E1983" s="23" t="str">
        <f>IF($D1983="","",IFERROR(VLOOKUP($D1983,'ACAH Capital Tracker'!$A:$H,8,FALSE()),""))</f>
        <v/>
      </c>
      <c r="F1983" s="24"/>
      <c r="G1983" s="25" t="str">
        <f>IF($D1983="","",IFERROR(VLOOKUP($D1983,'ACAH Capital Tracker'!$A:$D,4,FALSE()),""))</f>
        <v/>
      </c>
      <c r="H1983" s="22"/>
    </row>
    <row r="1984" spans="1:8">
      <c r="A1984" s="21"/>
      <c r="B1984" s="22"/>
      <c r="C1984" s="22"/>
      <c r="D1984" s="22"/>
      <c r="E1984" s="23" t="str">
        <f>IF($D1984="","",IFERROR(VLOOKUP($D1984,'ACAH Capital Tracker'!$A:$H,8,FALSE()),""))</f>
        <v/>
      </c>
      <c r="F1984" s="24"/>
      <c r="G1984" s="25" t="str">
        <f>IF($D1984="","",IFERROR(VLOOKUP($D1984,'ACAH Capital Tracker'!$A:$D,4,FALSE()),""))</f>
        <v/>
      </c>
      <c r="H1984" s="22"/>
    </row>
    <row r="1985" spans="1:8">
      <c r="A1985" s="21"/>
      <c r="B1985" s="22"/>
      <c r="C1985" s="22"/>
      <c r="D1985" s="22"/>
      <c r="E1985" s="23" t="str">
        <f>IF($D1985="","",IFERROR(VLOOKUP($D1985,'ACAH Capital Tracker'!$A:$H,8,FALSE()),""))</f>
        <v/>
      </c>
      <c r="F1985" s="24"/>
      <c r="G1985" s="25" t="str">
        <f>IF($D1985="","",IFERROR(VLOOKUP($D1985,'ACAH Capital Tracker'!$A:$D,4,FALSE()),""))</f>
        <v/>
      </c>
      <c r="H1985" s="22"/>
    </row>
    <row r="1986" spans="1:8">
      <c r="A1986" s="21"/>
      <c r="B1986" s="22"/>
      <c r="C1986" s="22"/>
      <c r="D1986" s="22"/>
      <c r="E1986" s="23" t="str">
        <f>IF($D1986="","",IFERROR(VLOOKUP($D1986,'ACAH Capital Tracker'!$A:$H,8,FALSE()),""))</f>
        <v/>
      </c>
      <c r="F1986" s="24"/>
      <c r="G1986" s="25" t="str">
        <f>IF($D1986="","",IFERROR(VLOOKUP($D1986,'ACAH Capital Tracker'!$A:$D,4,FALSE()),""))</f>
        <v/>
      </c>
      <c r="H1986" s="22"/>
    </row>
    <row r="1987" spans="1:8">
      <c r="A1987" s="21"/>
      <c r="B1987" s="22"/>
      <c r="C1987" s="22"/>
      <c r="D1987" s="22"/>
      <c r="E1987" s="23" t="str">
        <f>IF($D1987="","",IFERROR(VLOOKUP($D1987,'ACAH Capital Tracker'!$A:$H,8,FALSE()),""))</f>
        <v/>
      </c>
      <c r="F1987" s="24"/>
      <c r="G1987" s="25" t="str">
        <f>IF($D1987="","",IFERROR(VLOOKUP($D1987,'ACAH Capital Tracker'!$A:$D,4,FALSE()),""))</f>
        <v/>
      </c>
      <c r="H1987" s="22"/>
    </row>
    <row r="1988" spans="1:8">
      <c r="A1988" s="21"/>
      <c r="B1988" s="22"/>
      <c r="C1988" s="22"/>
      <c r="D1988" s="22"/>
      <c r="E1988" s="23" t="str">
        <f>IF($D1988="","",IFERROR(VLOOKUP($D1988,'ACAH Capital Tracker'!$A:$H,8,FALSE()),""))</f>
        <v/>
      </c>
      <c r="F1988" s="24"/>
      <c r="G1988" s="25" t="str">
        <f>IF($D1988="","",IFERROR(VLOOKUP($D1988,'ACAH Capital Tracker'!$A:$D,4,FALSE()),""))</f>
        <v/>
      </c>
      <c r="H1988" s="22"/>
    </row>
    <row r="1989" spans="1:8">
      <c r="A1989" s="21"/>
      <c r="B1989" s="22"/>
      <c r="C1989" s="22"/>
      <c r="D1989" s="22"/>
      <c r="E1989" s="23" t="str">
        <f>IF($D1989="","",IFERROR(VLOOKUP($D1989,'ACAH Capital Tracker'!$A:$H,8,FALSE()),""))</f>
        <v/>
      </c>
      <c r="F1989" s="24"/>
      <c r="G1989" s="25" t="str">
        <f>IF($D1989="","",IFERROR(VLOOKUP($D1989,'ACAH Capital Tracker'!$A:$D,4,FALSE()),""))</f>
        <v/>
      </c>
      <c r="H1989" s="22"/>
    </row>
    <row r="1990" spans="1:8">
      <c r="A1990" s="21"/>
      <c r="B1990" s="22"/>
      <c r="C1990" s="22"/>
      <c r="D1990" s="22"/>
      <c r="E1990" s="23" t="str">
        <f>IF($D1990="","",IFERROR(VLOOKUP($D1990,'ACAH Capital Tracker'!$A:$H,8,FALSE()),""))</f>
        <v/>
      </c>
      <c r="F1990" s="24"/>
      <c r="G1990" s="25" t="str">
        <f>IF($D1990="","",IFERROR(VLOOKUP($D1990,'ACAH Capital Tracker'!$A:$D,4,FALSE()),""))</f>
        <v/>
      </c>
      <c r="H1990" s="22"/>
    </row>
    <row r="1991" spans="1:8">
      <c r="A1991" s="21"/>
      <c r="B1991" s="22"/>
      <c r="C1991" s="22"/>
      <c r="D1991" s="22"/>
      <c r="E1991" s="23" t="str">
        <f>IF($D1991="","",IFERROR(VLOOKUP($D1991,'ACAH Capital Tracker'!$A:$H,8,FALSE()),""))</f>
        <v/>
      </c>
      <c r="F1991" s="24"/>
      <c r="G1991" s="25" t="str">
        <f>IF($D1991="","",IFERROR(VLOOKUP($D1991,'ACAH Capital Tracker'!$A:$D,4,FALSE()),""))</f>
        <v/>
      </c>
      <c r="H1991" s="22"/>
    </row>
    <row r="1992" spans="1:8">
      <c r="A1992" s="21"/>
      <c r="B1992" s="22"/>
      <c r="C1992" s="22"/>
      <c r="D1992" s="22"/>
      <c r="E1992" s="23" t="str">
        <f>IF($D1992="","",IFERROR(VLOOKUP($D1992,'ACAH Capital Tracker'!$A:$H,8,FALSE()),""))</f>
        <v/>
      </c>
      <c r="F1992" s="24"/>
      <c r="G1992" s="25" t="str">
        <f>IF($D1992="","",IFERROR(VLOOKUP($D1992,'ACAH Capital Tracker'!$A:$D,4,FALSE()),""))</f>
        <v/>
      </c>
      <c r="H1992" s="22"/>
    </row>
    <row r="1993" spans="1:8">
      <c r="A1993" s="21"/>
      <c r="B1993" s="22"/>
      <c r="C1993" s="22"/>
      <c r="D1993" s="22"/>
      <c r="E1993" s="23" t="str">
        <f>IF($D1993="","",IFERROR(VLOOKUP($D1993,'ACAH Capital Tracker'!$A:$H,8,FALSE()),""))</f>
        <v/>
      </c>
      <c r="F1993" s="24"/>
      <c r="G1993" s="25" t="str">
        <f>IF($D1993="","",IFERROR(VLOOKUP($D1993,'ACAH Capital Tracker'!$A:$D,4,FALSE()),""))</f>
        <v/>
      </c>
      <c r="H1993" s="22"/>
    </row>
    <row r="1994" spans="1:8">
      <c r="A1994" s="21"/>
      <c r="B1994" s="22"/>
      <c r="C1994" s="22"/>
      <c r="D1994" s="22"/>
      <c r="E1994" s="23" t="str">
        <f>IF($D1994="","",IFERROR(VLOOKUP($D1994,'ACAH Capital Tracker'!$A:$H,8,FALSE()),""))</f>
        <v/>
      </c>
      <c r="F1994" s="24"/>
      <c r="G1994" s="25" t="str">
        <f>IF($D1994="","",IFERROR(VLOOKUP($D1994,'ACAH Capital Tracker'!$A:$D,4,FALSE()),""))</f>
        <v/>
      </c>
      <c r="H1994" s="22"/>
    </row>
    <row r="1995" spans="1:8">
      <c r="A1995" s="21"/>
      <c r="B1995" s="22"/>
      <c r="C1995" s="22"/>
      <c r="D1995" s="22"/>
      <c r="E1995" s="23" t="str">
        <f>IF($D1995="","",IFERROR(VLOOKUP($D1995,'ACAH Capital Tracker'!$A:$H,8,FALSE()),""))</f>
        <v/>
      </c>
      <c r="F1995" s="24"/>
      <c r="G1995" s="25" t="str">
        <f>IF($D1995="","",IFERROR(VLOOKUP($D1995,'ACAH Capital Tracker'!$A:$D,4,FALSE()),""))</f>
        <v/>
      </c>
      <c r="H1995" s="22"/>
    </row>
    <row r="1996" spans="1:8">
      <c r="A1996" s="21"/>
      <c r="B1996" s="22"/>
      <c r="C1996" s="22"/>
      <c r="D1996" s="22"/>
      <c r="E1996" s="23" t="str">
        <f>IF($D1996="","",IFERROR(VLOOKUP($D1996,'ACAH Capital Tracker'!$A:$H,8,FALSE()),""))</f>
        <v/>
      </c>
      <c r="F1996" s="24"/>
      <c r="G1996" s="25" t="str">
        <f>IF($D1996="","",IFERROR(VLOOKUP($D1996,'ACAH Capital Tracker'!$A:$D,4,FALSE()),""))</f>
        <v/>
      </c>
      <c r="H1996" s="22"/>
    </row>
    <row r="1997" spans="1:8">
      <c r="A1997" s="21"/>
      <c r="B1997" s="22"/>
      <c r="C1997" s="22"/>
      <c r="D1997" s="22"/>
      <c r="E1997" s="23" t="str">
        <f>IF($D1997="","",IFERROR(VLOOKUP($D1997,'ACAH Capital Tracker'!$A:$H,8,FALSE()),""))</f>
        <v/>
      </c>
      <c r="F1997" s="24"/>
      <c r="G1997" s="25" t="str">
        <f>IF($D1997="","",IFERROR(VLOOKUP($D1997,'ACAH Capital Tracker'!$A:$D,4,FALSE()),""))</f>
        <v/>
      </c>
      <c r="H1997" s="22"/>
    </row>
    <row r="1998" spans="1:8">
      <c r="A1998" s="21"/>
      <c r="B1998" s="22"/>
      <c r="C1998" s="22"/>
      <c r="D1998" s="22"/>
      <c r="E1998" s="23" t="str">
        <f>IF($D1998="","",IFERROR(VLOOKUP($D1998,'ACAH Capital Tracker'!$A:$H,8,FALSE()),""))</f>
        <v/>
      </c>
      <c r="F1998" s="24"/>
      <c r="G1998" s="25" t="str">
        <f>IF($D1998="","",IFERROR(VLOOKUP($D1998,'ACAH Capital Tracker'!$A:$D,4,FALSE()),""))</f>
        <v/>
      </c>
      <c r="H1998" s="22"/>
    </row>
    <row r="1999" spans="1:8">
      <c r="A1999" s="21"/>
      <c r="B1999" s="22"/>
      <c r="C1999" s="22"/>
      <c r="D1999" s="22"/>
      <c r="E1999" s="23" t="str">
        <f>IF($D1999="","",IFERROR(VLOOKUP($D1999,'ACAH Capital Tracker'!$A:$H,8,FALSE()),""))</f>
        <v/>
      </c>
      <c r="F1999" s="24"/>
      <c r="G1999" s="25" t="str">
        <f>IF($D1999="","",IFERROR(VLOOKUP($D1999,'ACAH Capital Tracker'!$A:$D,4,FALSE()),""))</f>
        <v/>
      </c>
      <c r="H1999" s="22"/>
    </row>
    <row r="2000" spans="1:8">
      <c r="A2000" s="21"/>
      <c r="B2000" s="22"/>
      <c r="C2000" s="22"/>
      <c r="D2000" s="22"/>
      <c r="E2000" s="23" t="str">
        <f>IF($D2000="","",IFERROR(VLOOKUP($D2000,'ACAH Capital Tracker'!$A:$H,8,FALSE()),""))</f>
        <v/>
      </c>
      <c r="F2000" s="24"/>
      <c r="G2000" s="25" t="str">
        <f>IF($D2000="","",IFERROR(VLOOKUP($D2000,'ACAH Capital Tracker'!$A:$D,4,FALSE()),""))</f>
        <v/>
      </c>
      <c r="H2000" s="22"/>
    </row>
    <row r="2002" spans="4:6">
      <c r="D2002" s="26" t="s">
        <v>110</v>
      </c>
      <c r="F2002" s="27">
        <f>SUM(F4:F2000)</f>
        <v>0</v>
      </c>
    </row>
  </sheetData>
  <autoFilter ref="A3:H2000" xr:uid="{00000000-0009-0000-0000-000002000000}"/>
  <mergeCells count="2">
    <mergeCell ref="A1:H1"/>
    <mergeCell ref="A2:H2"/>
  </mergeCells>
  <dataValidations count="1">
    <dataValidation type="list" allowBlank="1" promptTitle="Unique Code" prompt="Select the Unique Code" sqref="D4:D2000" xr:uid="{00000000-0002-0000-0200-000000000000}">
      <formula1>$J$2:$J$27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M44"/>
  <sheetViews>
    <sheetView zoomScaleNormal="100" workbookViewId="0">
      <pane ySplit="3" topLeftCell="A4" activePane="bottomLeft" state="frozen"/>
      <selection pane="bottomLeft" activeCell="A27" sqref="A27"/>
    </sheetView>
  </sheetViews>
  <sheetFormatPr defaultColWidth="8.7109375" defaultRowHeight="15"/>
  <cols>
    <col min="1" max="1" width="14" customWidth="1"/>
    <col min="2" max="2" width="5" customWidth="1"/>
    <col min="3" max="3" width="40" customWidth="1"/>
    <col min="4" max="4" width="12" customWidth="1"/>
    <col min="5" max="5" width="13" customWidth="1"/>
    <col min="6" max="6" width="11" customWidth="1"/>
    <col min="7" max="8" width="12" customWidth="1"/>
    <col min="9" max="9" width="63.140625" customWidth="1"/>
    <col min="10" max="13" width="13" hidden="1" customWidth="1"/>
  </cols>
  <sheetData>
    <row r="1" spans="1:13" ht="16.5">
      <c r="A1" s="36" t="s">
        <v>111</v>
      </c>
      <c r="B1" s="36"/>
      <c r="C1" s="36"/>
      <c r="D1" s="36"/>
      <c r="E1" s="36"/>
      <c r="F1" s="36"/>
      <c r="G1" s="36"/>
      <c r="H1" s="36"/>
      <c r="I1" s="36"/>
    </row>
    <row r="2" spans="1:13">
      <c r="A2" s="12" t="s">
        <v>36</v>
      </c>
      <c r="C2" s="13" t="str">
        <f>'IT Budget Summary'!$C$2</f>
        <v>Offline Optimized</v>
      </c>
      <c r="E2" s="37" t="s">
        <v>37</v>
      </c>
      <c r="F2" s="37"/>
      <c r="G2" s="37"/>
      <c r="H2" s="37"/>
      <c r="I2" s="37"/>
    </row>
    <row r="3" spans="1:13" ht="24">
      <c r="A3" s="2" t="s">
        <v>38</v>
      </c>
      <c r="B3" s="2" t="s">
        <v>39</v>
      </c>
      <c r="C3" s="2" t="s">
        <v>40</v>
      </c>
      <c r="D3" s="2" t="s">
        <v>20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1:13">
      <c r="A4" s="14" t="s">
        <v>112</v>
      </c>
      <c r="B4" s="14" t="s">
        <v>113</v>
      </c>
      <c r="C4" s="15" t="s">
        <v>114</v>
      </c>
      <c r="D4" s="14">
        <v>5101200002</v>
      </c>
      <c r="E4" s="16">
        <f>CHOOSE(MATCH($C$2,{"Offline Optimized","Offline + Online Hybrid","Online Optimized"},0),J4,K4,L4)</f>
        <v>9000</v>
      </c>
      <c r="F4" s="16">
        <f>SUMIF('ACAH Consumables Log'!$D$4:$D$2000,A4,'ACAH Consumables Log'!$F$4:$F$2000)</f>
        <v>0</v>
      </c>
      <c r="G4" s="17">
        <v>0</v>
      </c>
      <c r="H4" s="18">
        <f t="shared" ref="H4:H44" si="0">E4+G4-F4</f>
        <v>9000</v>
      </c>
      <c r="I4" s="15" t="str">
        <f t="shared" ref="I4:I44" si="1">IFERROR(IF(($E4+$G4)&lt;=0,"",REPT("█",MIN(20,ROUND($F4/($E4+$G4)*20,0)))),"")</f>
        <v/>
      </c>
      <c r="J4" s="19">
        <v>9000</v>
      </c>
      <c r="K4" s="19">
        <v>0</v>
      </c>
      <c r="L4" s="19">
        <v>0</v>
      </c>
      <c r="M4" s="19">
        <v>9000</v>
      </c>
    </row>
    <row r="5" spans="1:13">
      <c r="A5" s="14" t="s">
        <v>115</v>
      </c>
      <c r="B5" s="14" t="s">
        <v>116</v>
      </c>
      <c r="C5" s="15" t="s">
        <v>117</v>
      </c>
      <c r="D5" s="14">
        <v>5101200002</v>
      </c>
      <c r="E5" s="16">
        <f>CHOOSE(MATCH($C$2,{"Offline Optimized","Offline + Online Hybrid","Online Optimized"},0),J5,K5,L5)</f>
        <v>1100</v>
      </c>
      <c r="F5" s="16">
        <f>SUMIF('ACAH Consumables Log'!$D$4:$D$2000,A5,'ACAH Consumables Log'!$F$4:$F$2000)</f>
        <v>0</v>
      </c>
      <c r="G5" s="17">
        <v>0</v>
      </c>
      <c r="H5" s="18">
        <f t="shared" si="0"/>
        <v>1100</v>
      </c>
      <c r="I5" s="15" t="str">
        <f t="shared" si="1"/>
        <v/>
      </c>
      <c r="J5" s="19">
        <v>1100</v>
      </c>
      <c r="K5" s="19">
        <v>0</v>
      </c>
      <c r="L5" s="19">
        <v>0</v>
      </c>
      <c r="M5" s="19">
        <v>480</v>
      </c>
    </row>
    <row r="6" spans="1:13">
      <c r="A6" s="14" t="s">
        <v>118</v>
      </c>
      <c r="B6" s="14" t="s">
        <v>119</v>
      </c>
      <c r="C6" s="15" t="s">
        <v>120</v>
      </c>
      <c r="D6" s="14">
        <v>5101200002</v>
      </c>
      <c r="E6" s="16">
        <f>CHOOSE(MATCH($C$2,{"Offline Optimized","Offline + Online Hybrid","Online Optimized"},0),J6,K6,L6)</f>
        <v>200</v>
      </c>
      <c r="F6" s="16">
        <f>SUMIF('ACAH Consumables Log'!$D$4:$D$2000,A6,'ACAH Consumables Log'!$F$4:$F$2000)</f>
        <v>0</v>
      </c>
      <c r="G6" s="17">
        <v>0</v>
      </c>
      <c r="H6" s="18">
        <f t="shared" si="0"/>
        <v>200</v>
      </c>
      <c r="I6" s="15" t="str">
        <f t="shared" si="1"/>
        <v/>
      </c>
      <c r="J6" s="19">
        <v>200</v>
      </c>
      <c r="K6" s="19">
        <v>0</v>
      </c>
      <c r="L6" s="19">
        <v>0</v>
      </c>
      <c r="M6" s="19">
        <v>180</v>
      </c>
    </row>
    <row r="7" spans="1:13">
      <c r="A7" s="14" t="s">
        <v>121</v>
      </c>
      <c r="B7" s="14" t="s">
        <v>122</v>
      </c>
      <c r="C7" s="15" t="s">
        <v>123</v>
      </c>
      <c r="D7" s="14">
        <v>5101200002</v>
      </c>
      <c r="E7" s="16">
        <f>CHOOSE(MATCH($C$2,{"Offline Optimized","Offline + Online Hybrid","Online Optimized"},0),J7,K7,L7)</f>
        <v>14200</v>
      </c>
      <c r="F7" s="16">
        <f>SUMIF('ACAH Consumables Log'!$D$4:$D$2000,A7,'ACAH Consumables Log'!$F$4:$F$2000)</f>
        <v>0</v>
      </c>
      <c r="G7" s="17">
        <v>0</v>
      </c>
      <c r="H7" s="18">
        <f t="shared" si="0"/>
        <v>14200</v>
      </c>
      <c r="I7" s="15" t="str">
        <f t="shared" si="1"/>
        <v/>
      </c>
      <c r="J7" s="19">
        <v>14200</v>
      </c>
      <c r="K7" s="19">
        <v>0</v>
      </c>
      <c r="L7" s="19">
        <v>0</v>
      </c>
      <c r="M7" s="19">
        <v>13200</v>
      </c>
    </row>
    <row r="8" spans="1:13">
      <c r="A8" s="14" t="s">
        <v>124</v>
      </c>
      <c r="B8" s="14" t="s">
        <v>125</v>
      </c>
      <c r="C8" s="15" t="s">
        <v>126</v>
      </c>
      <c r="D8" s="14">
        <v>5101200002</v>
      </c>
      <c r="E8" s="16">
        <f>CHOOSE(MATCH($C$2,{"Offline Optimized","Offline + Online Hybrid","Online Optimized"},0),J8,K8,L8)</f>
        <v>10000</v>
      </c>
      <c r="F8" s="16">
        <f>SUMIF('ACAH Consumables Log'!$D$4:$D$2000,A8,'ACAH Consumables Log'!$F$4:$F$2000)</f>
        <v>0</v>
      </c>
      <c r="G8" s="17">
        <v>0</v>
      </c>
      <c r="H8" s="18">
        <f t="shared" si="0"/>
        <v>10000</v>
      </c>
      <c r="I8" s="15" t="str">
        <f t="shared" si="1"/>
        <v/>
      </c>
      <c r="J8" s="19">
        <v>10000</v>
      </c>
      <c r="K8" s="19">
        <v>0</v>
      </c>
      <c r="L8" s="19">
        <v>0</v>
      </c>
      <c r="M8" s="19">
        <v>7500</v>
      </c>
    </row>
    <row r="9" spans="1:13">
      <c r="A9" s="14" t="s">
        <v>127</v>
      </c>
      <c r="B9" s="14" t="s">
        <v>128</v>
      </c>
      <c r="C9" s="15" t="s">
        <v>129</v>
      </c>
      <c r="D9" s="14">
        <v>5101200002</v>
      </c>
      <c r="E9" s="16">
        <f>CHOOSE(MATCH($C$2,{"Offline Optimized","Offline + Online Hybrid","Online Optimized"},0),J9,K9,L9)</f>
        <v>510</v>
      </c>
      <c r="F9" s="16">
        <f>SUMIF('ACAH Consumables Log'!$D$4:$D$2000,A9,'ACAH Consumables Log'!$F$4:$F$2000)</f>
        <v>0</v>
      </c>
      <c r="G9" s="17">
        <v>0</v>
      </c>
      <c r="H9" s="18">
        <f t="shared" si="0"/>
        <v>510</v>
      </c>
      <c r="I9" s="15" t="str">
        <f t="shared" si="1"/>
        <v/>
      </c>
      <c r="J9" s="19">
        <v>510</v>
      </c>
      <c r="K9" s="19">
        <v>0</v>
      </c>
      <c r="L9" s="19">
        <v>0</v>
      </c>
      <c r="M9" s="19">
        <v>510</v>
      </c>
    </row>
    <row r="10" spans="1:13">
      <c r="A10" s="14" t="s">
        <v>130</v>
      </c>
      <c r="B10" s="14" t="s">
        <v>131</v>
      </c>
      <c r="C10" s="15" t="s">
        <v>132</v>
      </c>
      <c r="D10" s="14">
        <v>5101200002</v>
      </c>
      <c r="E10" s="16">
        <f>CHOOSE(MATCH($C$2,{"Offline Optimized","Offline + Online Hybrid","Online Optimized"},0),J10,K10,L10)</f>
        <v>900</v>
      </c>
      <c r="F10" s="16">
        <f>SUMIF('ACAH Consumables Log'!$D$4:$D$2000,A10,'ACAH Consumables Log'!$F$4:$F$2000)</f>
        <v>0</v>
      </c>
      <c r="G10" s="17">
        <v>0</v>
      </c>
      <c r="H10" s="18">
        <f t="shared" si="0"/>
        <v>900</v>
      </c>
      <c r="I10" s="15" t="str">
        <f t="shared" si="1"/>
        <v/>
      </c>
      <c r="J10" s="19">
        <v>900</v>
      </c>
      <c r="K10" s="19">
        <v>0</v>
      </c>
      <c r="L10" s="19">
        <v>0</v>
      </c>
      <c r="M10" s="19">
        <v>900</v>
      </c>
    </row>
    <row r="11" spans="1:13">
      <c r="A11" s="14" t="s">
        <v>133</v>
      </c>
      <c r="B11" s="14" t="s">
        <v>134</v>
      </c>
      <c r="C11" s="15" t="s">
        <v>135</v>
      </c>
      <c r="D11" s="14">
        <v>5101200002</v>
      </c>
      <c r="E11" s="16">
        <f>CHOOSE(MATCH($C$2,{"Offline Optimized","Offline + Online Hybrid","Online Optimized"},0),J11,K11,L11)</f>
        <v>12500</v>
      </c>
      <c r="F11" s="16">
        <f>SUMIF('ACAH Consumables Log'!$D$4:$D$2000,A11,'ACAH Consumables Log'!$F$4:$F$2000)</f>
        <v>1235</v>
      </c>
      <c r="G11" s="17">
        <v>0</v>
      </c>
      <c r="H11" s="18">
        <f t="shared" si="0"/>
        <v>11265</v>
      </c>
      <c r="I11" s="15" t="str">
        <f t="shared" si="1"/>
        <v>██</v>
      </c>
      <c r="J11" s="19">
        <v>12500</v>
      </c>
      <c r="K11" s="19">
        <v>0</v>
      </c>
      <c r="L11" s="19">
        <v>0</v>
      </c>
      <c r="M11" s="19">
        <v>11000</v>
      </c>
    </row>
    <row r="12" spans="1:13">
      <c r="A12" s="14" t="s">
        <v>136</v>
      </c>
      <c r="B12" s="14" t="s">
        <v>137</v>
      </c>
      <c r="C12" s="15" t="s">
        <v>138</v>
      </c>
      <c r="D12" s="14">
        <v>5101160010</v>
      </c>
      <c r="E12" s="16">
        <f>CHOOSE(MATCH($C$2,{"Offline Optimized","Offline + Online Hybrid","Online Optimized"},0),J12,K12,L12)</f>
        <v>1100</v>
      </c>
      <c r="F12" s="16">
        <f>SUMIF('ACAH Consumables Log'!$D$4:$D$2000,A12,'ACAH Consumables Log'!$F$4:$F$2000)</f>
        <v>0</v>
      </c>
      <c r="G12" s="17">
        <v>0</v>
      </c>
      <c r="H12" s="18">
        <f t="shared" si="0"/>
        <v>1100</v>
      </c>
      <c r="I12" s="15" t="str">
        <f t="shared" si="1"/>
        <v/>
      </c>
      <c r="J12" s="19">
        <v>1100</v>
      </c>
      <c r="K12" s="19">
        <v>0</v>
      </c>
      <c r="L12" s="19">
        <v>0</v>
      </c>
      <c r="M12" s="19">
        <v>0</v>
      </c>
    </row>
    <row r="13" spans="1:13">
      <c r="A13" s="14" t="s">
        <v>139</v>
      </c>
      <c r="B13" s="14" t="s">
        <v>140</v>
      </c>
      <c r="C13" s="15" t="s">
        <v>141</v>
      </c>
      <c r="D13" s="14">
        <v>5101160010</v>
      </c>
      <c r="E13" s="16">
        <f>CHOOSE(MATCH($C$2,{"Offline Optimized","Offline + Online Hybrid","Online Optimized"},0),J13,K13,L13)</f>
        <v>4000</v>
      </c>
      <c r="F13" s="16">
        <f>SUMIF('ACAH Consumables Log'!$D$4:$D$2000,A13,'ACAH Consumables Log'!$F$4:$F$2000)</f>
        <v>0</v>
      </c>
      <c r="G13" s="17">
        <v>0</v>
      </c>
      <c r="H13" s="18">
        <f t="shared" si="0"/>
        <v>4000</v>
      </c>
      <c r="I13" s="15" t="str">
        <f t="shared" si="1"/>
        <v/>
      </c>
      <c r="J13" s="19">
        <v>4000</v>
      </c>
      <c r="K13" s="19">
        <v>0</v>
      </c>
      <c r="L13" s="19">
        <v>0</v>
      </c>
      <c r="M13" s="19">
        <v>2320</v>
      </c>
    </row>
    <row r="14" spans="1:13">
      <c r="A14" s="14" t="s">
        <v>142</v>
      </c>
      <c r="B14" s="14" t="s">
        <v>143</v>
      </c>
      <c r="C14" s="15" t="s">
        <v>144</v>
      </c>
      <c r="D14" s="14">
        <v>5101160010</v>
      </c>
      <c r="E14" s="16">
        <f>CHOOSE(MATCH($C$2,{"Offline Optimized","Offline + Online Hybrid","Online Optimized"},0),J14,K14,L14)</f>
        <v>6000</v>
      </c>
      <c r="F14" s="16">
        <f>SUMIF('ACAH Consumables Log'!$D$4:$D$2000,A14,'ACAH Consumables Log'!$F$4:$F$2000)</f>
        <v>0</v>
      </c>
      <c r="G14" s="17">
        <v>0</v>
      </c>
      <c r="H14" s="18">
        <f t="shared" si="0"/>
        <v>6000</v>
      </c>
      <c r="I14" s="15" t="str">
        <f t="shared" si="1"/>
        <v/>
      </c>
      <c r="J14" s="19">
        <v>6000</v>
      </c>
      <c r="K14" s="19">
        <v>0</v>
      </c>
      <c r="L14" s="19">
        <v>0</v>
      </c>
      <c r="M14" s="19">
        <v>6000</v>
      </c>
    </row>
    <row r="15" spans="1:13">
      <c r="A15" s="14" t="s">
        <v>145</v>
      </c>
      <c r="B15" s="14" t="s">
        <v>146</v>
      </c>
      <c r="C15" s="15" t="s">
        <v>147</v>
      </c>
      <c r="D15" s="14">
        <v>5101160010</v>
      </c>
      <c r="E15" s="16">
        <f>CHOOSE(MATCH($C$2,{"Offline Optimized","Offline + Online Hybrid","Online Optimized"},0),J15,K15,L15)</f>
        <v>4250</v>
      </c>
      <c r="F15" s="16">
        <f>SUMIF('ACAH Consumables Log'!$D$4:$D$2000,A15,'ACAH Consumables Log'!$F$4:$F$2000)</f>
        <v>0</v>
      </c>
      <c r="G15" s="17">
        <v>0</v>
      </c>
      <c r="H15" s="18">
        <f t="shared" si="0"/>
        <v>4250</v>
      </c>
      <c r="I15" s="15" t="str">
        <f t="shared" si="1"/>
        <v/>
      </c>
      <c r="J15" s="19">
        <v>4250</v>
      </c>
      <c r="K15" s="19">
        <v>0</v>
      </c>
      <c r="L15" s="19">
        <v>0</v>
      </c>
      <c r="M15" s="19">
        <v>4250</v>
      </c>
    </row>
    <row r="16" spans="1:13">
      <c r="A16" s="14" t="s">
        <v>148</v>
      </c>
      <c r="B16" s="14" t="s">
        <v>149</v>
      </c>
      <c r="C16" s="15" t="s">
        <v>150</v>
      </c>
      <c r="D16" s="14">
        <v>5101200002</v>
      </c>
      <c r="E16" s="16">
        <f>CHOOSE(MATCH($C$2,{"Offline Optimized","Offline + Online Hybrid","Online Optimized"},0),J16,K16,L16)</f>
        <v>9000</v>
      </c>
      <c r="F16" s="16">
        <f>SUMIF('ACAH Consumables Log'!$D$4:$D$2000,A16,'ACAH Consumables Log'!$F$4:$F$2000)</f>
        <v>0</v>
      </c>
      <c r="G16" s="17">
        <v>0</v>
      </c>
      <c r="H16" s="18">
        <f t="shared" si="0"/>
        <v>9000</v>
      </c>
      <c r="I16" s="15" t="str">
        <f t="shared" si="1"/>
        <v/>
      </c>
      <c r="J16" s="19">
        <v>9000</v>
      </c>
      <c r="K16" s="19">
        <v>0</v>
      </c>
      <c r="L16" s="19">
        <v>0</v>
      </c>
      <c r="M16" s="19">
        <v>7350</v>
      </c>
    </row>
    <row r="17" spans="1:13">
      <c r="A17" s="14" t="s">
        <v>151</v>
      </c>
      <c r="B17" s="14" t="s">
        <v>152</v>
      </c>
      <c r="C17" s="15" t="s">
        <v>153</v>
      </c>
      <c r="D17" s="14">
        <v>5101160003</v>
      </c>
      <c r="E17" s="16">
        <f>CHOOSE(MATCH($C$2,{"Offline Optimized","Offline + Online Hybrid","Online Optimized"},0),J17,K17,L17)</f>
        <v>500</v>
      </c>
      <c r="F17" s="16">
        <f>SUMIF('ACAH Consumables Log'!$D$4:$D$2000,A17,'ACAH Consumables Log'!$F$4:$F$2000)</f>
        <v>0</v>
      </c>
      <c r="G17" s="17">
        <v>0</v>
      </c>
      <c r="H17" s="18">
        <f t="shared" si="0"/>
        <v>500</v>
      </c>
      <c r="I17" s="15" t="str">
        <f t="shared" si="1"/>
        <v/>
      </c>
      <c r="J17" s="19">
        <v>500</v>
      </c>
      <c r="K17" s="19">
        <v>0</v>
      </c>
      <c r="L17" s="19">
        <v>0</v>
      </c>
      <c r="M17" s="19">
        <v>1500</v>
      </c>
    </row>
    <row r="18" spans="1:13">
      <c r="A18" s="14" t="s">
        <v>154</v>
      </c>
      <c r="B18" s="14" t="s">
        <v>155</v>
      </c>
      <c r="C18" s="15" t="s">
        <v>156</v>
      </c>
      <c r="D18" s="14">
        <v>5101160003</v>
      </c>
      <c r="E18" s="16">
        <f>CHOOSE(MATCH($C$2,{"Offline Optimized","Offline + Online Hybrid","Online Optimized"},0),J18,K18,L18)</f>
        <v>0</v>
      </c>
      <c r="F18" s="16">
        <f>SUMIF('ACAH Consumables Log'!$D$4:$D$2000,A18,'ACAH Consumables Log'!$F$4:$F$2000)</f>
        <v>0</v>
      </c>
      <c r="G18" s="17">
        <v>0</v>
      </c>
      <c r="H18" s="18">
        <f t="shared" si="0"/>
        <v>0</v>
      </c>
      <c r="I18" s="15" t="str">
        <f t="shared" si="1"/>
        <v/>
      </c>
      <c r="J18" s="19">
        <v>0</v>
      </c>
      <c r="K18" s="19">
        <v>0</v>
      </c>
      <c r="L18" s="19">
        <v>0</v>
      </c>
      <c r="M18" s="19">
        <v>1000</v>
      </c>
    </row>
    <row r="19" spans="1:13">
      <c r="A19" s="14" t="s">
        <v>157</v>
      </c>
      <c r="B19" s="14" t="s">
        <v>158</v>
      </c>
      <c r="C19" s="15" t="s">
        <v>159</v>
      </c>
      <c r="D19" s="14">
        <v>5101200002</v>
      </c>
      <c r="E19" s="16">
        <f>CHOOSE(MATCH($C$2,{"Offline Optimized","Offline + Online Hybrid","Online Optimized"},0),J19,K19,L19)</f>
        <v>0</v>
      </c>
      <c r="F19" s="16">
        <f>SUMIF('ACAH Consumables Log'!$D$4:$D$2000,A19,'ACAH Consumables Log'!$F$4:$F$2000)</f>
        <v>0</v>
      </c>
      <c r="G19" s="17">
        <v>0</v>
      </c>
      <c r="H19" s="18">
        <f t="shared" si="0"/>
        <v>0</v>
      </c>
      <c r="I19" s="15" t="str">
        <f t="shared" si="1"/>
        <v/>
      </c>
      <c r="J19" s="19">
        <v>0</v>
      </c>
      <c r="K19" s="19">
        <v>0</v>
      </c>
      <c r="L19" s="19">
        <v>0</v>
      </c>
      <c r="M19" s="19">
        <v>0</v>
      </c>
    </row>
    <row r="20" spans="1:13">
      <c r="A20" s="14" t="s">
        <v>160</v>
      </c>
      <c r="B20" s="14" t="s">
        <v>161</v>
      </c>
      <c r="C20" s="15" t="s">
        <v>162</v>
      </c>
      <c r="D20" s="14">
        <v>5101160010</v>
      </c>
      <c r="E20" s="16">
        <f>CHOOSE(MATCH($C$2,{"Offline Optimized","Offline + Online Hybrid","Online Optimized"},0),J20,K20,L20)</f>
        <v>2500</v>
      </c>
      <c r="F20" s="16">
        <f>SUMIF('ACAH Consumables Log'!$D$4:$D$2000,A20,'ACAH Consumables Log'!$F$4:$F$2000)</f>
        <v>0</v>
      </c>
      <c r="G20" s="17">
        <v>0</v>
      </c>
      <c r="H20" s="18">
        <f t="shared" si="0"/>
        <v>2500</v>
      </c>
      <c r="I20" s="15" t="str">
        <f t="shared" si="1"/>
        <v/>
      </c>
      <c r="J20" s="19">
        <v>2500</v>
      </c>
      <c r="K20" s="19">
        <v>0</v>
      </c>
      <c r="L20" s="19">
        <v>0</v>
      </c>
      <c r="M20" s="19">
        <v>2500</v>
      </c>
    </row>
    <row r="21" spans="1:13">
      <c r="A21" s="14" t="s">
        <v>163</v>
      </c>
      <c r="B21" s="14" t="s">
        <v>164</v>
      </c>
      <c r="C21" s="15" t="s">
        <v>165</v>
      </c>
      <c r="D21" s="14">
        <v>5101170001</v>
      </c>
      <c r="E21" s="16">
        <f>CHOOSE(MATCH($C$2,{"Offline Optimized","Offline + Online Hybrid","Online Optimized"},0),J21,K21,L21)</f>
        <v>1000</v>
      </c>
      <c r="F21" s="16">
        <f>SUMIF('ACAH Consumables Log'!$D$4:$D$2000,A21,'ACAH Consumables Log'!$F$4:$F$2000)</f>
        <v>0</v>
      </c>
      <c r="G21" s="17">
        <v>0</v>
      </c>
      <c r="H21" s="18">
        <f t="shared" si="0"/>
        <v>1000</v>
      </c>
      <c r="I21" s="15" t="str">
        <f t="shared" si="1"/>
        <v/>
      </c>
      <c r="J21" s="19">
        <v>1000</v>
      </c>
      <c r="K21" s="19">
        <v>0</v>
      </c>
      <c r="L21" s="19">
        <v>0</v>
      </c>
      <c r="M21" s="19">
        <v>1000</v>
      </c>
    </row>
    <row r="22" spans="1:13">
      <c r="A22" s="14" t="s">
        <v>166</v>
      </c>
      <c r="B22" s="14" t="s">
        <v>167</v>
      </c>
      <c r="C22" s="15" t="s">
        <v>168</v>
      </c>
      <c r="D22" s="14">
        <v>5101160010</v>
      </c>
      <c r="E22" s="16">
        <f>CHOOSE(MATCH($C$2,{"Offline Optimized","Offline + Online Hybrid","Online Optimized"},0),J22,K22,L22)</f>
        <v>1500</v>
      </c>
      <c r="F22" s="16">
        <f>SUMIF('ACAH Consumables Log'!$D$4:$D$2000,A22,'ACAH Consumables Log'!$F$4:$F$2000)</f>
        <v>0</v>
      </c>
      <c r="G22" s="17">
        <v>0</v>
      </c>
      <c r="H22" s="18">
        <f t="shared" si="0"/>
        <v>1500</v>
      </c>
      <c r="I22" s="15" t="str">
        <f t="shared" si="1"/>
        <v/>
      </c>
      <c r="J22" s="19">
        <v>1500</v>
      </c>
      <c r="K22" s="19">
        <v>0</v>
      </c>
      <c r="L22" s="19">
        <v>0</v>
      </c>
      <c r="M22" s="19">
        <v>1500</v>
      </c>
    </row>
    <row r="23" spans="1:13">
      <c r="A23" s="14" t="s">
        <v>169</v>
      </c>
      <c r="B23" s="14" t="s">
        <v>170</v>
      </c>
      <c r="C23" s="15" t="s">
        <v>171</v>
      </c>
      <c r="D23" s="14">
        <v>5101160010</v>
      </c>
      <c r="E23" s="16">
        <f>CHOOSE(MATCH($C$2,{"Offline Optimized","Offline + Online Hybrid","Online Optimized"},0),J23,K23,L23)</f>
        <v>0</v>
      </c>
      <c r="F23" s="16">
        <f>SUMIF('ACAH Consumables Log'!$D$4:$D$2000,A23,'ACAH Consumables Log'!$F$4:$F$2000)</f>
        <v>0</v>
      </c>
      <c r="G23" s="17">
        <v>0</v>
      </c>
      <c r="H23" s="18">
        <f t="shared" si="0"/>
        <v>0</v>
      </c>
      <c r="I23" s="15" t="str">
        <f t="shared" si="1"/>
        <v/>
      </c>
      <c r="J23" s="19">
        <v>0</v>
      </c>
      <c r="K23" s="19">
        <v>0</v>
      </c>
      <c r="L23" s="19">
        <v>0</v>
      </c>
      <c r="M23" s="19">
        <v>0</v>
      </c>
    </row>
    <row r="24" spans="1:13">
      <c r="A24" s="14" t="s">
        <v>172</v>
      </c>
      <c r="B24" s="14" t="s">
        <v>173</v>
      </c>
      <c r="C24" s="15" t="s">
        <v>174</v>
      </c>
      <c r="D24" s="14">
        <v>5101030002</v>
      </c>
      <c r="E24" s="16">
        <f>CHOOSE(MATCH($C$2,{"Offline Optimized","Offline + Online Hybrid","Online Optimized"},0),J24,K24,L24)</f>
        <v>6500</v>
      </c>
      <c r="F24" s="16">
        <f>SUMIF('ACAH Consumables Log'!$D$4:$D$2000,A24,'ACAH Consumables Log'!$F$4:$F$2000)</f>
        <v>0</v>
      </c>
      <c r="G24" s="17">
        <v>0</v>
      </c>
      <c r="H24" s="18">
        <f t="shared" si="0"/>
        <v>6500</v>
      </c>
      <c r="I24" s="15" t="str">
        <f t="shared" si="1"/>
        <v/>
      </c>
      <c r="J24" s="19">
        <v>6500</v>
      </c>
      <c r="K24" s="19">
        <v>0</v>
      </c>
      <c r="L24" s="19">
        <v>0</v>
      </c>
      <c r="M24" s="19">
        <v>4500</v>
      </c>
    </row>
    <row r="25" spans="1:13">
      <c r="A25" s="14" t="s">
        <v>175</v>
      </c>
      <c r="B25" s="14" t="s">
        <v>176</v>
      </c>
      <c r="C25" s="15" t="s">
        <v>177</v>
      </c>
      <c r="D25" s="14">
        <v>5101170001</v>
      </c>
      <c r="E25" s="16">
        <f>CHOOSE(MATCH($C$2,{"Offline Optimized","Offline + Online Hybrid","Online Optimized"},0),J25,K25,L25)</f>
        <v>5000</v>
      </c>
      <c r="F25" s="16">
        <f>SUMIF('ACAH Consumables Log'!$D$4:$D$2000,A25,'ACAH Consumables Log'!$F$4:$F$2000)</f>
        <v>0</v>
      </c>
      <c r="G25" s="17">
        <v>0</v>
      </c>
      <c r="H25" s="18">
        <f t="shared" si="0"/>
        <v>5000</v>
      </c>
      <c r="I25" s="15" t="str">
        <f t="shared" si="1"/>
        <v/>
      </c>
      <c r="J25" s="19">
        <v>5000</v>
      </c>
      <c r="K25" s="19">
        <v>0</v>
      </c>
      <c r="L25" s="19">
        <v>0</v>
      </c>
      <c r="M25" s="19">
        <v>0</v>
      </c>
    </row>
    <row r="26" spans="1:13">
      <c r="A26" s="14" t="s">
        <v>178</v>
      </c>
      <c r="B26" s="14" t="s">
        <v>179</v>
      </c>
      <c r="C26" s="15" t="s">
        <v>180</v>
      </c>
      <c r="D26" s="14">
        <v>5101160010</v>
      </c>
      <c r="E26" s="16">
        <f>CHOOSE(MATCH($C$2,{"Offline Optimized","Offline + Online Hybrid","Online Optimized"},0),J26,K26,L26)</f>
        <v>2000</v>
      </c>
      <c r="F26" s="16">
        <f>SUMIF('ACAH Consumables Log'!$D$4:$D$2000,A26,'ACAH Consumables Log'!$F$4:$F$2000)</f>
        <v>0</v>
      </c>
      <c r="G26" s="17">
        <v>0</v>
      </c>
      <c r="H26" s="18">
        <f t="shared" si="0"/>
        <v>2000</v>
      </c>
      <c r="I26" s="15" t="str">
        <f t="shared" si="1"/>
        <v/>
      </c>
      <c r="J26" s="19">
        <v>2000</v>
      </c>
      <c r="K26" s="19">
        <v>0</v>
      </c>
      <c r="L26" s="19">
        <v>0</v>
      </c>
      <c r="M26" s="19">
        <v>1500</v>
      </c>
    </row>
    <row r="27" spans="1:13">
      <c r="A27" s="14" t="s">
        <v>181</v>
      </c>
      <c r="B27" s="14" t="s">
        <v>182</v>
      </c>
      <c r="C27" s="15" t="s">
        <v>183</v>
      </c>
      <c r="D27" s="14">
        <v>5101170001</v>
      </c>
      <c r="E27" s="16">
        <f>CHOOSE(MATCH($C$2,{"Offline Optimized","Offline + Online Hybrid","Online Optimized"},0),J27,K27,L27)</f>
        <v>2400</v>
      </c>
      <c r="F27" s="16">
        <f>SUMIF('ACAH Consumables Log'!$D$4:$D$2000,A27,'ACAH Consumables Log'!$F$4:$F$2000)</f>
        <v>541.81799999999998</v>
      </c>
      <c r="G27" s="17">
        <v>0</v>
      </c>
      <c r="H27" s="18">
        <f t="shared" si="0"/>
        <v>1858.182</v>
      </c>
      <c r="I27" s="15" t="str">
        <f t="shared" si="1"/>
        <v>█████</v>
      </c>
      <c r="J27" s="19">
        <v>2400</v>
      </c>
      <c r="K27" s="19">
        <v>0</v>
      </c>
      <c r="L27" s="19">
        <v>0</v>
      </c>
      <c r="M27" s="19">
        <v>1200</v>
      </c>
    </row>
    <row r="28" spans="1:13">
      <c r="A28" s="14" t="s">
        <v>184</v>
      </c>
      <c r="B28" s="14" t="s">
        <v>185</v>
      </c>
      <c r="C28" s="15" t="s">
        <v>186</v>
      </c>
      <c r="D28" s="14">
        <v>5101160010</v>
      </c>
      <c r="E28" s="16">
        <f>CHOOSE(MATCH($C$2,{"Offline Optimized","Offline + Online Hybrid","Online Optimized"},0),J28,K28,L28)</f>
        <v>3500</v>
      </c>
      <c r="F28" s="16">
        <f>SUMIF('ACAH Consumables Log'!$D$4:$D$2000,A28,'ACAH Consumables Log'!$F$4:$F$2000)</f>
        <v>0</v>
      </c>
      <c r="G28" s="17">
        <v>0</v>
      </c>
      <c r="H28" s="18">
        <f t="shared" si="0"/>
        <v>3500</v>
      </c>
      <c r="I28" s="15" t="str">
        <f t="shared" si="1"/>
        <v/>
      </c>
      <c r="J28" s="19">
        <v>3500</v>
      </c>
      <c r="K28" s="19">
        <v>0</v>
      </c>
      <c r="L28" s="19">
        <v>0</v>
      </c>
      <c r="M28" s="19">
        <v>2500</v>
      </c>
    </row>
    <row r="29" spans="1:13">
      <c r="A29" s="14" t="s">
        <v>187</v>
      </c>
      <c r="B29" s="14" t="s">
        <v>188</v>
      </c>
      <c r="C29" s="15" t="s">
        <v>189</v>
      </c>
      <c r="D29" s="14">
        <v>5101170001</v>
      </c>
      <c r="E29" s="16">
        <f>CHOOSE(MATCH($C$2,{"Offline Optimized","Offline + Online Hybrid","Online Optimized"},0),J29,K29,L29)</f>
        <v>0</v>
      </c>
      <c r="F29" s="16">
        <f>SUMIF('ACAH Consumables Log'!$D$4:$D$2000,A29,'ACAH Consumables Log'!$F$4:$F$2000)</f>
        <v>0</v>
      </c>
      <c r="G29" s="17">
        <v>0</v>
      </c>
      <c r="H29" s="18">
        <f t="shared" si="0"/>
        <v>0</v>
      </c>
      <c r="I29" s="15" t="str">
        <f t="shared" si="1"/>
        <v/>
      </c>
      <c r="J29" s="19">
        <v>0</v>
      </c>
      <c r="K29" s="19">
        <v>0</v>
      </c>
      <c r="L29" s="19">
        <v>0</v>
      </c>
      <c r="M29" s="19">
        <v>0</v>
      </c>
    </row>
    <row r="30" spans="1:13">
      <c r="A30" s="14" t="s">
        <v>190</v>
      </c>
      <c r="B30" s="14" t="s">
        <v>191</v>
      </c>
      <c r="C30" s="15" t="s">
        <v>192</v>
      </c>
      <c r="D30" s="14">
        <v>5101170001</v>
      </c>
      <c r="E30" s="16">
        <f>CHOOSE(MATCH($C$2,{"Offline Optimized","Offline + Online Hybrid","Online Optimized"},0),J30,K30,L30)</f>
        <v>26000</v>
      </c>
      <c r="F30" s="16">
        <f>SUMIF('ACAH Consumables Log'!$D$4:$D$2000,A30,'ACAH Consumables Log'!$F$4:$F$2000)</f>
        <v>0</v>
      </c>
      <c r="G30" s="17">
        <v>0</v>
      </c>
      <c r="H30" s="18">
        <f t="shared" si="0"/>
        <v>26000</v>
      </c>
      <c r="I30" s="15" t="str">
        <f t="shared" si="1"/>
        <v/>
      </c>
      <c r="J30" s="19">
        <v>26000</v>
      </c>
      <c r="K30" s="19">
        <v>0</v>
      </c>
      <c r="L30" s="19">
        <v>0</v>
      </c>
      <c r="M30" s="19">
        <v>24000</v>
      </c>
    </row>
    <row r="31" spans="1:13">
      <c r="A31" s="14" t="s">
        <v>193</v>
      </c>
      <c r="B31" s="14" t="s">
        <v>194</v>
      </c>
      <c r="C31" s="15" t="s">
        <v>195</v>
      </c>
      <c r="D31" s="14">
        <v>5101170001</v>
      </c>
      <c r="E31" s="16">
        <f>CHOOSE(MATCH($C$2,{"Offline Optimized","Offline + Online Hybrid","Online Optimized"},0),J31,K31,L31)</f>
        <v>0</v>
      </c>
      <c r="F31" s="16">
        <f>SUMIF('ACAH Consumables Log'!$D$4:$D$2000,A31,'ACAH Consumables Log'!$F$4:$F$2000)</f>
        <v>0</v>
      </c>
      <c r="G31" s="17">
        <v>0</v>
      </c>
      <c r="H31" s="18">
        <f t="shared" si="0"/>
        <v>0</v>
      </c>
      <c r="I31" s="15" t="str">
        <f t="shared" si="1"/>
        <v/>
      </c>
      <c r="J31" s="19">
        <v>0</v>
      </c>
      <c r="K31" s="19">
        <v>0</v>
      </c>
      <c r="L31" s="19">
        <v>0</v>
      </c>
      <c r="M31" s="19">
        <v>0</v>
      </c>
    </row>
    <row r="32" spans="1:13">
      <c r="A32" s="14" t="s">
        <v>196</v>
      </c>
      <c r="B32" s="14" t="s">
        <v>197</v>
      </c>
      <c r="C32" s="15" t="s">
        <v>198</v>
      </c>
      <c r="D32" s="14">
        <v>5101170001</v>
      </c>
      <c r="E32" s="16">
        <f>CHOOSE(MATCH($C$2,{"Offline Optimized","Offline + Online Hybrid","Online Optimized"},0),J32,K32,L32)</f>
        <v>0</v>
      </c>
      <c r="F32" s="16">
        <f>SUMIF('ACAH Consumables Log'!$D$4:$D$2000,A32,'ACAH Consumables Log'!$F$4:$F$2000)</f>
        <v>0</v>
      </c>
      <c r="G32" s="17">
        <v>0</v>
      </c>
      <c r="H32" s="18">
        <f t="shared" si="0"/>
        <v>0</v>
      </c>
      <c r="I32" s="15" t="str">
        <f t="shared" si="1"/>
        <v/>
      </c>
      <c r="J32" s="19">
        <v>0</v>
      </c>
      <c r="K32" s="19">
        <v>0</v>
      </c>
      <c r="L32" s="19">
        <v>0</v>
      </c>
      <c r="M32" s="19">
        <v>0</v>
      </c>
    </row>
    <row r="33" spans="1:13">
      <c r="A33" s="14" t="s">
        <v>199</v>
      </c>
      <c r="B33" s="14" t="s">
        <v>200</v>
      </c>
      <c r="C33" s="15" t="s">
        <v>201</v>
      </c>
      <c r="D33" s="14">
        <v>5101170001</v>
      </c>
      <c r="E33" s="16">
        <f>CHOOSE(MATCH($C$2,{"Offline Optimized","Offline + Online Hybrid","Online Optimized"},0),J33,K33,L33)</f>
        <v>0</v>
      </c>
      <c r="F33" s="16">
        <f>SUMIF('ACAH Consumables Log'!$D$4:$D$2000,A33,'ACAH Consumables Log'!$F$4:$F$2000)</f>
        <v>0</v>
      </c>
      <c r="G33" s="17">
        <v>0</v>
      </c>
      <c r="H33" s="18">
        <f t="shared" si="0"/>
        <v>0</v>
      </c>
      <c r="I33" s="15" t="str">
        <f t="shared" si="1"/>
        <v/>
      </c>
      <c r="J33" s="19">
        <v>0</v>
      </c>
      <c r="K33" s="19">
        <v>0</v>
      </c>
      <c r="L33" s="19">
        <v>0</v>
      </c>
      <c r="M33" s="19">
        <v>0</v>
      </c>
    </row>
    <row r="34" spans="1:13">
      <c r="A34" s="14" t="s">
        <v>202</v>
      </c>
      <c r="B34" s="14" t="s">
        <v>203</v>
      </c>
      <c r="C34" s="15" t="s">
        <v>204</v>
      </c>
      <c r="D34" s="14">
        <v>5101170001</v>
      </c>
      <c r="E34" s="16">
        <f>CHOOSE(MATCH($C$2,{"Offline Optimized","Offline + Online Hybrid","Online Optimized"},0),J34,K34,L34)</f>
        <v>27000</v>
      </c>
      <c r="F34" s="16">
        <f>SUMIF('ACAH Consumables Log'!$D$4:$D$2000,A34,'ACAH Consumables Log'!$F$4:$F$2000)</f>
        <v>0</v>
      </c>
      <c r="G34" s="17">
        <v>0</v>
      </c>
      <c r="H34" s="18">
        <f t="shared" si="0"/>
        <v>27000</v>
      </c>
      <c r="I34" s="15" t="str">
        <f t="shared" si="1"/>
        <v/>
      </c>
      <c r="J34" s="19">
        <v>27000</v>
      </c>
      <c r="K34" s="19">
        <v>0</v>
      </c>
      <c r="L34" s="19">
        <v>0</v>
      </c>
      <c r="M34" s="19">
        <v>25800</v>
      </c>
    </row>
    <row r="35" spans="1:13">
      <c r="A35" s="14" t="s">
        <v>205</v>
      </c>
      <c r="B35" s="14" t="s">
        <v>206</v>
      </c>
      <c r="C35" s="15" t="s">
        <v>207</v>
      </c>
      <c r="D35" s="14">
        <v>5101170001</v>
      </c>
      <c r="E35" s="16">
        <f>CHOOSE(MATCH($C$2,{"Offline Optimized","Offline + Online Hybrid","Online Optimized"},0),J35,K35,L35)</f>
        <v>8000</v>
      </c>
      <c r="F35" s="16">
        <f>SUMIF('ACAH Consumables Log'!$D$4:$D$2000,A35,'ACAH Consumables Log'!$F$4:$F$2000)</f>
        <v>0</v>
      </c>
      <c r="G35" s="17">
        <v>0</v>
      </c>
      <c r="H35" s="18">
        <f t="shared" si="0"/>
        <v>8000</v>
      </c>
      <c r="I35" s="15" t="str">
        <f t="shared" si="1"/>
        <v/>
      </c>
      <c r="J35" s="19">
        <v>8000</v>
      </c>
      <c r="K35" s="19">
        <v>0</v>
      </c>
      <c r="L35" s="19">
        <v>0</v>
      </c>
      <c r="M35" s="19">
        <v>18000</v>
      </c>
    </row>
    <row r="36" spans="1:13">
      <c r="A36" s="14" t="s">
        <v>208</v>
      </c>
      <c r="B36" s="14" t="s">
        <v>209</v>
      </c>
      <c r="C36" s="15" t="s">
        <v>210</v>
      </c>
      <c r="D36" s="14">
        <v>5101170001</v>
      </c>
      <c r="E36" s="16">
        <f>CHOOSE(MATCH($C$2,{"Offline Optimized","Offline + Online Hybrid","Online Optimized"},0),J36,K36,L36)</f>
        <v>8500</v>
      </c>
      <c r="F36" s="16">
        <f>SUMIF('ACAH Consumables Log'!$D$4:$D$2000,A36,'ACAH Consumables Log'!$F$4:$F$2000)</f>
        <v>0</v>
      </c>
      <c r="G36" s="17">
        <v>0</v>
      </c>
      <c r="H36" s="18">
        <f t="shared" si="0"/>
        <v>8500</v>
      </c>
      <c r="I36" s="15" t="str">
        <f t="shared" si="1"/>
        <v/>
      </c>
      <c r="J36" s="19">
        <v>8500</v>
      </c>
      <c r="K36" s="19">
        <v>0</v>
      </c>
      <c r="L36" s="19">
        <v>0</v>
      </c>
      <c r="M36" s="19">
        <v>7500</v>
      </c>
    </row>
    <row r="37" spans="1:13">
      <c r="A37" s="14" t="s">
        <v>211</v>
      </c>
      <c r="B37" s="14" t="s">
        <v>212</v>
      </c>
      <c r="C37" s="15" t="s">
        <v>213</v>
      </c>
      <c r="D37" s="14">
        <v>5101170001</v>
      </c>
      <c r="E37" s="16">
        <f>CHOOSE(MATCH($C$2,{"Offline Optimized","Offline + Online Hybrid","Online Optimized"},0),J37,K37,L37)</f>
        <v>2750</v>
      </c>
      <c r="F37" s="16">
        <f>SUMIF('ACAH Consumables Log'!$D$4:$D$2000,A37,'ACAH Consumables Log'!$F$4:$F$2000)</f>
        <v>0</v>
      </c>
      <c r="G37" s="17">
        <v>0</v>
      </c>
      <c r="H37" s="18">
        <f t="shared" si="0"/>
        <v>2750</v>
      </c>
      <c r="I37" s="15" t="str">
        <f t="shared" si="1"/>
        <v/>
      </c>
      <c r="J37" s="19">
        <v>2750</v>
      </c>
      <c r="K37" s="19">
        <v>0</v>
      </c>
      <c r="L37" s="19">
        <v>0</v>
      </c>
      <c r="M37" s="19">
        <v>2750</v>
      </c>
    </row>
    <row r="38" spans="1:13">
      <c r="A38" s="14" t="s">
        <v>214</v>
      </c>
      <c r="B38" s="14" t="s">
        <v>215</v>
      </c>
      <c r="C38" s="15" t="s">
        <v>216</v>
      </c>
      <c r="D38" s="14">
        <v>5101160010</v>
      </c>
      <c r="E38" s="16">
        <f>CHOOSE(MATCH($C$2,{"Offline Optimized","Offline + Online Hybrid","Online Optimized"},0),J38,K38,L38)</f>
        <v>9000</v>
      </c>
      <c r="F38" s="16">
        <f>SUMIF('ACAH Consumables Log'!$D$4:$D$2000,A38,'ACAH Consumables Log'!$F$4:$F$2000)</f>
        <v>0</v>
      </c>
      <c r="G38" s="17">
        <v>0</v>
      </c>
      <c r="H38" s="18">
        <f t="shared" si="0"/>
        <v>9000</v>
      </c>
      <c r="I38" s="15" t="str">
        <f t="shared" si="1"/>
        <v/>
      </c>
      <c r="J38" s="19">
        <v>9000</v>
      </c>
      <c r="K38" s="19">
        <v>0</v>
      </c>
      <c r="L38" s="19">
        <v>0</v>
      </c>
      <c r="M38" s="19">
        <v>7000</v>
      </c>
    </row>
    <row r="39" spans="1:13">
      <c r="A39" s="14" t="s">
        <v>217</v>
      </c>
      <c r="B39" s="14" t="s">
        <v>218</v>
      </c>
      <c r="C39" s="15" t="s">
        <v>219</v>
      </c>
      <c r="D39" s="14">
        <v>5101130003</v>
      </c>
      <c r="E39" s="16">
        <f>CHOOSE(MATCH($C$2,{"Offline Optimized","Offline + Online Hybrid","Online Optimized"},0),J39,K39,L39)</f>
        <v>9000</v>
      </c>
      <c r="F39" s="16">
        <f>SUMIF('ACAH Consumables Log'!$D$4:$D$2000,A39,'ACAH Consumables Log'!$F$4:$F$2000)</f>
        <v>0</v>
      </c>
      <c r="G39" s="17">
        <v>0</v>
      </c>
      <c r="H39" s="18">
        <f t="shared" si="0"/>
        <v>9000</v>
      </c>
      <c r="I39" s="15" t="str">
        <f t="shared" si="1"/>
        <v/>
      </c>
      <c r="J39" s="19">
        <v>9000</v>
      </c>
      <c r="K39" s="19">
        <v>0</v>
      </c>
      <c r="L39" s="19">
        <v>0</v>
      </c>
      <c r="M39" s="19">
        <v>8500</v>
      </c>
    </row>
    <row r="40" spans="1:13">
      <c r="A40" s="14" t="s">
        <v>220</v>
      </c>
      <c r="B40" s="14" t="s">
        <v>221</v>
      </c>
      <c r="C40" s="15" t="s">
        <v>222</v>
      </c>
      <c r="D40" s="14">
        <v>5101160003</v>
      </c>
      <c r="E40" s="16">
        <f>CHOOSE(MATCH($C$2,{"Offline Optimized","Offline + Online Hybrid","Online Optimized"},0),J40,K40,L40)</f>
        <v>3000</v>
      </c>
      <c r="F40" s="16">
        <f>SUMIF('ACAH Consumables Log'!$D$4:$D$2000,A40,'ACAH Consumables Log'!$F$4:$F$2000)</f>
        <v>0</v>
      </c>
      <c r="G40" s="17">
        <v>0</v>
      </c>
      <c r="H40" s="18">
        <f t="shared" si="0"/>
        <v>3000</v>
      </c>
      <c r="I40" s="15" t="str">
        <f t="shared" si="1"/>
        <v/>
      </c>
      <c r="J40" s="19">
        <v>3000</v>
      </c>
      <c r="K40" s="19">
        <v>0</v>
      </c>
      <c r="L40" s="19">
        <v>0</v>
      </c>
      <c r="M40" s="19">
        <v>3000</v>
      </c>
    </row>
    <row r="41" spans="1:13">
      <c r="A41" s="14" t="s">
        <v>223</v>
      </c>
      <c r="B41" s="14" t="s">
        <v>224</v>
      </c>
      <c r="C41" s="15" t="s">
        <v>225</v>
      </c>
      <c r="D41" s="14">
        <v>5101160003</v>
      </c>
      <c r="E41" s="16">
        <f>CHOOSE(MATCH($C$2,{"Offline Optimized","Offline + Online Hybrid","Online Optimized"},0),J41,K41,L41)</f>
        <v>500</v>
      </c>
      <c r="F41" s="16">
        <f>SUMIF('ACAH Consumables Log'!$D$4:$D$2000,A41,'ACAH Consumables Log'!$F$4:$F$2000)</f>
        <v>0</v>
      </c>
      <c r="G41" s="17">
        <v>0</v>
      </c>
      <c r="H41" s="18">
        <f t="shared" si="0"/>
        <v>500</v>
      </c>
      <c r="I41" s="15" t="str">
        <f t="shared" si="1"/>
        <v/>
      </c>
      <c r="J41" s="19">
        <v>500</v>
      </c>
      <c r="K41" s="19">
        <v>0</v>
      </c>
      <c r="L41" s="19">
        <v>0</v>
      </c>
      <c r="M41" s="19">
        <v>3000</v>
      </c>
    </row>
    <row r="42" spans="1:13">
      <c r="A42" s="14" t="s">
        <v>226</v>
      </c>
      <c r="B42" s="14" t="s">
        <v>227</v>
      </c>
      <c r="C42" s="15" t="s">
        <v>228</v>
      </c>
      <c r="D42" s="14">
        <v>5101130003</v>
      </c>
      <c r="E42" s="16">
        <f>CHOOSE(MATCH($C$2,{"Offline Optimized","Offline + Online Hybrid","Online Optimized"},0),J42,K42,L42)</f>
        <v>5500</v>
      </c>
      <c r="F42" s="16">
        <f>SUMIF('ACAH Consumables Log'!$D$4:$D$2000,A42,'ACAH Consumables Log'!$F$4:$F$2000)</f>
        <v>0</v>
      </c>
      <c r="G42" s="17">
        <v>0</v>
      </c>
      <c r="H42" s="18">
        <f t="shared" si="0"/>
        <v>5500</v>
      </c>
      <c r="I42" s="15" t="str">
        <f t="shared" si="1"/>
        <v/>
      </c>
      <c r="J42" s="19">
        <v>5500</v>
      </c>
      <c r="K42" s="19">
        <v>0</v>
      </c>
      <c r="L42" s="19">
        <v>0</v>
      </c>
      <c r="M42" s="19">
        <v>5500</v>
      </c>
    </row>
    <row r="43" spans="1:13">
      <c r="A43" s="14" t="s">
        <v>229</v>
      </c>
      <c r="B43" s="14" t="s">
        <v>230</v>
      </c>
      <c r="C43" s="15" t="s">
        <v>231</v>
      </c>
      <c r="D43" s="14">
        <v>5101130003</v>
      </c>
      <c r="E43" s="16">
        <f>CHOOSE(MATCH($C$2,{"Offline Optimized","Offline + Online Hybrid","Online Optimized"},0),J43,K43,L43)</f>
        <v>1000</v>
      </c>
      <c r="F43" s="16">
        <f>SUMIF('ACAH Consumables Log'!$D$4:$D$2000,A43,'ACAH Consumables Log'!$F$4:$F$2000)</f>
        <v>0</v>
      </c>
      <c r="G43" s="17">
        <v>0</v>
      </c>
      <c r="H43" s="18">
        <f t="shared" si="0"/>
        <v>1000</v>
      </c>
      <c r="I43" s="15" t="str">
        <f t="shared" si="1"/>
        <v/>
      </c>
      <c r="J43" s="19">
        <v>1000</v>
      </c>
      <c r="K43" s="19">
        <v>0</v>
      </c>
      <c r="L43" s="19">
        <v>0</v>
      </c>
      <c r="M43" s="19">
        <v>1000</v>
      </c>
    </row>
    <row r="44" spans="1:13">
      <c r="A44" s="8"/>
      <c r="B44" s="8"/>
      <c r="C44" s="7" t="s">
        <v>232</v>
      </c>
      <c r="D44" s="8"/>
      <c r="E44" s="9">
        <f>SUM(E4:E43)</f>
        <v>197910</v>
      </c>
      <c r="F44" s="9">
        <f>SUM(F4:F43)</f>
        <v>1776.818</v>
      </c>
      <c r="G44" s="9">
        <f>SUM(G4:G43)</f>
        <v>0</v>
      </c>
      <c r="H44" s="9">
        <f t="shared" si="0"/>
        <v>196133.182</v>
      </c>
      <c r="I44" s="7" t="str">
        <f t="shared" si="1"/>
        <v/>
      </c>
      <c r="M44">
        <f>SUM(M4:M43)</f>
        <v>185940</v>
      </c>
    </row>
  </sheetData>
  <mergeCells count="2">
    <mergeCell ref="A1:I1"/>
    <mergeCell ref="E2:I2"/>
  </mergeCells>
  <conditionalFormatting sqref="I4:I44">
    <cfRule type="expression" dxfId="14" priority="2">
      <formula>IFERROR($F4/($E4+$G4),0)&gt;0.75</formula>
    </cfRule>
    <cfRule type="expression" dxfId="13" priority="3">
      <formula>AND(IFERROR($F4/($E4+$G4),0)&gt;0.5,IFERROR($F4/($E4+$G4),0)&lt;=0.75)</formula>
    </cfRule>
    <cfRule type="expression" dxfId="12" priority="4">
      <formula>IFERROR($F4/($E4+$G4),0)&gt;0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B4:B4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2"/>
  <sheetViews>
    <sheetView zoomScaleNormal="100" workbookViewId="0">
      <pane ySplit="3" topLeftCell="A4" activePane="bottomLeft" state="frozen"/>
      <selection pane="bottomLeft" activeCell="F6" sqref="F6"/>
    </sheetView>
  </sheetViews>
  <sheetFormatPr defaultColWidth="8.7109375" defaultRowHeight="15"/>
  <cols>
    <col min="1" max="1" width="12" customWidth="1"/>
    <col min="2" max="2" width="14" style="29" customWidth="1"/>
    <col min="3" max="3" width="34" customWidth="1"/>
    <col min="4" max="4" width="16" style="29" customWidth="1"/>
    <col min="5" max="5" width="13" customWidth="1"/>
    <col min="6" max="6" width="11" customWidth="1"/>
    <col min="7" max="7" width="13" customWidth="1"/>
    <col min="8" max="8" width="43.28515625" customWidth="1"/>
    <col min="10" max="10" width="13" hidden="1" customWidth="1"/>
  </cols>
  <sheetData>
    <row r="1" spans="1:10" ht="16.5">
      <c r="A1" s="36" t="s">
        <v>233</v>
      </c>
      <c r="B1" s="36"/>
      <c r="C1" s="36"/>
      <c r="D1" s="36"/>
      <c r="E1" s="36"/>
      <c r="F1" s="36"/>
      <c r="G1" s="36"/>
      <c r="H1" s="36"/>
      <c r="J1" s="20" t="s">
        <v>100</v>
      </c>
    </row>
    <row r="2" spans="1:10">
      <c r="A2" s="34" t="s">
        <v>234</v>
      </c>
      <c r="B2" s="34"/>
      <c r="C2" s="34"/>
      <c r="D2" s="34"/>
      <c r="E2" s="34"/>
      <c r="F2" s="34"/>
      <c r="G2" s="34"/>
      <c r="H2" s="34"/>
      <c r="J2" t="s">
        <v>112</v>
      </c>
    </row>
    <row r="3" spans="1:10" ht="24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J3" t="s">
        <v>115</v>
      </c>
    </row>
    <row r="4" spans="1:10">
      <c r="A4" s="21">
        <v>46195</v>
      </c>
      <c r="B4" s="28" t="s">
        <v>235</v>
      </c>
      <c r="C4" s="22" t="s">
        <v>236</v>
      </c>
      <c r="D4" s="28" t="s">
        <v>133</v>
      </c>
      <c r="E4" s="23">
        <f>IF($D4="","",IFERROR(VLOOKUP($D4,'ACAH Consumables Tracker'!$A:$H,8,FALSE()),""))</f>
        <v>11265</v>
      </c>
      <c r="F4" s="24">
        <v>1235</v>
      </c>
      <c r="G4" s="25">
        <f>IF($D4="","",IFERROR(VLOOKUP($D4,'ACAH Consumables Tracker'!$A:$D,4,FALSE()),""))</f>
        <v>5101200002</v>
      </c>
      <c r="H4" s="22"/>
      <c r="J4" t="s">
        <v>118</v>
      </c>
    </row>
    <row r="5" spans="1:10">
      <c r="A5" s="21">
        <v>46218</v>
      </c>
      <c r="B5" s="28">
        <v>7451</v>
      </c>
      <c r="C5" s="22" t="s">
        <v>183</v>
      </c>
      <c r="D5" s="28" t="s">
        <v>181</v>
      </c>
      <c r="E5" s="23">
        <f>IF($D5="","",IFERROR(VLOOKUP($D5,'ACAH Consumables Tracker'!$A:$H,8,FALSE()),""))</f>
        <v>1858.182</v>
      </c>
      <c r="F5" s="24">
        <f>+(2913*0.31)*0.6</f>
        <v>541.81799999999998</v>
      </c>
      <c r="G5" s="25">
        <f>IF($D5="","",IFERROR(VLOOKUP($D5,'ACAH Consumables Tracker'!$A:$D,4,FALSE()),""))</f>
        <v>5101170001</v>
      </c>
      <c r="H5" s="22"/>
      <c r="J5" t="s">
        <v>121</v>
      </c>
    </row>
    <row r="6" spans="1:10">
      <c r="A6" s="21"/>
      <c r="B6" s="28"/>
      <c r="C6" s="22"/>
      <c r="D6" s="28"/>
      <c r="E6" s="23" t="str">
        <f>IF($D6="","",IFERROR(VLOOKUP($D6,'ACAH Consumables Tracker'!$A:$H,8,FALSE()),""))</f>
        <v/>
      </c>
      <c r="F6" s="24"/>
      <c r="G6" s="25" t="str">
        <f>IF($D6="","",IFERROR(VLOOKUP($D6,'ACAH Consumables Tracker'!$A:$D,4,FALSE()),""))</f>
        <v/>
      </c>
      <c r="H6" s="22"/>
      <c r="J6" t="s">
        <v>124</v>
      </c>
    </row>
    <row r="7" spans="1:10">
      <c r="A7" s="21"/>
      <c r="B7" s="28"/>
      <c r="C7" s="22"/>
      <c r="D7" s="28"/>
      <c r="E7" s="23" t="str">
        <f>IF($D7="","",IFERROR(VLOOKUP($D7,'ACAH Consumables Tracker'!$A:$H,8,FALSE()),""))</f>
        <v/>
      </c>
      <c r="F7" s="24"/>
      <c r="G7" s="25" t="str">
        <f>IF($D7="","",IFERROR(VLOOKUP($D7,'ACAH Consumables Tracker'!$A:$D,4,FALSE()),""))</f>
        <v/>
      </c>
      <c r="H7" s="22"/>
      <c r="J7" t="s">
        <v>127</v>
      </c>
    </row>
    <row r="8" spans="1:10">
      <c r="A8" s="21"/>
      <c r="B8" s="28"/>
      <c r="C8" s="22"/>
      <c r="D8" s="28"/>
      <c r="E8" s="23" t="str">
        <f>IF($D8="","",IFERROR(VLOOKUP($D8,'ACAH Consumables Tracker'!$A:$H,8,FALSE()),""))</f>
        <v/>
      </c>
      <c r="F8" s="24"/>
      <c r="G8" s="25" t="str">
        <f>IF($D8="","",IFERROR(VLOOKUP($D8,'ACAH Consumables Tracker'!$A:$D,4,FALSE()),""))</f>
        <v/>
      </c>
      <c r="H8" s="22"/>
      <c r="J8" t="s">
        <v>130</v>
      </c>
    </row>
    <row r="9" spans="1:10">
      <c r="A9" s="21"/>
      <c r="B9" s="28"/>
      <c r="C9" s="22"/>
      <c r="D9" s="28"/>
      <c r="E9" s="23" t="str">
        <f>IF($D9="","",IFERROR(VLOOKUP($D9,'ACAH Consumables Tracker'!$A:$H,8,FALSE()),""))</f>
        <v/>
      </c>
      <c r="F9" s="24"/>
      <c r="G9" s="25" t="str">
        <f>IF($D9="","",IFERROR(VLOOKUP($D9,'ACAH Consumables Tracker'!$A:$D,4,FALSE()),""))</f>
        <v/>
      </c>
      <c r="H9" s="22"/>
      <c r="J9" t="s">
        <v>133</v>
      </c>
    </row>
    <row r="10" spans="1:10">
      <c r="A10" s="21"/>
      <c r="B10" s="28"/>
      <c r="C10" s="22"/>
      <c r="D10" s="28"/>
      <c r="E10" s="23" t="str">
        <f>IF($D10="","",IFERROR(VLOOKUP($D10,'ACAH Consumables Tracker'!$A:$H,8,FALSE()),""))</f>
        <v/>
      </c>
      <c r="F10" s="24"/>
      <c r="G10" s="25" t="str">
        <f>IF($D10="","",IFERROR(VLOOKUP($D10,'ACAH Consumables Tracker'!$A:$D,4,FALSE()),""))</f>
        <v/>
      </c>
      <c r="H10" s="22"/>
      <c r="J10" t="s">
        <v>136</v>
      </c>
    </row>
    <row r="11" spans="1:10">
      <c r="A11" s="21"/>
      <c r="B11" s="28"/>
      <c r="C11" s="22"/>
      <c r="D11" s="28"/>
      <c r="E11" s="23" t="str">
        <f>IF($D11="","",IFERROR(VLOOKUP($D11,'ACAH Consumables Tracker'!$A:$H,8,FALSE()),""))</f>
        <v/>
      </c>
      <c r="F11" s="24"/>
      <c r="G11" s="25" t="str">
        <f>IF($D11="","",IFERROR(VLOOKUP($D11,'ACAH Consumables Tracker'!$A:$D,4,FALSE()),""))</f>
        <v/>
      </c>
      <c r="H11" s="22"/>
      <c r="J11" t="s">
        <v>139</v>
      </c>
    </row>
    <row r="12" spans="1:10">
      <c r="A12" s="21"/>
      <c r="B12" s="28"/>
      <c r="C12" s="22"/>
      <c r="D12" s="28"/>
      <c r="E12" s="23" t="str">
        <f>IF($D12="","",IFERROR(VLOOKUP($D12,'ACAH Consumables Tracker'!$A:$H,8,FALSE()),""))</f>
        <v/>
      </c>
      <c r="F12" s="24"/>
      <c r="G12" s="25" t="str">
        <f>IF($D12="","",IFERROR(VLOOKUP($D12,'ACAH Consumables Tracker'!$A:$D,4,FALSE()),""))</f>
        <v/>
      </c>
      <c r="H12" s="22"/>
      <c r="J12" t="s">
        <v>142</v>
      </c>
    </row>
    <row r="13" spans="1:10">
      <c r="A13" s="21"/>
      <c r="B13" s="28"/>
      <c r="C13" s="22"/>
      <c r="D13" s="28"/>
      <c r="E13" s="23" t="str">
        <f>IF($D13="","",IFERROR(VLOOKUP($D13,'ACAH Consumables Tracker'!$A:$H,8,FALSE()),""))</f>
        <v/>
      </c>
      <c r="F13" s="24"/>
      <c r="G13" s="25" t="str">
        <f>IF($D13="","",IFERROR(VLOOKUP($D13,'ACAH Consumables Tracker'!$A:$D,4,FALSE()),""))</f>
        <v/>
      </c>
      <c r="H13" s="22"/>
      <c r="J13" t="s">
        <v>145</v>
      </c>
    </row>
    <row r="14" spans="1:10">
      <c r="A14" s="21"/>
      <c r="B14" s="28"/>
      <c r="C14" s="22"/>
      <c r="D14" s="28"/>
      <c r="E14" s="23" t="str">
        <f>IF($D14="","",IFERROR(VLOOKUP($D14,'ACAH Consumables Tracker'!$A:$H,8,FALSE()),""))</f>
        <v/>
      </c>
      <c r="F14" s="24"/>
      <c r="G14" s="25" t="str">
        <f>IF($D14="","",IFERROR(VLOOKUP($D14,'ACAH Consumables Tracker'!$A:$D,4,FALSE()),""))</f>
        <v/>
      </c>
      <c r="H14" s="22"/>
      <c r="J14" t="s">
        <v>148</v>
      </c>
    </row>
    <row r="15" spans="1:10">
      <c r="A15" s="21"/>
      <c r="B15" s="28"/>
      <c r="C15" s="22"/>
      <c r="D15" s="28"/>
      <c r="E15" s="23" t="str">
        <f>IF($D15="","",IFERROR(VLOOKUP($D15,'ACAH Consumables Tracker'!$A:$H,8,FALSE()),""))</f>
        <v/>
      </c>
      <c r="F15" s="24"/>
      <c r="G15" s="25" t="str">
        <f>IF($D15="","",IFERROR(VLOOKUP($D15,'ACAH Consumables Tracker'!$A:$D,4,FALSE()),""))</f>
        <v/>
      </c>
      <c r="H15" s="22"/>
      <c r="J15" t="s">
        <v>151</v>
      </c>
    </row>
    <row r="16" spans="1:10">
      <c r="A16" s="21"/>
      <c r="B16" s="28"/>
      <c r="C16" s="22"/>
      <c r="D16" s="28"/>
      <c r="E16" s="23" t="str">
        <f>IF($D16="","",IFERROR(VLOOKUP($D16,'ACAH Consumables Tracker'!$A:$H,8,FALSE()),""))</f>
        <v/>
      </c>
      <c r="F16" s="24"/>
      <c r="G16" s="25" t="str">
        <f>IF($D16="","",IFERROR(VLOOKUP($D16,'ACAH Consumables Tracker'!$A:$D,4,FALSE()),""))</f>
        <v/>
      </c>
      <c r="H16" s="22"/>
      <c r="J16" t="s">
        <v>154</v>
      </c>
    </row>
    <row r="17" spans="1:10">
      <c r="A17" s="21"/>
      <c r="B17" s="28"/>
      <c r="C17" s="22"/>
      <c r="D17" s="28"/>
      <c r="E17" s="23" t="str">
        <f>IF($D17="","",IFERROR(VLOOKUP($D17,'ACAH Consumables Tracker'!$A:$H,8,FALSE()),""))</f>
        <v/>
      </c>
      <c r="F17" s="24"/>
      <c r="G17" s="25" t="str">
        <f>IF($D17="","",IFERROR(VLOOKUP($D17,'ACAH Consumables Tracker'!$A:$D,4,FALSE()),""))</f>
        <v/>
      </c>
      <c r="H17" s="22"/>
      <c r="J17" t="s">
        <v>157</v>
      </c>
    </row>
    <row r="18" spans="1:10">
      <c r="A18" s="21"/>
      <c r="B18" s="28"/>
      <c r="C18" s="22"/>
      <c r="D18" s="28"/>
      <c r="E18" s="23" t="str">
        <f>IF($D18="","",IFERROR(VLOOKUP($D18,'ACAH Consumables Tracker'!$A:$H,8,FALSE()),""))</f>
        <v/>
      </c>
      <c r="F18" s="24"/>
      <c r="G18" s="25" t="str">
        <f>IF($D18="","",IFERROR(VLOOKUP($D18,'ACAH Consumables Tracker'!$A:$D,4,FALSE()),""))</f>
        <v/>
      </c>
      <c r="H18" s="22"/>
      <c r="J18" t="s">
        <v>160</v>
      </c>
    </row>
    <row r="19" spans="1:10">
      <c r="A19" s="21"/>
      <c r="B19" s="28"/>
      <c r="C19" s="22"/>
      <c r="D19" s="28"/>
      <c r="E19" s="23" t="str">
        <f>IF($D19="","",IFERROR(VLOOKUP($D19,'ACAH Consumables Tracker'!$A:$H,8,FALSE()),""))</f>
        <v/>
      </c>
      <c r="F19" s="24"/>
      <c r="G19" s="25" t="str">
        <f>IF($D19="","",IFERROR(VLOOKUP($D19,'ACAH Consumables Tracker'!$A:$D,4,FALSE()),""))</f>
        <v/>
      </c>
      <c r="H19" s="22"/>
      <c r="J19" t="s">
        <v>163</v>
      </c>
    </row>
    <row r="20" spans="1:10">
      <c r="A20" s="21"/>
      <c r="B20" s="28"/>
      <c r="C20" s="22"/>
      <c r="D20" s="28"/>
      <c r="E20" s="23" t="str">
        <f>IF($D20="","",IFERROR(VLOOKUP($D20,'ACAH Consumables Tracker'!$A:$H,8,FALSE()),""))</f>
        <v/>
      </c>
      <c r="F20" s="24"/>
      <c r="G20" s="25" t="str">
        <f>IF($D20="","",IFERROR(VLOOKUP($D20,'ACAH Consumables Tracker'!$A:$D,4,FALSE()),""))</f>
        <v/>
      </c>
      <c r="H20" s="22"/>
      <c r="J20" t="s">
        <v>166</v>
      </c>
    </row>
    <row r="21" spans="1:10">
      <c r="A21" s="21"/>
      <c r="B21" s="28"/>
      <c r="C21" s="22"/>
      <c r="D21" s="28"/>
      <c r="E21" s="23" t="str">
        <f>IF($D21="","",IFERROR(VLOOKUP($D21,'ACAH Consumables Tracker'!$A:$H,8,FALSE()),""))</f>
        <v/>
      </c>
      <c r="F21" s="24"/>
      <c r="G21" s="25" t="str">
        <f>IF($D21="","",IFERROR(VLOOKUP($D21,'ACAH Consumables Tracker'!$A:$D,4,FALSE()),""))</f>
        <v/>
      </c>
      <c r="H21" s="22"/>
      <c r="J21" t="s">
        <v>169</v>
      </c>
    </row>
    <row r="22" spans="1:10">
      <c r="A22" s="21"/>
      <c r="B22" s="28"/>
      <c r="C22" s="22"/>
      <c r="D22" s="28"/>
      <c r="E22" s="23" t="str">
        <f>IF($D22="","",IFERROR(VLOOKUP($D22,'ACAH Consumables Tracker'!$A:$H,8,FALSE()),""))</f>
        <v/>
      </c>
      <c r="F22" s="24"/>
      <c r="G22" s="25" t="str">
        <f>IF($D22="","",IFERROR(VLOOKUP($D22,'ACAH Consumables Tracker'!$A:$D,4,FALSE()),""))</f>
        <v/>
      </c>
      <c r="H22" s="22"/>
      <c r="J22" t="s">
        <v>172</v>
      </c>
    </row>
    <row r="23" spans="1:10">
      <c r="A23" s="21"/>
      <c r="B23" s="28"/>
      <c r="C23" s="22"/>
      <c r="D23" s="28"/>
      <c r="E23" s="23" t="str">
        <f>IF($D23="","",IFERROR(VLOOKUP($D23,'ACAH Consumables Tracker'!$A:$H,8,FALSE()),""))</f>
        <v/>
      </c>
      <c r="F23" s="24"/>
      <c r="G23" s="25" t="str">
        <f>IF($D23="","",IFERROR(VLOOKUP($D23,'ACAH Consumables Tracker'!$A:$D,4,FALSE()),""))</f>
        <v/>
      </c>
      <c r="H23" s="22"/>
      <c r="J23" t="s">
        <v>175</v>
      </c>
    </row>
    <row r="24" spans="1:10">
      <c r="A24" s="21"/>
      <c r="B24" s="28"/>
      <c r="C24" s="22"/>
      <c r="D24" s="28"/>
      <c r="E24" s="23" t="str">
        <f>IF($D24="","",IFERROR(VLOOKUP($D24,'ACAH Consumables Tracker'!$A:$H,8,FALSE()),""))</f>
        <v/>
      </c>
      <c r="F24" s="24"/>
      <c r="G24" s="25" t="str">
        <f>IF($D24="","",IFERROR(VLOOKUP($D24,'ACAH Consumables Tracker'!$A:$D,4,FALSE()),""))</f>
        <v/>
      </c>
      <c r="H24" s="22"/>
      <c r="J24" t="s">
        <v>178</v>
      </c>
    </row>
    <row r="25" spans="1:10">
      <c r="A25" s="21"/>
      <c r="B25" s="28"/>
      <c r="C25" s="22"/>
      <c r="D25" s="28"/>
      <c r="E25" s="23" t="str">
        <f>IF($D25="","",IFERROR(VLOOKUP($D25,'ACAH Consumables Tracker'!$A:$H,8,FALSE()),""))</f>
        <v/>
      </c>
      <c r="F25" s="24"/>
      <c r="G25" s="25" t="str">
        <f>IF($D25="","",IFERROR(VLOOKUP($D25,'ACAH Consumables Tracker'!$A:$D,4,FALSE()),""))</f>
        <v/>
      </c>
      <c r="H25" s="22"/>
      <c r="J25" t="s">
        <v>181</v>
      </c>
    </row>
    <row r="26" spans="1:10">
      <c r="A26" s="21"/>
      <c r="B26" s="28"/>
      <c r="C26" s="22"/>
      <c r="D26" s="28"/>
      <c r="E26" s="23" t="str">
        <f>IF($D26="","",IFERROR(VLOOKUP($D26,'ACAH Consumables Tracker'!$A:$H,8,FALSE()),""))</f>
        <v/>
      </c>
      <c r="F26" s="24"/>
      <c r="G26" s="25" t="str">
        <f>IF($D26="","",IFERROR(VLOOKUP($D26,'ACAH Consumables Tracker'!$A:$D,4,FALSE()),""))</f>
        <v/>
      </c>
      <c r="H26" s="22"/>
      <c r="J26" t="s">
        <v>184</v>
      </c>
    </row>
    <row r="27" spans="1:10">
      <c r="A27" s="21"/>
      <c r="B27" s="28"/>
      <c r="C27" s="22"/>
      <c r="D27" s="28"/>
      <c r="E27" s="23" t="str">
        <f>IF($D27="","",IFERROR(VLOOKUP($D27,'ACAH Consumables Tracker'!$A:$H,8,FALSE()),""))</f>
        <v/>
      </c>
      <c r="F27" s="24"/>
      <c r="G27" s="25" t="str">
        <f>IF($D27="","",IFERROR(VLOOKUP($D27,'ACAH Consumables Tracker'!$A:$D,4,FALSE()),""))</f>
        <v/>
      </c>
      <c r="H27" s="22"/>
      <c r="J27" t="s">
        <v>187</v>
      </c>
    </row>
    <row r="28" spans="1:10">
      <c r="A28" s="21"/>
      <c r="B28" s="28"/>
      <c r="C28" s="22"/>
      <c r="D28" s="28"/>
      <c r="E28" s="23" t="str">
        <f>IF($D28="","",IFERROR(VLOOKUP($D28,'ACAH Consumables Tracker'!$A:$H,8,FALSE()),""))</f>
        <v/>
      </c>
      <c r="F28" s="24"/>
      <c r="G28" s="25" t="str">
        <f>IF($D28="","",IFERROR(VLOOKUP($D28,'ACAH Consumables Tracker'!$A:$D,4,FALSE()),""))</f>
        <v/>
      </c>
      <c r="H28" s="22"/>
      <c r="J28" t="s">
        <v>190</v>
      </c>
    </row>
    <row r="29" spans="1:10">
      <c r="A29" s="21"/>
      <c r="B29" s="28"/>
      <c r="C29" s="22"/>
      <c r="D29" s="28"/>
      <c r="E29" s="23" t="str">
        <f>IF($D29="","",IFERROR(VLOOKUP($D29,'ACAH Consumables Tracker'!$A:$H,8,FALSE()),""))</f>
        <v/>
      </c>
      <c r="F29" s="24"/>
      <c r="G29" s="25" t="str">
        <f>IF($D29="","",IFERROR(VLOOKUP($D29,'ACAH Consumables Tracker'!$A:$D,4,FALSE()),""))</f>
        <v/>
      </c>
      <c r="H29" s="22"/>
      <c r="J29" t="s">
        <v>193</v>
      </c>
    </row>
    <row r="30" spans="1:10">
      <c r="A30" s="21"/>
      <c r="B30" s="28"/>
      <c r="C30" s="22"/>
      <c r="D30" s="28"/>
      <c r="E30" s="23" t="str">
        <f>IF($D30="","",IFERROR(VLOOKUP($D30,'ACAH Consumables Tracker'!$A:$H,8,FALSE()),""))</f>
        <v/>
      </c>
      <c r="F30" s="24"/>
      <c r="G30" s="25" t="str">
        <f>IF($D30="","",IFERROR(VLOOKUP($D30,'ACAH Consumables Tracker'!$A:$D,4,FALSE()),""))</f>
        <v/>
      </c>
      <c r="H30" s="22"/>
      <c r="J30" t="s">
        <v>196</v>
      </c>
    </row>
    <row r="31" spans="1:10">
      <c r="A31" s="21"/>
      <c r="B31" s="28"/>
      <c r="C31" s="22"/>
      <c r="D31" s="28"/>
      <c r="E31" s="23" t="str">
        <f>IF($D31="","",IFERROR(VLOOKUP($D31,'ACAH Consumables Tracker'!$A:$H,8,FALSE()),""))</f>
        <v/>
      </c>
      <c r="F31" s="24"/>
      <c r="G31" s="25" t="str">
        <f>IF($D31="","",IFERROR(VLOOKUP($D31,'ACAH Consumables Tracker'!$A:$D,4,FALSE()),""))</f>
        <v/>
      </c>
      <c r="H31" s="22"/>
      <c r="J31" t="s">
        <v>199</v>
      </c>
    </row>
    <row r="32" spans="1:10">
      <c r="A32" s="21"/>
      <c r="B32" s="28"/>
      <c r="C32" s="22"/>
      <c r="D32" s="28"/>
      <c r="E32" s="23" t="str">
        <f>IF($D32="","",IFERROR(VLOOKUP($D32,'ACAH Consumables Tracker'!$A:$H,8,FALSE()),""))</f>
        <v/>
      </c>
      <c r="F32" s="24"/>
      <c r="G32" s="25" t="str">
        <f>IF($D32="","",IFERROR(VLOOKUP($D32,'ACAH Consumables Tracker'!$A:$D,4,FALSE()),""))</f>
        <v/>
      </c>
      <c r="H32" s="22"/>
      <c r="J32" t="s">
        <v>202</v>
      </c>
    </row>
    <row r="33" spans="1:10">
      <c r="A33" s="21"/>
      <c r="B33" s="28"/>
      <c r="C33" s="22"/>
      <c r="D33" s="28"/>
      <c r="E33" s="23" t="str">
        <f>IF($D33="","",IFERROR(VLOOKUP($D33,'ACAH Consumables Tracker'!$A:$H,8,FALSE()),""))</f>
        <v/>
      </c>
      <c r="F33" s="24"/>
      <c r="G33" s="25" t="str">
        <f>IF($D33="","",IFERROR(VLOOKUP($D33,'ACAH Consumables Tracker'!$A:$D,4,FALSE()),""))</f>
        <v/>
      </c>
      <c r="H33" s="22"/>
      <c r="J33" t="s">
        <v>205</v>
      </c>
    </row>
    <row r="34" spans="1:10">
      <c r="A34" s="21"/>
      <c r="B34" s="28"/>
      <c r="C34" s="22"/>
      <c r="D34" s="28"/>
      <c r="E34" s="23" t="str">
        <f>IF($D34="","",IFERROR(VLOOKUP($D34,'ACAH Consumables Tracker'!$A:$H,8,FALSE()),""))</f>
        <v/>
      </c>
      <c r="F34" s="24"/>
      <c r="G34" s="25" t="str">
        <f>IF($D34="","",IFERROR(VLOOKUP($D34,'ACAH Consumables Tracker'!$A:$D,4,FALSE()),""))</f>
        <v/>
      </c>
      <c r="H34" s="22"/>
      <c r="J34" t="s">
        <v>208</v>
      </c>
    </row>
    <row r="35" spans="1:10">
      <c r="A35" s="21"/>
      <c r="B35" s="28"/>
      <c r="C35" s="22"/>
      <c r="D35" s="28"/>
      <c r="E35" s="23" t="str">
        <f>IF($D35="","",IFERROR(VLOOKUP($D35,'ACAH Consumables Tracker'!$A:$H,8,FALSE()),""))</f>
        <v/>
      </c>
      <c r="F35" s="24"/>
      <c r="G35" s="25" t="str">
        <f>IF($D35="","",IFERROR(VLOOKUP($D35,'ACAH Consumables Tracker'!$A:$D,4,FALSE()),""))</f>
        <v/>
      </c>
      <c r="H35" s="22"/>
      <c r="J35" t="s">
        <v>211</v>
      </c>
    </row>
    <row r="36" spans="1:10">
      <c r="A36" s="21"/>
      <c r="B36" s="28"/>
      <c r="C36" s="22"/>
      <c r="D36" s="28"/>
      <c r="E36" s="23" t="str">
        <f>IF($D36="","",IFERROR(VLOOKUP($D36,'ACAH Consumables Tracker'!$A:$H,8,FALSE()),""))</f>
        <v/>
      </c>
      <c r="F36" s="24"/>
      <c r="G36" s="25" t="str">
        <f>IF($D36="","",IFERROR(VLOOKUP($D36,'ACAH Consumables Tracker'!$A:$D,4,FALSE()),""))</f>
        <v/>
      </c>
      <c r="H36" s="22"/>
      <c r="J36" t="s">
        <v>214</v>
      </c>
    </row>
    <row r="37" spans="1:10">
      <c r="A37" s="21"/>
      <c r="B37" s="28"/>
      <c r="C37" s="22"/>
      <c r="D37" s="28"/>
      <c r="E37" s="23" t="str">
        <f>IF($D37="","",IFERROR(VLOOKUP($D37,'ACAH Consumables Tracker'!$A:$H,8,FALSE()),""))</f>
        <v/>
      </c>
      <c r="F37" s="24"/>
      <c r="G37" s="25" t="str">
        <f>IF($D37="","",IFERROR(VLOOKUP($D37,'ACAH Consumables Tracker'!$A:$D,4,FALSE()),""))</f>
        <v/>
      </c>
      <c r="H37" s="22"/>
      <c r="J37" t="s">
        <v>217</v>
      </c>
    </row>
    <row r="38" spans="1:10">
      <c r="A38" s="21"/>
      <c r="B38" s="28"/>
      <c r="C38" s="22"/>
      <c r="D38" s="28"/>
      <c r="E38" s="23" t="str">
        <f>IF($D38="","",IFERROR(VLOOKUP($D38,'ACAH Consumables Tracker'!$A:$H,8,FALSE()),""))</f>
        <v/>
      </c>
      <c r="F38" s="24"/>
      <c r="G38" s="25" t="str">
        <f>IF($D38="","",IFERROR(VLOOKUP($D38,'ACAH Consumables Tracker'!$A:$D,4,FALSE()),""))</f>
        <v/>
      </c>
      <c r="H38" s="22"/>
      <c r="J38" t="s">
        <v>220</v>
      </c>
    </row>
    <row r="39" spans="1:10">
      <c r="A39" s="21"/>
      <c r="B39" s="28"/>
      <c r="C39" s="22"/>
      <c r="D39" s="28"/>
      <c r="E39" s="23" t="str">
        <f>IF($D39="","",IFERROR(VLOOKUP($D39,'ACAH Consumables Tracker'!$A:$H,8,FALSE()),""))</f>
        <v/>
      </c>
      <c r="F39" s="24"/>
      <c r="G39" s="25" t="str">
        <f>IF($D39="","",IFERROR(VLOOKUP($D39,'ACAH Consumables Tracker'!$A:$D,4,FALSE()),""))</f>
        <v/>
      </c>
      <c r="H39" s="22"/>
      <c r="J39" t="s">
        <v>223</v>
      </c>
    </row>
    <row r="40" spans="1:10">
      <c r="A40" s="21"/>
      <c r="B40" s="28"/>
      <c r="C40" s="22"/>
      <c r="D40" s="28"/>
      <c r="E40" s="23" t="str">
        <f>IF($D40="","",IFERROR(VLOOKUP($D40,'ACAH Consumables Tracker'!$A:$H,8,FALSE()),""))</f>
        <v/>
      </c>
      <c r="F40" s="24"/>
      <c r="G40" s="25" t="str">
        <f>IF($D40="","",IFERROR(VLOOKUP($D40,'ACAH Consumables Tracker'!$A:$D,4,FALSE()),""))</f>
        <v/>
      </c>
      <c r="H40" s="22"/>
      <c r="J40" t="s">
        <v>226</v>
      </c>
    </row>
    <row r="41" spans="1:10">
      <c r="A41" s="21"/>
      <c r="B41" s="28"/>
      <c r="C41" s="22"/>
      <c r="D41" s="28"/>
      <c r="E41" s="23" t="str">
        <f>IF($D41="","",IFERROR(VLOOKUP($D41,'ACAH Consumables Tracker'!$A:$H,8,FALSE()),""))</f>
        <v/>
      </c>
      <c r="F41" s="24"/>
      <c r="G41" s="25" t="str">
        <f>IF($D41="","",IFERROR(VLOOKUP($D41,'ACAH Consumables Tracker'!$A:$D,4,FALSE()),""))</f>
        <v/>
      </c>
      <c r="H41" s="22"/>
      <c r="J41" t="s">
        <v>229</v>
      </c>
    </row>
    <row r="42" spans="1:10">
      <c r="A42" s="21"/>
      <c r="B42" s="28"/>
      <c r="C42" s="22"/>
      <c r="D42" s="28"/>
      <c r="E42" s="23" t="str">
        <f>IF($D42="","",IFERROR(VLOOKUP($D42,'ACAH Consumables Tracker'!$A:$H,8,FALSE()),""))</f>
        <v/>
      </c>
      <c r="F42" s="24"/>
      <c r="G42" s="25" t="str">
        <f>IF($D42="","",IFERROR(VLOOKUP($D42,'ACAH Consumables Tracker'!$A:$D,4,FALSE()),""))</f>
        <v/>
      </c>
      <c r="H42" s="22"/>
    </row>
    <row r="43" spans="1:10">
      <c r="A43" s="21"/>
      <c r="B43" s="28"/>
      <c r="C43" s="22"/>
      <c r="D43" s="28"/>
      <c r="E43" s="23" t="str">
        <f>IF($D43="","",IFERROR(VLOOKUP($D43,'ACAH Consumables Tracker'!$A:$H,8,FALSE()),""))</f>
        <v/>
      </c>
      <c r="F43" s="24"/>
      <c r="G43" s="25" t="str">
        <f>IF($D43="","",IFERROR(VLOOKUP($D43,'ACAH Consumables Tracker'!$A:$D,4,FALSE()),""))</f>
        <v/>
      </c>
      <c r="H43" s="22"/>
    </row>
    <row r="44" spans="1:10">
      <c r="A44" s="21"/>
      <c r="B44" s="28"/>
      <c r="C44" s="22"/>
      <c r="D44" s="28"/>
      <c r="E44" s="23" t="str">
        <f>IF($D44="","",IFERROR(VLOOKUP($D44,'ACAH Consumables Tracker'!$A:$H,8,FALSE()),""))</f>
        <v/>
      </c>
      <c r="F44" s="24"/>
      <c r="G44" s="25" t="str">
        <f>IF($D44="","",IFERROR(VLOOKUP($D44,'ACAH Consumables Tracker'!$A:$D,4,FALSE()),""))</f>
        <v/>
      </c>
      <c r="H44" s="22"/>
    </row>
    <row r="45" spans="1:10">
      <c r="A45" s="21"/>
      <c r="B45" s="28"/>
      <c r="C45" s="22"/>
      <c r="D45" s="28"/>
      <c r="E45" s="23" t="str">
        <f>IF($D45="","",IFERROR(VLOOKUP($D45,'ACAH Consumables Tracker'!$A:$H,8,FALSE()),""))</f>
        <v/>
      </c>
      <c r="F45" s="24"/>
      <c r="G45" s="25" t="str">
        <f>IF($D45="","",IFERROR(VLOOKUP($D45,'ACAH Consumables Tracker'!$A:$D,4,FALSE()),""))</f>
        <v/>
      </c>
      <c r="H45" s="22"/>
    </row>
    <row r="46" spans="1:10">
      <c r="A46" s="21"/>
      <c r="B46" s="28"/>
      <c r="C46" s="22"/>
      <c r="D46" s="28"/>
      <c r="E46" s="23" t="str">
        <f>IF($D46="","",IFERROR(VLOOKUP($D46,'ACAH Consumables Tracker'!$A:$H,8,FALSE()),""))</f>
        <v/>
      </c>
      <c r="F46" s="24"/>
      <c r="G46" s="25" t="str">
        <f>IF($D46="","",IFERROR(VLOOKUP($D46,'ACAH Consumables Tracker'!$A:$D,4,FALSE()),""))</f>
        <v/>
      </c>
      <c r="H46" s="22"/>
    </row>
    <row r="47" spans="1:10">
      <c r="A47" s="21"/>
      <c r="B47" s="28"/>
      <c r="C47" s="22"/>
      <c r="D47" s="28"/>
      <c r="E47" s="23" t="str">
        <f>IF($D47="","",IFERROR(VLOOKUP($D47,'ACAH Consumables Tracker'!$A:$H,8,FALSE()),""))</f>
        <v/>
      </c>
      <c r="F47" s="24"/>
      <c r="G47" s="25" t="str">
        <f>IF($D47="","",IFERROR(VLOOKUP($D47,'ACAH Consumables Tracker'!$A:$D,4,FALSE()),""))</f>
        <v/>
      </c>
      <c r="H47" s="22"/>
    </row>
    <row r="48" spans="1:10">
      <c r="A48" s="21"/>
      <c r="B48" s="28"/>
      <c r="C48" s="22"/>
      <c r="D48" s="28"/>
      <c r="E48" s="23" t="str">
        <f>IF($D48="","",IFERROR(VLOOKUP($D48,'ACAH Consumables Tracker'!$A:$H,8,FALSE()),""))</f>
        <v/>
      </c>
      <c r="F48" s="24"/>
      <c r="G48" s="25" t="str">
        <f>IF($D48="","",IFERROR(VLOOKUP($D48,'ACAH Consumables Tracker'!$A:$D,4,FALSE()),""))</f>
        <v/>
      </c>
      <c r="H48" s="22"/>
    </row>
    <row r="49" spans="1:8">
      <c r="A49" s="21"/>
      <c r="B49" s="28"/>
      <c r="C49" s="22"/>
      <c r="D49" s="28"/>
      <c r="E49" s="23" t="str">
        <f>IF($D49="","",IFERROR(VLOOKUP($D49,'ACAH Consumables Tracker'!$A:$H,8,FALSE()),""))</f>
        <v/>
      </c>
      <c r="F49" s="24"/>
      <c r="G49" s="25" t="str">
        <f>IF($D49="","",IFERROR(VLOOKUP($D49,'ACAH Consumables Tracker'!$A:$D,4,FALSE()),""))</f>
        <v/>
      </c>
      <c r="H49" s="22"/>
    </row>
    <row r="50" spans="1:8">
      <c r="A50" s="21"/>
      <c r="B50" s="28"/>
      <c r="C50" s="22"/>
      <c r="D50" s="28"/>
      <c r="E50" s="23" t="str">
        <f>IF($D50="","",IFERROR(VLOOKUP($D50,'ACAH Consumables Tracker'!$A:$H,8,FALSE()),""))</f>
        <v/>
      </c>
      <c r="F50" s="24"/>
      <c r="G50" s="25" t="str">
        <f>IF($D50="","",IFERROR(VLOOKUP($D50,'ACAH Consumables Tracker'!$A:$D,4,FALSE()),""))</f>
        <v/>
      </c>
      <c r="H50" s="22"/>
    </row>
    <row r="51" spans="1:8">
      <c r="A51" s="21"/>
      <c r="B51" s="28"/>
      <c r="C51" s="22"/>
      <c r="D51" s="28"/>
      <c r="E51" s="23" t="str">
        <f>IF($D51="","",IFERROR(VLOOKUP($D51,'ACAH Consumables Tracker'!$A:$H,8,FALSE()),""))</f>
        <v/>
      </c>
      <c r="F51" s="24"/>
      <c r="G51" s="25" t="str">
        <f>IF($D51="","",IFERROR(VLOOKUP($D51,'ACAH Consumables Tracker'!$A:$D,4,FALSE()),""))</f>
        <v/>
      </c>
      <c r="H51" s="22"/>
    </row>
    <row r="52" spans="1:8">
      <c r="A52" s="21"/>
      <c r="B52" s="28"/>
      <c r="C52" s="22"/>
      <c r="D52" s="28"/>
      <c r="E52" s="23" t="str">
        <f>IF($D52="","",IFERROR(VLOOKUP($D52,'ACAH Consumables Tracker'!$A:$H,8,FALSE()),""))</f>
        <v/>
      </c>
      <c r="F52" s="24"/>
      <c r="G52" s="25" t="str">
        <f>IF($D52="","",IFERROR(VLOOKUP($D52,'ACAH Consumables Tracker'!$A:$D,4,FALSE()),""))</f>
        <v/>
      </c>
      <c r="H52" s="22"/>
    </row>
    <row r="53" spans="1:8">
      <c r="A53" s="21"/>
      <c r="B53" s="28"/>
      <c r="C53" s="22"/>
      <c r="D53" s="28"/>
      <c r="E53" s="23" t="str">
        <f>IF($D53="","",IFERROR(VLOOKUP($D53,'ACAH Consumables Tracker'!$A:$H,8,FALSE()),""))</f>
        <v/>
      </c>
      <c r="F53" s="24"/>
      <c r="G53" s="25" t="str">
        <f>IF($D53="","",IFERROR(VLOOKUP($D53,'ACAH Consumables Tracker'!$A:$D,4,FALSE()),""))</f>
        <v/>
      </c>
      <c r="H53" s="22"/>
    </row>
    <row r="54" spans="1:8">
      <c r="A54" s="21"/>
      <c r="B54" s="28"/>
      <c r="C54" s="22"/>
      <c r="D54" s="28"/>
      <c r="E54" s="23" t="str">
        <f>IF($D54="","",IFERROR(VLOOKUP($D54,'ACAH Consumables Tracker'!$A:$H,8,FALSE()),""))</f>
        <v/>
      </c>
      <c r="F54" s="24"/>
      <c r="G54" s="25" t="str">
        <f>IF($D54="","",IFERROR(VLOOKUP($D54,'ACAH Consumables Tracker'!$A:$D,4,FALSE()),""))</f>
        <v/>
      </c>
      <c r="H54" s="22"/>
    </row>
    <row r="55" spans="1:8">
      <c r="A55" s="21"/>
      <c r="B55" s="28"/>
      <c r="C55" s="22"/>
      <c r="D55" s="28"/>
      <c r="E55" s="23" t="str">
        <f>IF($D55="","",IFERROR(VLOOKUP($D55,'ACAH Consumables Tracker'!$A:$H,8,FALSE()),""))</f>
        <v/>
      </c>
      <c r="F55" s="24"/>
      <c r="G55" s="25" t="str">
        <f>IF($D55="","",IFERROR(VLOOKUP($D55,'ACAH Consumables Tracker'!$A:$D,4,FALSE()),""))</f>
        <v/>
      </c>
      <c r="H55" s="22"/>
    </row>
    <row r="56" spans="1:8">
      <c r="A56" s="21"/>
      <c r="B56" s="28"/>
      <c r="C56" s="22"/>
      <c r="D56" s="28"/>
      <c r="E56" s="23" t="str">
        <f>IF($D56="","",IFERROR(VLOOKUP($D56,'ACAH Consumables Tracker'!$A:$H,8,FALSE()),""))</f>
        <v/>
      </c>
      <c r="F56" s="24"/>
      <c r="G56" s="25" t="str">
        <f>IF($D56="","",IFERROR(VLOOKUP($D56,'ACAH Consumables Tracker'!$A:$D,4,FALSE()),""))</f>
        <v/>
      </c>
      <c r="H56" s="22"/>
    </row>
    <row r="57" spans="1:8">
      <c r="A57" s="21"/>
      <c r="B57" s="28"/>
      <c r="C57" s="22"/>
      <c r="D57" s="28"/>
      <c r="E57" s="23" t="str">
        <f>IF($D57="","",IFERROR(VLOOKUP($D57,'ACAH Consumables Tracker'!$A:$H,8,FALSE()),""))</f>
        <v/>
      </c>
      <c r="F57" s="24"/>
      <c r="G57" s="25" t="str">
        <f>IF($D57="","",IFERROR(VLOOKUP($D57,'ACAH Consumables Tracker'!$A:$D,4,FALSE()),""))</f>
        <v/>
      </c>
      <c r="H57" s="22"/>
    </row>
    <row r="58" spans="1:8">
      <c r="A58" s="21"/>
      <c r="B58" s="28"/>
      <c r="C58" s="22"/>
      <c r="D58" s="28"/>
      <c r="E58" s="23" t="str">
        <f>IF($D58="","",IFERROR(VLOOKUP($D58,'ACAH Consumables Tracker'!$A:$H,8,FALSE()),""))</f>
        <v/>
      </c>
      <c r="F58" s="24"/>
      <c r="G58" s="25" t="str">
        <f>IF($D58="","",IFERROR(VLOOKUP($D58,'ACAH Consumables Tracker'!$A:$D,4,FALSE()),""))</f>
        <v/>
      </c>
      <c r="H58" s="22"/>
    </row>
    <row r="59" spans="1:8">
      <c r="A59" s="21"/>
      <c r="B59" s="28"/>
      <c r="C59" s="22"/>
      <c r="D59" s="28"/>
      <c r="E59" s="23" t="str">
        <f>IF($D59="","",IFERROR(VLOOKUP($D59,'ACAH Consumables Tracker'!$A:$H,8,FALSE()),""))</f>
        <v/>
      </c>
      <c r="F59" s="24"/>
      <c r="G59" s="25" t="str">
        <f>IF($D59="","",IFERROR(VLOOKUP($D59,'ACAH Consumables Tracker'!$A:$D,4,FALSE()),""))</f>
        <v/>
      </c>
      <c r="H59" s="22"/>
    </row>
    <row r="60" spans="1:8">
      <c r="A60" s="21"/>
      <c r="B60" s="28"/>
      <c r="C60" s="22"/>
      <c r="D60" s="28"/>
      <c r="E60" s="23" t="str">
        <f>IF($D60="","",IFERROR(VLOOKUP($D60,'ACAH Consumables Tracker'!$A:$H,8,FALSE()),""))</f>
        <v/>
      </c>
      <c r="F60" s="24"/>
      <c r="G60" s="25" t="str">
        <f>IF($D60="","",IFERROR(VLOOKUP($D60,'ACAH Consumables Tracker'!$A:$D,4,FALSE()),""))</f>
        <v/>
      </c>
      <c r="H60" s="22"/>
    </row>
    <row r="61" spans="1:8">
      <c r="A61" s="21"/>
      <c r="B61" s="28"/>
      <c r="C61" s="22"/>
      <c r="D61" s="28"/>
      <c r="E61" s="23" t="str">
        <f>IF($D61="","",IFERROR(VLOOKUP($D61,'ACAH Consumables Tracker'!$A:$H,8,FALSE()),""))</f>
        <v/>
      </c>
      <c r="F61" s="24"/>
      <c r="G61" s="25" t="str">
        <f>IF($D61="","",IFERROR(VLOOKUP($D61,'ACAH Consumables Tracker'!$A:$D,4,FALSE()),""))</f>
        <v/>
      </c>
      <c r="H61" s="22"/>
    </row>
    <row r="62" spans="1:8">
      <c r="A62" s="21"/>
      <c r="B62" s="28"/>
      <c r="C62" s="22"/>
      <c r="D62" s="28"/>
      <c r="E62" s="23" t="str">
        <f>IF($D62="","",IFERROR(VLOOKUP($D62,'ACAH Consumables Tracker'!$A:$H,8,FALSE()),""))</f>
        <v/>
      </c>
      <c r="F62" s="24"/>
      <c r="G62" s="25" t="str">
        <f>IF($D62="","",IFERROR(VLOOKUP($D62,'ACAH Consumables Tracker'!$A:$D,4,FALSE()),""))</f>
        <v/>
      </c>
      <c r="H62" s="22"/>
    </row>
    <row r="63" spans="1:8">
      <c r="A63" s="21"/>
      <c r="B63" s="28"/>
      <c r="C63" s="22"/>
      <c r="D63" s="28"/>
      <c r="E63" s="23" t="str">
        <f>IF($D63="","",IFERROR(VLOOKUP($D63,'ACAH Consumables Tracker'!$A:$H,8,FALSE()),""))</f>
        <v/>
      </c>
      <c r="F63" s="24"/>
      <c r="G63" s="25" t="str">
        <f>IF($D63="","",IFERROR(VLOOKUP($D63,'ACAH Consumables Tracker'!$A:$D,4,FALSE()),""))</f>
        <v/>
      </c>
      <c r="H63" s="22"/>
    </row>
    <row r="64" spans="1:8">
      <c r="A64" s="21"/>
      <c r="B64" s="28"/>
      <c r="C64" s="22"/>
      <c r="D64" s="28"/>
      <c r="E64" s="23" t="str">
        <f>IF($D64="","",IFERROR(VLOOKUP($D64,'ACAH Consumables Tracker'!$A:$H,8,FALSE()),""))</f>
        <v/>
      </c>
      <c r="F64" s="24"/>
      <c r="G64" s="25" t="str">
        <f>IF($D64="","",IFERROR(VLOOKUP($D64,'ACAH Consumables Tracker'!$A:$D,4,FALSE()),""))</f>
        <v/>
      </c>
      <c r="H64" s="22"/>
    </row>
    <row r="65" spans="1:8">
      <c r="A65" s="21"/>
      <c r="B65" s="28"/>
      <c r="C65" s="22"/>
      <c r="D65" s="28"/>
      <c r="E65" s="23" t="str">
        <f>IF($D65="","",IFERROR(VLOOKUP($D65,'ACAH Consumables Tracker'!$A:$H,8,FALSE()),""))</f>
        <v/>
      </c>
      <c r="F65" s="24"/>
      <c r="G65" s="25" t="str">
        <f>IF($D65="","",IFERROR(VLOOKUP($D65,'ACAH Consumables Tracker'!$A:$D,4,FALSE()),""))</f>
        <v/>
      </c>
      <c r="H65" s="22"/>
    </row>
    <row r="66" spans="1:8">
      <c r="A66" s="21"/>
      <c r="B66" s="28"/>
      <c r="C66" s="22"/>
      <c r="D66" s="28"/>
      <c r="E66" s="23" t="str">
        <f>IF($D66="","",IFERROR(VLOOKUP($D66,'ACAH Consumables Tracker'!$A:$H,8,FALSE()),""))</f>
        <v/>
      </c>
      <c r="F66" s="24"/>
      <c r="G66" s="25" t="str">
        <f>IF($D66="","",IFERROR(VLOOKUP($D66,'ACAH Consumables Tracker'!$A:$D,4,FALSE()),""))</f>
        <v/>
      </c>
      <c r="H66" s="22"/>
    </row>
    <row r="67" spans="1:8">
      <c r="A67" s="21"/>
      <c r="B67" s="28"/>
      <c r="C67" s="22"/>
      <c r="D67" s="28"/>
      <c r="E67" s="23" t="str">
        <f>IF($D67="","",IFERROR(VLOOKUP($D67,'ACAH Consumables Tracker'!$A:$H,8,FALSE()),""))</f>
        <v/>
      </c>
      <c r="F67" s="24"/>
      <c r="G67" s="25" t="str">
        <f>IF($D67="","",IFERROR(VLOOKUP($D67,'ACAH Consumables Tracker'!$A:$D,4,FALSE()),""))</f>
        <v/>
      </c>
      <c r="H67" s="22"/>
    </row>
    <row r="68" spans="1:8">
      <c r="A68" s="21"/>
      <c r="B68" s="28"/>
      <c r="C68" s="22"/>
      <c r="D68" s="28"/>
      <c r="E68" s="23" t="str">
        <f>IF($D68="","",IFERROR(VLOOKUP($D68,'ACAH Consumables Tracker'!$A:$H,8,FALSE()),""))</f>
        <v/>
      </c>
      <c r="F68" s="24"/>
      <c r="G68" s="25" t="str">
        <f>IF($D68="","",IFERROR(VLOOKUP($D68,'ACAH Consumables Tracker'!$A:$D,4,FALSE()),""))</f>
        <v/>
      </c>
      <c r="H68" s="22"/>
    </row>
    <row r="69" spans="1:8">
      <c r="A69" s="21"/>
      <c r="B69" s="28"/>
      <c r="C69" s="22"/>
      <c r="D69" s="28"/>
      <c r="E69" s="23" t="str">
        <f>IF($D69="","",IFERROR(VLOOKUP($D69,'ACAH Consumables Tracker'!$A:$H,8,FALSE()),""))</f>
        <v/>
      </c>
      <c r="F69" s="24"/>
      <c r="G69" s="25" t="str">
        <f>IF($D69="","",IFERROR(VLOOKUP($D69,'ACAH Consumables Tracker'!$A:$D,4,FALSE()),""))</f>
        <v/>
      </c>
      <c r="H69" s="22"/>
    </row>
    <row r="70" spans="1:8">
      <c r="A70" s="21"/>
      <c r="B70" s="28"/>
      <c r="C70" s="22"/>
      <c r="D70" s="28"/>
      <c r="E70" s="23" t="str">
        <f>IF($D70="","",IFERROR(VLOOKUP($D70,'ACAH Consumables Tracker'!$A:$H,8,FALSE()),""))</f>
        <v/>
      </c>
      <c r="F70" s="24"/>
      <c r="G70" s="25" t="str">
        <f>IF($D70="","",IFERROR(VLOOKUP($D70,'ACAH Consumables Tracker'!$A:$D,4,FALSE()),""))</f>
        <v/>
      </c>
      <c r="H70" s="22"/>
    </row>
    <row r="71" spans="1:8">
      <c r="A71" s="21"/>
      <c r="B71" s="28"/>
      <c r="C71" s="22"/>
      <c r="D71" s="28"/>
      <c r="E71" s="23" t="str">
        <f>IF($D71="","",IFERROR(VLOOKUP($D71,'ACAH Consumables Tracker'!$A:$H,8,FALSE()),""))</f>
        <v/>
      </c>
      <c r="F71" s="24"/>
      <c r="G71" s="25" t="str">
        <f>IF($D71="","",IFERROR(VLOOKUP($D71,'ACAH Consumables Tracker'!$A:$D,4,FALSE()),""))</f>
        <v/>
      </c>
      <c r="H71" s="22"/>
    </row>
    <row r="72" spans="1:8">
      <c r="A72" s="21"/>
      <c r="B72" s="28"/>
      <c r="C72" s="22"/>
      <c r="D72" s="28"/>
      <c r="E72" s="23" t="str">
        <f>IF($D72="","",IFERROR(VLOOKUP($D72,'ACAH Consumables Tracker'!$A:$H,8,FALSE()),""))</f>
        <v/>
      </c>
      <c r="F72" s="24"/>
      <c r="G72" s="25" t="str">
        <f>IF($D72="","",IFERROR(VLOOKUP($D72,'ACAH Consumables Tracker'!$A:$D,4,FALSE()),""))</f>
        <v/>
      </c>
      <c r="H72" s="22"/>
    </row>
    <row r="73" spans="1:8">
      <c r="A73" s="21"/>
      <c r="B73" s="28"/>
      <c r="C73" s="22"/>
      <c r="D73" s="28"/>
      <c r="E73" s="23" t="str">
        <f>IF($D73="","",IFERROR(VLOOKUP($D73,'ACAH Consumables Tracker'!$A:$H,8,FALSE()),""))</f>
        <v/>
      </c>
      <c r="F73" s="24"/>
      <c r="G73" s="25" t="str">
        <f>IF($D73="","",IFERROR(VLOOKUP($D73,'ACAH Consumables Tracker'!$A:$D,4,FALSE()),""))</f>
        <v/>
      </c>
      <c r="H73" s="22"/>
    </row>
    <row r="74" spans="1:8">
      <c r="A74" s="21"/>
      <c r="B74" s="28"/>
      <c r="C74" s="22"/>
      <c r="D74" s="28"/>
      <c r="E74" s="23" t="str">
        <f>IF($D74="","",IFERROR(VLOOKUP($D74,'ACAH Consumables Tracker'!$A:$H,8,FALSE()),""))</f>
        <v/>
      </c>
      <c r="F74" s="24"/>
      <c r="G74" s="25" t="str">
        <f>IF($D74="","",IFERROR(VLOOKUP($D74,'ACAH Consumables Tracker'!$A:$D,4,FALSE()),""))</f>
        <v/>
      </c>
      <c r="H74" s="22"/>
    </row>
    <row r="75" spans="1:8">
      <c r="A75" s="21"/>
      <c r="B75" s="28"/>
      <c r="C75" s="22"/>
      <c r="D75" s="28"/>
      <c r="E75" s="23" t="str">
        <f>IF($D75="","",IFERROR(VLOOKUP($D75,'ACAH Consumables Tracker'!$A:$H,8,FALSE()),""))</f>
        <v/>
      </c>
      <c r="F75" s="24"/>
      <c r="G75" s="25" t="str">
        <f>IF($D75="","",IFERROR(VLOOKUP($D75,'ACAH Consumables Tracker'!$A:$D,4,FALSE()),""))</f>
        <v/>
      </c>
      <c r="H75" s="22"/>
    </row>
    <row r="76" spans="1:8">
      <c r="A76" s="21"/>
      <c r="B76" s="28"/>
      <c r="C76" s="22"/>
      <c r="D76" s="28"/>
      <c r="E76" s="23" t="str">
        <f>IF($D76="","",IFERROR(VLOOKUP($D76,'ACAH Consumables Tracker'!$A:$H,8,FALSE()),""))</f>
        <v/>
      </c>
      <c r="F76" s="24"/>
      <c r="G76" s="25" t="str">
        <f>IF($D76="","",IFERROR(VLOOKUP($D76,'ACAH Consumables Tracker'!$A:$D,4,FALSE()),""))</f>
        <v/>
      </c>
      <c r="H76" s="22"/>
    </row>
    <row r="77" spans="1:8">
      <c r="A77" s="21"/>
      <c r="B77" s="28"/>
      <c r="C77" s="22"/>
      <c r="D77" s="28"/>
      <c r="E77" s="23" t="str">
        <f>IF($D77="","",IFERROR(VLOOKUP($D77,'ACAH Consumables Tracker'!$A:$H,8,FALSE()),""))</f>
        <v/>
      </c>
      <c r="F77" s="24"/>
      <c r="G77" s="25" t="str">
        <f>IF($D77="","",IFERROR(VLOOKUP($D77,'ACAH Consumables Tracker'!$A:$D,4,FALSE()),""))</f>
        <v/>
      </c>
      <c r="H77" s="22"/>
    </row>
    <row r="78" spans="1:8">
      <c r="A78" s="21"/>
      <c r="B78" s="28"/>
      <c r="C78" s="22"/>
      <c r="D78" s="28"/>
      <c r="E78" s="23" t="str">
        <f>IF($D78="","",IFERROR(VLOOKUP($D78,'ACAH Consumables Tracker'!$A:$H,8,FALSE()),""))</f>
        <v/>
      </c>
      <c r="F78" s="24"/>
      <c r="G78" s="25" t="str">
        <f>IF($D78="","",IFERROR(VLOOKUP($D78,'ACAH Consumables Tracker'!$A:$D,4,FALSE()),""))</f>
        <v/>
      </c>
      <c r="H78" s="22"/>
    </row>
    <row r="79" spans="1:8">
      <c r="A79" s="21"/>
      <c r="B79" s="28"/>
      <c r="C79" s="22"/>
      <c r="D79" s="28"/>
      <c r="E79" s="23" t="str">
        <f>IF($D79="","",IFERROR(VLOOKUP($D79,'ACAH Consumables Tracker'!$A:$H,8,FALSE()),""))</f>
        <v/>
      </c>
      <c r="F79" s="24"/>
      <c r="G79" s="25" t="str">
        <f>IF($D79="","",IFERROR(VLOOKUP($D79,'ACAH Consumables Tracker'!$A:$D,4,FALSE()),""))</f>
        <v/>
      </c>
      <c r="H79" s="22"/>
    </row>
    <row r="80" spans="1:8">
      <c r="A80" s="21"/>
      <c r="B80" s="28"/>
      <c r="C80" s="22"/>
      <c r="D80" s="28"/>
      <c r="E80" s="23" t="str">
        <f>IF($D80="","",IFERROR(VLOOKUP($D80,'ACAH Consumables Tracker'!$A:$H,8,FALSE()),""))</f>
        <v/>
      </c>
      <c r="F80" s="24"/>
      <c r="G80" s="25" t="str">
        <f>IF($D80="","",IFERROR(VLOOKUP($D80,'ACAH Consumables Tracker'!$A:$D,4,FALSE()),""))</f>
        <v/>
      </c>
      <c r="H80" s="22"/>
    </row>
    <row r="81" spans="1:8">
      <c r="A81" s="21"/>
      <c r="B81" s="28"/>
      <c r="C81" s="22"/>
      <c r="D81" s="28"/>
      <c r="E81" s="23" t="str">
        <f>IF($D81="","",IFERROR(VLOOKUP($D81,'ACAH Consumables Tracker'!$A:$H,8,FALSE()),""))</f>
        <v/>
      </c>
      <c r="F81" s="24"/>
      <c r="G81" s="25" t="str">
        <f>IF($D81="","",IFERROR(VLOOKUP($D81,'ACAH Consumables Tracker'!$A:$D,4,FALSE()),""))</f>
        <v/>
      </c>
      <c r="H81" s="22"/>
    </row>
    <row r="82" spans="1:8">
      <c r="A82" s="21"/>
      <c r="B82" s="28"/>
      <c r="C82" s="22"/>
      <c r="D82" s="28"/>
      <c r="E82" s="23" t="str">
        <f>IF($D82="","",IFERROR(VLOOKUP($D82,'ACAH Consumables Tracker'!$A:$H,8,FALSE()),""))</f>
        <v/>
      </c>
      <c r="F82" s="24"/>
      <c r="G82" s="25" t="str">
        <f>IF($D82="","",IFERROR(VLOOKUP($D82,'ACAH Consumables Tracker'!$A:$D,4,FALSE()),""))</f>
        <v/>
      </c>
      <c r="H82" s="22"/>
    </row>
    <row r="83" spans="1:8">
      <c r="A83" s="21"/>
      <c r="B83" s="28"/>
      <c r="C83" s="22"/>
      <c r="D83" s="28"/>
      <c r="E83" s="23" t="str">
        <f>IF($D83="","",IFERROR(VLOOKUP($D83,'ACAH Consumables Tracker'!$A:$H,8,FALSE()),""))</f>
        <v/>
      </c>
      <c r="F83" s="24"/>
      <c r="G83" s="25" t="str">
        <f>IF($D83="","",IFERROR(VLOOKUP($D83,'ACAH Consumables Tracker'!$A:$D,4,FALSE()),""))</f>
        <v/>
      </c>
      <c r="H83" s="22"/>
    </row>
    <row r="84" spans="1:8">
      <c r="A84" s="21"/>
      <c r="B84" s="28"/>
      <c r="C84" s="22"/>
      <c r="D84" s="28"/>
      <c r="E84" s="23" t="str">
        <f>IF($D84="","",IFERROR(VLOOKUP($D84,'ACAH Consumables Tracker'!$A:$H,8,FALSE()),""))</f>
        <v/>
      </c>
      <c r="F84" s="24"/>
      <c r="G84" s="25" t="str">
        <f>IF($D84="","",IFERROR(VLOOKUP($D84,'ACAH Consumables Tracker'!$A:$D,4,FALSE()),""))</f>
        <v/>
      </c>
      <c r="H84" s="22"/>
    </row>
    <row r="85" spans="1:8">
      <c r="A85" s="21"/>
      <c r="B85" s="28"/>
      <c r="C85" s="22"/>
      <c r="D85" s="28"/>
      <c r="E85" s="23" t="str">
        <f>IF($D85="","",IFERROR(VLOOKUP($D85,'ACAH Consumables Tracker'!$A:$H,8,FALSE()),""))</f>
        <v/>
      </c>
      <c r="F85" s="24"/>
      <c r="G85" s="25" t="str">
        <f>IF($D85="","",IFERROR(VLOOKUP($D85,'ACAH Consumables Tracker'!$A:$D,4,FALSE()),""))</f>
        <v/>
      </c>
      <c r="H85" s="22"/>
    </row>
    <row r="86" spans="1:8">
      <c r="A86" s="21"/>
      <c r="B86" s="28"/>
      <c r="C86" s="22"/>
      <c r="D86" s="28"/>
      <c r="E86" s="23" t="str">
        <f>IF($D86="","",IFERROR(VLOOKUP($D86,'ACAH Consumables Tracker'!$A:$H,8,FALSE()),""))</f>
        <v/>
      </c>
      <c r="F86" s="24"/>
      <c r="G86" s="25" t="str">
        <f>IF($D86="","",IFERROR(VLOOKUP($D86,'ACAH Consumables Tracker'!$A:$D,4,FALSE()),""))</f>
        <v/>
      </c>
      <c r="H86" s="22"/>
    </row>
    <row r="87" spans="1:8">
      <c r="A87" s="21"/>
      <c r="B87" s="28"/>
      <c r="C87" s="22"/>
      <c r="D87" s="28"/>
      <c r="E87" s="23" t="str">
        <f>IF($D87="","",IFERROR(VLOOKUP($D87,'ACAH Consumables Tracker'!$A:$H,8,FALSE()),""))</f>
        <v/>
      </c>
      <c r="F87" s="24"/>
      <c r="G87" s="25" t="str">
        <f>IF($D87="","",IFERROR(VLOOKUP($D87,'ACAH Consumables Tracker'!$A:$D,4,FALSE()),""))</f>
        <v/>
      </c>
      <c r="H87" s="22"/>
    </row>
    <row r="88" spans="1:8">
      <c r="A88" s="21"/>
      <c r="B88" s="28"/>
      <c r="C88" s="22"/>
      <c r="D88" s="28"/>
      <c r="E88" s="23" t="str">
        <f>IF($D88="","",IFERROR(VLOOKUP($D88,'ACAH Consumables Tracker'!$A:$H,8,FALSE()),""))</f>
        <v/>
      </c>
      <c r="F88" s="24"/>
      <c r="G88" s="25" t="str">
        <f>IF($D88="","",IFERROR(VLOOKUP($D88,'ACAH Consumables Tracker'!$A:$D,4,FALSE()),""))</f>
        <v/>
      </c>
      <c r="H88" s="22"/>
    </row>
    <row r="89" spans="1:8">
      <c r="A89" s="21"/>
      <c r="B89" s="28"/>
      <c r="C89" s="22"/>
      <c r="D89" s="28"/>
      <c r="E89" s="23" t="str">
        <f>IF($D89="","",IFERROR(VLOOKUP($D89,'ACAH Consumables Tracker'!$A:$H,8,FALSE()),""))</f>
        <v/>
      </c>
      <c r="F89" s="24"/>
      <c r="G89" s="25" t="str">
        <f>IF($D89="","",IFERROR(VLOOKUP($D89,'ACAH Consumables Tracker'!$A:$D,4,FALSE()),""))</f>
        <v/>
      </c>
      <c r="H89" s="22"/>
    </row>
    <row r="90" spans="1:8">
      <c r="A90" s="21"/>
      <c r="B90" s="28"/>
      <c r="C90" s="22"/>
      <c r="D90" s="28"/>
      <c r="E90" s="23" t="str">
        <f>IF($D90="","",IFERROR(VLOOKUP($D90,'ACAH Consumables Tracker'!$A:$H,8,FALSE()),""))</f>
        <v/>
      </c>
      <c r="F90" s="24"/>
      <c r="G90" s="25" t="str">
        <f>IF($D90="","",IFERROR(VLOOKUP($D90,'ACAH Consumables Tracker'!$A:$D,4,FALSE()),""))</f>
        <v/>
      </c>
      <c r="H90" s="22"/>
    </row>
    <row r="91" spans="1:8">
      <c r="A91" s="21"/>
      <c r="B91" s="28"/>
      <c r="C91" s="22"/>
      <c r="D91" s="28"/>
      <c r="E91" s="23" t="str">
        <f>IF($D91="","",IFERROR(VLOOKUP($D91,'ACAH Consumables Tracker'!$A:$H,8,FALSE()),""))</f>
        <v/>
      </c>
      <c r="F91" s="24"/>
      <c r="G91" s="25" t="str">
        <f>IF($D91="","",IFERROR(VLOOKUP($D91,'ACAH Consumables Tracker'!$A:$D,4,FALSE()),""))</f>
        <v/>
      </c>
      <c r="H91" s="22"/>
    </row>
    <row r="92" spans="1:8">
      <c r="A92" s="21"/>
      <c r="B92" s="28"/>
      <c r="C92" s="22"/>
      <c r="D92" s="28"/>
      <c r="E92" s="23" t="str">
        <f>IF($D92="","",IFERROR(VLOOKUP($D92,'ACAH Consumables Tracker'!$A:$H,8,FALSE()),""))</f>
        <v/>
      </c>
      <c r="F92" s="24"/>
      <c r="G92" s="25" t="str">
        <f>IF($D92="","",IFERROR(VLOOKUP($D92,'ACAH Consumables Tracker'!$A:$D,4,FALSE()),""))</f>
        <v/>
      </c>
      <c r="H92" s="22"/>
    </row>
    <row r="93" spans="1:8">
      <c r="A93" s="21"/>
      <c r="B93" s="28"/>
      <c r="C93" s="22"/>
      <c r="D93" s="28"/>
      <c r="E93" s="23" t="str">
        <f>IF($D93="","",IFERROR(VLOOKUP($D93,'ACAH Consumables Tracker'!$A:$H,8,FALSE()),""))</f>
        <v/>
      </c>
      <c r="F93" s="24"/>
      <c r="G93" s="25" t="str">
        <f>IF($D93="","",IFERROR(VLOOKUP($D93,'ACAH Consumables Tracker'!$A:$D,4,FALSE()),""))</f>
        <v/>
      </c>
      <c r="H93" s="22"/>
    </row>
    <row r="94" spans="1:8">
      <c r="A94" s="21"/>
      <c r="B94" s="28"/>
      <c r="C94" s="22"/>
      <c r="D94" s="28"/>
      <c r="E94" s="23" t="str">
        <f>IF($D94="","",IFERROR(VLOOKUP($D94,'ACAH Consumables Tracker'!$A:$H,8,FALSE()),""))</f>
        <v/>
      </c>
      <c r="F94" s="24"/>
      <c r="G94" s="25" t="str">
        <f>IF($D94="","",IFERROR(VLOOKUP($D94,'ACAH Consumables Tracker'!$A:$D,4,FALSE()),""))</f>
        <v/>
      </c>
      <c r="H94" s="22"/>
    </row>
    <row r="95" spans="1:8">
      <c r="A95" s="21"/>
      <c r="B95" s="28"/>
      <c r="C95" s="22"/>
      <c r="D95" s="28"/>
      <c r="E95" s="23" t="str">
        <f>IF($D95="","",IFERROR(VLOOKUP($D95,'ACAH Consumables Tracker'!$A:$H,8,FALSE()),""))</f>
        <v/>
      </c>
      <c r="F95" s="24"/>
      <c r="G95" s="25" t="str">
        <f>IF($D95="","",IFERROR(VLOOKUP($D95,'ACAH Consumables Tracker'!$A:$D,4,FALSE()),""))</f>
        <v/>
      </c>
      <c r="H95" s="22"/>
    </row>
    <row r="96" spans="1:8">
      <c r="A96" s="21"/>
      <c r="B96" s="28"/>
      <c r="C96" s="22"/>
      <c r="D96" s="28"/>
      <c r="E96" s="23" t="str">
        <f>IF($D96="","",IFERROR(VLOOKUP($D96,'ACAH Consumables Tracker'!$A:$H,8,FALSE()),""))</f>
        <v/>
      </c>
      <c r="F96" s="24"/>
      <c r="G96" s="25" t="str">
        <f>IF($D96="","",IFERROR(VLOOKUP($D96,'ACAH Consumables Tracker'!$A:$D,4,FALSE()),""))</f>
        <v/>
      </c>
      <c r="H96" s="22"/>
    </row>
    <row r="97" spans="1:8">
      <c r="A97" s="21"/>
      <c r="B97" s="28"/>
      <c r="C97" s="22"/>
      <c r="D97" s="28"/>
      <c r="E97" s="23" t="str">
        <f>IF($D97="","",IFERROR(VLOOKUP($D97,'ACAH Consumables Tracker'!$A:$H,8,FALSE()),""))</f>
        <v/>
      </c>
      <c r="F97" s="24"/>
      <c r="G97" s="25" t="str">
        <f>IF($D97="","",IFERROR(VLOOKUP($D97,'ACAH Consumables Tracker'!$A:$D,4,FALSE()),""))</f>
        <v/>
      </c>
      <c r="H97" s="22"/>
    </row>
    <row r="98" spans="1:8">
      <c r="A98" s="21"/>
      <c r="B98" s="28"/>
      <c r="C98" s="22"/>
      <c r="D98" s="28"/>
      <c r="E98" s="23" t="str">
        <f>IF($D98="","",IFERROR(VLOOKUP($D98,'ACAH Consumables Tracker'!$A:$H,8,FALSE()),""))</f>
        <v/>
      </c>
      <c r="F98" s="24"/>
      <c r="G98" s="25" t="str">
        <f>IF($D98="","",IFERROR(VLOOKUP($D98,'ACAH Consumables Tracker'!$A:$D,4,FALSE()),""))</f>
        <v/>
      </c>
      <c r="H98" s="22"/>
    </row>
    <row r="99" spans="1:8">
      <c r="A99" s="21"/>
      <c r="B99" s="28"/>
      <c r="C99" s="22"/>
      <c r="D99" s="28"/>
      <c r="E99" s="23" t="str">
        <f>IF($D99="","",IFERROR(VLOOKUP($D99,'ACAH Consumables Tracker'!$A:$H,8,FALSE()),""))</f>
        <v/>
      </c>
      <c r="F99" s="24"/>
      <c r="G99" s="25" t="str">
        <f>IF($D99="","",IFERROR(VLOOKUP($D99,'ACAH Consumables Tracker'!$A:$D,4,FALSE()),""))</f>
        <v/>
      </c>
      <c r="H99" s="22"/>
    </row>
    <row r="100" spans="1:8">
      <c r="A100" s="21"/>
      <c r="B100" s="28"/>
      <c r="C100" s="22"/>
      <c r="D100" s="28"/>
      <c r="E100" s="23" t="str">
        <f>IF($D100="","",IFERROR(VLOOKUP($D100,'ACAH Consumables Tracker'!$A:$H,8,FALSE()),""))</f>
        <v/>
      </c>
      <c r="F100" s="24"/>
      <c r="G100" s="25" t="str">
        <f>IF($D100="","",IFERROR(VLOOKUP($D100,'ACAH Consumables Tracker'!$A:$D,4,FALSE()),""))</f>
        <v/>
      </c>
      <c r="H100" s="22"/>
    </row>
    <row r="101" spans="1:8">
      <c r="A101" s="21"/>
      <c r="B101" s="28"/>
      <c r="C101" s="22"/>
      <c r="D101" s="28"/>
      <c r="E101" s="23" t="str">
        <f>IF($D101="","",IFERROR(VLOOKUP($D101,'ACAH Consumables Tracker'!$A:$H,8,FALSE()),""))</f>
        <v/>
      </c>
      <c r="F101" s="24"/>
      <c r="G101" s="25" t="str">
        <f>IF($D101="","",IFERROR(VLOOKUP($D101,'ACAH Consumables Tracker'!$A:$D,4,FALSE()),""))</f>
        <v/>
      </c>
      <c r="H101" s="22"/>
    </row>
    <row r="102" spans="1:8">
      <c r="A102" s="21"/>
      <c r="B102" s="28"/>
      <c r="C102" s="22"/>
      <c r="D102" s="28"/>
      <c r="E102" s="23" t="str">
        <f>IF($D102="","",IFERROR(VLOOKUP($D102,'ACAH Consumables Tracker'!$A:$H,8,FALSE()),""))</f>
        <v/>
      </c>
      <c r="F102" s="24"/>
      <c r="G102" s="25" t="str">
        <f>IF($D102="","",IFERROR(VLOOKUP($D102,'ACAH Consumables Tracker'!$A:$D,4,FALSE()),""))</f>
        <v/>
      </c>
      <c r="H102" s="22"/>
    </row>
    <row r="103" spans="1:8">
      <c r="A103" s="21"/>
      <c r="B103" s="28"/>
      <c r="C103" s="22"/>
      <c r="D103" s="28"/>
      <c r="E103" s="23" t="str">
        <f>IF($D103="","",IFERROR(VLOOKUP($D103,'ACAH Consumables Tracker'!$A:$H,8,FALSE()),""))</f>
        <v/>
      </c>
      <c r="F103" s="24"/>
      <c r="G103" s="25" t="str">
        <f>IF($D103="","",IFERROR(VLOOKUP($D103,'ACAH Consumables Tracker'!$A:$D,4,FALSE()),""))</f>
        <v/>
      </c>
      <c r="H103" s="22"/>
    </row>
    <row r="104" spans="1:8">
      <c r="A104" s="21"/>
      <c r="B104" s="28"/>
      <c r="C104" s="22"/>
      <c r="D104" s="28"/>
      <c r="E104" s="23" t="str">
        <f>IF($D104="","",IFERROR(VLOOKUP($D104,'ACAH Consumables Tracker'!$A:$H,8,FALSE()),""))</f>
        <v/>
      </c>
      <c r="F104" s="24"/>
      <c r="G104" s="25" t="str">
        <f>IF($D104="","",IFERROR(VLOOKUP($D104,'ACAH Consumables Tracker'!$A:$D,4,FALSE()),""))</f>
        <v/>
      </c>
      <c r="H104" s="22"/>
    </row>
    <row r="105" spans="1:8">
      <c r="A105" s="21"/>
      <c r="B105" s="28"/>
      <c r="C105" s="22"/>
      <c r="D105" s="28"/>
      <c r="E105" s="23" t="str">
        <f>IF($D105="","",IFERROR(VLOOKUP($D105,'ACAH Consumables Tracker'!$A:$H,8,FALSE()),""))</f>
        <v/>
      </c>
      <c r="F105" s="24"/>
      <c r="G105" s="25" t="str">
        <f>IF($D105="","",IFERROR(VLOOKUP($D105,'ACAH Consumables Tracker'!$A:$D,4,FALSE()),""))</f>
        <v/>
      </c>
      <c r="H105" s="22"/>
    </row>
    <row r="106" spans="1:8">
      <c r="A106" s="21"/>
      <c r="B106" s="28"/>
      <c r="C106" s="22"/>
      <c r="D106" s="28"/>
      <c r="E106" s="23" t="str">
        <f>IF($D106="","",IFERROR(VLOOKUP($D106,'ACAH Consumables Tracker'!$A:$H,8,FALSE()),""))</f>
        <v/>
      </c>
      <c r="F106" s="24"/>
      <c r="G106" s="25" t="str">
        <f>IF($D106="","",IFERROR(VLOOKUP($D106,'ACAH Consumables Tracker'!$A:$D,4,FALSE()),""))</f>
        <v/>
      </c>
      <c r="H106" s="22"/>
    </row>
    <row r="107" spans="1:8">
      <c r="A107" s="21"/>
      <c r="B107" s="28"/>
      <c r="C107" s="22"/>
      <c r="D107" s="28"/>
      <c r="E107" s="23" t="str">
        <f>IF($D107="","",IFERROR(VLOOKUP($D107,'ACAH Consumables Tracker'!$A:$H,8,FALSE()),""))</f>
        <v/>
      </c>
      <c r="F107" s="24"/>
      <c r="G107" s="25" t="str">
        <f>IF($D107="","",IFERROR(VLOOKUP($D107,'ACAH Consumables Tracker'!$A:$D,4,FALSE()),""))</f>
        <v/>
      </c>
      <c r="H107" s="22"/>
    </row>
    <row r="108" spans="1:8">
      <c r="A108" s="21"/>
      <c r="B108" s="28"/>
      <c r="C108" s="22"/>
      <c r="D108" s="28"/>
      <c r="E108" s="23" t="str">
        <f>IF($D108="","",IFERROR(VLOOKUP($D108,'ACAH Consumables Tracker'!$A:$H,8,FALSE()),""))</f>
        <v/>
      </c>
      <c r="F108" s="24"/>
      <c r="G108" s="25" t="str">
        <f>IF($D108="","",IFERROR(VLOOKUP($D108,'ACAH Consumables Tracker'!$A:$D,4,FALSE()),""))</f>
        <v/>
      </c>
      <c r="H108" s="22"/>
    </row>
    <row r="109" spans="1:8">
      <c r="A109" s="21"/>
      <c r="B109" s="28"/>
      <c r="C109" s="22"/>
      <c r="D109" s="28"/>
      <c r="E109" s="23" t="str">
        <f>IF($D109="","",IFERROR(VLOOKUP($D109,'ACAH Consumables Tracker'!$A:$H,8,FALSE()),""))</f>
        <v/>
      </c>
      <c r="F109" s="24"/>
      <c r="G109" s="25" t="str">
        <f>IF($D109="","",IFERROR(VLOOKUP($D109,'ACAH Consumables Tracker'!$A:$D,4,FALSE()),""))</f>
        <v/>
      </c>
      <c r="H109" s="22"/>
    </row>
    <row r="110" spans="1:8">
      <c r="A110" s="21"/>
      <c r="B110" s="28"/>
      <c r="C110" s="22"/>
      <c r="D110" s="28"/>
      <c r="E110" s="23" t="str">
        <f>IF($D110="","",IFERROR(VLOOKUP($D110,'ACAH Consumables Tracker'!$A:$H,8,FALSE()),""))</f>
        <v/>
      </c>
      <c r="F110" s="24"/>
      <c r="G110" s="25" t="str">
        <f>IF($D110="","",IFERROR(VLOOKUP($D110,'ACAH Consumables Tracker'!$A:$D,4,FALSE()),""))</f>
        <v/>
      </c>
      <c r="H110" s="22"/>
    </row>
    <row r="111" spans="1:8">
      <c r="A111" s="21"/>
      <c r="B111" s="28"/>
      <c r="C111" s="22"/>
      <c r="D111" s="28"/>
      <c r="E111" s="23" t="str">
        <f>IF($D111="","",IFERROR(VLOOKUP($D111,'ACAH Consumables Tracker'!$A:$H,8,FALSE()),""))</f>
        <v/>
      </c>
      <c r="F111" s="24"/>
      <c r="G111" s="25" t="str">
        <f>IF($D111="","",IFERROR(VLOOKUP($D111,'ACAH Consumables Tracker'!$A:$D,4,FALSE()),""))</f>
        <v/>
      </c>
      <c r="H111" s="22"/>
    </row>
    <row r="112" spans="1:8">
      <c r="A112" s="21"/>
      <c r="B112" s="28"/>
      <c r="C112" s="22"/>
      <c r="D112" s="28"/>
      <c r="E112" s="23" t="str">
        <f>IF($D112="","",IFERROR(VLOOKUP($D112,'ACAH Consumables Tracker'!$A:$H,8,FALSE()),""))</f>
        <v/>
      </c>
      <c r="F112" s="24"/>
      <c r="G112" s="25" t="str">
        <f>IF($D112="","",IFERROR(VLOOKUP($D112,'ACAH Consumables Tracker'!$A:$D,4,FALSE()),""))</f>
        <v/>
      </c>
      <c r="H112" s="22"/>
    </row>
    <row r="113" spans="1:8">
      <c r="A113" s="21"/>
      <c r="B113" s="28"/>
      <c r="C113" s="22"/>
      <c r="D113" s="28"/>
      <c r="E113" s="23" t="str">
        <f>IF($D113="","",IFERROR(VLOOKUP($D113,'ACAH Consumables Tracker'!$A:$H,8,FALSE()),""))</f>
        <v/>
      </c>
      <c r="F113" s="24"/>
      <c r="G113" s="25" t="str">
        <f>IF($D113="","",IFERROR(VLOOKUP($D113,'ACAH Consumables Tracker'!$A:$D,4,FALSE()),""))</f>
        <v/>
      </c>
      <c r="H113" s="22"/>
    </row>
    <row r="114" spans="1:8">
      <c r="A114" s="21"/>
      <c r="B114" s="28"/>
      <c r="C114" s="22"/>
      <c r="D114" s="28"/>
      <c r="E114" s="23" t="str">
        <f>IF($D114="","",IFERROR(VLOOKUP($D114,'ACAH Consumables Tracker'!$A:$H,8,FALSE()),""))</f>
        <v/>
      </c>
      <c r="F114" s="24"/>
      <c r="G114" s="25" t="str">
        <f>IF($D114="","",IFERROR(VLOOKUP($D114,'ACAH Consumables Tracker'!$A:$D,4,FALSE()),""))</f>
        <v/>
      </c>
      <c r="H114" s="22"/>
    </row>
    <row r="115" spans="1:8">
      <c r="A115" s="21"/>
      <c r="B115" s="28"/>
      <c r="C115" s="22"/>
      <c r="D115" s="28"/>
      <c r="E115" s="23" t="str">
        <f>IF($D115="","",IFERROR(VLOOKUP($D115,'ACAH Consumables Tracker'!$A:$H,8,FALSE()),""))</f>
        <v/>
      </c>
      <c r="F115" s="24"/>
      <c r="G115" s="25" t="str">
        <f>IF($D115="","",IFERROR(VLOOKUP($D115,'ACAH Consumables Tracker'!$A:$D,4,FALSE()),""))</f>
        <v/>
      </c>
      <c r="H115" s="22"/>
    </row>
    <row r="116" spans="1:8">
      <c r="A116" s="21"/>
      <c r="B116" s="28"/>
      <c r="C116" s="22"/>
      <c r="D116" s="28"/>
      <c r="E116" s="23" t="str">
        <f>IF($D116="","",IFERROR(VLOOKUP($D116,'ACAH Consumables Tracker'!$A:$H,8,FALSE()),""))</f>
        <v/>
      </c>
      <c r="F116" s="24"/>
      <c r="G116" s="25" t="str">
        <f>IF($D116="","",IFERROR(VLOOKUP($D116,'ACAH Consumables Tracker'!$A:$D,4,FALSE()),""))</f>
        <v/>
      </c>
      <c r="H116" s="22"/>
    </row>
    <row r="117" spans="1:8">
      <c r="A117" s="21"/>
      <c r="B117" s="28"/>
      <c r="C117" s="22"/>
      <c r="D117" s="28"/>
      <c r="E117" s="23" t="str">
        <f>IF($D117="","",IFERROR(VLOOKUP($D117,'ACAH Consumables Tracker'!$A:$H,8,FALSE()),""))</f>
        <v/>
      </c>
      <c r="F117" s="24"/>
      <c r="G117" s="25" t="str">
        <f>IF($D117="","",IFERROR(VLOOKUP($D117,'ACAH Consumables Tracker'!$A:$D,4,FALSE()),""))</f>
        <v/>
      </c>
      <c r="H117" s="22"/>
    </row>
    <row r="118" spans="1:8">
      <c r="A118" s="21"/>
      <c r="B118" s="28"/>
      <c r="C118" s="22"/>
      <c r="D118" s="28"/>
      <c r="E118" s="23" t="str">
        <f>IF($D118="","",IFERROR(VLOOKUP($D118,'ACAH Consumables Tracker'!$A:$H,8,FALSE()),""))</f>
        <v/>
      </c>
      <c r="F118" s="24"/>
      <c r="G118" s="25" t="str">
        <f>IF($D118="","",IFERROR(VLOOKUP($D118,'ACAH Consumables Tracker'!$A:$D,4,FALSE()),""))</f>
        <v/>
      </c>
      <c r="H118" s="22"/>
    </row>
    <row r="119" spans="1:8">
      <c r="A119" s="21"/>
      <c r="B119" s="28"/>
      <c r="C119" s="22"/>
      <c r="D119" s="28"/>
      <c r="E119" s="23" t="str">
        <f>IF($D119="","",IFERROR(VLOOKUP($D119,'ACAH Consumables Tracker'!$A:$H,8,FALSE()),""))</f>
        <v/>
      </c>
      <c r="F119" s="24"/>
      <c r="G119" s="25" t="str">
        <f>IF($D119="","",IFERROR(VLOOKUP($D119,'ACAH Consumables Tracker'!$A:$D,4,FALSE()),""))</f>
        <v/>
      </c>
      <c r="H119" s="22"/>
    </row>
    <row r="120" spans="1:8">
      <c r="A120" s="21"/>
      <c r="B120" s="28"/>
      <c r="C120" s="22"/>
      <c r="D120" s="28"/>
      <c r="E120" s="23" t="str">
        <f>IF($D120="","",IFERROR(VLOOKUP($D120,'ACAH Consumables Tracker'!$A:$H,8,FALSE()),""))</f>
        <v/>
      </c>
      <c r="F120" s="24"/>
      <c r="G120" s="25" t="str">
        <f>IF($D120="","",IFERROR(VLOOKUP($D120,'ACAH Consumables Tracker'!$A:$D,4,FALSE()),""))</f>
        <v/>
      </c>
      <c r="H120" s="22"/>
    </row>
    <row r="121" spans="1:8">
      <c r="A121" s="21"/>
      <c r="B121" s="28"/>
      <c r="C121" s="22"/>
      <c r="D121" s="28"/>
      <c r="E121" s="23" t="str">
        <f>IF($D121="","",IFERROR(VLOOKUP($D121,'ACAH Consumables Tracker'!$A:$H,8,FALSE()),""))</f>
        <v/>
      </c>
      <c r="F121" s="24"/>
      <c r="G121" s="25" t="str">
        <f>IF($D121="","",IFERROR(VLOOKUP($D121,'ACAH Consumables Tracker'!$A:$D,4,FALSE()),""))</f>
        <v/>
      </c>
      <c r="H121" s="22"/>
    </row>
    <row r="122" spans="1:8">
      <c r="A122" s="21"/>
      <c r="B122" s="28"/>
      <c r="C122" s="22"/>
      <c r="D122" s="28"/>
      <c r="E122" s="23" t="str">
        <f>IF($D122="","",IFERROR(VLOOKUP($D122,'ACAH Consumables Tracker'!$A:$H,8,FALSE()),""))</f>
        <v/>
      </c>
      <c r="F122" s="24"/>
      <c r="G122" s="25" t="str">
        <f>IF($D122="","",IFERROR(VLOOKUP($D122,'ACAH Consumables Tracker'!$A:$D,4,FALSE()),""))</f>
        <v/>
      </c>
      <c r="H122" s="22"/>
    </row>
    <row r="123" spans="1:8">
      <c r="A123" s="21"/>
      <c r="B123" s="28"/>
      <c r="C123" s="22"/>
      <c r="D123" s="28"/>
      <c r="E123" s="23" t="str">
        <f>IF($D123="","",IFERROR(VLOOKUP($D123,'ACAH Consumables Tracker'!$A:$H,8,FALSE()),""))</f>
        <v/>
      </c>
      <c r="F123" s="24"/>
      <c r="G123" s="25" t="str">
        <f>IF($D123="","",IFERROR(VLOOKUP($D123,'ACAH Consumables Tracker'!$A:$D,4,FALSE()),""))</f>
        <v/>
      </c>
      <c r="H123" s="22"/>
    </row>
    <row r="124" spans="1:8">
      <c r="A124" s="21"/>
      <c r="B124" s="28"/>
      <c r="C124" s="22"/>
      <c r="D124" s="28"/>
      <c r="E124" s="23" t="str">
        <f>IF($D124="","",IFERROR(VLOOKUP($D124,'ACAH Consumables Tracker'!$A:$H,8,FALSE()),""))</f>
        <v/>
      </c>
      <c r="F124" s="24"/>
      <c r="G124" s="25" t="str">
        <f>IF($D124="","",IFERROR(VLOOKUP($D124,'ACAH Consumables Tracker'!$A:$D,4,FALSE()),""))</f>
        <v/>
      </c>
      <c r="H124" s="22"/>
    </row>
    <row r="125" spans="1:8">
      <c r="A125" s="21"/>
      <c r="B125" s="28"/>
      <c r="C125" s="22"/>
      <c r="D125" s="28"/>
      <c r="E125" s="23" t="str">
        <f>IF($D125="","",IFERROR(VLOOKUP($D125,'ACAH Consumables Tracker'!$A:$H,8,FALSE()),""))</f>
        <v/>
      </c>
      <c r="F125" s="24"/>
      <c r="G125" s="25" t="str">
        <f>IF($D125="","",IFERROR(VLOOKUP($D125,'ACAH Consumables Tracker'!$A:$D,4,FALSE()),""))</f>
        <v/>
      </c>
      <c r="H125" s="22"/>
    </row>
    <row r="126" spans="1:8">
      <c r="A126" s="21"/>
      <c r="B126" s="28"/>
      <c r="C126" s="22"/>
      <c r="D126" s="28"/>
      <c r="E126" s="23" t="str">
        <f>IF($D126="","",IFERROR(VLOOKUP($D126,'ACAH Consumables Tracker'!$A:$H,8,FALSE()),""))</f>
        <v/>
      </c>
      <c r="F126" s="24"/>
      <c r="G126" s="25" t="str">
        <f>IF($D126="","",IFERROR(VLOOKUP($D126,'ACAH Consumables Tracker'!$A:$D,4,FALSE()),""))</f>
        <v/>
      </c>
      <c r="H126" s="22"/>
    </row>
    <row r="127" spans="1:8">
      <c r="A127" s="21"/>
      <c r="B127" s="28"/>
      <c r="C127" s="22"/>
      <c r="D127" s="28"/>
      <c r="E127" s="23" t="str">
        <f>IF($D127="","",IFERROR(VLOOKUP($D127,'ACAH Consumables Tracker'!$A:$H,8,FALSE()),""))</f>
        <v/>
      </c>
      <c r="F127" s="24"/>
      <c r="G127" s="25" t="str">
        <f>IF($D127="","",IFERROR(VLOOKUP($D127,'ACAH Consumables Tracker'!$A:$D,4,FALSE()),""))</f>
        <v/>
      </c>
      <c r="H127" s="22"/>
    </row>
    <row r="128" spans="1:8">
      <c r="A128" s="21"/>
      <c r="B128" s="28"/>
      <c r="C128" s="22"/>
      <c r="D128" s="28"/>
      <c r="E128" s="23" t="str">
        <f>IF($D128="","",IFERROR(VLOOKUP($D128,'ACAH Consumables Tracker'!$A:$H,8,FALSE()),""))</f>
        <v/>
      </c>
      <c r="F128" s="24"/>
      <c r="G128" s="25" t="str">
        <f>IF($D128="","",IFERROR(VLOOKUP($D128,'ACAH Consumables Tracker'!$A:$D,4,FALSE()),""))</f>
        <v/>
      </c>
      <c r="H128" s="22"/>
    </row>
    <row r="129" spans="1:8">
      <c r="A129" s="21"/>
      <c r="B129" s="28"/>
      <c r="C129" s="22"/>
      <c r="D129" s="28"/>
      <c r="E129" s="23" t="str">
        <f>IF($D129="","",IFERROR(VLOOKUP($D129,'ACAH Consumables Tracker'!$A:$H,8,FALSE()),""))</f>
        <v/>
      </c>
      <c r="F129" s="24"/>
      <c r="G129" s="25" t="str">
        <f>IF($D129="","",IFERROR(VLOOKUP($D129,'ACAH Consumables Tracker'!$A:$D,4,FALSE()),""))</f>
        <v/>
      </c>
      <c r="H129" s="22"/>
    </row>
    <row r="130" spans="1:8">
      <c r="A130" s="21"/>
      <c r="B130" s="28"/>
      <c r="C130" s="22"/>
      <c r="D130" s="28"/>
      <c r="E130" s="23" t="str">
        <f>IF($D130="","",IFERROR(VLOOKUP($D130,'ACAH Consumables Tracker'!$A:$H,8,FALSE()),""))</f>
        <v/>
      </c>
      <c r="F130" s="24"/>
      <c r="G130" s="25" t="str">
        <f>IF($D130="","",IFERROR(VLOOKUP($D130,'ACAH Consumables Tracker'!$A:$D,4,FALSE()),""))</f>
        <v/>
      </c>
      <c r="H130" s="22"/>
    </row>
    <row r="131" spans="1:8">
      <c r="A131" s="21"/>
      <c r="B131" s="28"/>
      <c r="C131" s="22"/>
      <c r="D131" s="28"/>
      <c r="E131" s="23" t="str">
        <f>IF($D131="","",IFERROR(VLOOKUP($D131,'ACAH Consumables Tracker'!$A:$H,8,FALSE()),""))</f>
        <v/>
      </c>
      <c r="F131" s="24"/>
      <c r="G131" s="25" t="str">
        <f>IF($D131="","",IFERROR(VLOOKUP($D131,'ACAH Consumables Tracker'!$A:$D,4,FALSE()),""))</f>
        <v/>
      </c>
      <c r="H131" s="22"/>
    </row>
    <row r="132" spans="1:8">
      <c r="A132" s="21"/>
      <c r="B132" s="28"/>
      <c r="C132" s="22"/>
      <c r="D132" s="28"/>
      <c r="E132" s="23" t="str">
        <f>IF($D132="","",IFERROR(VLOOKUP($D132,'ACAH Consumables Tracker'!$A:$H,8,FALSE()),""))</f>
        <v/>
      </c>
      <c r="F132" s="24"/>
      <c r="G132" s="25" t="str">
        <f>IF($D132="","",IFERROR(VLOOKUP($D132,'ACAH Consumables Tracker'!$A:$D,4,FALSE()),""))</f>
        <v/>
      </c>
      <c r="H132" s="22"/>
    </row>
    <row r="133" spans="1:8">
      <c r="A133" s="21"/>
      <c r="B133" s="28"/>
      <c r="C133" s="22"/>
      <c r="D133" s="28"/>
      <c r="E133" s="23" t="str">
        <f>IF($D133="","",IFERROR(VLOOKUP($D133,'ACAH Consumables Tracker'!$A:$H,8,FALSE()),""))</f>
        <v/>
      </c>
      <c r="F133" s="24"/>
      <c r="G133" s="25" t="str">
        <f>IF($D133="","",IFERROR(VLOOKUP($D133,'ACAH Consumables Tracker'!$A:$D,4,FALSE()),""))</f>
        <v/>
      </c>
      <c r="H133" s="22"/>
    </row>
    <row r="134" spans="1:8">
      <c r="A134" s="21"/>
      <c r="B134" s="28"/>
      <c r="C134" s="22"/>
      <c r="D134" s="28"/>
      <c r="E134" s="23" t="str">
        <f>IF($D134="","",IFERROR(VLOOKUP($D134,'ACAH Consumables Tracker'!$A:$H,8,FALSE()),""))</f>
        <v/>
      </c>
      <c r="F134" s="24"/>
      <c r="G134" s="25" t="str">
        <f>IF($D134="","",IFERROR(VLOOKUP($D134,'ACAH Consumables Tracker'!$A:$D,4,FALSE()),""))</f>
        <v/>
      </c>
      <c r="H134" s="22"/>
    </row>
    <row r="135" spans="1:8">
      <c r="A135" s="21"/>
      <c r="B135" s="28"/>
      <c r="C135" s="22"/>
      <c r="D135" s="28"/>
      <c r="E135" s="23" t="str">
        <f>IF($D135="","",IFERROR(VLOOKUP($D135,'ACAH Consumables Tracker'!$A:$H,8,FALSE()),""))</f>
        <v/>
      </c>
      <c r="F135" s="24"/>
      <c r="G135" s="25" t="str">
        <f>IF($D135="","",IFERROR(VLOOKUP($D135,'ACAH Consumables Tracker'!$A:$D,4,FALSE()),""))</f>
        <v/>
      </c>
      <c r="H135" s="22"/>
    </row>
    <row r="136" spans="1:8">
      <c r="A136" s="21"/>
      <c r="B136" s="28"/>
      <c r="C136" s="22"/>
      <c r="D136" s="28"/>
      <c r="E136" s="23" t="str">
        <f>IF($D136="","",IFERROR(VLOOKUP($D136,'ACAH Consumables Tracker'!$A:$H,8,FALSE()),""))</f>
        <v/>
      </c>
      <c r="F136" s="24"/>
      <c r="G136" s="25" t="str">
        <f>IF($D136="","",IFERROR(VLOOKUP($D136,'ACAH Consumables Tracker'!$A:$D,4,FALSE()),""))</f>
        <v/>
      </c>
      <c r="H136" s="22"/>
    </row>
    <row r="137" spans="1:8">
      <c r="A137" s="21"/>
      <c r="B137" s="28"/>
      <c r="C137" s="22"/>
      <c r="D137" s="28"/>
      <c r="E137" s="23" t="str">
        <f>IF($D137="","",IFERROR(VLOOKUP($D137,'ACAH Consumables Tracker'!$A:$H,8,FALSE()),""))</f>
        <v/>
      </c>
      <c r="F137" s="24"/>
      <c r="G137" s="25" t="str">
        <f>IF($D137="","",IFERROR(VLOOKUP($D137,'ACAH Consumables Tracker'!$A:$D,4,FALSE()),""))</f>
        <v/>
      </c>
      <c r="H137" s="22"/>
    </row>
    <row r="138" spans="1:8">
      <c r="A138" s="21"/>
      <c r="B138" s="28"/>
      <c r="C138" s="22"/>
      <c r="D138" s="28"/>
      <c r="E138" s="23" t="str">
        <f>IF($D138="","",IFERROR(VLOOKUP($D138,'ACAH Consumables Tracker'!$A:$H,8,FALSE()),""))</f>
        <v/>
      </c>
      <c r="F138" s="24"/>
      <c r="G138" s="25" t="str">
        <f>IF($D138="","",IFERROR(VLOOKUP($D138,'ACAH Consumables Tracker'!$A:$D,4,FALSE()),""))</f>
        <v/>
      </c>
      <c r="H138" s="22"/>
    </row>
    <row r="139" spans="1:8">
      <c r="A139" s="21"/>
      <c r="B139" s="28"/>
      <c r="C139" s="22"/>
      <c r="D139" s="28"/>
      <c r="E139" s="23" t="str">
        <f>IF($D139="","",IFERROR(VLOOKUP($D139,'ACAH Consumables Tracker'!$A:$H,8,FALSE()),""))</f>
        <v/>
      </c>
      <c r="F139" s="24"/>
      <c r="G139" s="25" t="str">
        <f>IF($D139="","",IFERROR(VLOOKUP($D139,'ACAH Consumables Tracker'!$A:$D,4,FALSE()),""))</f>
        <v/>
      </c>
      <c r="H139" s="22"/>
    </row>
    <row r="140" spans="1:8">
      <c r="A140" s="21"/>
      <c r="B140" s="28"/>
      <c r="C140" s="22"/>
      <c r="D140" s="28"/>
      <c r="E140" s="23" t="str">
        <f>IF($D140="","",IFERROR(VLOOKUP($D140,'ACAH Consumables Tracker'!$A:$H,8,FALSE()),""))</f>
        <v/>
      </c>
      <c r="F140" s="24"/>
      <c r="G140" s="25" t="str">
        <f>IF($D140="","",IFERROR(VLOOKUP($D140,'ACAH Consumables Tracker'!$A:$D,4,FALSE()),""))</f>
        <v/>
      </c>
      <c r="H140" s="22"/>
    </row>
    <row r="141" spans="1:8">
      <c r="A141" s="21"/>
      <c r="B141" s="28"/>
      <c r="C141" s="22"/>
      <c r="D141" s="28"/>
      <c r="E141" s="23" t="str">
        <f>IF($D141="","",IFERROR(VLOOKUP($D141,'ACAH Consumables Tracker'!$A:$H,8,FALSE()),""))</f>
        <v/>
      </c>
      <c r="F141" s="24"/>
      <c r="G141" s="25" t="str">
        <f>IF($D141="","",IFERROR(VLOOKUP($D141,'ACAH Consumables Tracker'!$A:$D,4,FALSE()),""))</f>
        <v/>
      </c>
      <c r="H141" s="22"/>
    </row>
    <row r="142" spans="1:8">
      <c r="A142" s="21"/>
      <c r="B142" s="28"/>
      <c r="C142" s="22"/>
      <c r="D142" s="28"/>
      <c r="E142" s="23" t="str">
        <f>IF($D142="","",IFERROR(VLOOKUP($D142,'ACAH Consumables Tracker'!$A:$H,8,FALSE()),""))</f>
        <v/>
      </c>
      <c r="F142" s="24"/>
      <c r="G142" s="25" t="str">
        <f>IF($D142="","",IFERROR(VLOOKUP($D142,'ACAH Consumables Tracker'!$A:$D,4,FALSE()),""))</f>
        <v/>
      </c>
      <c r="H142" s="22"/>
    </row>
    <row r="143" spans="1:8">
      <c r="A143" s="21"/>
      <c r="B143" s="28"/>
      <c r="C143" s="22"/>
      <c r="D143" s="28"/>
      <c r="E143" s="23" t="str">
        <f>IF($D143="","",IFERROR(VLOOKUP($D143,'ACAH Consumables Tracker'!$A:$H,8,FALSE()),""))</f>
        <v/>
      </c>
      <c r="F143" s="24"/>
      <c r="G143" s="25" t="str">
        <f>IF($D143="","",IFERROR(VLOOKUP($D143,'ACAH Consumables Tracker'!$A:$D,4,FALSE()),""))</f>
        <v/>
      </c>
      <c r="H143" s="22"/>
    </row>
    <row r="144" spans="1:8">
      <c r="A144" s="21"/>
      <c r="B144" s="28"/>
      <c r="C144" s="22"/>
      <c r="D144" s="28"/>
      <c r="E144" s="23" t="str">
        <f>IF($D144="","",IFERROR(VLOOKUP($D144,'ACAH Consumables Tracker'!$A:$H,8,FALSE()),""))</f>
        <v/>
      </c>
      <c r="F144" s="24"/>
      <c r="G144" s="25" t="str">
        <f>IF($D144="","",IFERROR(VLOOKUP($D144,'ACAH Consumables Tracker'!$A:$D,4,FALSE()),""))</f>
        <v/>
      </c>
      <c r="H144" s="22"/>
    </row>
    <row r="145" spans="1:8">
      <c r="A145" s="21"/>
      <c r="B145" s="28"/>
      <c r="C145" s="22"/>
      <c r="D145" s="28"/>
      <c r="E145" s="23" t="str">
        <f>IF($D145="","",IFERROR(VLOOKUP($D145,'ACAH Consumables Tracker'!$A:$H,8,FALSE()),""))</f>
        <v/>
      </c>
      <c r="F145" s="24"/>
      <c r="G145" s="25" t="str">
        <f>IF($D145="","",IFERROR(VLOOKUP($D145,'ACAH Consumables Tracker'!$A:$D,4,FALSE()),""))</f>
        <v/>
      </c>
      <c r="H145" s="22"/>
    </row>
    <row r="146" spans="1:8">
      <c r="A146" s="21"/>
      <c r="B146" s="28"/>
      <c r="C146" s="22"/>
      <c r="D146" s="28"/>
      <c r="E146" s="23" t="str">
        <f>IF($D146="","",IFERROR(VLOOKUP($D146,'ACAH Consumables Tracker'!$A:$H,8,FALSE()),""))</f>
        <v/>
      </c>
      <c r="F146" s="24"/>
      <c r="G146" s="25" t="str">
        <f>IF($D146="","",IFERROR(VLOOKUP($D146,'ACAH Consumables Tracker'!$A:$D,4,FALSE()),""))</f>
        <v/>
      </c>
      <c r="H146" s="22"/>
    </row>
    <row r="147" spans="1:8">
      <c r="A147" s="21"/>
      <c r="B147" s="28"/>
      <c r="C147" s="22"/>
      <c r="D147" s="28"/>
      <c r="E147" s="23" t="str">
        <f>IF($D147="","",IFERROR(VLOOKUP($D147,'ACAH Consumables Tracker'!$A:$H,8,FALSE()),""))</f>
        <v/>
      </c>
      <c r="F147" s="24"/>
      <c r="G147" s="25" t="str">
        <f>IF($D147="","",IFERROR(VLOOKUP($D147,'ACAH Consumables Tracker'!$A:$D,4,FALSE()),""))</f>
        <v/>
      </c>
      <c r="H147" s="22"/>
    </row>
    <row r="148" spans="1:8">
      <c r="A148" s="21"/>
      <c r="B148" s="28"/>
      <c r="C148" s="22"/>
      <c r="D148" s="28"/>
      <c r="E148" s="23" t="str">
        <f>IF($D148="","",IFERROR(VLOOKUP($D148,'ACAH Consumables Tracker'!$A:$H,8,FALSE()),""))</f>
        <v/>
      </c>
      <c r="F148" s="24"/>
      <c r="G148" s="25" t="str">
        <f>IF($D148="","",IFERROR(VLOOKUP($D148,'ACAH Consumables Tracker'!$A:$D,4,FALSE()),""))</f>
        <v/>
      </c>
      <c r="H148" s="22"/>
    </row>
    <row r="149" spans="1:8">
      <c r="A149" s="21"/>
      <c r="B149" s="28"/>
      <c r="C149" s="22"/>
      <c r="D149" s="28"/>
      <c r="E149" s="23" t="str">
        <f>IF($D149="","",IFERROR(VLOOKUP($D149,'ACAH Consumables Tracker'!$A:$H,8,FALSE()),""))</f>
        <v/>
      </c>
      <c r="F149" s="24"/>
      <c r="G149" s="25" t="str">
        <f>IF($D149="","",IFERROR(VLOOKUP($D149,'ACAH Consumables Tracker'!$A:$D,4,FALSE()),""))</f>
        <v/>
      </c>
      <c r="H149" s="22"/>
    </row>
    <row r="150" spans="1:8">
      <c r="A150" s="21"/>
      <c r="B150" s="28"/>
      <c r="C150" s="22"/>
      <c r="D150" s="28"/>
      <c r="E150" s="23" t="str">
        <f>IF($D150="","",IFERROR(VLOOKUP($D150,'ACAH Consumables Tracker'!$A:$H,8,FALSE()),""))</f>
        <v/>
      </c>
      <c r="F150" s="24"/>
      <c r="G150" s="25" t="str">
        <f>IF($D150="","",IFERROR(VLOOKUP($D150,'ACAH Consumables Tracker'!$A:$D,4,FALSE()),""))</f>
        <v/>
      </c>
      <c r="H150" s="22"/>
    </row>
    <row r="151" spans="1:8">
      <c r="A151" s="21"/>
      <c r="B151" s="28"/>
      <c r="C151" s="22"/>
      <c r="D151" s="28"/>
      <c r="E151" s="23" t="str">
        <f>IF($D151="","",IFERROR(VLOOKUP($D151,'ACAH Consumables Tracker'!$A:$H,8,FALSE()),""))</f>
        <v/>
      </c>
      <c r="F151" s="24"/>
      <c r="G151" s="25" t="str">
        <f>IF($D151="","",IFERROR(VLOOKUP($D151,'ACAH Consumables Tracker'!$A:$D,4,FALSE()),""))</f>
        <v/>
      </c>
      <c r="H151" s="22"/>
    </row>
    <row r="152" spans="1:8">
      <c r="A152" s="21"/>
      <c r="B152" s="28"/>
      <c r="C152" s="22"/>
      <c r="D152" s="28"/>
      <c r="E152" s="23" t="str">
        <f>IF($D152="","",IFERROR(VLOOKUP($D152,'ACAH Consumables Tracker'!$A:$H,8,FALSE()),""))</f>
        <v/>
      </c>
      <c r="F152" s="24"/>
      <c r="G152" s="25" t="str">
        <f>IF($D152="","",IFERROR(VLOOKUP($D152,'ACAH Consumables Tracker'!$A:$D,4,FALSE()),""))</f>
        <v/>
      </c>
      <c r="H152" s="22"/>
    </row>
    <row r="153" spans="1:8">
      <c r="A153" s="21"/>
      <c r="B153" s="28"/>
      <c r="C153" s="22"/>
      <c r="D153" s="28"/>
      <c r="E153" s="23" t="str">
        <f>IF($D153="","",IFERROR(VLOOKUP($D153,'ACAH Consumables Tracker'!$A:$H,8,FALSE()),""))</f>
        <v/>
      </c>
      <c r="F153" s="24"/>
      <c r="G153" s="25" t="str">
        <f>IF($D153="","",IFERROR(VLOOKUP($D153,'ACAH Consumables Tracker'!$A:$D,4,FALSE()),""))</f>
        <v/>
      </c>
      <c r="H153" s="22"/>
    </row>
    <row r="154" spans="1:8">
      <c r="A154" s="21"/>
      <c r="B154" s="28"/>
      <c r="C154" s="22"/>
      <c r="D154" s="28"/>
      <c r="E154" s="23" t="str">
        <f>IF($D154="","",IFERROR(VLOOKUP($D154,'ACAH Consumables Tracker'!$A:$H,8,FALSE()),""))</f>
        <v/>
      </c>
      <c r="F154" s="24"/>
      <c r="G154" s="25" t="str">
        <f>IF($D154="","",IFERROR(VLOOKUP($D154,'ACAH Consumables Tracker'!$A:$D,4,FALSE()),""))</f>
        <v/>
      </c>
      <c r="H154" s="22"/>
    </row>
    <row r="155" spans="1:8">
      <c r="A155" s="21"/>
      <c r="B155" s="28"/>
      <c r="C155" s="22"/>
      <c r="D155" s="28"/>
      <c r="E155" s="23" t="str">
        <f>IF($D155="","",IFERROR(VLOOKUP($D155,'ACAH Consumables Tracker'!$A:$H,8,FALSE()),""))</f>
        <v/>
      </c>
      <c r="F155" s="24"/>
      <c r="G155" s="25" t="str">
        <f>IF($D155="","",IFERROR(VLOOKUP($D155,'ACAH Consumables Tracker'!$A:$D,4,FALSE()),""))</f>
        <v/>
      </c>
      <c r="H155" s="22"/>
    </row>
    <row r="156" spans="1:8">
      <c r="A156" s="21"/>
      <c r="B156" s="28"/>
      <c r="C156" s="22"/>
      <c r="D156" s="28"/>
      <c r="E156" s="23" t="str">
        <f>IF($D156="","",IFERROR(VLOOKUP($D156,'ACAH Consumables Tracker'!$A:$H,8,FALSE()),""))</f>
        <v/>
      </c>
      <c r="F156" s="24"/>
      <c r="G156" s="25" t="str">
        <f>IF($D156="","",IFERROR(VLOOKUP($D156,'ACAH Consumables Tracker'!$A:$D,4,FALSE()),""))</f>
        <v/>
      </c>
      <c r="H156" s="22"/>
    </row>
    <row r="157" spans="1:8">
      <c r="A157" s="21"/>
      <c r="B157" s="28"/>
      <c r="C157" s="22"/>
      <c r="D157" s="28"/>
      <c r="E157" s="23" t="str">
        <f>IF($D157="","",IFERROR(VLOOKUP($D157,'ACAH Consumables Tracker'!$A:$H,8,FALSE()),""))</f>
        <v/>
      </c>
      <c r="F157" s="24"/>
      <c r="G157" s="25" t="str">
        <f>IF($D157="","",IFERROR(VLOOKUP($D157,'ACAH Consumables Tracker'!$A:$D,4,FALSE()),""))</f>
        <v/>
      </c>
      <c r="H157" s="22"/>
    </row>
    <row r="158" spans="1:8">
      <c r="A158" s="21"/>
      <c r="B158" s="28"/>
      <c r="C158" s="22"/>
      <c r="D158" s="28"/>
      <c r="E158" s="23" t="str">
        <f>IF($D158="","",IFERROR(VLOOKUP($D158,'ACAH Consumables Tracker'!$A:$H,8,FALSE()),""))</f>
        <v/>
      </c>
      <c r="F158" s="24"/>
      <c r="G158" s="25" t="str">
        <f>IF($D158="","",IFERROR(VLOOKUP($D158,'ACAH Consumables Tracker'!$A:$D,4,FALSE()),""))</f>
        <v/>
      </c>
      <c r="H158" s="22"/>
    </row>
    <row r="159" spans="1:8">
      <c r="A159" s="21"/>
      <c r="B159" s="28"/>
      <c r="C159" s="22"/>
      <c r="D159" s="28"/>
      <c r="E159" s="23" t="str">
        <f>IF($D159="","",IFERROR(VLOOKUP($D159,'ACAH Consumables Tracker'!$A:$H,8,FALSE()),""))</f>
        <v/>
      </c>
      <c r="F159" s="24"/>
      <c r="G159" s="25" t="str">
        <f>IF($D159="","",IFERROR(VLOOKUP($D159,'ACAH Consumables Tracker'!$A:$D,4,FALSE()),""))</f>
        <v/>
      </c>
      <c r="H159" s="22"/>
    </row>
    <row r="160" spans="1:8">
      <c r="A160" s="21"/>
      <c r="B160" s="28"/>
      <c r="C160" s="22"/>
      <c r="D160" s="28"/>
      <c r="E160" s="23" t="str">
        <f>IF($D160="","",IFERROR(VLOOKUP($D160,'ACAH Consumables Tracker'!$A:$H,8,FALSE()),""))</f>
        <v/>
      </c>
      <c r="F160" s="24"/>
      <c r="G160" s="25" t="str">
        <f>IF($D160="","",IFERROR(VLOOKUP($D160,'ACAH Consumables Tracker'!$A:$D,4,FALSE()),""))</f>
        <v/>
      </c>
      <c r="H160" s="22"/>
    </row>
    <row r="161" spans="1:8">
      <c r="A161" s="21"/>
      <c r="B161" s="28"/>
      <c r="C161" s="22"/>
      <c r="D161" s="28"/>
      <c r="E161" s="23" t="str">
        <f>IF($D161="","",IFERROR(VLOOKUP($D161,'ACAH Consumables Tracker'!$A:$H,8,FALSE()),""))</f>
        <v/>
      </c>
      <c r="F161" s="24"/>
      <c r="G161" s="25" t="str">
        <f>IF($D161="","",IFERROR(VLOOKUP($D161,'ACAH Consumables Tracker'!$A:$D,4,FALSE()),""))</f>
        <v/>
      </c>
      <c r="H161" s="22"/>
    </row>
    <row r="162" spans="1:8">
      <c r="A162" s="21"/>
      <c r="B162" s="28"/>
      <c r="C162" s="22"/>
      <c r="D162" s="28"/>
      <c r="E162" s="23" t="str">
        <f>IF($D162="","",IFERROR(VLOOKUP($D162,'ACAH Consumables Tracker'!$A:$H,8,FALSE()),""))</f>
        <v/>
      </c>
      <c r="F162" s="24"/>
      <c r="G162" s="25" t="str">
        <f>IF($D162="","",IFERROR(VLOOKUP($D162,'ACAH Consumables Tracker'!$A:$D,4,FALSE()),""))</f>
        <v/>
      </c>
      <c r="H162" s="22"/>
    </row>
    <row r="163" spans="1:8">
      <c r="A163" s="21"/>
      <c r="B163" s="28"/>
      <c r="C163" s="22"/>
      <c r="D163" s="28"/>
      <c r="E163" s="23" t="str">
        <f>IF($D163="","",IFERROR(VLOOKUP($D163,'ACAH Consumables Tracker'!$A:$H,8,FALSE()),""))</f>
        <v/>
      </c>
      <c r="F163" s="24"/>
      <c r="G163" s="25" t="str">
        <f>IF($D163="","",IFERROR(VLOOKUP($D163,'ACAH Consumables Tracker'!$A:$D,4,FALSE()),""))</f>
        <v/>
      </c>
      <c r="H163" s="22"/>
    </row>
    <row r="164" spans="1:8">
      <c r="A164" s="21"/>
      <c r="B164" s="28"/>
      <c r="C164" s="22"/>
      <c r="D164" s="28"/>
      <c r="E164" s="23" t="str">
        <f>IF($D164="","",IFERROR(VLOOKUP($D164,'ACAH Consumables Tracker'!$A:$H,8,FALSE()),""))</f>
        <v/>
      </c>
      <c r="F164" s="24"/>
      <c r="G164" s="25" t="str">
        <f>IF($D164="","",IFERROR(VLOOKUP($D164,'ACAH Consumables Tracker'!$A:$D,4,FALSE()),""))</f>
        <v/>
      </c>
      <c r="H164" s="22"/>
    </row>
    <row r="165" spans="1:8">
      <c r="A165" s="21"/>
      <c r="B165" s="28"/>
      <c r="C165" s="22"/>
      <c r="D165" s="28"/>
      <c r="E165" s="23" t="str">
        <f>IF($D165="","",IFERROR(VLOOKUP($D165,'ACAH Consumables Tracker'!$A:$H,8,FALSE()),""))</f>
        <v/>
      </c>
      <c r="F165" s="24"/>
      <c r="G165" s="25" t="str">
        <f>IF($D165="","",IFERROR(VLOOKUP($D165,'ACAH Consumables Tracker'!$A:$D,4,FALSE()),""))</f>
        <v/>
      </c>
      <c r="H165" s="22"/>
    </row>
    <row r="166" spans="1:8">
      <c r="A166" s="21"/>
      <c r="B166" s="28"/>
      <c r="C166" s="22"/>
      <c r="D166" s="28"/>
      <c r="E166" s="23" t="str">
        <f>IF($D166="","",IFERROR(VLOOKUP($D166,'ACAH Consumables Tracker'!$A:$H,8,FALSE()),""))</f>
        <v/>
      </c>
      <c r="F166" s="24"/>
      <c r="G166" s="25" t="str">
        <f>IF($D166="","",IFERROR(VLOOKUP($D166,'ACAH Consumables Tracker'!$A:$D,4,FALSE()),""))</f>
        <v/>
      </c>
      <c r="H166" s="22"/>
    </row>
    <row r="167" spans="1:8">
      <c r="A167" s="21"/>
      <c r="B167" s="28"/>
      <c r="C167" s="22"/>
      <c r="D167" s="28"/>
      <c r="E167" s="23" t="str">
        <f>IF($D167="","",IFERROR(VLOOKUP($D167,'ACAH Consumables Tracker'!$A:$H,8,FALSE()),""))</f>
        <v/>
      </c>
      <c r="F167" s="24"/>
      <c r="G167" s="25" t="str">
        <f>IF($D167="","",IFERROR(VLOOKUP($D167,'ACAH Consumables Tracker'!$A:$D,4,FALSE()),""))</f>
        <v/>
      </c>
      <c r="H167" s="22"/>
    </row>
    <row r="168" spans="1:8">
      <c r="A168" s="21"/>
      <c r="B168" s="28"/>
      <c r="C168" s="22"/>
      <c r="D168" s="28"/>
      <c r="E168" s="23" t="str">
        <f>IF($D168="","",IFERROR(VLOOKUP($D168,'ACAH Consumables Tracker'!$A:$H,8,FALSE()),""))</f>
        <v/>
      </c>
      <c r="F168" s="24"/>
      <c r="G168" s="25" t="str">
        <f>IF($D168="","",IFERROR(VLOOKUP($D168,'ACAH Consumables Tracker'!$A:$D,4,FALSE()),""))</f>
        <v/>
      </c>
      <c r="H168" s="22"/>
    </row>
    <row r="169" spans="1:8">
      <c r="A169" s="21"/>
      <c r="B169" s="28"/>
      <c r="C169" s="22"/>
      <c r="D169" s="28"/>
      <c r="E169" s="23" t="str">
        <f>IF($D169="","",IFERROR(VLOOKUP($D169,'ACAH Consumables Tracker'!$A:$H,8,FALSE()),""))</f>
        <v/>
      </c>
      <c r="F169" s="24"/>
      <c r="G169" s="25" t="str">
        <f>IF($D169="","",IFERROR(VLOOKUP($D169,'ACAH Consumables Tracker'!$A:$D,4,FALSE()),""))</f>
        <v/>
      </c>
      <c r="H169" s="22"/>
    </row>
    <row r="170" spans="1:8">
      <c r="A170" s="21"/>
      <c r="B170" s="28"/>
      <c r="C170" s="22"/>
      <c r="D170" s="28"/>
      <c r="E170" s="23" t="str">
        <f>IF($D170="","",IFERROR(VLOOKUP($D170,'ACAH Consumables Tracker'!$A:$H,8,FALSE()),""))</f>
        <v/>
      </c>
      <c r="F170" s="24"/>
      <c r="G170" s="25" t="str">
        <f>IF($D170="","",IFERROR(VLOOKUP($D170,'ACAH Consumables Tracker'!$A:$D,4,FALSE()),""))</f>
        <v/>
      </c>
      <c r="H170" s="22"/>
    </row>
    <row r="171" spans="1:8">
      <c r="A171" s="21"/>
      <c r="B171" s="28"/>
      <c r="C171" s="22"/>
      <c r="D171" s="28"/>
      <c r="E171" s="23" t="str">
        <f>IF($D171="","",IFERROR(VLOOKUP($D171,'ACAH Consumables Tracker'!$A:$H,8,FALSE()),""))</f>
        <v/>
      </c>
      <c r="F171" s="24"/>
      <c r="G171" s="25" t="str">
        <f>IF($D171="","",IFERROR(VLOOKUP($D171,'ACAH Consumables Tracker'!$A:$D,4,FALSE()),""))</f>
        <v/>
      </c>
      <c r="H171" s="22"/>
    </row>
    <row r="172" spans="1:8">
      <c r="A172" s="21"/>
      <c r="B172" s="28"/>
      <c r="C172" s="22"/>
      <c r="D172" s="28"/>
      <c r="E172" s="23" t="str">
        <f>IF($D172="","",IFERROR(VLOOKUP($D172,'ACAH Consumables Tracker'!$A:$H,8,FALSE()),""))</f>
        <v/>
      </c>
      <c r="F172" s="24"/>
      <c r="G172" s="25" t="str">
        <f>IF($D172="","",IFERROR(VLOOKUP($D172,'ACAH Consumables Tracker'!$A:$D,4,FALSE()),""))</f>
        <v/>
      </c>
      <c r="H172" s="22"/>
    </row>
    <row r="173" spans="1:8">
      <c r="A173" s="21"/>
      <c r="B173" s="28"/>
      <c r="C173" s="22"/>
      <c r="D173" s="28"/>
      <c r="E173" s="23" t="str">
        <f>IF($D173="","",IFERROR(VLOOKUP($D173,'ACAH Consumables Tracker'!$A:$H,8,FALSE()),""))</f>
        <v/>
      </c>
      <c r="F173" s="24"/>
      <c r="G173" s="25" t="str">
        <f>IF($D173="","",IFERROR(VLOOKUP($D173,'ACAH Consumables Tracker'!$A:$D,4,FALSE()),""))</f>
        <v/>
      </c>
      <c r="H173" s="22"/>
    </row>
    <row r="174" spans="1:8">
      <c r="A174" s="21"/>
      <c r="B174" s="28"/>
      <c r="C174" s="22"/>
      <c r="D174" s="28"/>
      <c r="E174" s="23" t="str">
        <f>IF($D174="","",IFERROR(VLOOKUP($D174,'ACAH Consumables Tracker'!$A:$H,8,FALSE()),""))</f>
        <v/>
      </c>
      <c r="F174" s="24"/>
      <c r="G174" s="25" t="str">
        <f>IF($D174="","",IFERROR(VLOOKUP($D174,'ACAH Consumables Tracker'!$A:$D,4,FALSE()),""))</f>
        <v/>
      </c>
      <c r="H174" s="22"/>
    </row>
    <row r="175" spans="1:8">
      <c r="A175" s="21"/>
      <c r="B175" s="28"/>
      <c r="C175" s="22"/>
      <c r="D175" s="28"/>
      <c r="E175" s="23" t="str">
        <f>IF($D175="","",IFERROR(VLOOKUP($D175,'ACAH Consumables Tracker'!$A:$H,8,FALSE()),""))</f>
        <v/>
      </c>
      <c r="F175" s="24"/>
      <c r="G175" s="25" t="str">
        <f>IF($D175="","",IFERROR(VLOOKUP($D175,'ACAH Consumables Tracker'!$A:$D,4,FALSE()),""))</f>
        <v/>
      </c>
      <c r="H175" s="22"/>
    </row>
    <row r="176" spans="1:8">
      <c r="A176" s="21"/>
      <c r="B176" s="28"/>
      <c r="C176" s="22"/>
      <c r="D176" s="28"/>
      <c r="E176" s="23" t="str">
        <f>IF($D176="","",IFERROR(VLOOKUP($D176,'ACAH Consumables Tracker'!$A:$H,8,FALSE()),""))</f>
        <v/>
      </c>
      <c r="F176" s="24"/>
      <c r="G176" s="25" t="str">
        <f>IF($D176="","",IFERROR(VLOOKUP($D176,'ACAH Consumables Tracker'!$A:$D,4,FALSE()),""))</f>
        <v/>
      </c>
      <c r="H176" s="22"/>
    </row>
    <row r="177" spans="1:8">
      <c r="A177" s="21"/>
      <c r="B177" s="28"/>
      <c r="C177" s="22"/>
      <c r="D177" s="28"/>
      <c r="E177" s="23" t="str">
        <f>IF($D177="","",IFERROR(VLOOKUP($D177,'ACAH Consumables Tracker'!$A:$H,8,FALSE()),""))</f>
        <v/>
      </c>
      <c r="F177" s="24"/>
      <c r="G177" s="25" t="str">
        <f>IF($D177="","",IFERROR(VLOOKUP($D177,'ACAH Consumables Tracker'!$A:$D,4,FALSE()),""))</f>
        <v/>
      </c>
      <c r="H177" s="22"/>
    </row>
    <row r="178" spans="1:8">
      <c r="A178" s="21"/>
      <c r="B178" s="28"/>
      <c r="C178" s="22"/>
      <c r="D178" s="28"/>
      <c r="E178" s="23" t="str">
        <f>IF($D178="","",IFERROR(VLOOKUP($D178,'ACAH Consumables Tracker'!$A:$H,8,FALSE()),""))</f>
        <v/>
      </c>
      <c r="F178" s="24"/>
      <c r="G178" s="25" t="str">
        <f>IF($D178="","",IFERROR(VLOOKUP($D178,'ACAH Consumables Tracker'!$A:$D,4,FALSE()),""))</f>
        <v/>
      </c>
      <c r="H178" s="22"/>
    </row>
    <row r="179" spans="1:8">
      <c r="A179" s="21"/>
      <c r="B179" s="28"/>
      <c r="C179" s="22"/>
      <c r="D179" s="28"/>
      <c r="E179" s="23" t="str">
        <f>IF($D179="","",IFERROR(VLOOKUP($D179,'ACAH Consumables Tracker'!$A:$H,8,FALSE()),""))</f>
        <v/>
      </c>
      <c r="F179" s="24"/>
      <c r="G179" s="25" t="str">
        <f>IF($D179="","",IFERROR(VLOOKUP($D179,'ACAH Consumables Tracker'!$A:$D,4,FALSE()),""))</f>
        <v/>
      </c>
      <c r="H179" s="22"/>
    </row>
    <row r="180" spans="1:8">
      <c r="A180" s="21"/>
      <c r="B180" s="28"/>
      <c r="C180" s="22"/>
      <c r="D180" s="28"/>
      <c r="E180" s="23" t="str">
        <f>IF($D180="","",IFERROR(VLOOKUP($D180,'ACAH Consumables Tracker'!$A:$H,8,FALSE()),""))</f>
        <v/>
      </c>
      <c r="F180" s="24"/>
      <c r="G180" s="25" t="str">
        <f>IF($D180="","",IFERROR(VLOOKUP($D180,'ACAH Consumables Tracker'!$A:$D,4,FALSE()),""))</f>
        <v/>
      </c>
      <c r="H180" s="22"/>
    </row>
    <row r="181" spans="1:8">
      <c r="A181" s="21"/>
      <c r="B181" s="28"/>
      <c r="C181" s="22"/>
      <c r="D181" s="28"/>
      <c r="E181" s="23" t="str">
        <f>IF($D181="","",IFERROR(VLOOKUP($D181,'ACAH Consumables Tracker'!$A:$H,8,FALSE()),""))</f>
        <v/>
      </c>
      <c r="F181" s="24"/>
      <c r="G181" s="25" t="str">
        <f>IF($D181="","",IFERROR(VLOOKUP($D181,'ACAH Consumables Tracker'!$A:$D,4,FALSE()),""))</f>
        <v/>
      </c>
      <c r="H181" s="22"/>
    </row>
    <row r="182" spans="1:8">
      <c r="A182" s="21"/>
      <c r="B182" s="28"/>
      <c r="C182" s="22"/>
      <c r="D182" s="28"/>
      <c r="E182" s="23" t="str">
        <f>IF($D182="","",IFERROR(VLOOKUP($D182,'ACAH Consumables Tracker'!$A:$H,8,FALSE()),""))</f>
        <v/>
      </c>
      <c r="F182" s="24"/>
      <c r="G182" s="25" t="str">
        <f>IF($D182="","",IFERROR(VLOOKUP($D182,'ACAH Consumables Tracker'!$A:$D,4,FALSE()),""))</f>
        <v/>
      </c>
      <c r="H182" s="22"/>
    </row>
    <row r="183" spans="1:8">
      <c r="A183" s="21"/>
      <c r="B183" s="28"/>
      <c r="C183" s="22"/>
      <c r="D183" s="28"/>
      <c r="E183" s="23" t="str">
        <f>IF($D183="","",IFERROR(VLOOKUP($D183,'ACAH Consumables Tracker'!$A:$H,8,FALSE()),""))</f>
        <v/>
      </c>
      <c r="F183" s="24"/>
      <c r="G183" s="25" t="str">
        <f>IF($D183="","",IFERROR(VLOOKUP($D183,'ACAH Consumables Tracker'!$A:$D,4,FALSE()),""))</f>
        <v/>
      </c>
      <c r="H183" s="22"/>
    </row>
    <row r="184" spans="1:8">
      <c r="A184" s="21"/>
      <c r="B184" s="28"/>
      <c r="C184" s="22"/>
      <c r="D184" s="28"/>
      <c r="E184" s="23" t="str">
        <f>IF($D184="","",IFERROR(VLOOKUP($D184,'ACAH Consumables Tracker'!$A:$H,8,FALSE()),""))</f>
        <v/>
      </c>
      <c r="F184" s="24"/>
      <c r="G184" s="25" t="str">
        <f>IF($D184="","",IFERROR(VLOOKUP($D184,'ACAH Consumables Tracker'!$A:$D,4,FALSE()),""))</f>
        <v/>
      </c>
      <c r="H184" s="22"/>
    </row>
    <row r="185" spans="1:8">
      <c r="A185" s="21"/>
      <c r="B185" s="28"/>
      <c r="C185" s="22"/>
      <c r="D185" s="28"/>
      <c r="E185" s="23" t="str">
        <f>IF($D185="","",IFERROR(VLOOKUP($D185,'ACAH Consumables Tracker'!$A:$H,8,FALSE()),""))</f>
        <v/>
      </c>
      <c r="F185" s="24"/>
      <c r="G185" s="25" t="str">
        <f>IF($D185="","",IFERROR(VLOOKUP($D185,'ACAH Consumables Tracker'!$A:$D,4,FALSE()),""))</f>
        <v/>
      </c>
      <c r="H185" s="22"/>
    </row>
    <row r="186" spans="1:8">
      <c r="A186" s="21"/>
      <c r="B186" s="28"/>
      <c r="C186" s="22"/>
      <c r="D186" s="28"/>
      <c r="E186" s="23" t="str">
        <f>IF($D186="","",IFERROR(VLOOKUP($D186,'ACAH Consumables Tracker'!$A:$H,8,FALSE()),""))</f>
        <v/>
      </c>
      <c r="F186" s="24"/>
      <c r="G186" s="25" t="str">
        <f>IF($D186="","",IFERROR(VLOOKUP($D186,'ACAH Consumables Tracker'!$A:$D,4,FALSE()),""))</f>
        <v/>
      </c>
      <c r="H186" s="22"/>
    </row>
    <row r="187" spans="1:8">
      <c r="A187" s="21"/>
      <c r="B187" s="28"/>
      <c r="C187" s="22"/>
      <c r="D187" s="28"/>
      <c r="E187" s="23" t="str">
        <f>IF($D187="","",IFERROR(VLOOKUP($D187,'ACAH Consumables Tracker'!$A:$H,8,FALSE()),""))</f>
        <v/>
      </c>
      <c r="F187" s="24"/>
      <c r="G187" s="25" t="str">
        <f>IF($D187="","",IFERROR(VLOOKUP($D187,'ACAH Consumables Tracker'!$A:$D,4,FALSE()),""))</f>
        <v/>
      </c>
      <c r="H187" s="22"/>
    </row>
    <row r="188" spans="1:8">
      <c r="A188" s="21"/>
      <c r="B188" s="28"/>
      <c r="C188" s="22"/>
      <c r="D188" s="28"/>
      <c r="E188" s="23" t="str">
        <f>IF($D188="","",IFERROR(VLOOKUP($D188,'ACAH Consumables Tracker'!$A:$H,8,FALSE()),""))</f>
        <v/>
      </c>
      <c r="F188" s="24"/>
      <c r="G188" s="25" t="str">
        <f>IF($D188="","",IFERROR(VLOOKUP($D188,'ACAH Consumables Tracker'!$A:$D,4,FALSE()),""))</f>
        <v/>
      </c>
      <c r="H188" s="22"/>
    </row>
    <row r="189" spans="1:8">
      <c r="A189" s="21"/>
      <c r="B189" s="28"/>
      <c r="C189" s="22"/>
      <c r="D189" s="28"/>
      <c r="E189" s="23" t="str">
        <f>IF($D189="","",IFERROR(VLOOKUP($D189,'ACAH Consumables Tracker'!$A:$H,8,FALSE()),""))</f>
        <v/>
      </c>
      <c r="F189" s="24"/>
      <c r="G189" s="25" t="str">
        <f>IF($D189="","",IFERROR(VLOOKUP($D189,'ACAH Consumables Tracker'!$A:$D,4,FALSE()),""))</f>
        <v/>
      </c>
      <c r="H189" s="22"/>
    </row>
    <row r="190" spans="1:8">
      <c r="A190" s="21"/>
      <c r="B190" s="28"/>
      <c r="C190" s="22"/>
      <c r="D190" s="28"/>
      <c r="E190" s="23" t="str">
        <f>IF($D190="","",IFERROR(VLOOKUP($D190,'ACAH Consumables Tracker'!$A:$H,8,FALSE()),""))</f>
        <v/>
      </c>
      <c r="F190" s="24"/>
      <c r="G190" s="25" t="str">
        <f>IF($D190="","",IFERROR(VLOOKUP($D190,'ACAH Consumables Tracker'!$A:$D,4,FALSE()),""))</f>
        <v/>
      </c>
      <c r="H190" s="22"/>
    </row>
    <row r="191" spans="1:8">
      <c r="A191" s="21"/>
      <c r="B191" s="28"/>
      <c r="C191" s="22"/>
      <c r="D191" s="28"/>
      <c r="E191" s="23" t="str">
        <f>IF($D191="","",IFERROR(VLOOKUP($D191,'ACAH Consumables Tracker'!$A:$H,8,FALSE()),""))</f>
        <v/>
      </c>
      <c r="F191" s="24"/>
      <c r="G191" s="25" t="str">
        <f>IF($D191="","",IFERROR(VLOOKUP($D191,'ACAH Consumables Tracker'!$A:$D,4,FALSE()),""))</f>
        <v/>
      </c>
      <c r="H191" s="22"/>
    </row>
    <row r="192" spans="1:8">
      <c r="A192" s="21"/>
      <c r="B192" s="28"/>
      <c r="C192" s="22"/>
      <c r="D192" s="28"/>
      <c r="E192" s="23" t="str">
        <f>IF($D192="","",IFERROR(VLOOKUP($D192,'ACAH Consumables Tracker'!$A:$H,8,FALSE()),""))</f>
        <v/>
      </c>
      <c r="F192" s="24"/>
      <c r="G192" s="25" t="str">
        <f>IF($D192="","",IFERROR(VLOOKUP($D192,'ACAH Consumables Tracker'!$A:$D,4,FALSE()),""))</f>
        <v/>
      </c>
      <c r="H192" s="22"/>
    </row>
    <row r="193" spans="1:8">
      <c r="A193" s="21"/>
      <c r="B193" s="28"/>
      <c r="C193" s="22"/>
      <c r="D193" s="28"/>
      <c r="E193" s="23" t="str">
        <f>IF($D193="","",IFERROR(VLOOKUP($D193,'ACAH Consumables Tracker'!$A:$H,8,FALSE()),""))</f>
        <v/>
      </c>
      <c r="F193" s="24"/>
      <c r="G193" s="25" t="str">
        <f>IF($D193="","",IFERROR(VLOOKUP($D193,'ACAH Consumables Tracker'!$A:$D,4,FALSE()),""))</f>
        <v/>
      </c>
      <c r="H193" s="22"/>
    </row>
    <row r="194" spans="1:8">
      <c r="A194" s="21"/>
      <c r="B194" s="28"/>
      <c r="C194" s="22"/>
      <c r="D194" s="28"/>
      <c r="E194" s="23" t="str">
        <f>IF($D194="","",IFERROR(VLOOKUP($D194,'ACAH Consumables Tracker'!$A:$H,8,FALSE()),""))</f>
        <v/>
      </c>
      <c r="F194" s="24"/>
      <c r="G194" s="25" t="str">
        <f>IF($D194="","",IFERROR(VLOOKUP($D194,'ACAH Consumables Tracker'!$A:$D,4,FALSE()),""))</f>
        <v/>
      </c>
      <c r="H194" s="22"/>
    </row>
    <row r="195" spans="1:8">
      <c r="A195" s="21"/>
      <c r="B195" s="28"/>
      <c r="C195" s="22"/>
      <c r="D195" s="28"/>
      <c r="E195" s="23" t="str">
        <f>IF($D195="","",IFERROR(VLOOKUP($D195,'ACAH Consumables Tracker'!$A:$H,8,FALSE()),""))</f>
        <v/>
      </c>
      <c r="F195" s="24"/>
      <c r="G195" s="25" t="str">
        <f>IF($D195="","",IFERROR(VLOOKUP($D195,'ACAH Consumables Tracker'!$A:$D,4,FALSE()),""))</f>
        <v/>
      </c>
      <c r="H195" s="22"/>
    </row>
    <row r="196" spans="1:8">
      <c r="A196" s="21"/>
      <c r="B196" s="28"/>
      <c r="C196" s="22"/>
      <c r="D196" s="28"/>
      <c r="E196" s="23" t="str">
        <f>IF($D196="","",IFERROR(VLOOKUP($D196,'ACAH Consumables Tracker'!$A:$H,8,FALSE()),""))</f>
        <v/>
      </c>
      <c r="F196" s="24"/>
      <c r="G196" s="25" t="str">
        <f>IF($D196="","",IFERROR(VLOOKUP($D196,'ACAH Consumables Tracker'!$A:$D,4,FALSE()),""))</f>
        <v/>
      </c>
      <c r="H196" s="22"/>
    </row>
    <row r="197" spans="1:8">
      <c r="A197" s="21"/>
      <c r="B197" s="28"/>
      <c r="C197" s="22"/>
      <c r="D197" s="28"/>
      <c r="E197" s="23" t="str">
        <f>IF($D197="","",IFERROR(VLOOKUP($D197,'ACAH Consumables Tracker'!$A:$H,8,FALSE()),""))</f>
        <v/>
      </c>
      <c r="F197" s="24"/>
      <c r="G197" s="25" t="str">
        <f>IF($D197="","",IFERROR(VLOOKUP($D197,'ACAH Consumables Tracker'!$A:$D,4,FALSE()),""))</f>
        <v/>
      </c>
      <c r="H197" s="22"/>
    </row>
    <row r="198" spans="1:8">
      <c r="A198" s="21"/>
      <c r="B198" s="28"/>
      <c r="C198" s="22"/>
      <c r="D198" s="28"/>
      <c r="E198" s="23" t="str">
        <f>IF($D198="","",IFERROR(VLOOKUP($D198,'ACAH Consumables Tracker'!$A:$H,8,FALSE()),""))</f>
        <v/>
      </c>
      <c r="F198" s="24"/>
      <c r="G198" s="25" t="str">
        <f>IF($D198="","",IFERROR(VLOOKUP($D198,'ACAH Consumables Tracker'!$A:$D,4,FALSE()),""))</f>
        <v/>
      </c>
      <c r="H198" s="22"/>
    </row>
    <row r="199" spans="1:8">
      <c r="A199" s="21"/>
      <c r="B199" s="28"/>
      <c r="C199" s="22"/>
      <c r="D199" s="28"/>
      <c r="E199" s="23" t="str">
        <f>IF($D199="","",IFERROR(VLOOKUP($D199,'ACAH Consumables Tracker'!$A:$H,8,FALSE()),""))</f>
        <v/>
      </c>
      <c r="F199" s="24"/>
      <c r="G199" s="25" t="str">
        <f>IF($D199="","",IFERROR(VLOOKUP($D199,'ACAH Consumables Tracker'!$A:$D,4,FALSE()),""))</f>
        <v/>
      </c>
      <c r="H199" s="22"/>
    </row>
    <row r="200" spans="1:8">
      <c r="A200" s="21"/>
      <c r="B200" s="28"/>
      <c r="C200" s="22"/>
      <c r="D200" s="28"/>
      <c r="E200" s="23" t="str">
        <f>IF($D200="","",IFERROR(VLOOKUP($D200,'ACAH Consumables Tracker'!$A:$H,8,FALSE()),""))</f>
        <v/>
      </c>
      <c r="F200" s="24"/>
      <c r="G200" s="25" t="str">
        <f>IF($D200="","",IFERROR(VLOOKUP($D200,'ACAH Consumables Tracker'!$A:$D,4,FALSE()),""))</f>
        <v/>
      </c>
      <c r="H200" s="22"/>
    </row>
    <row r="201" spans="1:8">
      <c r="A201" s="21"/>
      <c r="B201" s="28"/>
      <c r="C201" s="22"/>
      <c r="D201" s="28"/>
      <c r="E201" s="23" t="str">
        <f>IF($D201="","",IFERROR(VLOOKUP($D201,'ACAH Consumables Tracker'!$A:$H,8,FALSE()),""))</f>
        <v/>
      </c>
      <c r="F201" s="24"/>
      <c r="G201" s="25" t="str">
        <f>IF($D201="","",IFERROR(VLOOKUP($D201,'ACAH Consumables Tracker'!$A:$D,4,FALSE()),""))</f>
        <v/>
      </c>
      <c r="H201" s="22"/>
    </row>
    <row r="202" spans="1:8">
      <c r="A202" s="21"/>
      <c r="B202" s="28"/>
      <c r="C202" s="22"/>
      <c r="D202" s="28"/>
      <c r="E202" s="23" t="str">
        <f>IF($D202="","",IFERROR(VLOOKUP($D202,'ACAH Consumables Tracker'!$A:$H,8,FALSE()),""))</f>
        <v/>
      </c>
      <c r="F202" s="24"/>
      <c r="G202" s="25" t="str">
        <f>IF($D202="","",IFERROR(VLOOKUP($D202,'ACAH Consumables Tracker'!$A:$D,4,FALSE()),""))</f>
        <v/>
      </c>
      <c r="H202" s="22"/>
    </row>
    <row r="203" spans="1:8">
      <c r="A203" s="21"/>
      <c r="B203" s="28"/>
      <c r="C203" s="22"/>
      <c r="D203" s="28"/>
      <c r="E203" s="23" t="str">
        <f>IF($D203="","",IFERROR(VLOOKUP($D203,'ACAH Consumables Tracker'!$A:$H,8,FALSE()),""))</f>
        <v/>
      </c>
      <c r="F203" s="24"/>
      <c r="G203" s="25" t="str">
        <f>IF($D203="","",IFERROR(VLOOKUP($D203,'ACAH Consumables Tracker'!$A:$D,4,FALSE()),""))</f>
        <v/>
      </c>
      <c r="H203" s="22"/>
    </row>
    <row r="204" spans="1:8">
      <c r="A204" s="21"/>
      <c r="B204" s="28"/>
      <c r="C204" s="22"/>
      <c r="D204" s="28"/>
      <c r="E204" s="23" t="str">
        <f>IF($D204="","",IFERROR(VLOOKUP($D204,'ACAH Consumables Tracker'!$A:$H,8,FALSE()),""))</f>
        <v/>
      </c>
      <c r="F204" s="24"/>
      <c r="G204" s="25" t="str">
        <f>IF($D204="","",IFERROR(VLOOKUP($D204,'ACAH Consumables Tracker'!$A:$D,4,FALSE()),""))</f>
        <v/>
      </c>
      <c r="H204" s="22"/>
    </row>
    <row r="205" spans="1:8">
      <c r="A205" s="21"/>
      <c r="B205" s="28"/>
      <c r="C205" s="22"/>
      <c r="D205" s="28"/>
      <c r="E205" s="23" t="str">
        <f>IF($D205="","",IFERROR(VLOOKUP($D205,'ACAH Consumables Tracker'!$A:$H,8,FALSE()),""))</f>
        <v/>
      </c>
      <c r="F205" s="24"/>
      <c r="G205" s="25" t="str">
        <f>IF($D205="","",IFERROR(VLOOKUP($D205,'ACAH Consumables Tracker'!$A:$D,4,FALSE()),""))</f>
        <v/>
      </c>
      <c r="H205" s="22"/>
    </row>
    <row r="206" spans="1:8">
      <c r="A206" s="21"/>
      <c r="B206" s="28"/>
      <c r="C206" s="22"/>
      <c r="D206" s="28"/>
      <c r="E206" s="23" t="str">
        <f>IF($D206="","",IFERROR(VLOOKUP($D206,'ACAH Consumables Tracker'!$A:$H,8,FALSE()),""))</f>
        <v/>
      </c>
      <c r="F206" s="24"/>
      <c r="G206" s="25" t="str">
        <f>IF($D206="","",IFERROR(VLOOKUP($D206,'ACAH Consumables Tracker'!$A:$D,4,FALSE()),""))</f>
        <v/>
      </c>
      <c r="H206" s="22"/>
    </row>
    <row r="207" spans="1:8">
      <c r="A207" s="21"/>
      <c r="B207" s="28"/>
      <c r="C207" s="22"/>
      <c r="D207" s="28"/>
      <c r="E207" s="23" t="str">
        <f>IF($D207="","",IFERROR(VLOOKUP($D207,'ACAH Consumables Tracker'!$A:$H,8,FALSE()),""))</f>
        <v/>
      </c>
      <c r="F207" s="24"/>
      <c r="G207" s="25" t="str">
        <f>IF($D207="","",IFERROR(VLOOKUP($D207,'ACAH Consumables Tracker'!$A:$D,4,FALSE()),""))</f>
        <v/>
      </c>
      <c r="H207" s="22"/>
    </row>
    <row r="208" spans="1:8">
      <c r="A208" s="21"/>
      <c r="B208" s="28"/>
      <c r="C208" s="22"/>
      <c r="D208" s="28"/>
      <c r="E208" s="23" t="str">
        <f>IF($D208="","",IFERROR(VLOOKUP($D208,'ACAH Consumables Tracker'!$A:$H,8,FALSE()),""))</f>
        <v/>
      </c>
      <c r="F208" s="24"/>
      <c r="G208" s="25" t="str">
        <f>IF($D208="","",IFERROR(VLOOKUP($D208,'ACAH Consumables Tracker'!$A:$D,4,FALSE()),""))</f>
        <v/>
      </c>
      <c r="H208" s="22"/>
    </row>
    <row r="209" spans="1:8">
      <c r="A209" s="21"/>
      <c r="B209" s="28"/>
      <c r="C209" s="22"/>
      <c r="D209" s="28"/>
      <c r="E209" s="23" t="str">
        <f>IF($D209="","",IFERROR(VLOOKUP($D209,'ACAH Consumables Tracker'!$A:$H,8,FALSE()),""))</f>
        <v/>
      </c>
      <c r="F209" s="24"/>
      <c r="G209" s="25" t="str">
        <f>IF($D209="","",IFERROR(VLOOKUP($D209,'ACAH Consumables Tracker'!$A:$D,4,FALSE()),""))</f>
        <v/>
      </c>
      <c r="H209" s="22"/>
    </row>
    <row r="210" spans="1:8">
      <c r="A210" s="21"/>
      <c r="B210" s="28"/>
      <c r="C210" s="22"/>
      <c r="D210" s="28"/>
      <c r="E210" s="23" t="str">
        <f>IF($D210="","",IFERROR(VLOOKUP($D210,'ACAH Consumables Tracker'!$A:$H,8,FALSE()),""))</f>
        <v/>
      </c>
      <c r="F210" s="24"/>
      <c r="G210" s="25" t="str">
        <f>IF($D210="","",IFERROR(VLOOKUP($D210,'ACAH Consumables Tracker'!$A:$D,4,FALSE()),""))</f>
        <v/>
      </c>
      <c r="H210" s="22"/>
    </row>
    <row r="211" spans="1:8">
      <c r="A211" s="21"/>
      <c r="B211" s="28"/>
      <c r="C211" s="22"/>
      <c r="D211" s="28"/>
      <c r="E211" s="23" t="str">
        <f>IF($D211="","",IFERROR(VLOOKUP($D211,'ACAH Consumables Tracker'!$A:$H,8,FALSE()),""))</f>
        <v/>
      </c>
      <c r="F211" s="24"/>
      <c r="G211" s="25" t="str">
        <f>IF($D211="","",IFERROR(VLOOKUP($D211,'ACAH Consumables Tracker'!$A:$D,4,FALSE()),""))</f>
        <v/>
      </c>
      <c r="H211" s="22"/>
    </row>
    <row r="212" spans="1:8">
      <c r="A212" s="21"/>
      <c r="B212" s="28"/>
      <c r="C212" s="22"/>
      <c r="D212" s="28"/>
      <c r="E212" s="23" t="str">
        <f>IF($D212="","",IFERROR(VLOOKUP($D212,'ACAH Consumables Tracker'!$A:$H,8,FALSE()),""))</f>
        <v/>
      </c>
      <c r="F212" s="24"/>
      <c r="G212" s="25" t="str">
        <f>IF($D212="","",IFERROR(VLOOKUP($D212,'ACAH Consumables Tracker'!$A:$D,4,FALSE()),""))</f>
        <v/>
      </c>
      <c r="H212" s="22"/>
    </row>
    <row r="213" spans="1:8">
      <c r="A213" s="21"/>
      <c r="B213" s="28"/>
      <c r="C213" s="22"/>
      <c r="D213" s="28"/>
      <c r="E213" s="23" t="str">
        <f>IF($D213="","",IFERROR(VLOOKUP($D213,'ACAH Consumables Tracker'!$A:$H,8,FALSE()),""))</f>
        <v/>
      </c>
      <c r="F213" s="24"/>
      <c r="G213" s="25" t="str">
        <f>IF($D213="","",IFERROR(VLOOKUP($D213,'ACAH Consumables Tracker'!$A:$D,4,FALSE()),""))</f>
        <v/>
      </c>
      <c r="H213" s="22"/>
    </row>
    <row r="214" spans="1:8">
      <c r="A214" s="21"/>
      <c r="B214" s="28"/>
      <c r="C214" s="22"/>
      <c r="D214" s="28"/>
      <c r="E214" s="23" t="str">
        <f>IF($D214="","",IFERROR(VLOOKUP($D214,'ACAH Consumables Tracker'!$A:$H,8,FALSE()),""))</f>
        <v/>
      </c>
      <c r="F214" s="24"/>
      <c r="G214" s="25" t="str">
        <f>IF($D214="","",IFERROR(VLOOKUP($D214,'ACAH Consumables Tracker'!$A:$D,4,FALSE()),""))</f>
        <v/>
      </c>
      <c r="H214" s="22"/>
    </row>
    <row r="215" spans="1:8">
      <c r="A215" s="21"/>
      <c r="B215" s="28"/>
      <c r="C215" s="22"/>
      <c r="D215" s="28"/>
      <c r="E215" s="23" t="str">
        <f>IF($D215="","",IFERROR(VLOOKUP($D215,'ACAH Consumables Tracker'!$A:$H,8,FALSE()),""))</f>
        <v/>
      </c>
      <c r="F215" s="24"/>
      <c r="G215" s="25" t="str">
        <f>IF($D215="","",IFERROR(VLOOKUP($D215,'ACAH Consumables Tracker'!$A:$D,4,FALSE()),""))</f>
        <v/>
      </c>
      <c r="H215" s="22"/>
    </row>
    <row r="216" spans="1:8">
      <c r="A216" s="21"/>
      <c r="B216" s="28"/>
      <c r="C216" s="22"/>
      <c r="D216" s="28"/>
      <c r="E216" s="23" t="str">
        <f>IF($D216="","",IFERROR(VLOOKUP($D216,'ACAH Consumables Tracker'!$A:$H,8,FALSE()),""))</f>
        <v/>
      </c>
      <c r="F216" s="24"/>
      <c r="G216" s="25" t="str">
        <f>IF($D216="","",IFERROR(VLOOKUP($D216,'ACAH Consumables Tracker'!$A:$D,4,FALSE()),""))</f>
        <v/>
      </c>
      <c r="H216" s="22"/>
    </row>
    <row r="217" spans="1:8">
      <c r="A217" s="21"/>
      <c r="B217" s="28"/>
      <c r="C217" s="22"/>
      <c r="D217" s="28"/>
      <c r="E217" s="23" t="str">
        <f>IF($D217="","",IFERROR(VLOOKUP($D217,'ACAH Consumables Tracker'!$A:$H,8,FALSE()),""))</f>
        <v/>
      </c>
      <c r="F217" s="24"/>
      <c r="G217" s="25" t="str">
        <f>IF($D217="","",IFERROR(VLOOKUP($D217,'ACAH Consumables Tracker'!$A:$D,4,FALSE()),""))</f>
        <v/>
      </c>
      <c r="H217" s="22"/>
    </row>
    <row r="218" spans="1:8">
      <c r="A218" s="21"/>
      <c r="B218" s="28"/>
      <c r="C218" s="22"/>
      <c r="D218" s="28"/>
      <c r="E218" s="23" t="str">
        <f>IF($D218="","",IFERROR(VLOOKUP($D218,'ACAH Consumables Tracker'!$A:$H,8,FALSE()),""))</f>
        <v/>
      </c>
      <c r="F218" s="24"/>
      <c r="G218" s="25" t="str">
        <f>IF($D218="","",IFERROR(VLOOKUP($D218,'ACAH Consumables Tracker'!$A:$D,4,FALSE()),""))</f>
        <v/>
      </c>
      <c r="H218" s="22"/>
    </row>
    <row r="219" spans="1:8">
      <c r="A219" s="21"/>
      <c r="B219" s="28"/>
      <c r="C219" s="22"/>
      <c r="D219" s="28"/>
      <c r="E219" s="23" t="str">
        <f>IF($D219="","",IFERROR(VLOOKUP($D219,'ACAH Consumables Tracker'!$A:$H,8,FALSE()),""))</f>
        <v/>
      </c>
      <c r="F219" s="24"/>
      <c r="G219" s="25" t="str">
        <f>IF($D219="","",IFERROR(VLOOKUP($D219,'ACAH Consumables Tracker'!$A:$D,4,FALSE()),""))</f>
        <v/>
      </c>
      <c r="H219" s="22"/>
    </row>
    <row r="220" spans="1:8">
      <c r="A220" s="21"/>
      <c r="B220" s="28"/>
      <c r="C220" s="22"/>
      <c r="D220" s="28"/>
      <c r="E220" s="23" t="str">
        <f>IF($D220="","",IFERROR(VLOOKUP($D220,'ACAH Consumables Tracker'!$A:$H,8,FALSE()),""))</f>
        <v/>
      </c>
      <c r="F220" s="24"/>
      <c r="G220" s="25" t="str">
        <f>IF($D220="","",IFERROR(VLOOKUP($D220,'ACAH Consumables Tracker'!$A:$D,4,FALSE()),""))</f>
        <v/>
      </c>
      <c r="H220" s="22"/>
    </row>
    <row r="221" spans="1:8">
      <c r="A221" s="21"/>
      <c r="B221" s="28"/>
      <c r="C221" s="22"/>
      <c r="D221" s="28"/>
      <c r="E221" s="23" t="str">
        <f>IF($D221="","",IFERROR(VLOOKUP($D221,'ACAH Consumables Tracker'!$A:$H,8,FALSE()),""))</f>
        <v/>
      </c>
      <c r="F221" s="24"/>
      <c r="G221" s="25" t="str">
        <f>IF($D221="","",IFERROR(VLOOKUP($D221,'ACAH Consumables Tracker'!$A:$D,4,FALSE()),""))</f>
        <v/>
      </c>
      <c r="H221" s="22"/>
    </row>
    <row r="222" spans="1:8">
      <c r="A222" s="21"/>
      <c r="B222" s="28"/>
      <c r="C222" s="22"/>
      <c r="D222" s="28"/>
      <c r="E222" s="23" t="str">
        <f>IF($D222="","",IFERROR(VLOOKUP($D222,'ACAH Consumables Tracker'!$A:$H,8,FALSE()),""))</f>
        <v/>
      </c>
      <c r="F222" s="24"/>
      <c r="G222" s="25" t="str">
        <f>IF($D222="","",IFERROR(VLOOKUP($D222,'ACAH Consumables Tracker'!$A:$D,4,FALSE()),""))</f>
        <v/>
      </c>
      <c r="H222" s="22"/>
    </row>
    <row r="223" spans="1:8">
      <c r="A223" s="21"/>
      <c r="B223" s="28"/>
      <c r="C223" s="22"/>
      <c r="D223" s="28"/>
      <c r="E223" s="23" t="str">
        <f>IF($D223="","",IFERROR(VLOOKUP($D223,'ACAH Consumables Tracker'!$A:$H,8,FALSE()),""))</f>
        <v/>
      </c>
      <c r="F223" s="24"/>
      <c r="G223" s="25" t="str">
        <f>IF($D223="","",IFERROR(VLOOKUP($D223,'ACAH Consumables Tracker'!$A:$D,4,FALSE()),""))</f>
        <v/>
      </c>
      <c r="H223" s="22"/>
    </row>
    <row r="224" spans="1:8">
      <c r="A224" s="21"/>
      <c r="B224" s="28"/>
      <c r="C224" s="22"/>
      <c r="D224" s="28"/>
      <c r="E224" s="23" t="str">
        <f>IF($D224="","",IFERROR(VLOOKUP($D224,'ACAH Consumables Tracker'!$A:$H,8,FALSE()),""))</f>
        <v/>
      </c>
      <c r="F224" s="24"/>
      <c r="G224" s="25" t="str">
        <f>IF($D224="","",IFERROR(VLOOKUP($D224,'ACAH Consumables Tracker'!$A:$D,4,FALSE()),""))</f>
        <v/>
      </c>
      <c r="H224" s="22"/>
    </row>
    <row r="225" spans="1:8">
      <c r="A225" s="21"/>
      <c r="B225" s="28"/>
      <c r="C225" s="22"/>
      <c r="D225" s="28"/>
      <c r="E225" s="23" t="str">
        <f>IF($D225="","",IFERROR(VLOOKUP($D225,'ACAH Consumables Tracker'!$A:$H,8,FALSE()),""))</f>
        <v/>
      </c>
      <c r="F225" s="24"/>
      <c r="G225" s="25" t="str">
        <f>IF($D225="","",IFERROR(VLOOKUP($D225,'ACAH Consumables Tracker'!$A:$D,4,FALSE()),""))</f>
        <v/>
      </c>
      <c r="H225" s="22"/>
    </row>
    <row r="226" spans="1:8">
      <c r="A226" s="21"/>
      <c r="B226" s="28"/>
      <c r="C226" s="22"/>
      <c r="D226" s="28"/>
      <c r="E226" s="23" t="str">
        <f>IF($D226="","",IFERROR(VLOOKUP($D226,'ACAH Consumables Tracker'!$A:$H,8,FALSE()),""))</f>
        <v/>
      </c>
      <c r="F226" s="24"/>
      <c r="G226" s="25" t="str">
        <f>IF($D226="","",IFERROR(VLOOKUP($D226,'ACAH Consumables Tracker'!$A:$D,4,FALSE()),""))</f>
        <v/>
      </c>
      <c r="H226" s="22"/>
    </row>
    <row r="227" spans="1:8">
      <c r="A227" s="21"/>
      <c r="B227" s="28"/>
      <c r="C227" s="22"/>
      <c r="D227" s="28"/>
      <c r="E227" s="23" t="str">
        <f>IF($D227="","",IFERROR(VLOOKUP($D227,'ACAH Consumables Tracker'!$A:$H,8,FALSE()),""))</f>
        <v/>
      </c>
      <c r="F227" s="24"/>
      <c r="G227" s="25" t="str">
        <f>IF($D227="","",IFERROR(VLOOKUP($D227,'ACAH Consumables Tracker'!$A:$D,4,FALSE()),""))</f>
        <v/>
      </c>
      <c r="H227" s="22"/>
    </row>
    <row r="228" spans="1:8">
      <c r="A228" s="21"/>
      <c r="B228" s="28"/>
      <c r="C228" s="22"/>
      <c r="D228" s="28"/>
      <c r="E228" s="23" t="str">
        <f>IF($D228="","",IFERROR(VLOOKUP($D228,'ACAH Consumables Tracker'!$A:$H,8,FALSE()),""))</f>
        <v/>
      </c>
      <c r="F228" s="24"/>
      <c r="G228" s="25" t="str">
        <f>IF($D228="","",IFERROR(VLOOKUP($D228,'ACAH Consumables Tracker'!$A:$D,4,FALSE()),""))</f>
        <v/>
      </c>
      <c r="H228" s="22"/>
    </row>
    <row r="229" spans="1:8">
      <c r="A229" s="21"/>
      <c r="B229" s="28"/>
      <c r="C229" s="22"/>
      <c r="D229" s="28"/>
      <c r="E229" s="23" t="str">
        <f>IF($D229="","",IFERROR(VLOOKUP($D229,'ACAH Consumables Tracker'!$A:$H,8,FALSE()),""))</f>
        <v/>
      </c>
      <c r="F229" s="24"/>
      <c r="G229" s="25" t="str">
        <f>IF($D229="","",IFERROR(VLOOKUP($D229,'ACAH Consumables Tracker'!$A:$D,4,FALSE()),""))</f>
        <v/>
      </c>
      <c r="H229" s="22"/>
    </row>
    <row r="230" spans="1:8">
      <c r="A230" s="21"/>
      <c r="B230" s="28"/>
      <c r="C230" s="22"/>
      <c r="D230" s="28"/>
      <c r="E230" s="23" t="str">
        <f>IF($D230="","",IFERROR(VLOOKUP($D230,'ACAH Consumables Tracker'!$A:$H,8,FALSE()),""))</f>
        <v/>
      </c>
      <c r="F230" s="24"/>
      <c r="G230" s="25" t="str">
        <f>IF($D230="","",IFERROR(VLOOKUP($D230,'ACAH Consumables Tracker'!$A:$D,4,FALSE()),""))</f>
        <v/>
      </c>
      <c r="H230" s="22"/>
    </row>
    <row r="231" spans="1:8">
      <c r="A231" s="21"/>
      <c r="B231" s="28"/>
      <c r="C231" s="22"/>
      <c r="D231" s="28"/>
      <c r="E231" s="23" t="str">
        <f>IF($D231="","",IFERROR(VLOOKUP($D231,'ACAH Consumables Tracker'!$A:$H,8,FALSE()),""))</f>
        <v/>
      </c>
      <c r="F231" s="24"/>
      <c r="G231" s="25" t="str">
        <f>IF($D231="","",IFERROR(VLOOKUP($D231,'ACAH Consumables Tracker'!$A:$D,4,FALSE()),""))</f>
        <v/>
      </c>
      <c r="H231" s="22"/>
    </row>
    <row r="232" spans="1:8">
      <c r="A232" s="21"/>
      <c r="B232" s="28"/>
      <c r="C232" s="22"/>
      <c r="D232" s="28"/>
      <c r="E232" s="23" t="str">
        <f>IF($D232="","",IFERROR(VLOOKUP($D232,'ACAH Consumables Tracker'!$A:$H,8,FALSE()),""))</f>
        <v/>
      </c>
      <c r="F232" s="24"/>
      <c r="G232" s="25" t="str">
        <f>IF($D232="","",IFERROR(VLOOKUP($D232,'ACAH Consumables Tracker'!$A:$D,4,FALSE()),""))</f>
        <v/>
      </c>
      <c r="H232" s="22"/>
    </row>
    <row r="233" spans="1:8">
      <c r="A233" s="21"/>
      <c r="B233" s="28"/>
      <c r="C233" s="22"/>
      <c r="D233" s="28"/>
      <c r="E233" s="23" t="str">
        <f>IF($D233="","",IFERROR(VLOOKUP($D233,'ACAH Consumables Tracker'!$A:$H,8,FALSE()),""))</f>
        <v/>
      </c>
      <c r="F233" s="24"/>
      <c r="G233" s="25" t="str">
        <f>IF($D233="","",IFERROR(VLOOKUP($D233,'ACAH Consumables Tracker'!$A:$D,4,FALSE()),""))</f>
        <v/>
      </c>
      <c r="H233" s="22"/>
    </row>
    <row r="234" spans="1:8">
      <c r="A234" s="21"/>
      <c r="B234" s="28"/>
      <c r="C234" s="22"/>
      <c r="D234" s="28"/>
      <c r="E234" s="23" t="str">
        <f>IF($D234="","",IFERROR(VLOOKUP($D234,'ACAH Consumables Tracker'!$A:$H,8,FALSE()),""))</f>
        <v/>
      </c>
      <c r="F234" s="24"/>
      <c r="G234" s="25" t="str">
        <f>IF($D234="","",IFERROR(VLOOKUP($D234,'ACAH Consumables Tracker'!$A:$D,4,FALSE()),""))</f>
        <v/>
      </c>
      <c r="H234" s="22"/>
    </row>
    <row r="235" spans="1:8">
      <c r="A235" s="21"/>
      <c r="B235" s="28"/>
      <c r="C235" s="22"/>
      <c r="D235" s="28"/>
      <c r="E235" s="23" t="str">
        <f>IF($D235="","",IFERROR(VLOOKUP($D235,'ACAH Consumables Tracker'!$A:$H,8,FALSE()),""))</f>
        <v/>
      </c>
      <c r="F235" s="24"/>
      <c r="G235" s="25" t="str">
        <f>IF($D235="","",IFERROR(VLOOKUP($D235,'ACAH Consumables Tracker'!$A:$D,4,FALSE()),""))</f>
        <v/>
      </c>
      <c r="H235" s="22"/>
    </row>
    <row r="236" spans="1:8">
      <c r="A236" s="21"/>
      <c r="B236" s="28"/>
      <c r="C236" s="22"/>
      <c r="D236" s="28"/>
      <c r="E236" s="23" t="str">
        <f>IF($D236="","",IFERROR(VLOOKUP($D236,'ACAH Consumables Tracker'!$A:$H,8,FALSE()),""))</f>
        <v/>
      </c>
      <c r="F236" s="24"/>
      <c r="G236" s="25" t="str">
        <f>IF($D236="","",IFERROR(VLOOKUP($D236,'ACAH Consumables Tracker'!$A:$D,4,FALSE()),""))</f>
        <v/>
      </c>
      <c r="H236" s="22"/>
    </row>
    <row r="237" spans="1:8">
      <c r="A237" s="21"/>
      <c r="B237" s="28"/>
      <c r="C237" s="22"/>
      <c r="D237" s="28"/>
      <c r="E237" s="23" t="str">
        <f>IF($D237="","",IFERROR(VLOOKUP($D237,'ACAH Consumables Tracker'!$A:$H,8,FALSE()),""))</f>
        <v/>
      </c>
      <c r="F237" s="24"/>
      <c r="G237" s="25" t="str">
        <f>IF($D237="","",IFERROR(VLOOKUP($D237,'ACAH Consumables Tracker'!$A:$D,4,FALSE()),""))</f>
        <v/>
      </c>
      <c r="H237" s="22"/>
    </row>
    <row r="238" spans="1:8">
      <c r="A238" s="21"/>
      <c r="B238" s="28"/>
      <c r="C238" s="22"/>
      <c r="D238" s="28"/>
      <c r="E238" s="23" t="str">
        <f>IF($D238="","",IFERROR(VLOOKUP($D238,'ACAH Consumables Tracker'!$A:$H,8,FALSE()),""))</f>
        <v/>
      </c>
      <c r="F238" s="24"/>
      <c r="G238" s="25" t="str">
        <f>IF($D238="","",IFERROR(VLOOKUP($D238,'ACAH Consumables Tracker'!$A:$D,4,FALSE()),""))</f>
        <v/>
      </c>
      <c r="H238" s="22"/>
    </row>
    <row r="239" spans="1:8">
      <c r="A239" s="21"/>
      <c r="B239" s="28"/>
      <c r="C239" s="22"/>
      <c r="D239" s="28"/>
      <c r="E239" s="23" t="str">
        <f>IF($D239="","",IFERROR(VLOOKUP($D239,'ACAH Consumables Tracker'!$A:$H,8,FALSE()),""))</f>
        <v/>
      </c>
      <c r="F239" s="24"/>
      <c r="G239" s="25" t="str">
        <f>IF($D239="","",IFERROR(VLOOKUP($D239,'ACAH Consumables Tracker'!$A:$D,4,FALSE()),""))</f>
        <v/>
      </c>
      <c r="H239" s="22"/>
    </row>
    <row r="240" spans="1:8">
      <c r="A240" s="21"/>
      <c r="B240" s="28"/>
      <c r="C240" s="22"/>
      <c r="D240" s="28"/>
      <c r="E240" s="23" t="str">
        <f>IF($D240="","",IFERROR(VLOOKUP($D240,'ACAH Consumables Tracker'!$A:$H,8,FALSE()),""))</f>
        <v/>
      </c>
      <c r="F240" s="24"/>
      <c r="G240" s="25" t="str">
        <f>IF($D240="","",IFERROR(VLOOKUP($D240,'ACAH Consumables Tracker'!$A:$D,4,FALSE()),""))</f>
        <v/>
      </c>
      <c r="H240" s="22"/>
    </row>
    <row r="241" spans="1:8">
      <c r="A241" s="21"/>
      <c r="B241" s="28"/>
      <c r="C241" s="22"/>
      <c r="D241" s="28"/>
      <c r="E241" s="23" t="str">
        <f>IF($D241="","",IFERROR(VLOOKUP($D241,'ACAH Consumables Tracker'!$A:$H,8,FALSE()),""))</f>
        <v/>
      </c>
      <c r="F241" s="24"/>
      <c r="G241" s="25" t="str">
        <f>IF($D241="","",IFERROR(VLOOKUP($D241,'ACAH Consumables Tracker'!$A:$D,4,FALSE()),""))</f>
        <v/>
      </c>
      <c r="H241" s="22"/>
    </row>
    <row r="242" spans="1:8">
      <c r="A242" s="21"/>
      <c r="B242" s="28"/>
      <c r="C242" s="22"/>
      <c r="D242" s="28"/>
      <c r="E242" s="23" t="str">
        <f>IF($D242="","",IFERROR(VLOOKUP($D242,'ACAH Consumables Tracker'!$A:$H,8,FALSE()),""))</f>
        <v/>
      </c>
      <c r="F242" s="24"/>
      <c r="G242" s="25" t="str">
        <f>IF($D242="","",IFERROR(VLOOKUP($D242,'ACAH Consumables Tracker'!$A:$D,4,FALSE()),""))</f>
        <v/>
      </c>
      <c r="H242" s="22"/>
    </row>
    <row r="243" spans="1:8">
      <c r="A243" s="21"/>
      <c r="B243" s="28"/>
      <c r="C243" s="22"/>
      <c r="D243" s="28"/>
      <c r="E243" s="23" t="str">
        <f>IF($D243="","",IFERROR(VLOOKUP($D243,'ACAH Consumables Tracker'!$A:$H,8,FALSE()),""))</f>
        <v/>
      </c>
      <c r="F243" s="24"/>
      <c r="G243" s="25" t="str">
        <f>IF($D243="","",IFERROR(VLOOKUP($D243,'ACAH Consumables Tracker'!$A:$D,4,FALSE()),""))</f>
        <v/>
      </c>
      <c r="H243" s="22"/>
    </row>
    <row r="244" spans="1:8">
      <c r="A244" s="21"/>
      <c r="B244" s="28"/>
      <c r="C244" s="22"/>
      <c r="D244" s="28"/>
      <c r="E244" s="23" t="str">
        <f>IF($D244="","",IFERROR(VLOOKUP($D244,'ACAH Consumables Tracker'!$A:$H,8,FALSE()),""))</f>
        <v/>
      </c>
      <c r="F244" s="24"/>
      <c r="G244" s="25" t="str">
        <f>IF($D244="","",IFERROR(VLOOKUP($D244,'ACAH Consumables Tracker'!$A:$D,4,FALSE()),""))</f>
        <v/>
      </c>
      <c r="H244" s="22"/>
    </row>
    <row r="245" spans="1:8">
      <c r="A245" s="21"/>
      <c r="B245" s="28"/>
      <c r="C245" s="22"/>
      <c r="D245" s="28"/>
      <c r="E245" s="23" t="str">
        <f>IF($D245="","",IFERROR(VLOOKUP($D245,'ACAH Consumables Tracker'!$A:$H,8,FALSE()),""))</f>
        <v/>
      </c>
      <c r="F245" s="24"/>
      <c r="G245" s="25" t="str">
        <f>IF($D245="","",IFERROR(VLOOKUP($D245,'ACAH Consumables Tracker'!$A:$D,4,FALSE()),""))</f>
        <v/>
      </c>
      <c r="H245" s="22"/>
    </row>
    <row r="246" spans="1:8">
      <c r="A246" s="21"/>
      <c r="B246" s="28"/>
      <c r="C246" s="22"/>
      <c r="D246" s="28"/>
      <c r="E246" s="23" t="str">
        <f>IF($D246="","",IFERROR(VLOOKUP($D246,'ACAH Consumables Tracker'!$A:$H,8,FALSE()),""))</f>
        <v/>
      </c>
      <c r="F246" s="24"/>
      <c r="G246" s="25" t="str">
        <f>IF($D246="","",IFERROR(VLOOKUP($D246,'ACAH Consumables Tracker'!$A:$D,4,FALSE()),""))</f>
        <v/>
      </c>
      <c r="H246" s="22"/>
    </row>
    <row r="247" spans="1:8">
      <c r="A247" s="21"/>
      <c r="B247" s="28"/>
      <c r="C247" s="22"/>
      <c r="D247" s="28"/>
      <c r="E247" s="23" t="str">
        <f>IF($D247="","",IFERROR(VLOOKUP($D247,'ACAH Consumables Tracker'!$A:$H,8,FALSE()),""))</f>
        <v/>
      </c>
      <c r="F247" s="24"/>
      <c r="G247" s="25" t="str">
        <f>IF($D247="","",IFERROR(VLOOKUP($D247,'ACAH Consumables Tracker'!$A:$D,4,FALSE()),""))</f>
        <v/>
      </c>
      <c r="H247" s="22"/>
    </row>
    <row r="248" spans="1:8">
      <c r="A248" s="21"/>
      <c r="B248" s="28"/>
      <c r="C248" s="22"/>
      <c r="D248" s="28"/>
      <c r="E248" s="23" t="str">
        <f>IF($D248="","",IFERROR(VLOOKUP($D248,'ACAH Consumables Tracker'!$A:$H,8,FALSE()),""))</f>
        <v/>
      </c>
      <c r="F248" s="24"/>
      <c r="G248" s="25" t="str">
        <f>IF($D248="","",IFERROR(VLOOKUP($D248,'ACAH Consumables Tracker'!$A:$D,4,FALSE()),""))</f>
        <v/>
      </c>
      <c r="H248" s="22"/>
    </row>
    <row r="249" spans="1:8">
      <c r="A249" s="21"/>
      <c r="B249" s="28"/>
      <c r="C249" s="22"/>
      <c r="D249" s="28"/>
      <c r="E249" s="23" t="str">
        <f>IF($D249="","",IFERROR(VLOOKUP($D249,'ACAH Consumables Tracker'!$A:$H,8,FALSE()),""))</f>
        <v/>
      </c>
      <c r="F249" s="24"/>
      <c r="G249" s="25" t="str">
        <f>IF($D249="","",IFERROR(VLOOKUP($D249,'ACAH Consumables Tracker'!$A:$D,4,FALSE()),""))</f>
        <v/>
      </c>
      <c r="H249" s="22"/>
    </row>
    <row r="250" spans="1:8">
      <c r="A250" s="21"/>
      <c r="B250" s="28"/>
      <c r="C250" s="22"/>
      <c r="D250" s="28"/>
      <c r="E250" s="23" t="str">
        <f>IF($D250="","",IFERROR(VLOOKUP($D250,'ACAH Consumables Tracker'!$A:$H,8,FALSE()),""))</f>
        <v/>
      </c>
      <c r="F250" s="24"/>
      <c r="G250" s="25" t="str">
        <f>IF($D250="","",IFERROR(VLOOKUP($D250,'ACAH Consumables Tracker'!$A:$D,4,FALSE()),""))</f>
        <v/>
      </c>
      <c r="H250" s="22"/>
    </row>
    <row r="251" spans="1:8">
      <c r="A251" s="21"/>
      <c r="B251" s="28"/>
      <c r="C251" s="22"/>
      <c r="D251" s="28"/>
      <c r="E251" s="23" t="str">
        <f>IF($D251="","",IFERROR(VLOOKUP($D251,'ACAH Consumables Tracker'!$A:$H,8,FALSE()),""))</f>
        <v/>
      </c>
      <c r="F251" s="24"/>
      <c r="G251" s="25" t="str">
        <f>IF($D251="","",IFERROR(VLOOKUP($D251,'ACAH Consumables Tracker'!$A:$D,4,FALSE()),""))</f>
        <v/>
      </c>
      <c r="H251" s="22"/>
    </row>
    <row r="252" spans="1:8">
      <c r="A252" s="21"/>
      <c r="B252" s="28"/>
      <c r="C252" s="22"/>
      <c r="D252" s="28"/>
      <c r="E252" s="23" t="str">
        <f>IF($D252="","",IFERROR(VLOOKUP($D252,'ACAH Consumables Tracker'!$A:$H,8,FALSE()),""))</f>
        <v/>
      </c>
      <c r="F252" s="24"/>
      <c r="G252" s="25" t="str">
        <f>IF($D252="","",IFERROR(VLOOKUP($D252,'ACAH Consumables Tracker'!$A:$D,4,FALSE()),""))</f>
        <v/>
      </c>
      <c r="H252" s="22"/>
    </row>
    <row r="253" spans="1:8">
      <c r="A253" s="21"/>
      <c r="B253" s="28"/>
      <c r="C253" s="22"/>
      <c r="D253" s="28"/>
      <c r="E253" s="23" t="str">
        <f>IF($D253="","",IFERROR(VLOOKUP($D253,'ACAH Consumables Tracker'!$A:$H,8,FALSE()),""))</f>
        <v/>
      </c>
      <c r="F253" s="24"/>
      <c r="G253" s="25" t="str">
        <f>IF($D253="","",IFERROR(VLOOKUP($D253,'ACAH Consumables Tracker'!$A:$D,4,FALSE()),""))</f>
        <v/>
      </c>
      <c r="H253" s="22"/>
    </row>
    <row r="254" spans="1:8">
      <c r="A254" s="21"/>
      <c r="B254" s="28"/>
      <c r="C254" s="22"/>
      <c r="D254" s="28"/>
      <c r="E254" s="23" t="str">
        <f>IF($D254="","",IFERROR(VLOOKUP($D254,'ACAH Consumables Tracker'!$A:$H,8,FALSE()),""))</f>
        <v/>
      </c>
      <c r="F254" s="24"/>
      <c r="G254" s="25" t="str">
        <f>IF($D254="","",IFERROR(VLOOKUP($D254,'ACAH Consumables Tracker'!$A:$D,4,FALSE()),""))</f>
        <v/>
      </c>
      <c r="H254" s="22"/>
    </row>
    <row r="255" spans="1:8">
      <c r="A255" s="21"/>
      <c r="B255" s="28"/>
      <c r="C255" s="22"/>
      <c r="D255" s="28"/>
      <c r="E255" s="23" t="str">
        <f>IF($D255="","",IFERROR(VLOOKUP($D255,'ACAH Consumables Tracker'!$A:$H,8,FALSE()),""))</f>
        <v/>
      </c>
      <c r="F255" s="24"/>
      <c r="G255" s="25" t="str">
        <f>IF($D255="","",IFERROR(VLOOKUP($D255,'ACAH Consumables Tracker'!$A:$D,4,FALSE()),""))</f>
        <v/>
      </c>
      <c r="H255" s="22"/>
    </row>
    <row r="256" spans="1:8">
      <c r="A256" s="21"/>
      <c r="B256" s="28"/>
      <c r="C256" s="22"/>
      <c r="D256" s="28"/>
      <c r="E256" s="23" t="str">
        <f>IF($D256="","",IFERROR(VLOOKUP($D256,'ACAH Consumables Tracker'!$A:$H,8,FALSE()),""))</f>
        <v/>
      </c>
      <c r="F256" s="24"/>
      <c r="G256" s="25" t="str">
        <f>IF($D256="","",IFERROR(VLOOKUP($D256,'ACAH Consumables Tracker'!$A:$D,4,FALSE()),""))</f>
        <v/>
      </c>
      <c r="H256" s="22"/>
    </row>
    <row r="257" spans="1:8">
      <c r="A257" s="21"/>
      <c r="B257" s="28"/>
      <c r="C257" s="22"/>
      <c r="D257" s="28"/>
      <c r="E257" s="23" t="str">
        <f>IF($D257="","",IFERROR(VLOOKUP($D257,'ACAH Consumables Tracker'!$A:$H,8,FALSE()),""))</f>
        <v/>
      </c>
      <c r="F257" s="24"/>
      <c r="G257" s="25" t="str">
        <f>IF($D257="","",IFERROR(VLOOKUP($D257,'ACAH Consumables Tracker'!$A:$D,4,FALSE()),""))</f>
        <v/>
      </c>
      <c r="H257" s="22"/>
    </row>
    <row r="258" spans="1:8">
      <c r="A258" s="21"/>
      <c r="B258" s="28"/>
      <c r="C258" s="22"/>
      <c r="D258" s="28"/>
      <c r="E258" s="23" t="str">
        <f>IF($D258="","",IFERROR(VLOOKUP($D258,'ACAH Consumables Tracker'!$A:$H,8,FALSE()),""))</f>
        <v/>
      </c>
      <c r="F258" s="24"/>
      <c r="G258" s="25" t="str">
        <f>IF($D258="","",IFERROR(VLOOKUP($D258,'ACAH Consumables Tracker'!$A:$D,4,FALSE()),""))</f>
        <v/>
      </c>
      <c r="H258" s="22"/>
    </row>
    <row r="259" spans="1:8">
      <c r="A259" s="21"/>
      <c r="B259" s="28"/>
      <c r="C259" s="22"/>
      <c r="D259" s="28"/>
      <c r="E259" s="23" t="str">
        <f>IF($D259="","",IFERROR(VLOOKUP($D259,'ACAH Consumables Tracker'!$A:$H,8,FALSE()),""))</f>
        <v/>
      </c>
      <c r="F259" s="24"/>
      <c r="G259" s="25" t="str">
        <f>IF($D259="","",IFERROR(VLOOKUP($D259,'ACAH Consumables Tracker'!$A:$D,4,FALSE()),""))</f>
        <v/>
      </c>
      <c r="H259" s="22"/>
    </row>
    <row r="260" spans="1:8">
      <c r="A260" s="21"/>
      <c r="B260" s="28"/>
      <c r="C260" s="22"/>
      <c r="D260" s="28"/>
      <c r="E260" s="23" t="str">
        <f>IF($D260="","",IFERROR(VLOOKUP($D260,'ACAH Consumables Tracker'!$A:$H,8,FALSE()),""))</f>
        <v/>
      </c>
      <c r="F260" s="24"/>
      <c r="G260" s="25" t="str">
        <f>IF($D260="","",IFERROR(VLOOKUP($D260,'ACAH Consumables Tracker'!$A:$D,4,FALSE()),""))</f>
        <v/>
      </c>
      <c r="H260" s="22"/>
    </row>
    <row r="261" spans="1:8">
      <c r="A261" s="21"/>
      <c r="B261" s="28"/>
      <c r="C261" s="22"/>
      <c r="D261" s="28"/>
      <c r="E261" s="23" t="str">
        <f>IF($D261="","",IFERROR(VLOOKUP($D261,'ACAH Consumables Tracker'!$A:$H,8,FALSE()),""))</f>
        <v/>
      </c>
      <c r="F261" s="24"/>
      <c r="G261" s="25" t="str">
        <f>IF($D261="","",IFERROR(VLOOKUP($D261,'ACAH Consumables Tracker'!$A:$D,4,FALSE()),""))</f>
        <v/>
      </c>
      <c r="H261" s="22"/>
    </row>
    <row r="262" spans="1:8">
      <c r="A262" s="21"/>
      <c r="B262" s="28"/>
      <c r="C262" s="22"/>
      <c r="D262" s="28"/>
      <c r="E262" s="23" t="str">
        <f>IF($D262="","",IFERROR(VLOOKUP($D262,'ACAH Consumables Tracker'!$A:$H,8,FALSE()),""))</f>
        <v/>
      </c>
      <c r="F262" s="24"/>
      <c r="G262" s="25" t="str">
        <f>IF($D262="","",IFERROR(VLOOKUP($D262,'ACAH Consumables Tracker'!$A:$D,4,FALSE()),""))</f>
        <v/>
      </c>
      <c r="H262" s="22"/>
    </row>
    <row r="263" spans="1:8">
      <c r="A263" s="21"/>
      <c r="B263" s="28"/>
      <c r="C263" s="22"/>
      <c r="D263" s="28"/>
      <c r="E263" s="23" t="str">
        <f>IF($D263="","",IFERROR(VLOOKUP($D263,'ACAH Consumables Tracker'!$A:$H,8,FALSE()),""))</f>
        <v/>
      </c>
      <c r="F263" s="24"/>
      <c r="G263" s="25" t="str">
        <f>IF($D263="","",IFERROR(VLOOKUP($D263,'ACAH Consumables Tracker'!$A:$D,4,FALSE()),""))</f>
        <v/>
      </c>
      <c r="H263" s="22"/>
    </row>
    <row r="264" spans="1:8">
      <c r="A264" s="21"/>
      <c r="B264" s="28"/>
      <c r="C264" s="22"/>
      <c r="D264" s="28"/>
      <c r="E264" s="23" t="str">
        <f>IF($D264="","",IFERROR(VLOOKUP($D264,'ACAH Consumables Tracker'!$A:$H,8,FALSE()),""))</f>
        <v/>
      </c>
      <c r="F264" s="24"/>
      <c r="G264" s="25" t="str">
        <f>IF($D264="","",IFERROR(VLOOKUP($D264,'ACAH Consumables Tracker'!$A:$D,4,FALSE()),""))</f>
        <v/>
      </c>
      <c r="H264" s="22"/>
    </row>
    <row r="265" spans="1:8">
      <c r="A265" s="21"/>
      <c r="B265" s="28"/>
      <c r="C265" s="22"/>
      <c r="D265" s="28"/>
      <c r="E265" s="23" t="str">
        <f>IF($D265="","",IFERROR(VLOOKUP($D265,'ACAH Consumables Tracker'!$A:$H,8,FALSE()),""))</f>
        <v/>
      </c>
      <c r="F265" s="24"/>
      <c r="G265" s="25" t="str">
        <f>IF($D265="","",IFERROR(VLOOKUP($D265,'ACAH Consumables Tracker'!$A:$D,4,FALSE()),""))</f>
        <v/>
      </c>
      <c r="H265" s="22"/>
    </row>
    <row r="266" spans="1:8">
      <c r="A266" s="21"/>
      <c r="B266" s="28"/>
      <c r="C266" s="22"/>
      <c r="D266" s="28"/>
      <c r="E266" s="23" t="str">
        <f>IF($D266="","",IFERROR(VLOOKUP($D266,'ACAH Consumables Tracker'!$A:$H,8,FALSE()),""))</f>
        <v/>
      </c>
      <c r="F266" s="24"/>
      <c r="G266" s="25" t="str">
        <f>IF($D266="","",IFERROR(VLOOKUP($D266,'ACAH Consumables Tracker'!$A:$D,4,FALSE()),""))</f>
        <v/>
      </c>
      <c r="H266" s="22"/>
    </row>
    <row r="267" spans="1:8">
      <c r="A267" s="21"/>
      <c r="B267" s="28"/>
      <c r="C267" s="22"/>
      <c r="D267" s="28"/>
      <c r="E267" s="23" t="str">
        <f>IF($D267="","",IFERROR(VLOOKUP($D267,'ACAH Consumables Tracker'!$A:$H,8,FALSE()),""))</f>
        <v/>
      </c>
      <c r="F267" s="24"/>
      <c r="G267" s="25" t="str">
        <f>IF($D267="","",IFERROR(VLOOKUP($D267,'ACAH Consumables Tracker'!$A:$D,4,FALSE()),""))</f>
        <v/>
      </c>
      <c r="H267" s="22"/>
    </row>
    <row r="268" spans="1:8">
      <c r="A268" s="21"/>
      <c r="B268" s="28"/>
      <c r="C268" s="22"/>
      <c r="D268" s="28"/>
      <c r="E268" s="23" t="str">
        <f>IF($D268="","",IFERROR(VLOOKUP($D268,'ACAH Consumables Tracker'!$A:$H,8,FALSE()),""))</f>
        <v/>
      </c>
      <c r="F268" s="24"/>
      <c r="G268" s="25" t="str">
        <f>IF($D268="","",IFERROR(VLOOKUP($D268,'ACAH Consumables Tracker'!$A:$D,4,FALSE()),""))</f>
        <v/>
      </c>
      <c r="H268" s="22"/>
    </row>
    <row r="269" spans="1:8">
      <c r="A269" s="21"/>
      <c r="B269" s="28"/>
      <c r="C269" s="22"/>
      <c r="D269" s="28"/>
      <c r="E269" s="23" t="str">
        <f>IF($D269="","",IFERROR(VLOOKUP($D269,'ACAH Consumables Tracker'!$A:$H,8,FALSE()),""))</f>
        <v/>
      </c>
      <c r="F269" s="24"/>
      <c r="G269" s="25" t="str">
        <f>IF($D269="","",IFERROR(VLOOKUP($D269,'ACAH Consumables Tracker'!$A:$D,4,FALSE()),""))</f>
        <v/>
      </c>
      <c r="H269" s="22"/>
    </row>
    <row r="270" spans="1:8">
      <c r="A270" s="21"/>
      <c r="B270" s="28"/>
      <c r="C270" s="22"/>
      <c r="D270" s="28"/>
      <c r="E270" s="23" t="str">
        <f>IF($D270="","",IFERROR(VLOOKUP($D270,'ACAH Consumables Tracker'!$A:$H,8,FALSE()),""))</f>
        <v/>
      </c>
      <c r="F270" s="24"/>
      <c r="G270" s="25" t="str">
        <f>IF($D270="","",IFERROR(VLOOKUP($D270,'ACAH Consumables Tracker'!$A:$D,4,FALSE()),""))</f>
        <v/>
      </c>
      <c r="H270" s="22"/>
    </row>
    <row r="271" spans="1:8">
      <c r="A271" s="21"/>
      <c r="B271" s="28"/>
      <c r="C271" s="22"/>
      <c r="D271" s="28"/>
      <c r="E271" s="23" t="str">
        <f>IF($D271="","",IFERROR(VLOOKUP($D271,'ACAH Consumables Tracker'!$A:$H,8,FALSE()),""))</f>
        <v/>
      </c>
      <c r="F271" s="24"/>
      <c r="G271" s="25" t="str">
        <f>IF($D271="","",IFERROR(VLOOKUP($D271,'ACAH Consumables Tracker'!$A:$D,4,FALSE()),""))</f>
        <v/>
      </c>
      <c r="H271" s="22"/>
    </row>
    <row r="272" spans="1:8">
      <c r="A272" s="21"/>
      <c r="B272" s="28"/>
      <c r="C272" s="22"/>
      <c r="D272" s="28"/>
      <c r="E272" s="23" t="str">
        <f>IF($D272="","",IFERROR(VLOOKUP($D272,'ACAH Consumables Tracker'!$A:$H,8,FALSE()),""))</f>
        <v/>
      </c>
      <c r="F272" s="24"/>
      <c r="G272" s="25" t="str">
        <f>IF($D272="","",IFERROR(VLOOKUP($D272,'ACAH Consumables Tracker'!$A:$D,4,FALSE()),""))</f>
        <v/>
      </c>
      <c r="H272" s="22"/>
    </row>
    <row r="273" spans="1:8">
      <c r="A273" s="21"/>
      <c r="B273" s="28"/>
      <c r="C273" s="22"/>
      <c r="D273" s="28"/>
      <c r="E273" s="23" t="str">
        <f>IF($D273="","",IFERROR(VLOOKUP($D273,'ACAH Consumables Tracker'!$A:$H,8,FALSE()),""))</f>
        <v/>
      </c>
      <c r="F273" s="24"/>
      <c r="G273" s="25" t="str">
        <f>IF($D273="","",IFERROR(VLOOKUP($D273,'ACAH Consumables Tracker'!$A:$D,4,FALSE()),""))</f>
        <v/>
      </c>
      <c r="H273" s="22"/>
    </row>
    <row r="274" spans="1:8">
      <c r="A274" s="21"/>
      <c r="B274" s="28"/>
      <c r="C274" s="22"/>
      <c r="D274" s="28"/>
      <c r="E274" s="23" t="str">
        <f>IF($D274="","",IFERROR(VLOOKUP($D274,'ACAH Consumables Tracker'!$A:$H,8,FALSE()),""))</f>
        <v/>
      </c>
      <c r="F274" s="24"/>
      <c r="G274" s="25" t="str">
        <f>IF($D274="","",IFERROR(VLOOKUP($D274,'ACAH Consumables Tracker'!$A:$D,4,FALSE()),""))</f>
        <v/>
      </c>
      <c r="H274" s="22"/>
    </row>
    <row r="275" spans="1:8">
      <c r="A275" s="21"/>
      <c r="B275" s="28"/>
      <c r="C275" s="22"/>
      <c r="D275" s="28"/>
      <c r="E275" s="23" t="str">
        <f>IF($D275="","",IFERROR(VLOOKUP($D275,'ACAH Consumables Tracker'!$A:$H,8,FALSE()),""))</f>
        <v/>
      </c>
      <c r="F275" s="24"/>
      <c r="G275" s="25" t="str">
        <f>IF($D275="","",IFERROR(VLOOKUP($D275,'ACAH Consumables Tracker'!$A:$D,4,FALSE()),""))</f>
        <v/>
      </c>
      <c r="H275" s="22"/>
    </row>
    <row r="276" spans="1:8">
      <c r="A276" s="21"/>
      <c r="B276" s="28"/>
      <c r="C276" s="22"/>
      <c r="D276" s="28"/>
      <c r="E276" s="23" t="str">
        <f>IF($D276="","",IFERROR(VLOOKUP($D276,'ACAH Consumables Tracker'!$A:$H,8,FALSE()),""))</f>
        <v/>
      </c>
      <c r="F276" s="24"/>
      <c r="G276" s="25" t="str">
        <f>IF($D276="","",IFERROR(VLOOKUP($D276,'ACAH Consumables Tracker'!$A:$D,4,FALSE()),""))</f>
        <v/>
      </c>
      <c r="H276" s="22"/>
    </row>
    <row r="277" spans="1:8">
      <c r="A277" s="21"/>
      <c r="B277" s="28"/>
      <c r="C277" s="22"/>
      <c r="D277" s="28"/>
      <c r="E277" s="23" t="str">
        <f>IF($D277="","",IFERROR(VLOOKUP($D277,'ACAH Consumables Tracker'!$A:$H,8,FALSE()),""))</f>
        <v/>
      </c>
      <c r="F277" s="24"/>
      <c r="G277" s="25" t="str">
        <f>IF($D277="","",IFERROR(VLOOKUP($D277,'ACAH Consumables Tracker'!$A:$D,4,FALSE()),""))</f>
        <v/>
      </c>
      <c r="H277" s="22"/>
    </row>
    <row r="278" spans="1:8">
      <c r="A278" s="21"/>
      <c r="B278" s="28"/>
      <c r="C278" s="22"/>
      <c r="D278" s="28"/>
      <c r="E278" s="23" t="str">
        <f>IF($D278="","",IFERROR(VLOOKUP($D278,'ACAH Consumables Tracker'!$A:$H,8,FALSE()),""))</f>
        <v/>
      </c>
      <c r="F278" s="24"/>
      <c r="G278" s="25" t="str">
        <f>IF($D278="","",IFERROR(VLOOKUP($D278,'ACAH Consumables Tracker'!$A:$D,4,FALSE()),""))</f>
        <v/>
      </c>
      <c r="H278" s="22"/>
    </row>
    <row r="279" spans="1:8">
      <c r="A279" s="21"/>
      <c r="B279" s="28"/>
      <c r="C279" s="22"/>
      <c r="D279" s="28"/>
      <c r="E279" s="23" t="str">
        <f>IF($D279="","",IFERROR(VLOOKUP($D279,'ACAH Consumables Tracker'!$A:$H,8,FALSE()),""))</f>
        <v/>
      </c>
      <c r="F279" s="24"/>
      <c r="G279" s="25" t="str">
        <f>IF($D279="","",IFERROR(VLOOKUP($D279,'ACAH Consumables Tracker'!$A:$D,4,FALSE()),""))</f>
        <v/>
      </c>
      <c r="H279" s="22"/>
    </row>
    <row r="280" spans="1:8">
      <c r="A280" s="21"/>
      <c r="B280" s="28"/>
      <c r="C280" s="22"/>
      <c r="D280" s="28"/>
      <c r="E280" s="23" t="str">
        <f>IF($D280="","",IFERROR(VLOOKUP($D280,'ACAH Consumables Tracker'!$A:$H,8,FALSE()),""))</f>
        <v/>
      </c>
      <c r="F280" s="24"/>
      <c r="G280" s="25" t="str">
        <f>IF($D280="","",IFERROR(VLOOKUP($D280,'ACAH Consumables Tracker'!$A:$D,4,FALSE()),""))</f>
        <v/>
      </c>
      <c r="H280" s="22"/>
    </row>
    <row r="281" spans="1:8">
      <c r="A281" s="21"/>
      <c r="B281" s="28"/>
      <c r="C281" s="22"/>
      <c r="D281" s="28"/>
      <c r="E281" s="23" t="str">
        <f>IF($D281="","",IFERROR(VLOOKUP($D281,'ACAH Consumables Tracker'!$A:$H,8,FALSE()),""))</f>
        <v/>
      </c>
      <c r="F281" s="24"/>
      <c r="G281" s="25" t="str">
        <f>IF($D281="","",IFERROR(VLOOKUP($D281,'ACAH Consumables Tracker'!$A:$D,4,FALSE()),""))</f>
        <v/>
      </c>
      <c r="H281" s="22"/>
    </row>
    <row r="282" spans="1:8">
      <c r="A282" s="21"/>
      <c r="B282" s="28"/>
      <c r="C282" s="22"/>
      <c r="D282" s="28"/>
      <c r="E282" s="23" t="str">
        <f>IF($D282="","",IFERROR(VLOOKUP($D282,'ACAH Consumables Tracker'!$A:$H,8,FALSE()),""))</f>
        <v/>
      </c>
      <c r="F282" s="24"/>
      <c r="G282" s="25" t="str">
        <f>IF($D282="","",IFERROR(VLOOKUP($D282,'ACAH Consumables Tracker'!$A:$D,4,FALSE()),""))</f>
        <v/>
      </c>
      <c r="H282" s="22"/>
    </row>
    <row r="283" spans="1:8">
      <c r="A283" s="21"/>
      <c r="B283" s="28"/>
      <c r="C283" s="22"/>
      <c r="D283" s="28"/>
      <c r="E283" s="23" t="str">
        <f>IF($D283="","",IFERROR(VLOOKUP($D283,'ACAH Consumables Tracker'!$A:$H,8,FALSE()),""))</f>
        <v/>
      </c>
      <c r="F283" s="24"/>
      <c r="G283" s="25" t="str">
        <f>IF($D283="","",IFERROR(VLOOKUP($D283,'ACAH Consumables Tracker'!$A:$D,4,FALSE()),""))</f>
        <v/>
      </c>
      <c r="H283" s="22"/>
    </row>
    <row r="284" spans="1:8">
      <c r="A284" s="21"/>
      <c r="B284" s="28"/>
      <c r="C284" s="22"/>
      <c r="D284" s="28"/>
      <c r="E284" s="23" t="str">
        <f>IF($D284="","",IFERROR(VLOOKUP($D284,'ACAH Consumables Tracker'!$A:$H,8,FALSE()),""))</f>
        <v/>
      </c>
      <c r="F284" s="24"/>
      <c r="G284" s="25" t="str">
        <f>IF($D284="","",IFERROR(VLOOKUP($D284,'ACAH Consumables Tracker'!$A:$D,4,FALSE()),""))</f>
        <v/>
      </c>
      <c r="H284" s="22"/>
    </row>
    <row r="285" spans="1:8">
      <c r="A285" s="21"/>
      <c r="B285" s="28"/>
      <c r="C285" s="22"/>
      <c r="D285" s="28"/>
      <c r="E285" s="23" t="str">
        <f>IF($D285="","",IFERROR(VLOOKUP($D285,'ACAH Consumables Tracker'!$A:$H,8,FALSE()),""))</f>
        <v/>
      </c>
      <c r="F285" s="24"/>
      <c r="G285" s="25" t="str">
        <f>IF($D285="","",IFERROR(VLOOKUP($D285,'ACAH Consumables Tracker'!$A:$D,4,FALSE()),""))</f>
        <v/>
      </c>
      <c r="H285" s="22"/>
    </row>
    <row r="286" spans="1:8">
      <c r="A286" s="21"/>
      <c r="B286" s="28"/>
      <c r="C286" s="22"/>
      <c r="D286" s="28"/>
      <c r="E286" s="23" t="str">
        <f>IF($D286="","",IFERROR(VLOOKUP($D286,'ACAH Consumables Tracker'!$A:$H,8,FALSE()),""))</f>
        <v/>
      </c>
      <c r="F286" s="24"/>
      <c r="G286" s="25" t="str">
        <f>IF($D286="","",IFERROR(VLOOKUP($D286,'ACAH Consumables Tracker'!$A:$D,4,FALSE()),""))</f>
        <v/>
      </c>
      <c r="H286" s="22"/>
    </row>
    <row r="287" spans="1:8">
      <c r="A287" s="21"/>
      <c r="B287" s="28"/>
      <c r="C287" s="22"/>
      <c r="D287" s="28"/>
      <c r="E287" s="23" t="str">
        <f>IF($D287="","",IFERROR(VLOOKUP($D287,'ACAH Consumables Tracker'!$A:$H,8,FALSE()),""))</f>
        <v/>
      </c>
      <c r="F287" s="24"/>
      <c r="G287" s="25" t="str">
        <f>IF($D287="","",IFERROR(VLOOKUP($D287,'ACAH Consumables Tracker'!$A:$D,4,FALSE()),""))</f>
        <v/>
      </c>
      <c r="H287" s="22"/>
    </row>
    <row r="288" spans="1:8">
      <c r="A288" s="21"/>
      <c r="B288" s="28"/>
      <c r="C288" s="22"/>
      <c r="D288" s="28"/>
      <c r="E288" s="23" t="str">
        <f>IF($D288="","",IFERROR(VLOOKUP($D288,'ACAH Consumables Tracker'!$A:$H,8,FALSE()),""))</f>
        <v/>
      </c>
      <c r="F288" s="24"/>
      <c r="G288" s="25" t="str">
        <f>IF($D288="","",IFERROR(VLOOKUP($D288,'ACAH Consumables Tracker'!$A:$D,4,FALSE()),""))</f>
        <v/>
      </c>
      <c r="H288" s="22"/>
    </row>
    <row r="289" spans="1:8">
      <c r="A289" s="21"/>
      <c r="B289" s="28"/>
      <c r="C289" s="22"/>
      <c r="D289" s="28"/>
      <c r="E289" s="23" t="str">
        <f>IF($D289="","",IFERROR(VLOOKUP($D289,'ACAH Consumables Tracker'!$A:$H,8,FALSE()),""))</f>
        <v/>
      </c>
      <c r="F289" s="24"/>
      <c r="G289" s="25" t="str">
        <f>IF($D289="","",IFERROR(VLOOKUP($D289,'ACAH Consumables Tracker'!$A:$D,4,FALSE()),""))</f>
        <v/>
      </c>
      <c r="H289" s="22"/>
    </row>
    <row r="290" spans="1:8">
      <c r="A290" s="21"/>
      <c r="B290" s="28"/>
      <c r="C290" s="22"/>
      <c r="D290" s="28"/>
      <c r="E290" s="23" t="str">
        <f>IF($D290="","",IFERROR(VLOOKUP($D290,'ACAH Consumables Tracker'!$A:$H,8,FALSE()),""))</f>
        <v/>
      </c>
      <c r="F290" s="24"/>
      <c r="G290" s="25" t="str">
        <f>IF($D290="","",IFERROR(VLOOKUP($D290,'ACAH Consumables Tracker'!$A:$D,4,FALSE()),""))</f>
        <v/>
      </c>
      <c r="H290" s="22"/>
    </row>
    <row r="291" spans="1:8">
      <c r="A291" s="21"/>
      <c r="B291" s="28"/>
      <c r="C291" s="22"/>
      <c r="D291" s="28"/>
      <c r="E291" s="23" t="str">
        <f>IF($D291="","",IFERROR(VLOOKUP($D291,'ACAH Consumables Tracker'!$A:$H,8,FALSE()),""))</f>
        <v/>
      </c>
      <c r="F291" s="24"/>
      <c r="G291" s="25" t="str">
        <f>IF($D291="","",IFERROR(VLOOKUP($D291,'ACAH Consumables Tracker'!$A:$D,4,FALSE()),""))</f>
        <v/>
      </c>
      <c r="H291" s="22"/>
    </row>
    <row r="292" spans="1:8">
      <c r="A292" s="21"/>
      <c r="B292" s="28"/>
      <c r="C292" s="22"/>
      <c r="D292" s="28"/>
      <c r="E292" s="23" t="str">
        <f>IF($D292="","",IFERROR(VLOOKUP($D292,'ACAH Consumables Tracker'!$A:$H,8,FALSE()),""))</f>
        <v/>
      </c>
      <c r="F292" s="24"/>
      <c r="G292" s="25" t="str">
        <f>IF($D292="","",IFERROR(VLOOKUP($D292,'ACAH Consumables Tracker'!$A:$D,4,FALSE()),""))</f>
        <v/>
      </c>
      <c r="H292" s="22"/>
    </row>
    <row r="293" spans="1:8">
      <c r="A293" s="21"/>
      <c r="B293" s="28"/>
      <c r="C293" s="22"/>
      <c r="D293" s="28"/>
      <c r="E293" s="23" t="str">
        <f>IF($D293="","",IFERROR(VLOOKUP($D293,'ACAH Consumables Tracker'!$A:$H,8,FALSE()),""))</f>
        <v/>
      </c>
      <c r="F293" s="24"/>
      <c r="G293" s="25" t="str">
        <f>IF($D293="","",IFERROR(VLOOKUP($D293,'ACAH Consumables Tracker'!$A:$D,4,FALSE()),""))</f>
        <v/>
      </c>
      <c r="H293" s="22"/>
    </row>
    <row r="294" spans="1:8">
      <c r="A294" s="21"/>
      <c r="B294" s="28"/>
      <c r="C294" s="22"/>
      <c r="D294" s="28"/>
      <c r="E294" s="23" t="str">
        <f>IF($D294="","",IFERROR(VLOOKUP($D294,'ACAH Consumables Tracker'!$A:$H,8,FALSE()),""))</f>
        <v/>
      </c>
      <c r="F294" s="24"/>
      <c r="G294" s="25" t="str">
        <f>IF($D294="","",IFERROR(VLOOKUP($D294,'ACAH Consumables Tracker'!$A:$D,4,FALSE()),""))</f>
        <v/>
      </c>
      <c r="H294" s="22"/>
    </row>
    <row r="295" spans="1:8">
      <c r="A295" s="21"/>
      <c r="B295" s="28"/>
      <c r="C295" s="22"/>
      <c r="D295" s="28"/>
      <c r="E295" s="23" t="str">
        <f>IF($D295="","",IFERROR(VLOOKUP($D295,'ACAH Consumables Tracker'!$A:$H,8,FALSE()),""))</f>
        <v/>
      </c>
      <c r="F295" s="24"/>
      <c r="G295" s="25" t="str">
        <f>IF($D295="","",IFERROR(VLOOKUP($D295,'ACAH Consumables Tracker'!$A:$D,4,FALSE()),""))</f>
        <v/>
      </c>
      <c r="H295" s="22"/>
    </row>
    <row r="296" spans="1:8">
      <c r="A296" s="21"/>
      <c r="B296" s="28"/>
      <c r="C296" s="22"/>
      <c r="D296" s="28"/>
      <c r="E296" s="23" t="str">
        <f>IF($D296="","",IFERROR(VLOOKUP($D296,'ACAH Consumables Tracker'!$A:$H,8,FALSE()),""))</f>
        <v/>
      </c>
      <c r="F296" s="24"/>
      <c r="G296" s="25" t="str">
        <f>IF($D296="","",IFERROR(VLOOKUP($D296,'ACAH Consumables Tracker'!$A:$D,4,FALSE()),""))</f>
        <v/>
      </c>
      <c r="H296" s="22"/>
    </row>
    <row r="297" spans="1:8">
      <c r="A297" s="21"/>
      <c r="B297" s="28"/>
      <c r="C297" s="22"/>
      <c r="D297" s="28"/>
      <c r="E297" s="23" t="str">
        <f>IF($D297="","",IFERROR(VLOOKUP($D297,'ACAH Consumables Tracker'!$A:$H,8,FALSE()),""))</f>
        <v/>
      </c>
      <c r="F297" s="24"/>
      <c r="G297" s="25" t="str">
        <f>IF($D297="","",IFERROR(VLOOKUP($D297,'ACAH Consumables Tracker'!$A:$D,4,FALSE()),""))</f>
        <v/>
      </c>
      <c r="H297" s="22"/>
    </row>
    <row r="298" spans="1:8">
      <c r="A298" s="21"/>
      <c r="B298" s="28"/>
      <c r="C298" s="22"/>
      <c r="D298" s="28"/>
      <c r="E298" s="23" t="str">
        <f>IF($D298="","",IFERROR(VLOOKUP($D298,'ACAH Consumables Tracker'!$A:$H,8,FALSE()),""))</f>
        <v/>
      </c>
      <c r="F298" s="24"/>
      <c r="G298" s="25" t="str">
        <f>IF($D298="","",IFERROR(VLOOKUP($D298,'ACAH Consumables Tracker'!$A:$D,4,FALSE()),""))</f>
        <v/>
      </c>
      <c r="H298" s="22"/>
    </row>
    <row r="299" spans="1:8">
      <c r="A299" s="21"/>
      <c r="B299" s="28"/>
      <c r="C299" s="22"/>
      <c r="D299" s="28"/>
      <c r="E299" s="23" t="str">
        <f>IF($D299="","",IFERROR(VLOOKUP($D299,'ACAH Consumables Tracker'!$A:$H,8,FALSE()),""))</f>
        <v/>
      </c>
      <c r="F299" s="24"/>
      <c r="G299" s="25" t="str">
        <f>IF($D299="","",IFERROR(VLOOKUP($D299,'ACAH Consumables Tracker'!$A:$D,4,FALSE()),""))</f>
        <v/>
      </c>
      <c r="H299" s="22"/>
    </row>
    <row r="300" spans="1:8">
      <c r="A300" s="21"/>
      <c r="B300" s="28"/>
      <c r="C300" s="22"/>
      <c r="D300" s="28"/>
      <c r="E300" s="23" t="str">
        <f>IF($D300="","",IFERROR(VLOOKUP($D300,'ACAH Consumables Tracker'!$A:$H,8,FALSE()),""))</f>
        <v/>
      </c>
      <c r="F300" s="24"/>
      <c r="G300" s="25" t="str">
        <f>IF($D300="","",IFERROR(VLOOKUP($D300,'ACAH Consumables Tracker'!$A:$D,4,FALSE()),""))</f>
        <v/>
      </c>
      <c r="H300" s="22"/>
    </row>
    <row r="301" spans="1:8">
      <c r="A301" s="21"/>
      <c r="B301" s="28"/>
      <c r="C301" s="22"/>
      <c r="D301" s="28"/>
      <c r="E301" s="23" t="str">
        <f>IF($D301="","",IFERROR(VLOOKUP($D301,'ACAH Consumables Tracker'!$A:$H,8,FALSE()),""))</f>
        <v/>
      </c>
      <c r="F301" s="24"/>
      <c r="G301" s="25" t="str">
        <f>IF($D301="","",IFERROR(VLOOKUP($D301,'ACAH Consumables Tracker'!$A:$D,4,FALSE()),""))</f>
        <v/>
      </c>
      <c r="H301" s="22"/>
    </row>
    <row r="302" spans="1:8">
      <c r="A302" s="21"/>
      <c r="B302" s="28"/>
      <c r="C302" s="22"/>
      <c r="D302" s="28"/>
      <c r="E302" s="23" t="str">
        <f>IF($D302="","",IFERROR(VLOOKUP($D302,'ACAH Consumables Tracker'!$A:$H,8,FALSE()),""))</f>
        <v/>
      </c>
      <c r="F302" s="24"/>
      <c r="G302" s="25" t="str">
        <f>IF($D302="","",IFERROR(VLOOKUP($D302,'ACAH Consumables Tracker'!$A:$D,4,FALSE()),""))</f>
        <v/>
      </c>
      <c r="H302" s="22"/>
    </row>
    <row r="303" spans="1:8">
      <c r="A303" s="21"/>
      <c r="B303" s="28"/>
      <c r="C303" s="22"/>
      <c r="D303" s="28"/>
      <c r="E303" s="23" t="str">
        <f>IF($D303="","",IFERROR(VLOOKUP($D303,'ACAH Consumables Tracker'!$A:$H,8,FALSE()),""))</f>
        <v/>
      </c>
      <c r="F303" s="24"/>
      <c r="G303" s="25" t="str">
        <f>IF($D303="","",IFERROR(VLOOKUP($D303,'ACAH Consumables Tracker'!$A:$D,4,FALSE()),""))</f>
        <v/>
      </c>
      <c r="H303" s="22"/>
    </row>
    <row r="304" spans="1:8">
      <c r="A304" s="21"/>
      <c r="B304" s="28"/>
      <c r="C304" s="22"/>
      <c r="D304" s="28"/>
      <c r="E304" s="23" t="str">
        <f>IF($D304="","",IFERROR(VLOOKUP($D304,'ACAH Consumables Tracker'!$A:$H,8,FALSE()),""))</f>
        <v/>
      </c>
      <c r="F304" s="24"/>
      <c r="G304" s="25" t="str">
        <f>IF($D304="","",IFERROR(VLOOKUP($D304,'ACAH Consumables Tracker'!$A:$D,4,FALSE()),""))</f>
        <v/>
      </c>
      <c r="H304" s="22"/>
    </row>
    <row r="305" spans="1:8">
      <c r="A305" s="21"/>
      <c r="B305" s="28"/>
      <c r="C305" s="22"/>
      <c r="D305" s="28"/>
      <c r="E305" s="23" t="str">
        <f>IF($D305="","",IFERROR(VLOOKUP($D305,'ACAH Consumables Tracker'!$A:$H,8,FALSE()),""))</f>
        <v/>
      </c>
      <c r="F305" s="24"/>
      <c r="G305" s="25" t="str">
        <f>IF($D305="","",IFERROR(VLOOKUP($D305,'ACAH Consumables Tracker'!$A:$D,4,FALSE()),""))</f>
        <v/>
      </c>
      <c r="H305" s="22"/>
    </row>
    <row r="306" spans="1:8">
      <c r="A306" s="21"/>
      <c r="B306" s="28"/>
      <c r="C306" s="22"/>
      <c r="D306" s="28"/>
      <c r="E306" s="23" t="str">
        <f>IF($D306="","",IFERROR(VLOOKUP($D306,'ACAH Consumables Tracker'!$A:$H,8,FALSE()),""))</f>
        <v/>
      </c>
      <c r="F306" s="24"/>
      <c r="G306" s="25" t="str">
        <f>IF($D306="","",IFERROR(VLOOKUP($D306,'ACAH Consumables Tracker'!$A:$D,4,FALSE()),""))</f>
        <v/>
      </c>
      <c r="H306" s="22"/>
    </row>
    <row r="307" spans="1:8">
      <c r="A307" s="21"/>
      <c r="B307" s="28"/>
      <c r="C307" s="22"/>
      <c r="D307" s="28"/>
      <c r="E307" s="23" t="str">
        <f>IF($D307="","",IFERROR(VLOOKUP($D307,'ACAH Consumables Tracker'!$A:$H,8,FALSE()),""))</f>
        <v/>
      </c>
      <c r="F307" s="24"/>
      <c r="G307" s="25" t="str">
        <f>IF($D307="","",IFERROR(VLOOKUP($D307,'ACAH Consumables Tracker'!$A:$D,4,FALSE()),""))</f>
        <v/>
      </c>
      <c r="H307" s="22"/>
    </row>
    <row r="308" spans="1:8">
      <c r="A308" s="21"/>
      <c r="B308" s="28"/>
      <c r="C308" s="22"/>
      <c r="D308" s="28"/>
      <c r="E308" s="23" t="str">
        <f>IF($D308="","",IFERROR(VLOOKUP($D308,'ACAH Consumables Tracker'!$A:$H,8,FALSE()),""))</f>
        <v/>
      </c>
      <c r="F308" s="24"/>
      <c r="G308" s="25" t="str">
        <f>IF($D308="","",IFERROR(VLOOKUP($D308,'ACAH Consumables Tracker'!$A:$D,4,FALSE()),""))</f>
        <v/>
      </c>
      <c r="H308" s="22"/>
    </row>
    <row r="309" spans="1:8">
      <c r="A309" s="21"/>
      <c r="B309" s="28"/>
      <c r="C309" s="22"/>
      <c r="D309" s="28"/>
      <c r="E309" s="23" t="str">
        <f>IF($D309="","",IFERROR(VLOOKUP($D309,'ACAH Consumables Tracker'!$A:$H,8,FALSE()),""))</f>
        <v/>
      </c>
      <c r="F309" s="24"/>
      <c r="G309" s="25" t="str">
        <f>IF($D309="","",IFERROR(VLOOKUP($D309,'ACAH Consumables Tracker'!$A:$D,4,FALSE()),""))</f>
        <v/>
      </c>
      <c r="H309" s="22"/>
    </row>
    <row r="310" spans="1:8">
      <c r="A310" s="21"/>
      <c r="B310" s="28"/>
      <c r="C310" s="22"/>
      <c r="D310" s="28"/>
      <c r="E310" s="23" t="str">
        <f>IF($D310="","",IFERROR(VLOOKUP($D310,'ACAH Consumables Tracker'!$A:$H,8,FALSE()),""))</f>
        <v/>
      </c>
      <c r="F310" s="24"/>
      <c r="G310" s="25" t="str">
        <f>IF($D310="","",IFERROR(VLOOKUP($D310,'ACAH Consumables Tracker'!$A:$D,4,FALSE()),""))</f>
        <v/>
      </c>
      <c r="H310" s="22"/>
    </row>
    <row r="311" spans="1:8">
      <c r="A311" s="21"/>
      <c r="B311" s="28"/>
      <c r="C311" s="22"/>
      <c r="D311" s="28"/>
      <c r="E311" s="23" t="str">
        <f>IF($D311="","",IFERROR(VLOOKUP($D311,'ACAH Consumables Tracker'!$A:$H,8,FALSE()),""))</f>
        <v/>
      </c>
      <c r="F311" s="24"/>
      <c r="G311" s="25" t="str">
        <f>IF($D311="","",IFERROR(VLOOKUP($D311,'ACAH Consumables Tracker'!$A:$D,4,FALSE()),""))</f>
        <v/>
      </c>
      <c r="H311" s="22"/>
    </row>
    <row r="312" spans="1:8">
      <c r="A312" s="21"/>
      <c r="B312" s="28"/>
      <c r="C312" s="22"/>
      <c r="D312" s="28"/>
      <c r="E312" s="23" t="str">
        <f>IF($D312="","",IFERROR(VLOOKUP($D312,'ACAH Consumables Tracker'!$A:$H,8,FALSE()),""))</f>
        <v/>
      </c>
      <c r="F312" s="24"/>
      <c r="G312" s="25" t="str">
        <f>IF($D312="","",IFERROR(VLOOKUP($D312,'ACAH Consumables Tracker'!$A:$D,4,FALSE()),""))</f>
        <v/>
      </c>
      <c r="H312" s="22"/>
    </row>
    <row r="313" spans="1:8">
      <c r="A313" s="21"/>
      <c r="B313" s="28"/>
      <c r="C313" s="22"/>
      <c r="D313" s="28"/>
      <c r="E313" s="23" t="str">
        <f>IF($D313="","",IFERROR(VLOOKUP($D313,'ACAH Consumables Tracker'!$A:$H,8,FALSE()),""))</f>
        <v/>
      </c>
      <c r="F313" s="24"/>
      <c r="G313" s="25" t="str">
        <f>IF($D313="","",IFERROR(VLOOKUP($D313,'ACAH Consumables Tracker'!$A:$D,4,FALSE()),""))</f>
        <v/>
      </c>
      <c r="H313" s="22"/>
    </row>
    <row r="314" spans="1:8">
      <c r="A314" s="21"/>
      <c r="B314" s="28"/>
      <c r="C314" s="22"/>
      <c r="D314" s="28"/>
      <c r="E314" s="23" t="str">
        <f>IF($D314="","",IFERROR(VLOOKUP($D314,'ACAH Consumables Tracker'!$A:$H,8,FALSE()),""))</f>
        <v/>
      </c>
      <c r="F314" s="24"/>
      <c r="G314" s="25" t="str">
        <f>IF($D314="","",IFERROR(VLOOKUP($D314,'ACAH Consumables Tracker'!$A:$D,4,FALSE()),""))</f>
        <v/>
      </c>
      <c r="H314" s="22"/>
    </row>
    <row r="315" spans="1:8">
      <c r="A315" s="21"/>
      <c r="B315" s="28"/>
      <c r="C315" s="22"/>
      <c r="D315" s="28"/>
      <c r="E315" s="23" t="str">
        <f>IF($D315="","",IFERROR(VLOOKUP($D315,'ACAH Consumables Tracker'!$A:$H,8,FALSE()),""))</f>
        <v/>
      </c>
      <c r="F315" s="24"/>
      <c r="G315" s="25" t="str">
        <f>IF($D315="","",IFERROR(VLOOKUP($D315,'ACAH Consumables Tracker'!$A:$D,4,FALSE()),""))</f>
        <v/>
      </c>
      <c r="H315" s="22"/>
    </row>
    <row r="316" spans="1:8">
      <c r="A316" s="21"/>
      <c r="B316" s="28"/>
      <c r="C316" s="22"/>
      <c r="D316" s="28"/>
      <c r="E316" s="23" t="str">
        <f>IF($D316="","",IFERROR(VLOOKUP($D316,'ACAH Consumables Tracker'!$A:$H,8,FALSE()),""))</f>
        <v/>
      </c>
      <c r="F316" s="24"/>
      <c r="G316" s="25" t="str">
        <f>IF($D316="","",IFERROR(VLOOKUP($D316,'ACAH Consumables Tracker'!$A:$D,4,FALSE()),""))</f>
        <v/>
      </c>
      <c r="H316" s="22"/>
    </row>
    <row r="317" spans="1:8">
      <c r="A317" s="21"/>
      <c r="B317" s="28"/>
      <c r="C317" s="22"/>
      <c r="D317" s="28"/>
      <c r="E317" s="23" t="str">
        <f>IF($D317="","",IFERROR(VLOOKUP($D317,'ACAH Consumables Tracker'!$A:$H,8,FALSE()),""))</f>
        <v/>
      </c>
      <c r="F317" s="24"/>
      <c r="G317" s="25" t="str">
        <f>IF($D317="","",IFERROR(VLOOKUP($D317,'ACAH Consumables Tracker'!$A:$D,4,FALSE()),""))</f>
        <v/>
      </c>
      <c r="H317" s="22"/>
    </row>
    <row r="318" spans="1:8">
      <c r="A318" s="21"/>
      <c r="B318" s="28"/>
      <c r="C318" s="22"/>
      <c r="D318" s="28"/>
      <c r="E318" s="23" t="str">
        <f>IF($D318="","",IFERROR(VLOOKUP($D318,'ACAH Consumables Tracker'!$A:$H,8,FALSE()),""))</f>
        <v/>
      </c>
      <c r="F318" s="24"/>
      <c r="G318" s="25" t="str">
        <f>IF($D318="","",IFERROR(VLOOKUP($D318,'ACAH Consumables Tracker'!$A:$D,4,FALSE()),""))</f>
        <v/>
      </c>
      <c r="H318" s="22"/>
    </row>
    <row r="319" spans="1:8">
      <c r="A319" s="21"/>
      <c r="B319" s="28"/>
      <c r="C319" s="22"/>
      <c r="D319" s="28"/>
      <c r="E319" s="23" t="str">
        <f>IF($D319="","",IFERROR(VLOOKUP($D319,'ACAH Consumables Tracker'!$A:$H,8,FALSE()),""))</f>
        <v/>
      </c>
      <c r="F319" s="24"/>
      <c r="G319" s="25" t="str">
        <f>IF($D319="","",IFERROR(VLOOKUP($D319,'ACAH Consumables Tracker'!$A:$D,4,FALSE()),""))</f>
        <v/>
      </c>
      <c r="H319" s="22"/>
    </row>
    <row r="320" spans="1:8">
      <c r="A320" s="21"/>
      <c r="B320" s="28"/>
      <c r="C320" s="22"/>
      <c r="D320" s="28"/>
      <c r="E320" s="23" t="str">
        <f>IF($D320="","",IFERROR(VLOOKUP($D320,'ACAH Consumables Tracker'!$A:$H,8,FALSE()),""))</f>
        <v/>
      </c>
      <c r="F320" s="24"/>
      <c r="G320" s="25" t="str">
        <f>IF($D320="","",IFERROR(VLOOKUP($D320,'ACAH Consumables Tracker'!$A:$D,4,FALSE()),""))</f>
        <v/>
      </c>
      <c r="H320" s="22"/>
    </row>
    <row r="321" spans="1:8">
      <c r="A321" s="21"/>
      <c r="B321" s="28"/>
      <c r="C321" s="22"/>
      <c r="D321" s="28"/>
      <c r="E321" s="23" t="str">
        <f>IF($D321="","",IFERROR(VLOOKUP($D321,'ACAH Consumables Tracker'!$A:$H,8,FALSE()),""))</f>
        <v/>
      </c>
      <c r="F321" s="24"/>
      <c r="G321" s="25" t="str">
        <f>IF($D321="","",IFERROR(VLOOKUP($D321,'ACAH Consumables Tracker'!$A:$D,4,FALSE()),""))</f>
        <v/>
      </c>
      <c r="H321" s="22"/>
    </row>
    <row r="322" spans="1:8">
      <c r="A322" s="21"/>
      <c r="B322" s="28"/>
      <c r="C322" s="22"/>
      <c r="D322" s="28"/>
      <c r="E322" s="23" t="str">
        <f>IF($D322="","",IFERROR(VLOOKUP($D322,'ACAH Consumables Tracker'!$A:$H,8,FALSE()),""))</f>
        <v/>
      </c>
      <c r="F322" s="24"/>
      <c r="G322" s="25" t="str">
        <f>IF($D322="","",IFERROR(VLOOKUP($D322,'ACAH Consumables Tracker'!$A:$D,4,FALSE()),""))</f>
        <v/>
      </c>
      <c r="H322" s="22"/>
    </row>
    <row r="323" spans="1:8">
      <c r="A323" s="21"/>
      <c r="B323" s="28"/>
      <c r="C323" s="22"/>
      <c r="D323" s="28"/>
      <c r="E323" s="23" t="str">
        <f>IF($D323="","",IFERROR(VLOOKUP($D323,'ACAH Consumables Tracker'!$A:$H,8,FALSE()),""))</f>
        <v/>
      </c>
      <c r="F323" s="24"/>
      <c r="G323" s="25" t="str">
        <f>IF($D323="","",IFERROR(VLOOKUP($D323,'ACAH Consumables Tracker'!$A:$D,4,FALSE()),""))</f>
        <v/>
      </c>
      <c r="H323" s="22"/>
    </row>
    <row r="324" spans="1:8">
      <c r="A324" s="21"/>
      <c r="B324" s="28"/>
      <c r="C324" s="22"/>
      <c r="D324" s="28"/>
      <c r="E324" s="23" t="str">
        <f>IF($D324="","",IFERROR(VLOOKUP($D324,'ACAH Consumables Tracker'!$A:$H,8,FALSE()),""))</f>
        <v/>
      </c>
      <c r="F324" s="24"/>
      <c r="G324" s="25" t="str">
        <f>IF($D324="","",IFERROR(VLOOKUP($D324,'ACAH Consumables Tracker'!$A:$D,4,FALSE()),""))</f>
        <v/>
      </c>
      <c r="H324" s="22"/>
    </row>
    <row r="325" spans="1:8">
      <c r="A325" s="21"/>
      <c r="B325" s="28"/>
      <c r="C325" s="22"/>
      <c r="D325" s="28"/>
      <c r="E325" s="23" t="str">
        <f>IF($D325="","",IFERROR(VLOOKUP($D325,'ACAH Consumables Tracker'!$A:$H,8,FALSE()),""))</f>
        <v/>
      </c>
      <c r="F325" s="24"/>
      <c r="G325" s="25" t="str">
        <f>IF($D325="","",IFERROR(VLOOKUP($D325,'ACAH Consumables Tracker'!$A:$D,4,FALSE()),""))</f>
        <v/>
      </c>
      <c r="H325" s="22"/>
    </row>
    <row r="326" spans="1:8">
      <c r="A326" s="21"/>
      <c r="B326" s="28"/>
      <c r="C326" s="22"/>
      <c r="D326" s="28"/>
      <c r="E326" s="23" t="str">
        <f>IF($D326="","",IFERROR(VLOOKUP($D326,'ACAH Consumables Tracker'!$A:$H,8,FALSE()),""))</f>
        <v/>
      </c>
      <c r="F326" s="24"/>
      <c r="G326" s="25" t="str">
        <f>IF($D326="","",IFERROR(VLOOKUP($D326,'ACAH Consumables Tracker'!$A:$D,4,FALSE()),""))</f>
        <v/>
      </c>
      <c r="H326" s="22"/>
    </row>
    <row r="327" spans="1:8">
      <c r="A327" s="21"/>
      <c r="B327" s="28"/>
      <c r="C327" s="22"/>
      <c r="D327" s="28"/>
      <c r="E327" s="23" t="str">
        <f>IF($D327="","",IFERROR(VLOOKUP($D327,'ACAH Consumables Tracker'!$A:$H,8,FALSE()),""))</f>
        <v/>
      </c>
      <c r="F327" s="24"/>
      <c r="G327" s="25" t="str">
        <f>IF($D327="","",IFERROR(VLOOKUP($D327,'ACAH Consumables Tracker'!$A:$D,4,FALSE()),""))</f>
        <v/>
      </c>
      <c r="H327" s="22"/>
    </row>
    <row r="328" spans="1:8">
      <c r="A328" s="21"/>
      <c r="B328" s="28"/>
      <c r="C328" s="22"/>
      <c r="D328" s="28"/>
      <c r="E328" s="23" t="str">
        <f>IF($D328="","",IFERROR(VLOOKUP($D328,'ACAH Consumables Tracker'!$A:$H,8,FALSE()),""))</f>
        <v/>
      </c>
      <c r="F328" s="24"/>
      <c r="G328" s="25" t="str">
        <f>IF($D328="","",IFERROR(VLOOKUP($D328,'ACAH Consumables Tracker'!$A:$D,4,FALSE()),""))</f>
        <v/>
      </c>
      <c r="H328" s="22"/>
    </row>
    <row r="329" spans="1:8">
      <c r="A329" s="21"/>
      <c r="B329" s="28"/>
      <c r="C329" s="22"/>
      <c r="D329" s="28"/>
      <c r="E329" s="23" t="str">
        <f>IF($D329="","",IFERROR(VLOOKUP($D329,'ACAH Consumables Tracker'!$A:$H,8,FALSE()),""))</f>
        <v/>
      </c>
      <c r="F329" s="24"/>
      <c r="G329" s="25" t="str">
        <f>IF($D329="","",IFERROR(VLOOKUP($D329,'ACAH Consumables Tracker'!$A:$D,4,FALSE()),""))</f>
        <v/>
      </c>
      <c r="H329" s="22"/>
    </row>
    <row r="330" spans="1:8">
      <c r="A330" s="21"/>
      <c r="B330" s="28"/>
      <c r="C330" s="22"/>
      <c r="D330" s="28"/>
      <c r="E330" s="23" t="str">
        <f>IF($D330="","",IFERROR(VLOOKUP($D330,'ACAH Consumables Tracker'!$A:$H,8,FALSE()),""))</f>
        <v/>
      </c>
      <c r="F330" s="24"/>
      <c r="G330" s="25" t="str">
        <f>IF($D330="","",IFERROR(VLOOKUP($D330,'ACAH Consumables Tracker'!$A:$D,4,FALSE()),""))</f>
        <v/>
      </c>
      <c r="H330" s="22"/>
    </row>
    <row r="331" spans="1:8">
      <c r="A331" s="21"/>
      <c r="B331" s="28"/>
      <c r="C331" s="22"/>
      <c r="D331" s="28"/>
      <c r="E331" s="23" t="str">
        <f>IF($D331="","",IFERROR(VLOOKUP($D331,'ACAH Consumables Tracker'!$A:$H,8,FALSE()),""))</f>
        <v/>
      </c>
      <c r="F331" s="24"/>
      <c r="G331" s="25" t="str">
        <f>IF($D331="","",IFERROR(VLOOKUP($D331,'ACAH Consumables Tracker'!$A:$D,4,FALSE()),""))</f>
        <v/>
      </c>
      <c r="H331" s="22"/>
    </row>
    <row r="332" spans="1:8">
      <c r="A332" s="21"/>
      <c r="B332" s="28"/>
      <c r="C332" s="22"/>
      <c r="D332" s="28"/>
      <c r="E332" s="23" t="str">
        <f>IF($D332="","",IFERROR(VLOOKUP($D332,'ACAH Consumables Tracker'!$A:$H,8,FALSE()),""))</f>
        <v/>
      </c>
      <c r="F332" s="24"/>
      <c r="G332" s="25" t="str">
        <f>IF($D332="","",IFERROR(VLOOKUP($D332,'ACAH Consumables Tracker'!$A:$D,4,FALSE()),""))</f>
        <v/>
      </c>
      <c r="H332" s="22"/>
    </row>
    <row r="333" spans="1:8">
      <c r="A333" s="21"/>
      <c r="B333" s="28"/>
      <c r="C333" s="22"/>
      <c r="D333" s="28"/>
      <c r="E333" s="23" t="str">
        <f>IF($D333="","",IFERROR(VLOOKUP($D333,'ACAH Consumables Tracker'!$A:$H,8,FALSE()),""))</f>
        <v/>
      </c>
      <c r="F333" s="24"/>
      <c r="G333" s="25" t="str">
        <f>IF($D333="","",IFERROR(VLOOKUP($D333,'ACAH Consumables Tracker'!$A:$D,4,FALSE()),""))</f>
        <v/>
      </c>
      <c r="H333" s="22"/>
    </row>
    <row r="334" spans="1:8">
      <c r="A334" s="21"/>
      <c r="B334" s="28"/>
      <c r="C334" s="22"/>
      <c r="D334" s="28"/>
      <c r="E334" s="23" t="str">
        <f>IF($D334="","",IFERROR(VLOOKUP($D334,'ACAH Consumables Tracker'!$A:$H,8,FALSE()),""))</f>
        <v/>
      </c>
      <c r="F334" s="24"/>
      <c r="G334" s="25" t="str">
        <f>IF($D334="","",IFERROR(VLOOKUP($D334,'ACAH Consumables Tracker'!$A:$D,4,FALSE()),""))</f>
        <v/>
      </c>
      <c r="H334" s="22"/>
    </row>
    <row r="335" spans="1:8">
      <c r="A335" s="21"/>
      <c r="B335" s="28"/>
      <c r="C335" s="22"/>
      <c r="D335" s="28"/>
      <c r="E335" s="23" t="str">
        <f>IF($D335="","",IFERROR(VLOOKUP($D335,'ACAH Consumables Tracker'!$A:$H,8,FALSE()),""))</f>
        <v/>
      </c>
      <c r="F335" s="24"/>
      <c r="G335" s="25" t="str">
        <f>IF($D335="","",IFERROR(VLOOKUP($D335,'ACAH Consumables Tracker'!$A:$D,4,FALSE()),""))</f>
        <v/>
      </c>
      <c r="H335" s="22"/>
    </row>
    <row r="336" spans="1:8">
      <c r="A336" s="21"/>
      <c r="B336" s="28"/>
      <c r="C336" s="22"/>
      <c r="D336" s="28"/>
      <c r="E336" s="23" t="str">
        <f>IF($D336="","",IFERROR(VLOOKUP($D336,'ACAH Consumables Tracker'!$A:$H,8,FALSE()),""))</f>
        <v/>
      </c>
      <c r="F336" s="24"/>
      <c r="G336" s="25" t="str">
        <f>IF($D336="","",IFERROR(VLOOKUP($D336,'ACAH Consumables Tracker'!$A:$D,4,FALSE()),""))</f>
        <v/>
      </c>
      <c r="H336" s="22"/>
    </row>
    <row r="337" spans="1:8">
      <c r="A337" s="21"/>
      <c r="B337" s="28"/>
      <c r="C337" s="22"/>
      <c r="D337" s="28"/>
      <c r="E337" s="23" t="str">
        <f>IF($D337="","",IFERROR(VLOOKUP($D337,'ACAH Consumables Tracker'!$A:$H,8,FALSE()),""))</f>
        <v/>
      </c>
      <c r="F337" s="24"/>
      <c r="G337" s="25" t="str">
        <f>IF($D337="","",IFERROR(VLOOKUP($D337,'ACAH Consumables Tracker'!$A:$D,4,FALSE()),""))</f>
        <v/>
      </c>
      <c r="H337" s="22"/>
    </row>
    <row r="338" spans="1:8">
      <c r="A338" s="21"/>
      <c r="B338" s="28"/>
      <c r="C338" s="22"/>
      <c r="D338" s="28"/>
      <c r="E338" s="23" t="str">
        <f>IF($D338="","",IFERROR(VLOOKUP($D338,'ACAH Consumables Tracker'!$A:$H,8,FALSE()),""))</f>
        <v/>
      </c>
      <c r="F338" s="24"/>
      <c r="G338" s="25" t="str">
        <f>IF($D338="","",IFERROR(VLOOKUP($D338,'ACAH Consumables Tracker'!$A:$D,4,FALSE()),""))</f>
        <v/>
      </c>
      <c r="H338" s="22"/>
    </row>
    <row r="339" spans="1:8">
      <c r="A339" s="21"/>
      <c r="B339" s="28"/>
      <c r="C339" s="22"/>
      <c r="D339" s="28"/>
      <c r="E339" s="23" t="str">
        <f>IF($D339="","",IFERROR(VLOOKUP($D339,'ACAH Consumables Tracker'!$A:$H,8,FALSE()),""))</f>
        <v/>
      </c>
      <c r="F339" s="24"/>
      <c r="G339" s="25" t="str">
        <f>IF($D339="","",IFERROR(VLOOKUP($D339,'ACAH Consumables Tracker'!$A:$D,4,FALSE()),""))</f>
        <v/>
      </c>
      <c r="H339" s="22"/>
    </row>
    <row r="340" spans="1:8">
      <c r="A340" s="21"/>
      <c r="B340" s="28"/>
      <c r="C340" s="22"/>
      <c r="D340" s="28"/>
      <c r="E340" s="23" t="str">
        <f>IF($D340="","",IFERROR(VLOOKUP($D340,'ACAH Consumables Tracker'!$A:$H,8,FALSE()),""))</f>
        <v/>
      </c>
      <c r="F340" s="24"/>
      <c r="G340" s="25" t="str">
        <f>IF($D340="","",IFERROR(VLOOKUP($D340,'ACAH Consumables Tracker'!$A:$D,4,FALSE()),""))</f>
        <v/>
      </c>
      <c r="H340" s="22"/>
    </row>
    <row r="341" spans="1:8">
      <c r="A341" s="21"/>
      <c r="B341" s="28"/>
      <c r="C341" s="22"/>
      <c r="D341" s="28"/>
      <c r="E341" s="23" t="str">
        <f>IF($D341="","",IFERROR(VLOOKUP($D341,'ACAH Consumables Tracker'!$A:$H,8,FALSE()),""))</f>
        <v/>
      </c>
      <c r="F341" s="24"/>
      <c r="G341" s="25" t="str">
        <f>IF($D341="","",IFERROR(VLOOKUP($D341,'ACAH Consumables Tracker'!$A:$D,4,FALSE()),""))</f>
        <v/>
      </c>
      <c r="H341" s="22"/>
    </row>
    <row r="342" spans="1:8">
      <c r="A342" s="21"/>
      <c r="B342" s="28"/>
      <c r="C342" s="22"/>
      <c r="D342" s="28"/>
      <c r="E342" s="23" t="str">
        <f>IF($D342="","",IFERROR(VLOOKUP($D342,'ACAH Consumables Tracker'!$A:$H,8,FALSE()),""))</f>
        <v/>
      </c>
      <c r="F342" s="24"/>
      <c r="G342" s="25" t="str">
        <f>IF($D342="","",IFERROR(VLOOKUP($D342,'ACAH Consumables Tracker'!$A:$D,4,FALSE()),""))</f>
        <v/>
      </c>
      <c r="H342" s="22"/>
    </row>
    <row r="343" spans="1:8">
      <c r="A343" s="21"/>
      <c r="B343" s="28"/>
      <c r="C343" s="22"/>
      <c r="D343" s="28"/>
      <c r="E343" s="23" t="str">
        <f>IF($D343="","",IFERROR(VLOOKUP($D343,'ACAH Consumables Tracker'!$A:$H,8,FALSE()),""))</f>
        <v/>
      </c>
      <c r="F343" s="24"/>
      <c r="G343" s="25" t="str">
        <f>IF($D343="","",IFERROR(VLOOKUP($D343,'ACAH Consumables Tracker'!$A:$D,4,FALSE()),""))</f>
        <v/>
      </c>
      <c r="H343" s="22"/>
    </row>
    <row r="344" spans="1:8">
      <c r="A344" s="21"/>
      <c r="B344" s="28"/>
      <c r="C344" s="22"/>
      <c r="D344" s="28"/>
      <c r="E344" s="23" t="str">
        <f>IF($D344="","",IFERROR(VLOOKUP($D344,'ACAH Consumables Tracker'!$A:$H,8,FALSE()),""))</f>
        <v/>
      </c>
      <c r="F344" s="24"/>
      <c r="G344" s="25" t="str">
        <f>IF($D344="","",IFERROR(VLOOKUP($D344,'ACAH Consumables Tracker'!$A:$D,4,FALSE()),""))</f>
        <v/>
      </c>
      <c r="H344" s="22"/>
    </row>
    <row r="345" spans="1:8">
      <c r="A345" s="21"/>
      <c r="B345" s="28"/>
      <c r="C345" s="22"/>
      <c r="D345" s="28"/>
      <c r="E345" s="23" t="str">
        <f>IF($D345="","",IFERROR(VLOOKUP($D345,'ACAH Consumables Tracker'!$A:$H,8,FALSE()),""))</f>
        <v/>
      </c>
      <c r="F345" s="24"/>
      <c r="G345" s="25" t="str">
        <f>IF($D345="","",IFERROR(VLOOKUP($D345,'ACAH Consumables Tracker'!$A:$D,4,FALSE()),""))</f>
        <v/>
      </c>
      <c r="H345" s="22"/>
    </row>
    <row r="346" spans="1:8">
      <c r="A346" s="21"/>
      <c r="B346" s="28"/>
      <c r="C346" s="22"/>
      <c r="D346" s="28"/>
      <c r="E346" s="23" t="str">
        <f>IF($D346="","",IFERROR(VLOOKUP($D346,'ACAH Consumables Tracker'!$A:$H,8,FALSE()),""))</f>
        <v/>
      </c>
      <c r="F346" s="24"/>
      <c r="G346" s="25" t="str">
        <f>IF($D346="","",IFERROR(VLOOKUP($D346,'ACAH Consumables Tracker'!$A:$D,4,FALSE()),""))</f>
        <v/>
      </c>
      <c r="H346" s="22"/>
    </row>
    <row r="347" spans="1:8">
      <c r="A347" s="21"/>
      <c r="B347" s="28"/>
      <c r="C347" s="22"/>
      <c r="D347" s="28"/>
      <c r="E347" s="23" t="str">
        <f>IF($D347="","",IFERROR(VLOOKUP($D347,'ACAH Consumables Tracker'!$A:$H,8,FALSE()),""))</f>
        <v/>
      </c>
      <c r="F347" s="24"/>
      <c r="G347" s="25" t="str">
        <f>IF($D347="","",IFERROR(VLOOKUP($D347,'ACAH Consumables Tracker'!$A:$D,4,FALSE()),""))</f>
        <v/>
      </c>
      <c r="H347" s="22"/>
    </row>
    <row r="348" spans="1:8">
      <c r="A348" s="21"/>
      <c r="B348" s="28"/>
      <c r="C348" s="22"/>
      <c r="D348" s="28"/>
      <c r="E348" s="23" t="str">
        <f>IF($D348="","",IFERROR(VLOOKUP($D348,'ACAH Consumables Tracker'!$A:$H,8,FALSE()),""))</f>
        <v/>
      </c>
      <c r="F348" s="24"/>
      <c r="G348" s="25" t="str">
        <f>IF($D348="","",IFERROR(VLOOKUP($D348,'ACAH Consumables Tracker'!$A:$D,4,FALSE()),""))</f>
        <v/>
      </c>
      <c r="H348" s="22"/>
    </row>
    <row r="349" spans="1:8">
      <c r="A349" s="21"/>
      <c r="B349" s="28"/>
      <c r="C349" s="22"/>
      <c r="D349" s="28"/>
      <c r="E349" s="23" t="str">
        <f>IF($D349="","",IFERROR(VLOOKUP($D349,'ACAH Consumables Tracker'!$A:$H,8,FALSE()),""))</f>
        <v/>
      </c>
      <c r="F349" s="24"/>
      <c r="G349" s="25" t="str">
        <f>IF($D349="","",IFERROR(VLOOKUP($D349,'ACAH Consumables Tracker'!$A:$D,4,FALSE()),""))</f>
        <v/>
      </c>
      <c r="H349" s="22"/>
    </row>
    <row r="350" spans="1:8">
      <c r="A350" s="21"/>
      <c r="B350" s="28"/>
      <c r="C350" s="22"/>
      <c r="D350" s="28"/>
      <c r="E350" s="23" t="str">
        <f>IF($D350="","",IFERROR(VLOOKUP($D350,'ACAH Consumables Tracker'!$A:$H,8,FALSE()),""))</f>
        <v/>
      </c>
      <c r="F350" s="24"/>
      <c r="G350" s="25" t="str">
        <f>IF($D350="","",IFERROR(VLOOKUP($D350,'ACAH Consumables Tracker'!$A:$D,4,FALSE()),""))</f>
        <v/>
      </c>
      <c r="H350" s="22"/>
    </row>
    <row r="351" spans="1:8">
      <c r="A351" s="21"/>
      <c r="B351" s="28"/>
      <c r="C351" s="22"/>
      <c r="D351" s="28"/>
      <c r="E351" s="23" t="str">
        <f>IF($D351="","",IFERROR(VLOOKUP($D351,'ACAH Consumables Tracker'!$A:$H,8,FALSE()),""))</f>
        <v/>
      </c>
      <c r="F351" s="24"/>
      <c r="G351" s="25" t="str">
        <f>IF($D351="","",IFERROR(VLOOKUP($D351,'ACAH Consumables Tracker'!$A:$D,4,FALSE()),""))</f>
        <v/>
      </c>
      <c r="H351" s="22"/>
    </row>
    <row r="352" spans="1:8">
      <c r="A352" s="21"/>
      <c r="B352" s="28"/>
      <c r="C352" s="22"/>
      <c r="D352" s="28"/>
      <c r="E352" s="23" t="str">
        <f>IF($D352="","",IFERROR(VLOOKUP($D352,'ACAH Consumables Tracker'!$A:$H,8,FALSE()),""))</f>
        <v/>
      </c>
      <c r="F352" s="24"/>
      <c r="G352" s="25" t="str">
        <f>IF($D352="","",IFERROR(VLOOKUP($D352,'ACAH Consumables Tracker'!$A:$D,4,FALSE()),""))</f>
        <v/>
      </c>
      <c r="H352" s="22"/>
    </row>
    <row r="353" spans="1:8">
      <c r="A353" s="21"/>
      <c r="B353" s="28"/>
      <c r="C353" s="22"/>
      <c r="D353" s="28"/>
      <c r="E353" s="23" t="str">
        <f>IF($D353="","",IFERROR(VLOOKUP($D353,'ACAH Consumables Tracker'!$A:$H,8,FALSE()),""))</f>
        <v/>
      </c>
      <c r="F353" s="24"/>
      <c r="G353" s="25" t="str">
        <f>IF($D353="","",IFERROR(VLOOKUP($D353,'ACAH Consumables Tracker'!$A:$D,4,FALSE()),""))</f>
        <v/>
      </c>
      <c r="H353" s="22"/>
    </row>
    <row r="354" spans="1:8">
      <c r="A354" s="21"/>
      <c r="B354" s="28"/>
      <c r="C354" s="22"/>
      <c r="D354" s="28"/>
      <c r="E354" s="23" t="str">
        <f>IF($D354="","",IFERROR(VLOOKUP($D354,'ACAH Consumables Tracker'!$A:$H,8,FALSE()),""))</f>
        <v/>
      </c>
      <c r="F354" s="24"/>
      <c r="G354" s="25" t="str">
        <f>IF($D354="","",IFERROR(VLOOKUP($D354,'ACAH Consumables Tracker'!$A:$D,4,FALSE()),""))</f>
        <v/>
      </c>
      <c r="H354" s="22"/>
    </row>
    <row r="355" spans="1:8">
      <c r="A355" s="21"/>
      <c r="B355" s="28"/>
      <c r="C355" s="22"/>
      <c r="D355" s="28"/>
      <c r="E355" s="23" t="str">
        <f>IF($D355="","",IFERROR(VLOOKUP($D355,'ACAH Consumables Tracker'!$A:$H,8,FALSE()),""))</f>
        <v/>
      </c>
      <c r="F355" s="24"/>
      <c r="G355" s="25" t="str">
        <f>IF($D355="","",IFERROR(VLOOKUP($D355,'ACAH Consumables Tracker'!$A:$D,4,FALSE()),""))</f>
        <v/>
      </c>
      <c r="H355" s="22"/>
    </row>
    <row r="356" spans="1:8">
      <c r="A356" s="21"/>
      <c r="B356" s="28"/>
      <c r="C356" s="22"/>
      <c r="D356" s="28"/>
      <c r="E356" s="23" t="str">
        <f>IF($D356="","",IFERROR(VLOOKUP($D356,'ACAH Consumables Tracker'!$A:$H,8,FALSE()),""))</f>
        <v/>
      </c>
      <c r="F356" s="24"/>
      <c r="G356" s="25" t="str">
        <f>IF($D356="","",IFERROR(VLOOKUP($D356,'ACAH Consumables Tracker'!$A:$D,4,FALSE()),""))</f>
        <v/>
      </c>
      <c r="H356" s="22"/>
    </row>
    <row r="357" spans="1:8">
      <c r="A357" s="21"/>
      <c r="B357" s="28"/>
      <c r="C357" s="22"/>
      <c r="D357" s="28"/>
      <c r="E357" s="23" t="str">
        <f>IF($D357="","",IFERROR(VLOOKUP($D357,'ACAH Consumables Tracker'!$A:$H,8,FALSE()),""))</f>
        <v/>
      </c>
      <c r="F357" s="24"/>
      <c r="G357" s="25" t="str">
        <f>IF($D357="","",IFERROR(VLOOKUP($D357,'ACAH Consumables Tracker'!$A:$D,4,FALSE()),""))</f>
        <v/>
      </c>
      <c r="H357" s="22"/>
    </row>
    <row r="358" spans="1:8">
      <c r="A358" s="21"/>
      <c r="B358" s="28"/>
      <c r="C358" s="22"/>
      <c r="D358" s="28"/>
      <c r="E358" s="23" t="str">
        <f>IF($D358="","",IFERROR(VLOOKUP($D358,'ACAH Consumables Tracker'!$A:$H,8,FALSE()),""))</f>
        <v/>
      </c>
      <c r="F358" s="24"/>
      <c r="G358" s="25" t="str">
        <f>IF($D358="","",IFERROR(VLOOKUP($D358,'ACAH Consumables Tracker'!$A:$D,4,FALSE()),""))</f>
        <v/>
      </c>
      <c r="H358" s="22"/>
    </row>
    <row r="359" spans="1:8">
      <c r="A359" s="21"/>
      <c r="B359" s="28"/>
      <c r="C359" s="22"/>
      <c r="D359" s="28"/>
      <c r="E359" s="23" t="str">
        <f>IF($D359="","",IFERROR(VLOOKUP($D359,'ACAH Consumables Tracker'!$A:$H,8,FALSE()),""))</f>
        <v/>
      </c>
      <c r="F359" s="24"/>
      <c r="G359" s="25" t="str">
        <f>IF($D359="","",IFERROR(VLOOKUP($D359,'ACAH Consumables Tracker'!$A:$D,4,FALSE()),""))</f>
        <v/>
      </c>
      <c r="H359" s="22"/>
    </row>
    <row r="360" spans="1:8">
      <c r="A360" s="21"/>
      <c r="B360" s="28"/>
      <c r="C360" s="22"/>
      <c r="D360" s="28"/>
      <c r="E360" s="23" t="str">
        <f>IF($D360="","",IFERROR(VLOOKUP($D360,'ACAH Consumables Tracker'!$A:$H,8,FALSE()),""))</f>
        <v/>
      </c>
      <c r="F360" s="24"/>
      <c r="G360" s="25" t="str">
        <f>IF($D360="","",IFERROR(VLOOKUP($D360,'ACAH Consumables Tracker'!$A:$D,4,FALSE()),""))</f>
        <v/>
      </c>
      <c r="H360" s="22"/>
    </row>
    <row r="361" spans="1:8">
      <c r="A361" s="21"/>
      <c r="B361" s="28"/>
      <c r="C361" s="22"/>
      <c r="D361" s="28"/>
      <c r="E361" s="23" t="str">
        <f>IF($D361="","",IFERROR(VLOOKUP($D361,'ACAH Consumables Tracker'!$A:$H,8,FALSE()),""))</f>
        <v/>
      </c>
      <c r="F361" s="24"/>
      <c r="G361" s="25" t="str">
        <f>IF($D361="","",IFERROR(VLOOKUP($D361,'ACAH Consumables Tracker'!$A:$D,4,FALSE()),""))</f>
        <v/>
      </c>
      <c r="H361" s="22"/>
    </row>
    <row r="362" spans="1:8">
      <c r="A362" s="21"/>
      <c r="B362" s="28"/>
      <c r="C362" s="22"/>
      <c r="D362" s="28"/>
      <c r="E362" s="23" t="str">
        <f>IF($D362="","",IFERROR(VLOOKUP($D362,'ACAH Consumables Tracker'!$A:$H,8,FALSE()),""))</f>
        <v/>
      </c>
      <c r="F362" s="24"/>
      <c r="G362" s="25" t="str">
        <f>IF($D362="","",IFERROR(VLOOKUP($D362,'ACAH Consumables Tracker'!$A:$D,4,FALSE()),""))</f>
        <v/>
      </c>
      <c r="H362" s="22"/>
    </row>
    <row r="363" spans="1:8">
      <c r="A363" s="21"/>
      <c r="B363" s="28"/>
      <c r="C363" s="22"/>
      <c r="D363" s="28"/>
      <c r="E363" s="23" t="str">
        <f>IF($D363="","",IFERROR(VLOOKUP($D363,'ACAH Consumables Tracker'!$A:$H,8,FALSE()),""))</f>
        <v/>
      </c>
      <c r="F363" s="24"/>
      <c r="G363" s="25" t="str">
        <f>IF($D363="","",IFERROR(VLOOKUP($D363,'ACAH Consumables Tracker'!$A:$D,4,FALSE()),""))</f>
        <v/>
      </c>
      <c r="H363" s="22"/>
    </row>
    <row r="364" spans="1:8">
      <c r="A364" s="21"/>
      <c r="B364" s="28"/>
      <c r="C364" s="22"/>
      <c r="D364" s="28"/>
      <c r="E364" s="23" t="str">
        <f>IF($D364="","",IFERROR(VLOOKUP($D364,'ACAH Consumables Tracker'!$A:$H,8,FALSE()),""))</f>
        <v/>
      </c>
      <c r="F364" s="24"/>
      <c r="G364" s="25" t="str">
        <f>IF($D364="","",IFERROR(VLOOKUP($D364,'ACAH Consumables Tracker'!$A:$D,4,FALSE()),""))</f>
        <v/>
      </c>
      <c r="H364" s="22"/>
    </row>
    <row r="365" spans="1:8">
      <c r="A365" s="21"/>
      <c r="B365" s="28"/>
      <c r="C365" s="22"/>
      <c r="D365" s="28"/>
      <c r="E365" s="23" t="str">
        <f>IF($D365="","",IFERROR(VLOOKUP($D365,'ACAH Consumables Tracker'!$A:$H,8,FALSE()),""))</f>
        <v/>
      </c>
      <c r="F365" s="24"/>
      <c r="G365" s="25" t="str">
        <f>IF($D365="","",IFERROR(VLOOKUP($D365,'ACAH Consumables Tracker'!$A:$D,4,FALSE()),""))</f>
        <v/>
      </c>
      <c r="H365" s="22"/>
    </row>
    <row r="366" spans="1:8">
      <c r="A366" s="21"/>
      <c r="B366" s="28"/>
      <c r="C366" s="22"/>
      <c r="D366" s="28"/>
      <c r="E366" s="23" t="str">
        <f>IF($D366="","",IFERROR(VLOOKUP($D366,'ACAH Consumables Tracker'!$A:$H,8,FALSE()),""))</f>
        <v/>
      </c>
      <c r="F366" s="24"/>
      <c r="G366" s="25" t="str">
        <f>IF($D366="","",IFERROR(VLOOKUP($D366,'ACAH Consumables Tracker'!$A:$D,4,FALSE()),""))</f>
        <v/>
      </c>
      <c r="H366" s="22"/>
    </row>
    <row r="367" spans="1:8">
      <c r="A367" s="21"/>
      <c r="B367" s="28"/>
      <c r="C367" s="22"/>
      <c r="D367" s="28"/>
      <c r="E367" s="23" t="str">
        <f>IF($D367="","",IFERROR(VLOOKUP($D367,'ACAH Consumables Tracker'!$A:$H,8,FALSE()),""))</f>
        <v/>
      </c>
      <c r="F367" s="24"/>
      <c r="G367" s="25" t="str">
        <f>IF($D367="","",IFERROR(VLOOKUP($D367,'ACAH Consumables Tracker'!$A:$D,4,FALSE()),""))</f>
        <v/>
      </c>
      <c r="H367" s="22"/>
    </row>
    <row r="368" spans="1:8">
      <c r="A368" s="21"/>
      <c r="B368" s="28"/>
      <c r="C368" s="22"/>
      <c r="D368" s="28"/>
      <c r="E368" s="23" t="str">
        <f>IF($D368="","",IFERROR(VLOOKUP($D368,'ACAH Consumables Tracker'!$A:$H,8,FALSE()),""))</f>
        <v/>
      </c>
      <c r="F368" s="24"/>
      <c r="G368" s="25" t="str">
        <f>IF($D368="","",IFERROR(VLOOKUP($D368,'ACAH Consumables Tracker'!$A:$D,4,FALSE()),""))</f>
        <v/>
      </c>
      <c r="H368" s="22"/>
    </row>
    <row r="369" spans="1:8">
      <c r="A369" s="21"/>
      <c r="B369" s="28"/>
      <c r="C369" s="22"/>
      <c r="D369" s="28"/>
      <c r="E369" s="23" t="str">
        <f>IF($D369="","",IFERROR(VLOOKUP($D369,'ACAH Consumables Tracker'!$A:$H,8,FALSE()),""))</f>
        <v/>
      </c>
      <c r="F369" s="24"/>
      <c r="G369" s="25" t="str">
        <f>IF($D369="","",IFERROR(VLOOKUP($D369,'ACAH Consumables Tracker'!$A:$D,4,FALSE()),""))</f>
        <v/>
      </c>
      <c r="H369" s="22"/>
    </row>
    <row r="370" spans="1:8">
      <c r="A370" s="21"/>
      <c r="B370" s="28"/>
      <c r="C370" s="22"/>
      <c r="D370" s="28"/>
      <c r="E370" s="23" t="str">
        <f>IF($D370="","",IFERROR(VLOOKUP($D370,'ACAH Consumables Tracker'!$A:$H,8,FALSE()),""))</f>
        <v/>
      </c>
      <c r="F370" s="24"/>
      <c r="G370" s="25" t="str">
        <f>IF($D370="","",IFERROR(VLOOKUP($D370,'ACAH Consumables Tracker'!$A:$D,4,FALSE()),""))</f>
        <v/>
      </c>
      <c r="H370" s="22"/>
    </row>
    <row r="371" spans="1:8">
      <c r="A371" s="21"/>
      <c r="B371" s="28"/>
      <c r="C371" s="22"/>
      <c r="D371" s="28"/>
      <c r="E371" s="23" t="str">
        <f>IF($D371="","",IFERROR(VLOOKUP($D371,'ACAH Consumables Tracker'!$A:$H,8,FALSE()),""))</f>
        <v/>
      </c>
      <c r="F371" s="24"/>
      <c r="G371" s="25" t="str">
        <f>IF($D371="","",IFERROR(VLOOKUP($D371,'ACAH Consumables Tracker'!$A:$D,4,FALSE()),""))</f>
        <v/>
      </c>
      <c r="H371" s="22"/>
    </row>
    <row r="372" spans="1:8">
      <c r="A372" s="21"/>
      <c r="B372" s="28"/>
      <c r="C372" s="22"/>
      <c r="D372" s="28"/>
      <c r="E372" s="23" t="str">
        <f>IF($D372="","",IFERROR(VLOOKUP($D372,'ACAH Consumables Tracker'!$A:$H,8,FALSE()),""))</f>
        <v/>
      </c>
      <c r="F372" s="24"/>
      <c r="G372" s="25" t="str">
        <f>IF($D372="","",IFERROR(VLOOKUP($D372,'ACAH Consumables Tracker'!$A:$D,4,FALSE()),""))</f>
        <v/>
      </c>
      <c r="H372" s="22"/>
    </row>
    <row r="373" spans="1:8">
      <c r="A373" s="21"/>
      <c r="B373" s="28"/>
      <c r="C373" s="22"/>
      <c r="D373" s="28"/>
      <c r="E373" s="23" t="str">
        <f>IF($D373="","",IFERROR(VLOOKUP($D373,'ACAH Consumables Tracker'!$A:$H,8,FALSE()),""))</f>
        <v/>
      </c>
      <c r="F373" s="24"/>
      <c r="G373" s="25" t="str">
        <f>IF($D373="","",IFERROR(VLOOKUP($D373,'ACAH Consumables Tracker'!$A:$D,4,FALSE()),""))</f>
        <v/>
      </c>
      <c r="H373" s="22"/>
    </row>
    <row r="374" spans="1:8">
      <c r="A374" s="21"/>
      <c r="B374" s="28"/>
      <c r="C374" s="22"/>
      <c r="D374" s="28"/>
      <c r="E374" s="23" t="str">
        <f>IF($D374="","",IFERROR(VLOOKUP($D374,'ACAH Consumables Tracker'!$A:$H,8,FALSE()),""))</f>
        <v/>
      </c>
      <c r="F374" s="24"/>
      <c r="G374" s="25" t="str">
        <f>IF($D374="","",IFERROR(VLOOKUP($D374,'ACAH Consumables Tracker'!$A:$D,4,FALSE()),""))</f>
        <v/>
      </c>
      <c r="H374" s="22"/>
    </row>
    <row r="375" spans="1:8">
      <c r="A375" s="21"/>
      <c r="B375" s="28"/>
      <c r="C375" s="22"/>
      <c r="D375" s="28"/>
      <c r="E375" s="23" t="str">
        <f>IF($D375="","",IFERROR(VLOOKUP($D375,'ACAH Consumables Tracker'!$A:$H,8,FALSE()),""))</f>
        <v/>
      </c>
      <c r="F375" s="24"/>
      <c r="G375" s="25" t="str">
        <f>IF($D375="","",IFERROR(VLOOKUP($D375,'ACAH Consumables Tracker'!$A:$D,4,FALSE()),""))</f>
        <v/>
      </c>
      <c r="H375" s="22"/>
    </row>
    <row r="376" spans="1:8">
      <c r="A376" s="21"/>
      <c r="B376" s="28"/>
      <c r="C376" s="22"/>
      <c r="D376" s="28"/>
      <c r="E376" s="23" t="str">
        <f>IF($D376="","",IFERROR(VLOOKUP($D376,'ACAH Consumables Tracker'!$A:$H,8,FALSE()),""))</f>
        <v/>
      </c>
      <c r="F376" s="24"/>
      <c r="G376" s="25" t="str">
        <f>IF($D376="","",IFERROR(VLOOKUP($D376,'ACAH Consumables Tracker'!$A:$D,4,FALSE()),""))</f>
        <v/>
      </c>
      <c r="H376" s="22"/>
    </row>
    <row r="377" spans="1:8">
      <c r="A377" s="21"/>
      <c r="B377" s="28"/>
      <c r="C377" s="22"/>
      <c r="D377" s="28"/>
      <c r="E377" s="23" t="str">
        <f>IF($D377="","",IFERROR(VLOOKUP($D377,'ACAH Consumables Tracker'!$A:$H,8,FALSE()),""))</f>
        <v/>
      </c>
      <c r="F377" s="24"/>
      <c r="G377" s="25" t="str">
        <f>IF($D377="","",IFERROR(VLOOKUP($D377,'ACAH Consumables Tracker'!$A:$D,4,FALSE()),""))</f>
        <v/>
      </c>
      <c r="H377" s="22"/>
    </row>
    <row r="378" spans="1:8">
      <c r="A378" s="21"/>
      <c r="B378" s="28"/>
      <c r="C378" s="22"/>
      <c r="D378" s="28"/>
      <c r="E378" s="23" t="str">
        <f>IF($D378="","",IFERROR(VLOOKUP($D378,'ACAH Consumables Tracker'!$A:$H,8,FALSE()),""))</f>
        <v/>
      </c>
      <c r="F378" s="24"/>
      <c r="G378" s="25" t="str">
        <f>IF($D378="","",IFERROR(VLOOKUP($D378,'ACAH Consumables Tracker'!$A:$D,4,FALSE()),""))</f>
        <v/>
      </c>
      <c r="H378" s="22"/>
    </row>
    <row r="379" spans="1:8">
      <c r="A379" s="21"/>
      <c r="B379" s="28"/>
      <c r="C379" s="22"/>
      <c r="D379" s="28"/>
      <c r="E379" s="23" t="str">
        <f>IF($D379="","",IFERROR(VLOOKUP($D379,'ACAH Consumables Tracker'!$A:$H,8,FALSE()),""))</f>
        <v/>
      </c>
      <c r="F379" s="24"/>
      <c r="G379" s="25" t="str">
        <f>IF($D379="","",IFERROR(VLOOKUP($D379,'ACAH Consumables Tracker'!$A:$D,4,FALSE()),""))</f>
        <v/>
      </c>
      <c r="H379" s="22"/>
    </row>
    <row r="380" spans="1:8">
      <c r="A380" s="21"/>
      <c r="B380" s="28"/>
      <c r="C380" s="22"/>
      <c r="D380" s="28"/>
      <c r="E380" s="23" t="str">
        <f>IF($D380="","",IFERROR(VLOOKUP($D380,'ACAH Consumables Tracker'!$A:$H,8,FALSE()),""))</f>
        <v/>
      </c>
      <c r="F380" s="24"/>
      <c r="G380" s="25" t="str">
        <f>IF($D380="","",IFERROR(VLOOKUP($D380,'ACAH Consumables Tracker'!$A:$D,4,FALSE()),""))</f>
        <v/>
      </c>
      <c r="H380" s="22"/>
    </row>
    <row r="381" spans="1:8">
      <c r="A381" s="21"/>
      <c r="B381" s="28"/>
      <c r="C381" s="22"/>
      <c r="D381" s="28"/>
      <c r="E381" s="23" t="str">
        <f>IF($D381="","",IFERROR(VLOOKUP($D381,'ACAH Consumables Tracker'!$A:$H,8,FALSE()),""))</f>
        <v/>
      </c>
      <c r="F381" s="24"/>
      <c r="G381" s="25" t="str">
        <f>IF($D381="","",IFERROR(VLOOKUP($D381,'ACAH Consumables Tracker'!$A:$D,4,FALSE()),""))</f>
        <v/>
      </c>
      <c r="H381" s="22"/>
    </row>
    <row r="382" spans="1:8">
      <c r="A382" s="21"/>
      <c r="B382" s="28"/>
      <c r="C382" s="22"/>
      <c r="D382" s="28"/>
      <c r="E382" s="23" t="str">
        <f>IF($D382="","",IFERROR(VLOOKUP($D382,'ACAH Consumables Tracker'!$A:$H,8,FALSE()),""))</f>
        <v/>
      </c>
      <c r="F382" s="24"/>
      <c r="G382" s="25" t="str">
        <f>IF($D382="","",IFERROR(VLOOKUP($D382,'ACAH Consumables Tracker'!$A:$D,4,FALSE()),""))</f>
        <v/>
      </c>
      <c r="H382" s="22"/>
    </row>
    <row r="383" spans="1:8">
      <c r="A383" s="21"/>
      <c r="B383" s="28"/>
      <c r="C383" s="22"/>
      <c r="D383" s="28"/>
      <c r="E383" s="23" t="str">
        <f>IF($D383="","",IFERROR(VLOOKUP($D383,'ACAH Consumables Tracker'!$A:$H,8,FALSE()),""))</f>
        <v/>
      </c>
      <c r="F383" s="24"/>
      <c r="G383" s="25" t="str">
        <f>IF($D383="","",IFERROR(VLOOKUP($D383,'ACAH Consumables Tracker'!$A:$D,4,FALSE()),""))</f>
        <v/>
      </c>
      <c r="H383" s="22"/>
    </row>
    <row r="384" spans="1:8">
      <c r="A384" s="21"/>
      <c r="B384" s="28"/>
      <c r="C384" s="22"/>
      <c r="D384" s="28"/>
      <c r="E384" s="23" t="str">
        <f>IF($D384="","",IFERROR(VLOOKUP($D384,'ACAH Consumables Tracker'!$A:$H,8,FALSE()),""))</f>
        <v/>
      </c>
      <c r="F384" s="24"/>
      <c r="G384" s="25" t="str">
        <f>IF($D384="","",IFERROR(VLOOKUP($D384,'ACAH Consumables Tracker'!$A:$D,4,FALSE()),""))</f>
        <v/>
      </c>
      <c r="H384" s="22"/>
    </row>
    <row r="385" spans="1:8">
      <c r="A385" s="21"/>
      <c r="B385" s="28"/>
      <c r="C385" s="22"/>
      <c r="D385" s="28"/>
      <c r="E385" s="23" t="str">
        <f>IF($D385="","",IFERROR(VLOOKUP($D385,'ACAH Consumables Tracker'!$A:$H,8,FALSE()),""))</f>
        <v/>
      </c>
      <c r="F385" s="24"/>
      <c r="G385" s="25" t="str">
        <f>IF($D385="","",IFERROR(VLOOKUP($D385,'ACAH Consumables Tracker'!$A:$D,4,FALSE()),""))</f>
        <v/>
      </c>
      <c r="H385" s="22"/>
    </row>
    <row r="386" spans="1:8">
      <c r="A386" s="21"/>
      <c r="B386" s="28"/>
      <c r="C386" s="22"/>
      <c r="D386" s="28"/>
      <c r="E386" s="23" t="str">
        <f>IF($D386="","",IFERROR(VLOOKUP($D386,'ACAH Consumables Tracker'!$A:$H,8,FALSE()),""))</f>
        <v/>
      </c>
      <c r="F386" s="24"/>
      <c r="G386" s="25" t="str">
        <f>IF($D386="","",IFERROR(VLOOKUP($D386,'ACAH Consumables Tracker'!$A:$D,4,FALSE()),""))</f>
        <v/>
      </c>
      <c r="H386" s="22"/>
    </row>
    <row r="387" spans="1:8">
      <c r="A387" s="21"/>
      <c r="B387" s="28"/>
      <c r="C387" s="22"/>
      <c r="D387" s="28"/>
      <c r="E387" s="23" t="str">
        <f>IF($D387="","",IFERROR(VLOOKUP($D387,'ACAH Consumables Tracker'!$A:$H,8,FALSE()),""))</f>
        <v/>
      </c>
      <c r="F387" s="24"/>
      <c r="G387" s="25" t="str">
        <f>IF($D387="","",IFERROR(VLOOKUP($D387,'ACAH Consumables Tracker'!$A:$D,4,FALSE()),""))</f>
        <v/>
      </c>
      <c r="H387" s="22"/>
    </row>
    <row r="388" spans="1:8">
      <c r="A388" s="21"/>
      <c r="B388" s="28"/>
      <c r="C388" s="22"/>
      <c r="D388" s="28"/>
      <c r="E388" s="23" t="str">
        <f>IF($D388="","",IFERROR(VLOOKUP($D388,'ACAH Consumables Tracker'!$A:$H,8,FALSE()),""))</f>
        <v/>
      </c>
      <c r="F388" s="24"/>
      <c r="G388" s="25" t="str">
        <f>IF($D388="","",IFERROR(VLOOKUP($D388,'ACAH Consumables Tracker'!$A:$D,4,FALSE()),""))</f>
        <v/>
      </c>
      <c r="H388" s="22"/>
    </row>
    <row r="389" spans="1:8">
      <c r="A389" s="21"/>
      <c r="B389" s="28"/>
      <c r="C389" s="22"/>
      <c r="D389" s="28"/>
      <c r="E389" s="23" t="str">
        <f>IF($D389="","",IFERROR(VLOOKUP($D389,'ACAH Consumables Tracker'!$A:$H,8,FALSE()),""))</f>
        <v/>
      </c>
      <c r="F389" s="24"/>
      <c r="G389" s="25" t="str">
        <f>IF($D389="","",IFERROR(VLOOKUP($D389,'ACAH Consumables Tracker'!$A:$D,4,FALSE()),""))</f>
        <v/>
      </c>
      <c r="H389" s="22"/>
    </row>
    <row r="390" spans="1:8">
      <c r="A390" s="21"/>
      <c r="B390" s="28"/>
      <c r="C390" s="22"/>
      <c r="D390" s="28"/>
      <c r="E390" s="23" t="str">
        <f>IF($D390="","",IFERROR(VLOOKUP($D390,'ACAH Consumables Tracker'!$A:$H,8,FALSE()),""))</f>
        <v/>
      </c>
      <c r="F390" s="24"/>
      <c r="G390" s="25" t="str">
        <f>IF($D390="","",IFERROR(VLOOKUP($D390,'ACAH Consumables Tracker'!$A:$D,4,FALSE()),""))</f>
        <v/>
      </c>
      <c r="H390" s="22"/>
    </row>
    <row r="391" spans="1:8">
      <c r="A391" s="21"/>
      <c r="B391" s="28"/>
      <c r="C391" s="22"/>
      <c r="D391" s="28"/>
      <c r="E391" s="23" t="str">
        <f>IF($D391="","",IFERROR(VLOOKUP($D391,'ACAH Consumables Tracker'!$A:$H,8,FALSE()),""))</f>
        <v/>
      </c>
      <c r="F391" s="24"/>
      <c r="G391" s="25" t="str">
        <f>IF($D391="","",IFERROR(VLOOKUP($D391,'ACAH Consumables Tracker'!$A:$D,4,FALSE()),""))</f>
        <v/>
      </c>
      <c r="H391" s="22"/>
    </row>
    <row r="392" spans="1:8">
      <c r="A392" s="21"/>
      <c r="B392" s="28"/>
      <c r="C392" s="22"/>
      <c r="D392" s="28"/>
      <c r="E392" s="23" t="str">
        <f>IF($D392="","",IFERROR(VLOOKUP($D392,'ACAH Consumables Tracker'!$A:$H,8,FALSE()),""))</f>
        <v/>
      </c>
      <c r="F392" s="24"/>
      <c r="G392" s="25" t="str">
        <f>IF($D392="","",IFERROR(VLOOKUP($D392,'ACAH Consumables Tracker'!$A:$D,4,FALSE()),""))</f>
        <v/>
      </c>
      <c r="H392" s="22"/>
    </row>
    <row r="393" spans="1:8">
      <c r="A393" s="21"/>
      <c r="B393" s="28"/>
      <c r="C393" s="22"/>
      <c r="D393" s="28"/>
      <c r="E393" s="23" t="str">
        <f>IF($D393="","",IFERROR(VLOOKUP($D393,'ACAH Consumables Tracker'!$A:$H,8,FALSE()),""))</f>
        <v/>
      </c>
      <c r="F393" s="24"/>
      <c r="G393" s="25" t="str">
        <f>IF($D393="","",IFERROR(VLOOKUP($D393,'ACAH Consumables Tracker'!$A:$D,4,FALSE()),""))</f>
        <v/>
      </c>
      <c r="H393" s="22"/>
    </row>
    <row r="394" spans="1:8">
      <c r="A394" s="21"/>
      <c r="B394" s="28"/>
      <c r="C394" s="22"/>
      <c r="D394" s="28"/>
      <c r="E394" s="23" t="str">
        <f>IF($D394="","",IFERROR(VLOOKUP($D394,'ACAH Consumables Tracker'!$A:$H,8,FALSE()),""))</f>
        <v/>
      </c>
      <c r="F394" s="24"/>
      <c r="G394" s="25" t="str">
        <f>IF($D394="","",IFERROR(VLOOKUP($D394,'ACAH Consumables Tracker'!$A:$D,4,FALSE()),""))</f>
        <v/>
      </c>
      <c r="H394" s="22"/>
    </row>
    <row r="395" spans="1:8">
      <c r="A395" s="21"/>
      <c r="B395" s="28"/>
      <c r="C395" s="22"/>
      <c r="D395" s="28"/>
      <c r="E395" s="23" t="str">
        <f>IF($D395="","",IFERROR(VLOOKUP($D395,'ACAH Consumables Tracker'!$A:$H,8,FALSE()),""))</f>
        <v/>
      </c>
      <c r="F395" s="24"/>
      <c r="G395" s="25" t="str">
        <f>IF($D395="","",IFERROR(VLOOKUP($D395,'ACAH Consumables Tracker'!$A:$D,4,FALSE()),""))</f>
        <v/>
      </c>
      <c r="H395" s="22"/>
    </row>
    <row r="396" spans="1:8">
      <c r="A396" s="21"/>
      <c r="B396" s="28"/>
      <c r="C396" s="22"/>
      <c r="D396" s="28"/>
      <c r="E396" s="23" t="str">
        <f>IF($D396="","",IFERROR(VLOOKUP($D396,'ACAH Consumables Tracker'!$A:$H,8,FALSE()),""))</f>
        <v/>
      </c>
      <c r="F396" s="24"/>
      <c r="G396" s="25" t="str">
        <f>IF($D396="","",IFERROR(VLOOKUP($D396,'ACAH Consumables Tracker'!$A:$D,4,FALSE()),""))</f>
        <v/>
      </c>
      <c r="H396" s="22"/>
    </row>
    <row r="397" spans="1:8">
      <c r="A397" s="21"/>
      <c r="B397" s="28"/>
      <c r="C397" s="22"/>
      <c r="D397" s="28"/>
      <c r="E397" s="23" t="str">
        <f>IF($D397="","",IFERROR(VLOOKUP($D397,'ACAH Consumables Tracker'!$A:$H,8,FALSE()),""))</f>
        <v/>
      </c>
      <c r="F397" s="24"/>
      <c r="G397" s="25" t="str">
        <f>IF($D397="","",IFERROR(VLOOKUP($D397,'ACAH Consumables Tracker'!$A:$D,4,FALSE()),""))</f>
        <v/>
      </c>
      <c r="H397" s="22"/>
    </row>
    <row r="398" spans="1:8">
      <c r="A398" s="21"/>
      <c r="B398" s="28"/>
      <c r="C398" s="22"/>
      <c r="D398" s="28"/>
      <c r="E398" s="23" t="str">
        <f>IF($D398="","",IFERROR(VLOOKUP($D398,'ACAH Consumables Tracker'!$A:$H,8,FALSE()),""))</f>
        <v/>
      </c>
      <c r="F398" s="24"/>
      <c r="G398" s="25" t="str">
        <f>IF($D398="","",IFERROR(VLOOKUP($D398,'ACAH Consumables Tracker'!$A:$D,4,FALSE()),""))</f>
        <v/>
      </c>
      <c r="H398" s="22"/>
    </row>
    <row r="399" spans="1:8">
      <c r="A399" s="21"/>
      <c r="B399" s="28"/>
      <c r="C399" s="22"/>
      <c r="D399" s="28"/>
      <c r="E399" s="23" t="str">
        <f>IF($D399="","",IFERROR(VLOOKUP($D399,'ACAH Consumables Tracker'!$A:$H,8,FALSE()),""))</f>
        <v/>
      </c>
      <c r="F399" s="24"/>
      <c r="G399" s="25" t="str">
        <f>IF($D399="","",IFERROR(VLOOKUP($D399,'ACAH Consumables Tracker'!$A:$D,4,FALSE()),""))</f>
        <v/>
      </c>
      <c r="H399" s="22"/>
    </row>
    <row r="400" spans="1:8">
      <c r="A400" s="21"/>
      <c r="B400" s="28"/>
      <c r="C400" s="22"/>
      <c r="D400" s="28"/>
      <c r="E400" s="23" t="str">
        <f>IF($D400="","",IFERROR(VLOOKUP($D400,'ACAH Consumables Tracker'!$A:$H,8,FALSE()),""))</f>
        <v/>
      </c>
      <c r="F400" s="24"/>
      <c r="G400" s="25" t="str">
        <f>IF($D400="","",IFERROR(VLOOKUP($D400,'ACAH Consumables Tracker'!$A:$D,4,FALSE()),""))</f>
        <v/>
      </c>
      <c r="H400" s="22"/>
    </row>
    <row r="401" spans="1:8">
      <c r="A401" s="21"/>
      <c r="B401" s="28"/>
      <c r="C401" s="22"/>
      <c r="D401" s="28"/>
      <c r="E401" s="23" t="str">
        <f>IF($D401="","",IFERROR(VLOOKUP($D401,'ACAH Consumables Tracker'!$A:$H,8,FALSE()),""))</f>
        <v/>
      </c>
      <c r="F401" s="24"/>
      <c r="G401" s="25" t="str">
        <f>IF($D401="","",IFERROR(VLOOKUP($D401,'ACAH Consumables Tracker'!$A:$D,4,FALSE()),""))</f>
        <v/>
      </c>
      <c r="H401" s="22"/>
    </row>
    <row r="402" spans="1:8">
      <c r="A402" s="21"/>
      <c r="B402" s="28"/>
      <c r="C402" s="22"/>
      <c r="D402" s="28"/>
      <c r="E402" s="23" t="str">
        <f>IF($D402="","",IFERROR(VLOOKUP($D402,'ACAH Consumables Tracker'!$A:$H,8,FALSE()),""))</f>
        <v/>
      </c>
      <c r="F402" s="24"/>
      <c r="G402" s="25" t="str">
        <f>IF($D402="","",IFERROR(VLOOKUP($D402,'ACAH Consumables Tracker'!$A:$D,4,FALSE()),""))</f>
        <v/>
      </c>
      <c r="H402" s="22"/>
    </row>
    <row r="403" spans="1:8">
      <c r="A403" s="21"/>
      <c r="B403" s="28"/>
      <c r="C403" s="22"/>
      <c r="D403" s="28"/>
      <c r="E403" s="23" t="str">
        <f>IF($D403="","",IFERROR(VLOOKUP($D403,'ACAH Consumables Tracker'!$A:$H,8,FALSE()),""))</f>
        <v/>
      </c>
      <c r="F403" s="24"/>
      <c r="G403" s="25" t="str">
        <f>IF($D403="","",IFERROR(VLOOKUP($D403,'ACAH Consumables Tracker'!$A:$D,4,FALSE()),""))</f>
        <v/>
      </c>
      <c r="H403" s="22"/>
    </row>
    <row r="404" spans="1:8">
      <c r="A404" s="21"/>
      <c r="B404" s="28"/>
      <c r="C404" s="22"/>
      <c r="D404" s="28"/>
      <c r="E404" s="23" t="str">
        <f>IF($D404="","",IFERROR(VLOOKUP($D404,'ACAH Consumables Tracker'!$A:$H,8,FALSE()),""))</f>
        <v/>
      </c>
      <c r="F404" s="24"/>
      <c r="G404" s="25" t="str">
        <f>IF($D404="","",IFERROR(VLOOKUP($D404,'ACAH Consumables Tracker'!$A:$D,4,FALSE()),""))</f>
        <v/>
      </c>
      <c r="H404" s="22"/>
    </row>
    <row r="405" spans="1:8">
      <c r="A405" s="21"/>
      <c r="B405" s="28"/>
      <c r="C405" s="22"/>
      <c r="D405" s="28"/>
      <c r="E405" s="23" t="str">
        <f>IF($D405="","",IFERROR(VLOOKUP($D405,'ACAH Consumables Tracker'!$A:$H,8,FALSE()),""))</f>
        <v/>
      </c>
      <c r="F405" s="24"/>
      <c r="G405" s="25" t="str">
        <f>IF($D405="","",IFERROR(VLOOKUP($D405,'ACAH Consumables Tracker'!$A:$D,4,FALSE()),""))</f>
        <v/>
      </c>
      <c r="H405" s="22"/>
    </row>
    <row r="406" spans="1:8">
      <c r="A406" s="21"/>
      <c r="B406" s="28"/>
      <c r="C406" s="22"/>
      <c r="D406" s="28"/>
      <c r="E406" s="23" t="str">
        <f>IF($D406="","",IFERROR(VLOOKUP($D406,'ACAH Consumables Tracker'!$A:$H,8,FALSE()),""))</f>
        <v/>
      </c>
      <c r="F406" s="24"/>
      <c r="G406" s="25" t="str">
        <f>IF($D406="","",IFERROR(VLOOKUP($D406,'ACAH Consumables Tracker'!$A:$D,4,FALSE()),""))</f>
        <v/>
      </c>
      <c r="H406" s="22"/>
    </row>
    <row r="407" spans="1:8">
      <c r="A407" s="21"/>
      <c r="B407" s="28"/>
      <c r="C407" s="22"/>
      <c r="D407" s="28"/>
      <c r="E407" s="23" t="str">
        <f>IF($D407="","",IFERROR(VLOOKUP($D407,'ACAH Consumables Tracker'!$A:$H,8,FALSE()),""))</f>
        <v/>
      </c>
      <c r="F407" s="24"/>
      <c r="G407" s="25" t="str">
        <f>IF($D407="","",IFERROR(VLOOKUP($D407,'ACAH Consumables Tracker'!$A:$D,4,FALSE()),""))</f>
        <v/>
      </c>
      <c r="H407" s="22"/>
    </row>
    <row r="408" spans="1:8">
      <c r="A408" s="21"/>
      <c r="B408" s="28"/>
      <c r="C408" s="22"/>
      <c r="D408" s="28"/>
      <c r="E408" s="23" t="str">
        <f>IF($D408="","",IFERROR(VLOOKUP($D408,'ACAH Consumables Tracker'!$A:$H,8,FALSE()),""))</f>
        <v/>
      </c>
      <c r="F408" s="24"/>
      <c r="G408" s="25" t="str">
        <f>IF($D408="","",IFERROR(VLOOKUP($D408,'ACAH Consumables Tracker'!$A:$D,4,FALSE()),""))</f>
        <v/>
      </c>
      <c r="H408" s="22"/>
    </row>
    <row r="409" spans="1:8">
      <c r="A409" s="21"/>
      <c r="B409" s="28"/>
      <c r="C409" s="22"/>
      <c r="D409" s="28"/>
      <c r="E409" s="23" t="str">
        <f>IF($D409="","",IFERROR(VLOOKUP($D409,'ACAH Consumables Tracker'!$A:$H,8,FALSE()),""))</f>
        <v/>
      </c>
      <c r="F409" s="24"/>
      <c r="G409" s="25" t="str">
        <f>IF($D409="","",IFERROR(VLOOKUP($D409,'ACAH Consumables Tracker'!$A:$D,4,FALSE()),""))</f>
        <v/>
      </c>
      <c r="H409" s="22"/>
    </row>
    <row r="410" spans="1:8">
      <c r="A410" s="21"/>
      <c r="B410" s="28"/>
      <c r="C410" s="22"/>
      <c r="D410" s="28"/>
      <c r="E410" s="23" t="str">
        <f>IF($D410="","",IFERROR(VLOOKUP($D410,'ACAH Consumables Tracker'!$A:$H,8,FALSE()),""))</f>
        <v/>
      </c>
      <c r="F410" s="24"/>
      <c r="G410" s="25" t="str">
        <f>IF($D410="","",IFERROR(VLOOKUP($D410,'ACAH Consumables Tracker'!$A:$D,4,FALSE()),""))</f>
        <v/>
      </c>
      <c r="H410" s="22"/>
    </row>
    <row r="411" spans="1:8">
      <c r="A411" s="21"/>
      <c r="B411" s="28"/>
      <c r="C411" s="22"/>
      <c r="D411" s="28"/>
      <c r="E411" s="23" t="str">
        <f>IF($D411="","",IFERROR(VLOOKUP($D411,'ACAH Consumables Tracker'!$A:$H,8,FALSE()),""))</f>
        <v/>
      </c>
      <c r="F411" s="24"/>
      <c r="G411" s="25" t="str">
        <f>IF($D411="","",IFERROR(VLOOKUP($D411,'ACAH Consumables Tracker'!$A:$D,4,FALSE()),""))</f>
        <v/>
      </c>
      <c r="H411" s="22"/>
    </row>
    <row r="412" spans="1:8">
      <c r="A412" s="21"/>
      <c r="B412" s="28"/>
      <c r="C412" s="22"/>
      <c r="D412" s="28"/>
      <c r="E412" s="23" t="str">
        <f>IF($D412="","",IFERROR(VLOOKUP($D412,'ACAH Consumables Tracker'!$A:$H,8,FALSE()),""))</f>
        <v/>
      </c>
      <c r="F412" s="24"/>
      <c r="G412" s="25" t="str">
        <f>IF($D412="","",IFERROR(VLOOKUP($D412,'ACAH Consumables Tracker'!$A:$D,4,FALSE()),""))</f>
        <v/>
      </c>
      <c r="H412" s="22"/>
    </row>
    <row r="413" spans="1:8">
      <c r="A413" s="21"/>
      <c r="B413" s="28"/>
      <c r="C413" s="22"/>
      <c r="D413" s="28"/>
      <c r="E413" s="23" t="str">
        <f>IF($D413="","",IFERROR(VLOOKUP($D413,'ACAH Consumables Tracker'!$A:$H,8,FALSE()),""))</f>
        <v/>
      </c>
      <c r="F413" s="24"/>
      <c r="G413" s="25" t="str">
        <f>IF($D413="","",IFERROR(VLOOKUP($D413,'ACAH Consumables Tracker'!$A:$D,4,FALSE()),""))</f>
        <v/>
      </c>
      <c r="H413" s="22"/>
    </row>
    <row r="414" spans="1:8">
      <c r="A414" s="21"/>
      <c r="B414" s="28"/>
      <c r="C414" s="22"/>
      <c r="D414" s="28"/>
      <c r="E414" s="23" t="str">
        <f>IF($D414="","",IFERROR(VLOOKUP($D414,'ACAH Consumables Tracker'!$A:$H,8,FALSE()),""))</f>
        <v/>
      </c>
      <c r="F414" s="24"/>
      <c r="G414" s="25" t="str">
        <f>IF($D414="","",IFERROR(VLOOKUP($D414,'ACAH Consumables Tracker'!$A:$D,4,FALSE()),""))</f>
        <v/>
      </c>
      <c r="H414" s="22"/>
    </row>
    <row r="415" spans="1:8">
      <c r="A415" s="21"/>
      <c r="B415" s="28"/>
      <c r="C415" s="22"/>
      <c r="D415" s="28"/>
      <c r="E415" s="23" t="str">
        <f>IF($D415="","",IFERROR(VLOOKUP($D415,'ACAH Consumables Tracker'!$A:$H,8,FALSE()),""))</f>
        <v/>
      </c>
      <c r="F415" s="24"/>
      <c r="G415" s="25" t="str">
        <f>IF($D415="","",IFERROR(VLOOKUP($D415,'ACAH Consumables Tracker'!$A:$D,4,FALSE()),""))</f>
        <v/>
      </c>
      <c r="H415" s="22"/>
    </row>
    <row r="416" spans="1:8">
      <c r="A416" s="21"/>
      <c r="B416" s="28"/>
      <c r="C416" s="22"/>
      <c r="D416" s="28"/>
      <c r="E416" s="23" t="str">
        <f>IF($D416="","",IFERROR(VLOOKUP($D416,'ACAH Consumables Tracker'!$A:$H,8,FALSE()),""))</f>
        <v/>
      </c>
      <c r="F416" s="24"/>
      <c r="G416" s="25" t="str">
        <f>IF($D416="","",IFERROR(VLOOKUP($D416,'ACAH Consumables Tracker'!$A:$D,4,FALSE()),""))</f>
        <v/>
      </c>
      <c r="H416" s="22"/>
    </row>
    <row r="417" spans="1:8">
      <c r="A417" s="21"/>
      <c r="B417" s="28"/>
      <c r="C417" s="22"/>
      <c r="D417" s="28"/>
      <c r="E417" s="23" t="str">
        <f>IF($D417="","",IFERROR(VLOOKUP($D417,'ACAH Consumables Tracker'!$A:$H,8,FALSE()),""))</f>
        <v/>
      </c>
      <c r="F417" s="24"/>
      <c r="G417" s="25" t="str">
        <f>IF($D417="","",IFERROR(VLOOKUP($D417,'ACAH Consumables Tracker'!$A:$D,4,FALSE()),""))</f>
        <v/>
      </c>
      <c r="H417" s="22"/>
    </row>
    <row r="418" spans="1:8">
      <c r="A418" s="21"/>
      <c r="B418" s="28"/>
      <c r="C418" s="22"/>
      <c r="D418" s="28"/>
      <c r="E418" s="23" t="str">
        <f>IF($D418="","",IFERROR(VLOOKUP($D418,'ACAH Consumables Tracker'!$A:$H,8,FALSE()),""))</f>
        <v/>
      </c>
      <c r="F418" s="24"/>
      <c r="G418" s="25" t="str">
        <f>IF($D418="","",IFERROR(VLOOKUP($D418,'ACAH Consumables Tracker'!$A:$D,4,FALSE()),""))</f>
        <v/>
      </c>
      <c r="H418" s="22"/>
    </row>
    <row r="419" spans="1:8">
      <c r="A419" s="21"/>
      <c r="B419" s="28"/>
      <c r="C419" s="22"/>
      <c r="D419" s="28"/>
      <c r="E419" s="23" t="str">
        <f>IF($D419="","",IFERROR(VLOOKUP($D419,'ACAH Consumables Tracker'!$A:$H,8,FALSE()),""))</f>
        <v/>
      </c>
      <c r="F419" s="24"/>
      <c r="G419" s="25" t="str">
        <f>IF($D419="","",IFERROR(VLOOKUP($D419,'ACAH Consumables Tracker'!$A:$D,4,FALSE()),""))</f>
        <v/>
      </c>
      <c r="H419" s="22"/>
    </row>
    <row r="420" spans="1:8">
      <c r="A420" s="21"/>
      <c r="B420" s="28"/>
      <c r="C420" s="22"/>
      <c r="D420" s="28"/>
      <c r="E420" s="23" t="str">
        <f>IF($D420="","",IFERROR(VLOOKUP($D420,'ACAH Consumables Tracker'!$A:$H,8,FALSE()),""))</f>
        <v/>
      </c>
      <c r="F420" s="24"/>
      <c r="G420" s="25" t="str">
        <f>IF($D420="","",IFERROR(VLOOKUP($D420,'ACAH Consumables Tracker'!$A:$D,4,FALSE()),""))</f>
        <v/>
      </c>
      <c r="H420" s="22"/>
    </row>
    <row r="421" spans="1:8">
      <c r="A421" s="21"/>
      <c r="B421" s="28"/>
      <c r="C421" s="22"/>
      <c r="D421" s="28"/>
      <c r="E421" s="23" t="str">
        <f>IF($D421="","",IFERROR(VLOOKUP($D421,'ACAH Consumables Tracker'!$A:$H,8,FALSE()),""))</f>
        <v/>
      </c>
      <c r="F421" s="24"/>
      <c r="G421" s="25" t="str">
        <f>IF($D421="","",IFERROR(VLOOKUP($D421,'ACAH Consumables Tracker'!$A:$D,4,FALSE()),""))</f>
        <v/>
      </c>
      <c r="H421" s="22"/>
    </row>
    <row r="422" spans="1:8">
      <c r="A422" s="21"/>
      <c r="B422" s="28"/>
      <c r="C422" s="22"/>
      <c r="D422" s="28"/>
      <c r="E422" s="23" t="str">
        <f>IF($D422="","",IFERROR(VLOOKUP($D422,'ACAH Consumables Tracker'!$A:$H,8,FALSE()),""))</f>
        <v/>
      </c>
      <c r="F422" s="24"/>
      <c r="G422" s="25" t="str">
        <f>IF($D422="","",IFERROR(VLOOKUP($D422,'ACAH Consumables Tracker'!$A:$D,4,FALSE()),""))</f>
        <v/>
      </c>
      <c r="H422" s="22"/>
    </row>
    <row r="423" spans="1:8">
      <c r="A423" s="21"/>
      <c r="B423" s="28"/>
      <c r="C423" s="22"/>
      <c r="D423" s="28"/>
      <c r="E423" s="23" t="str">
        <f>IF($D423="","",IFERROR(VLOOKUP($D423,'ACAH Consumables Tracker'!$A:$H,8,FALSE()),""))</f>
        <v/>
      </c>
      <c r="F423" s="24"/>
      <c r="G423" s="25" t="str">
        <f>IF($D423="","",IFERROR(VLOOKUP($D423,'ACAH Consumables Tracker'!$A:$D,4,FALSE()),""))</f>
        <v/>
      </c>
      <c r="H423" s="22"/>
    </row>
    <row r="424" spans="1:8">
      <c r="A424" s="21"/>
      <c r="B424" s="28"/>
      <c r="C424" s="22"/>
      <c r="D424" s="28"/>
      <c r="E424" s="23" t="str">
        <f>IF($D424="","",IFERROR(VLOOKUP($D424,'ACAH Consumables Tracker'!$A:$H,8,FALSE()),""))</f>
        <v/>
      </c>
      <c r="F424" s="24"/>
      <c r="G424" s="25" t="str">
        <f>IF($D424="","",IFERROR(VLOOKUP($D424,'ACAH Consumables Tracker'!$A:$D,4,FALSE()),""))</f>
        <v/>
      </c>
      <c r="H424" s="22"/>
    </row>
    <row r="425" spans="1:8">
      <c r="A425" s="21"/>
      <c r="B425" s="28"/>
      <c r="C425" s="22"/>
      <c r="D425" s="28"/>
      <c r="E425" s="23" t="str">
        <f>IF($D425="","",IFERROR(VLOOKUP($D425,'ACAH Consumables Tracker'!$A:$H,8,FALSE()),""))</f>
        <v/>
      </c>
      <c r="F425" s="24"/>
      <c r="G425" s="25" t="str">
        <f>IF($D425="","",IFERROR(VLOOKUP($D425,'ACAH Consumables Tracker'!$A:$D,4,FALSE()),""))</f>
        <v/>
      </c>
      <c r="H425" s="22"/>
    </row>
    <row r="426" spans="1:8">
      <c r="A426" s="21"/>
      <c r="B426" s="28"/>
      <c r="C426" s="22"/>
      <c r="D426" s="28"/>
      <c r="E426" s="23" t="str">
        <f>IF($D426="","",IFERROR(VLOOKUP($D426,'ACAH Consumables Tracker'!$A:$H,8,FALSE()),""))</f>
        <v/>
      </c>
      <c r="F426" s="24"/>
      <c r="G426" s="25" t="str">
        <f>IF($D426="","",IFERROR(VLOOKUP($D426,'ACAH Consumables Tracker'!$A:$D,4,FALSE()),""))</f>
        <v/>
      </c>
      <c r="H426" s="22"/>
    </row>
    <row r="427" spans="1:8">
      <c r="A427" s="21"/>
      <c r="B427" s="28"/>
      <c r="C427" s="22"/>
      <c r="D427" s="28"/>
      <c r="E427" s="23" t="str">
        <f>IF($D427="","",IFERROR(VLOOKUP($D427,'ACAH Consumables Tracker'!$A:$H,8,FALSE()),""))</f>
        <v/>
      </c>
      <c r="F427" s="24"/>
      <c r="G427" s="25" t="str">
        <f>IF($D427="","",IFERROR(VLOOKUP($D427,'ACAH Consumables Tracker'!$A:$D,4,FALSE()),""))</f>
        <v/>
      </c>
      <c r="H427" s="22"/>
    </row>
    <row r="428" spans="1:8">
      <c r="A428" s="21"/>
      <c r="B428" s="28"/>
      <c r="C428" s="22"/>
      <c r="D428" s="28"/>
      <c r="E428" s="23" t="str">
        <f>IF($D428="","",IFERROR(VLOOKUP($D428,'ACAH Consumables Tracker'!$A:$H,8,FALSE()),""))</f>
        <v/>
      </c>
      <c r="F428" s="24"/>
      <c r="G428" s="25" t="str">
        <f>IF($D428="","",IFERROR(VLOOKUP($D428,'ACAH Consumables Tracker'!$A:$D,4,FALSE()),""))</f>
        <v/>
      </c>
      <c r="H428" s="22"/>
    </row>
    <row r="429" spans="1:8">
      <c r="A429" s="21"/>
      <c r="B429" s="28"/>
      <c r="C429" s="22"/>
      <c r="D429" s="28"/>
      <c r="E429" s="23" t="str">
        <f>IF($D429="","",IFERROR(VLOOKUP($D429,'ACAH Consumables Tracker'!$A:$H,8,FALSE()),""))</f>
        <v/>
      </c>
      <c r="F429" s="24"/>
      <c r="G429" s="25" t="str">
        <f>IF($D429="","",IFERROR(VLOOKUP($D429,'ACAH Consumables Tracker'!$A:$D,4,FALSE()),""))</f>
        <v/>
      </c>
      <c r="H429" s="22"/>
    </row>
    <row r="430" spans="1:8">
      <c r="A430" s="21"/>
      <c r="B430" s="28"/>
      <c r="C430" s="22"/>
      <c r="D430" s="28"/>
      <c r="E430" s="23" t="str">
        <f>IF($D430="","",IFERROR(VLOOKUP($D430,'ACAH Consumables Tracker'!$A:$H,8,FALSE()),""))</f>
        <v/>
      </c>
      <c r="F430" s="24"/>
      <c r="G430" s="25" t="str">
        <f>IF($D430="","",IFERROR(VLOOKUP($D430,'ACAH Consumables Tracker'!$A:$D,4,FALSE()),""))</f>
        <v/>
      </c>
      <c r="H430" s="22"/>
    </row>
    <row r="431" spans="1:8">
      <c r="A431" s="21"/>
      <c r="B431" s="28"/>
      <c r="C431" s="22"/>
      <c r="D431" s="28"/>
      <c r="E431" s="23" t="str">
        <f>IF($D431="","",IFERROR(VLOOKUP($D431,'ACAH Consumables Tracker'!$A:$H,8,FALSE()),""))</f>
        <v/>
      </c>
      <c r="F431" s="24"/>
      <c r="G431" s="25" t="str">
        <f>IF($D431="","",IFERROR(VLOOKUP($D431,'ACAH Consumables Tracker'!$A:$D,4,FALSE()),""))</f>
        <v/>
      </c>
      <c r="H431" s="22"/>
    </row>
    <row r="432" spans="1:8">
      <c r="A432" s="21"/>
      <c r="B432" s="28"/>
      <c r="C432" s="22"/>
      <c r="D432" s="28"/>
      <c r="E432" s="23" t="str">
        <f>IF($D432="","",IFERROR(VLOOKUP($D432,'ACAH Consumables Tracker'!$A:$H,8,FALSE()),""))</f>
        <v/>
      </c>
      <c r="F432" s="24"/>
      <c r="G432" s="25" t="str">
        <f>IF($D432="","",IFERROR(VLOOKUP($D432,'ACAH Consumables Tracker'!$A:$D,4,FALSE()),""))</f>
        <v/>
      </c>
      <c r="H432" s="22"/>
    </row>
    <row r="433" spans="1:8">
      <c r="A433" s="21"/>
      <c r="B433" s="28"/>
      <c r="C433" s="22"/>
      <c r="D433" s="28"/>
      <c r="E433" s="23" t="str">
        <f>IF($D433="","",IFERROR(VLOOKUP($D433,'ACAH Consumables Tracker'!$A:$H,8,FALSE()),""))</f>
        <v/>
      </c>
      <c r="F433" s="24"/>
      <c r="G433" s="25" t="str">
        <f>IF($D433="","",IFERROR(VLOOKUP($D433,'ACAH Consumables Tracker'!$A:$D,4,FALSE()),""))</f>
        <v/>
      </c>
      <c r="H433" s="22"/>
    </row>
    <row r="434" spans="1:8">
      <c r="A434" s="21"/>
      <c r="B434" s="28"/>
      <c r="C434" s="22"/>
      <c r="D434" s="28"/>
      <c r="E434" s="23" t="str">
        <f>IF($D434="","",IFERROR(VLOOKUP($D434,'ACAH Consumables Tracker'!$A:$H,8,FALSE()),""))</f>
        <v/>
      </c>
      <c r="F434" s="24"/>
      <c r="G434" s="25" t="str">
        <f>IF($D434="","",IFERROR(VLOOKUP($D434,'ACAH Consumables Tracker'!$A:$D,4,FALSE()),""))</f>
        <v/>
      </c>
      <c r="H434" s="22"/>
    </row>
    <row r="435" spans="1:8">
      <c r="A435" s="21"/>
      <c r="B435" s="28"/>
      <c r="C435" s="22"/>
      <c r="D435" s="28"/>
      <c r="E435" s="23" t="str">
        <f>IF($D435="","",IFERROR(VLOOKUP($D435,'ACAH Consumables Tracker'!$A:$H,8,FALSE()),""))</f>
        <v/>
      </c>
      <c r="F435" s="24"/>
      <c r="G435" s="25" t="str">
        <f>IF($D435="","",IFERROR(VLOOKUP($D435,'ACAH Consumables Tracker'!$A:$D,4,FALSE()),""))</f>
        <v/>
      </c>
      <c r="H435" s="22"/>
    </row>
    <row r="436" spans="1:8">
      <c r="A436" s="21"/>
      <c r="B436" s="28"/>
      <c r="C436" s="22"/>
      <c r="D436" s="28"/>
      <c r="E436" s="23" t="str">
        <f>IF($D436="","",IFERROR(VLOOKUP($D436,'ACAH Consumables Tracker'!$A:$H,8,FALSE()),""))</f>
        <v/>
      </c>
      <c r="F436" s="24"/>
      <c r="G436" s="25" t="str">
        <f>IF($D436="","",IFERROR(VLOOKUP($D436,'ACAH Consumables Tracker'!$A:$D,4,FALSE()),""))</f>
        <v/>
      </c>
      <c r="H436" s="22"/>
    </row>
    <row r="437" spans="1:8">
      <c r="A437" s="21"/>
      <c r="B437" s="28"/>
      <c r="C437" s="22"/>
      <c r="D437" s="28"/>
      <c r="E437" s="23" t="str">
        <f>IF($D437="","",IFERROR(VLOOKUP($D437,'ACAH Consumables Tracker'!$A:$H,8,FALSE()),""))</f>
        <v/>
      </c>
      <c r="F437" s="24"/>
      <c r="G437" s="25" t="str">
        <f>IF($D437="","",IFERROR(VLOOKUP($D437,'ACAH Consumables Tracker'!$A:$D,4,FALSE()),""))</f>
        <v/>
      </c>
      <c r="H437" s="22"/>
    </row>
    <row r="438" spans="1:8">
      <c r="A438" s="21"/>
      <c r="B438" s="28"/>
      <c r="C438" s="22"/>
      <c r="D438" s="28"/>
      <c r="E438" s="23" t="str">
        <f>IF($D438="","",IFERROR(VLOOKUP($D438,'ACAH Consumables Tracker'!$A:$H,8,FALSE()),""))</f>
        <v/>
      </c>
      <c r="F438" s="24"/>
      <c r="G438" s="25" t="str">
        <f>IF($D438="","",IFERROR(VLOOKUP($D438,'ACAH Consumables Tracker'!$A:$D,4,FALSE()),""))</f>
        <v/>
      </c>
      <c r="H438" s="22"/>
    </row>
    <row r="439" spans="1:8">
      <c r="A439" s="21"/>
      <c r="B439" s="28"/>
      <c r="C439" s="22"/>
      <c r="D439" s="28"/>
      <c r="E439" s="23" t="str">
        <f>IF($D439="","",IFERROR(VLOOKUP($D439,'ACAH Consumables Tracker'!$A:$H,8,FALSE()),""))</f>
        <v/>
      </c>
      <c r="F439" s="24"/>
      <c r="G439" s="25" t="str">
        <f>IF($D439="","",IFERROR(VLOOKUP($D439,'ACAH Consumables Tracker'!$A:$D,4,FALSE()),""))</f>
        <v/>
      </c>
      <c r="H439" s="22"/>
    </row>
    <row r="440" spans="1:8">
      <c r="A440" s="21"/>
      <c r="B440" s="28"/>
      <c r="C440" s="22"/>
      <c r="D440" s="28"/>
      <c r="E440" s="23" t="str">
        <f>IF($D440="","",IFERROR(VLOOKUP($D440,'ACAH Consumables Tracker'!$A:$H,8,FALSE()),""))</f>
        <v/>
      </c>
      <c r="F440" s="24"/>
      <c r="G440" s="25" t="str">
        <f>IF($D440="","",IFERROR(VLOOKUP($D440,'ACAH Consumables Tracker'!$A:$D,4,FALSE()),""))</f>
        <v/>
      </c>
      <c r="H440" s="22"/>
    </row>
    <row r="441" spans="1:8">
      <c r="A441" s="21"/>
      <c r="B441" s="28"/>
      <c r="C441" s="22"/>
      <c r="D441" s="28"/>
      <c r="E441" s="23" t="str">
        <f>IF($D441="","",IFERROR(VLOOKUP($D441,'ACAH Consumables Tracker'!$A:$H,8,FALSE()),""))</f>
        <v/>
      </c>
      <c r="F441" s="24"/>
      <c r="G441" s="25" t="str">
        <f>IF($D441="","",IFERROR(VLOOKUP($D441,'ACAH Consumables Tracker'!$A:$D,4,FALSE()),""))</f>
        <v/>
      </c>
      <c r="H441" s="22"/>
    </row>
    <row r="442" spans="1:8">
      <c r="A442" s="21"/>
      <c r="B442" s="28"/>
      <c r="C442" s="22"/>
      <c r="D442" s="28"/>
      <c r="E442" s="23" t="str">
        <f>IF($D442="","",IFERROR(VLOOKUP($D442,'ACAH Consumables Tracker'!$A:$H,8,FALSE()),""))</f>
        <v/>
      </c>
      <c r="F442" s="24"/>
      <c r="G442" s="25" t="str">
        <f>IF($D442="","",IFERROR(VLOOKUP($D442,'ACAH Consumables Tracker'!$A:$D,4,FALSE()),""))</f>
        <v/>
      </c>
      <c r="H442" s="22"/>
    </row>
    <row r="443" spans="1:8">
      <c r="A443" s="21"/>
      <c r="B443" s="28"/>
      <c r="C443" s="22"/>
      <c r="D443" s="28"/>
      <c r="E443" s="23" t="str">
        <f>IF($D443="","",IFERROR(VLOOKUP($D443,'ACAH Consumables Tracker'!$A:$H,8,FALSE()),""))</f>
        <v/>
      </c>
      <c r="F443" s="24"/>
      <c r="G443" s="25" t="str">
        <f>IF($D443="","",IFERROR(VLOOKUP($D443,'ACAH Consumables Tracker'!$A:$D,4,FALSE()),""))</f>
        <v/>
      </c>
      <c r="H443" s="22"/>
    </row>
    <row r="444" spans="1:8">
      <c r="A444" s="21"/>
      <c r="B444" s="28"/>
      <c r="C444" s="22"/>
      <c r="D444" s="28"/>
      <c r="E444" s="23" t="str">
        <f>IF($D444="","",IFERROR(VLOOKUP($D444,'ACAH Consumables Tracker'!$A:$H,8,FALSE()),""))</f>
        <v/>
      </c>
      <c r="F444" s="24"/>
      <c r="G444" s="25" t="str">
        <f>IF($D444="","",IFERROR(VLOOKUP($D444,'ACAH Consumables Tracker'!$A:$D,4,FALSE()),""))</f>
        <v/>
      </c>
      <c r="H444" s="22"/>
    </row>
    <row r="445" spans="1:8">
      <c r="A445" s="21"/>
      <c r="B445" s="28"/>
      <c r="C445" s="22"/>
      <c r="D445" s="28"/>
      <c r="E445" s="23" t="str">
        <f>IF($D445="","",IFERROR(VLOOKUP($D445,'ACAH Consumables Tracker'!$A:$H,8,FALSE()),""))</f>
        <v/>
      </c>
      <c r="F445" s="24"/>
      <c r="G445" s="25" t="str">
        <f>IF($D445="","",IFERROR(VLOOKUP($D445,'ACAH Consumables Tracker'!$A:$D,4,FALSE()),""))</f>
        <v/>
      </c>
      <c r="H445" s="22"/>
    </row>
    <row r="446" spans="1:8">
      <c r="A446" s="21"/>
      <c r="B446" s="28"/>
      <c r="C446" s="22"/>
      <c r="D446" s="28"/>
      <c r="E446" s="23" t="str">
        <f>IF($D446="","",IFERROR(VLOOKUP($D446,'ACAH Consumables Tracker'!$A:$H,8,FALSE()),""))</f>
        <v/>
      </c>
      <c r="F446" s="24"/>
      <c r="G446" s="25" t="str">
        <f>IF($D446="","",IFERROR(VLOOKUP($D446,'ACAH Consumables Tracker'!$A:$D,4,FALSE()),""))</f>
        <v/>
      </c>
      <c r="H446" s="22"/>
    </row>
    <row r="447" spans="1:8">
      <c r="A447" s="21"/>
      <c r="B447" s="28"/>
      <c r="C447" s="22"/>
      <c r="D447" s="28"/>
      <c r="E447" s="23" t="str">
        <f>IF($D447="","",IFERROR(VLOOKUP($D447,'ACAH Consumables Tracker'!$A:$H,8,FALSE()),""))</f>
        <v/>
      </c>
      <c r="F447" s="24"/>
      <c r="G447" s="25" t="str">
        <f>IF($D447="","",IFERROR(VLOOKUP($D447,'ACAH Consumables Tracker'!$A:$D,4,FALSE()),""))</f>
        <v/>
      </c>
      <c r="H447" s="22"/>
    </row>
    <row r="448" spans="1:8">
      <c r="A448" s="21"/>
      <c r="B448" s="28"/>
      <c r="C448" s="22"/>
      <c r="D448" s="28"/>
      <c r="E448" s="23" t="str">
        <f>IF($D448="","",IFERROR(VLOOKUP($D448,'ACAH Consumables Tracker'!$A:$H,8,FALSE()),""))</f>
        <v/>
      </c>
      <c r="F448" s="24"/>
      <c r="G448" s="25" t="str">
        <f>IF($D448="","",IFERROR(VLOOKUP($D448,'ACAH Consumables Tracker'!$A:$D,4,FALSE()),""))</f>
        <v/>
      </c>
      <c r="H448" s="22"/>
    </row>
    <row r="449" spans="1:8">
      <c r="A449" s="21"/>
      <c r="B449" s="28"/>
      <c r="C449" s="22"/>
      <c r="D449" s="28"/>
      <c r="E449" s="23" t="str">
        <f>IF($D449="","",IFERROR(VLOOKUP($D449,'ACAH Consumables Tracker'!$A:$H,8,FALSE()),""))</f>
        <v/>
      </c>
      <c r="F449" s="24"/>
      <c r="G449" s="25" t="str">
        <f>IF($D449="","",IFERROR(VLOOKUP($D449,'ACAH Consumables Tracker'!$A:$D,4,FALSE()),""))</f>
        <v/>
      </c>
      <c r="H449" s="22"/>
    </row>
    <row r="450" spans="1:8">
      <c r="A450" s="21"/>
      <c r="B450" s="28"/>
      <c r="C450" s="22"/>
      <c r="D450" s="28"/>
      <c r="E450" s="23" t="str">
        <f>IF($D450="","",IFERROR(VLOOKUP($D450,'ACAH Consumables Tracker'!$A:$H,8,FALSE()),""))</f>
        <v/>
      </c>
      <c r="F450" s="24"/>
      <c r="G450" s="25" t="str">
        <f>IF($D450="","",IFERROR(VLOOKUP($D450,'ACAH Consumables Tracker'!$A:$D,4,FALSE()),""))</f>
        <v/>
      </c>
      <c r="H450" s="22"/>
    </row>
    <row r="451" spans="1:8">
      <c r="A451" s="21"/>
      <c r="B451" s="28"/>
      <c r="C451" s="22"/>
      <c r="D451" s="28"/>
      <c r="E451" s="23" t="str">
        <f>IF($D451="","",IFERROR(VLOOKUP($D451,'ACAH Consumables Tracker'!$A:$H,8,FALSE()),""))</f>
        <v/>
      </c>
      <c r="F451" s="24"/>
      <c r="G451" s="25" t="str">
        <f>IF($D451="","",IFERROR(VLOOKUP($D451,'ACAH Consumables Tracker'!$A:$D,4,FALSE()),""))</f>
        <v/>
      </c>
      <c r="H451" s="22"/>
    </row>
    <row r="452" spans="1:8">
      <c r="A452" s="21"/>
      <c r="B452" s="28"/>
      <c r="C452" s="22"/>
      <c r="D452" s="28"/>
      <c r="E452" s="23" t="str">
        <f>IF($D452="","",IFERROR(VLOOKUP($D452,'ACAH Consumables Tracker'!$A:$H,8,FALSE()),""))</f>
        <v/>
      </c>
      <c r="F452" s="24"/>
      <c r="G452" s="25" t="str">
        <f>IF($D452="","",IFERROR(VLOOKUP($D452,'ACAH Consumables Tracker'!$A:$D,4,FALSE()),""))</f>
        <v/>
      </c>
      <c r="H452" s="22"/>
    </row>
    <row r="453" spans="1:8">
      <c r="A453" s="21"/>
      <c r="B453" s="28"/>
      <c r="C453" s="22"/>
      <c r="D453" s="28"/>
      <c r="E453" s="23" t="str">
        <f>IF($D453="","",IFERROR(VLOOKUP($D453,'ACAH Consumables Tracker'!$A:$H,8,FALSE()),""))</f>
        <v/>
      </c>
      <c r="F453" s="24"/>
      <c r="G453" s="25" t="str">
        <f>IF($D453="","",IFERROR(VLOOKUP($D453,'ACAH Consumables Tracker'!$A:$D,4,FALSE()),""))</f>
        <v/>
      </c>
      <c r="H453" s="22"/>
    </row>
    <row r="454" spans="1:8">
      <c r="A454" s="21"/>
      <c r="B454" s="28"/>
      <c r="C454" s="22"/>
      <c r="D454" s="28"/>
      <c r="E454" s="23" t="str">
        <f>IF($D454="","",IFERROR(VLOOKUP($D454,'ACAH Consumables Tracker'!$A:$H,8,FALSE()),""))</f>
        <v/>
      </c>
      <c r="F454" s="24"/>
      <c r="G454" s="25" t="str">
        <f>IF($D454="","",IFERROR(VLOOKUP($D454,'ACAH Consumables Tracker'!$A:$D,4,FALSE()),""))</f>
        <v/>
      </c>
      <c r="H454" s="22"/>
    </row>
    <row r="455" spans="1:8">
      <c r="A455" s="21"/>
      <c r="B455" s="28"/>
      <c r="C455" s="22"/>
      <c r="D455" s="28"/>
      <c r="E455" s="23" t="str">
        <f>IF($D455="","",IFERROR(VLOOKUP($D455,'ACAH Consumables Tracker'!$A:$H,8,FALSE()),""))</f>
        <v/>
      </c>
      <c r="F455" s="24"/>
      <c r="G455" s="25" t="str">
        <f>IF($D455="","",IFERROR(VLOOKUP($D455,'ACAH Consumables Tracker'!$A:$D,4,FALSE()),""))</f>
        <v/>
      </c>
      <c r="H455" s="22"/>
    </row>
    <row r="456" spans="1:8">
      <c r="A456" s="21"/>
      <c r="B456" s="28"/>
      <c r="C456" s="22"/>
      <c r="D456" s="28"/>
      <c r="E456" s="23" t="str">
        <f>IF($D456="","",IFERROR(VLOOKUP($D456,'ACAH Consumables Tracker'!$A:$H,8,FALSE()),""))</f>
        <v/>
      </c>
      <c r="F456" s="24"/>
      <c r="G456" s="25" t="str">
        <f>IF($D456="","",IFERROR(VLOOKUP($D456,'ACAH Consumables Tracker'!$A:$D,4,FALSE()),""))</f>
        <v/>
      </c>
      <c r="H456" s="22"/>
    </row>
    <row r="457" spans="1:8">
      <c r="A457" s="21"/>
      <c r="B457" s="28"/>
      <c r="C457" s="22"/>
      <c r="D457" s="28"/>
      <c r="E457" s="23" t="str">
        <f>IF($D457="","",IFERROR(VLOOKUP($D457,'ACAH Consumables Tracker'!$A:$H,8,FALSE()),""))</f>
        <v/>
      </c>
      <c r="F457" s="24"/>
      <c r="G457" s="25" t="str">
        <f>IF($D457="","",IFERROR(VLOOKUP($D457,'ACAH Consumables Tracker'!$A:$D,4,FALSE()),""))</f>
        <v/>
      </c>
      <c r="H457" s="22"/>
    </row>
    <row r="458" spans="1:8">
      <c r="A458" s="21"/>
      <c r="B458" s="28"/>
      <c r="C458" s="22"/>
      <c r="D458" s="28"/>
      <c r="E458" s="23" t="str">
        <f>IF($D458="","",IFERROR(VLOOKUP($D458,'ACAH Consumables Tracker'!$A:$H,8,FALSE()),""))</f>
        <v/>
      </c>
      <c r="F458" s="24"/>
      <c r="G458" s="25" t="str">
        <f>IF($D458="","",IFERROR(VLOOKUP($D458,'ACAH Consumables Tracker'!$A:$D,4,FALSE()),""))</f>
        <v/>
      </c>
      <c r="H458" s="22"/>
    </row>
    <row r="459" spans="1:8">
      <c r="A459" s="21"/>
      <c r="B459" s="28"/>
      <c r="C459" s="22"/>
      <c r="D459" s="28"/>
      <c r="E459" s="23" t="str">
        <f>IF($D459="","",IFERROR(VLOOKUP($D459,'ACAH Consumables Tracker'!$A:$H,8,FALSE()),""))</f>
        <v/>
      </c>
      <c r="F459" s="24"/>
      <c r="G459" s="25" t="str">
        <f>IF($D459="","",IFERROR(VLOOKUP($D459,'ACAH Consumables Tracker'!$A:$D,4,FALSE()),""))</f>
        <v/>
      </c>
      <c r="H459" s="22"/>
    </row>
    <row r="460" spans="1:8">
      <c r="A460" s="21"/>
      <c r="B460" s="28"/>
      <c r="C460" s="22"/>
      <c r="D460" s="28"/>
      <c r="E460" s="23" t="str">
        <f>IF($D460="","",IFERROR(VLOOKUP($D460,'ACAH Consumables Tracker'!$A:$H,8,FALSE()),""))</f>
        <v/>
      </c>
      <c r="F460" s="24"/>
      <c r="G460" s="25" t="str">
        <f>IF($D460="","",IFERROR(VLOOKUP($D460,'ACAH Consumables Tracker'!$A:$D,4,FALSE()),""))</f>
        <v/>
      </c>
      <c r="H460" s="22"/>
    </row>
    <row r="461" spans="1:8">
      <c r="A461" s="21"/>
      <c r="B461" s="28"/>
      <c r="C461" s="22"/>
      <c r="D461" s="28"/>
      <c r="E461" s="23" t="str">
        <f>IF($D461="","",IFERROR(VLOOKUP($D461,'ACAH Consumables Tracker'!$A:$H,8,FALSE()),""))</f>
        <v/>
      </c>
      <c r="F461" s="24"/>
      <c r="G461" s="25" t="str">
        <f>IF($D461="","",IFERROR(VLOOKUP($D461,'ACAH Consumables Tracker'!$A:$D,4,FALSE()),""))</f>
        <v/>
      </c>
      <c r="H461" s="22"/>
    </row>
    <row r="462" spans="1:8">
      <c r="A462" s="21"/>
      <c r="B462" s="28"/>
      <c r="C462" s="22"/>
      <c r="D462" s="28"/>
      <c r="E462" s="23" t="str">
        <f>IF($D462="","",IFERROR(VLOOKUP($D462,'ACAH Consumables Tracker'!$A:$H,8,FALSE()),""))</f>
        <v/>
      </c>
      <c r="F462" s="24"/>
      <c r="G462" s="25" t="str">
        <f>IF($D462="","",IFERROR(VLOOKUP($D462,'ACAH Consumables Tracker'!$A:$D,4,FALSE()),""))</f>
        <v/>
      </c>
      <c r="H462" s="22"/>
    </row>
    <row r="463" spans="1:8">
      <c r="A463" s="21"/>
      <c r="B463" s="28"/>
      <c r="C463" s="22"/>
      <c r="D463" s="28"/>
      <c r="E463" s="23" t="str">
        <f>IF($D463="","",IFERROR(VLOOKUP($D463,'ACAH Consumables Tracker'!$A:$H,8,FALSE()),""))</f>
        <v/>
      </c>
      <c r="F463" s="24"/>
      <c r="G463" s="25" t="str">
        <f>IF($D463="","",IFERROR(VLOOKUP($D463,'ACAH Consumables Tracker'!$A:$D,4,FALSE()),""))</f>
        <v/>
      </c>
      <c r="H463" s="22"/>
    </row>
    <row r="464" spans="1:8">
      <c r="A464" s="21"/>
      <c r="B464" s="28"/>
      <c r="C464" s="22"/>
      <c r="D464" s="28"/>
      <c r="E464" s="23" t="str">
        <f>IF($D464="","",IFERROR(VLOOKUP($D464,'ACAH Consumables Tracker'!$A:$H,8,FALSE()),""))</f>
        <v/>
      </c>
      <c r="F464" s="24"/>
      <c r="G464" s="25" t="str">
        <f>IF($D464="","",IFERROR(VLOOKUP($D464,'ACAH Consumables Tracker'!$A:$D,4,FALSE()),""))</f>
        <v/>
      </c>
      <c r="H464" s="22"/>
    </row>
    <row r="465" spans="1:8">
      <c r="A465" s="21"/>
      <c r="B465" s="28"/>
      <c r="C465" s="22"/>
      <c r="D465" s="28"/>
      <c r="E465" s="23" t="str">
        <f>IF($D465="","",IFERROR(VLOOKUP($D465,'ACAH Consumables Tracker'!$A:$H,8,FALSE()),""))</f>
        <v/>
      </c>
      <c r="F465" s="24"/>
      <c r="G465" s="25" t="str">
        <f>IF($D465="","",IFERROR(VLOOKUP($D465,'ACAH Consumables Tracker'!$A:$D,4,FALSE()),""))</f>
        <v/>
      </c>
      <c r="H465" s="22"/>
    </row>
    <row r="466" spans="1:8">
      <c r="A466" s="21"/>
      <c r="B466" s="28"/>
      <c r="C466" s="22"/>
      <c r="D466" s="28"/>
      <c r="E466" s="23" t="str">
        <f>IF($D466="","",IFERROR(VLOOKUP($D466,'ACAH Consumables Tracker'!$A:$H,8,FALSE()),""))</f>
        <v/>
      </c>
      <c r="F466" s="24"/>
      <c r="G466" s="25" t="str">
        <f>IF($D466="","",IFERROR(VLOOKUP($D466,'ACAH Consumables Tracker'!$A:$D,4,FALSE()),""))</f>
        <v/>
      </c>
      <c r="H466" s="22"/>
    </row>
    <row r="467" spans="1:8">
      <c r="A467" s="21"/>
      <c r="B467" s="28"/>
      <c r="C467" s="22"/>
      <c r="D467" s="28"/>
      <c r="E467" s="23" t="str">
        <f>IF($D467="","",IFERROR(VLOOKUP($D467,'ACAH Consumables Tracker'!$A:$H,8,FALSE()),""))</f>
        <v/>
      </c>
      <c r="F467" s="24"/>
      <c r="G467" s="25" t="str">
        <f>IF($D467="","",IFERROR(VLOOKUP($D467,'ACAH Consumables Tracker'!$A:$D,4,FALSE()),""))</f>
        <v/>
      </c>
      <c r="H467" s="22"/>
    </row>
    <row r="468" spans="1:8">
      <c r="A468" s="21"/>
      <c r="B468" s="28"/>
      <c r="C468" s="22"/>
      <c r="D468" s="28"/>
      <c r="E468" s="23" t="str">
        <f>IF($D468="","",IFERROR(VLOOKUP($D468,'ACAH Consumables Tracker'!$A:$H,8,FALSE()),""))</f>
        <v/>
      </c>
      <c r="F468" s="24"/>
      <c r="G468" s="25" t="str">
        <f>IF($D468="","",IFERROR(VLOOKUP($D468,'ACAH Consumables Tracker'!$A:$D,4,FALSE()),""))</f>
        <v/>
      </c>
      <c r="H468" s="22"/>
    </row>
    <row r="469" spans="1:8">
      <c r="A469" s="21"/>
      <c r="B469" s="28"/>
      <c r="C469" s="22"/>
      <c r="D469" s="28"/>
      <c r="E469" s="23" t="str">
        <f>IF($D469="","",IFERROR(VLOOKUP($D469,'ACAH Consumables Tracker'!$A:$H,8,FALSE()),""))</f>
        <v/>
      </c>
      <c r="F469" s="24"/>
      <c r="G469" s="25" t="str">
        <f>IF($D469="","",IFERROR(VLOOKUP($D469,'ACAH Consumables Tracker'!$A:$D,4,FALSE()),""))</f>
        <v/>
      </c>
      <c r="H469" s="22"/>
    </row>
    <row r="470" spans="1:8">
      <c r="A470" s="21"/>
      <c r="B470" s="28"/>
      <c r="C470" s="22"/>
      <c r="D470" s="28"/>
      <c r="E470" s="23" t="str">
        <f>IF($D470="","",IFERROR(VLOOKUP($D470,'ACAH Consumables Tracker'!$A:$H,8,FALSE()),""))</f>
        <v/>
      </c>
      <c r="F470" s="24"/>
      <c r="G470" s="25" t="str">
        <f>IF($D470="","",IFERROR(VLOOKUP($D470,'ACAH Consumables Tracker'!$A:$D,4,FALSE()),""))</f>
        <v/>
      </c>
      <c r="H470" s="22"/>
    </row>
    <row r="471" spans="1:8">
      <c r="A471" s="21"/>
      <c r="B471" s="28"/>
      <c r="C471" s="22"/>
      <c r="D471" s="28"/>
      <c r="E471" s="23" t="str">
        <f>IF($D471="","",IFERROR(VLOOKUP($D471,'ACAH Consumables Tracker'!$A:$H,8,FALSE()),""))</f>
        <v/>
      </c>
      <c r="F471" s="24"/>
      <c r="G471" s="25" t="str">
        <f>IF($D471="","",IFERROR(VLOOKUP($D471,'ACAH Consumables Tracker'!$A:$D,4,FALSE()),""))</f>
        <v/>
      </c>
      <c r="H471" s="22"/>
    </row>
    <row r="472" spans="1:8">
      <c r="A472" s="21"/>
      <c r="B472" s="28"/>
      <c r="C472" s="22"/>
      <c r="D472" s="28"/>
      <c r="E472" s="23" t="str">
        <f>IF($D472="","",IFERROR(VLOOKUP($D472,'ACAH Consumables Tracker'!$A:$H,8,FALSE()),""))</f>
        <v/>
      </c>
      <c r="F472" s="24"/>
      <c r="G472" s="25" t="str">
        <f>IF($D472="","",IFERROR(VLOOKUP($D472,'ACAH Consumables Tracker'!$A:$D,4,FALSE()),""))</f>
        <v/>
      </c>
      <c r="H472" s="22"/>
    </row>
    <row r="473" spans="1:8">
      <c r="A473" s="21"/>
      <c r="B473" s="28"/>
      <c r="C473" s="22"/>
      <c r="D473" s="28"/>
      <c r="E473" s="23" t="str">
        <f>IF($D473="","",IFERROR(VLOOKUP($D473,'ACAH Consumables Tracker'!$A:$H,8,FALSE()),""))</f>
        <v/>
      </c>
      <c r="F473" s="24"/>
      <c r="G473" s="25" t="str">
        <f>IF($D473="","",IFERROR(VLOOKUP($D473,'ACAH Consumables Tracker'!$A:$D,4,FALSE()),""))</f>
        <v/>
      </c>
      <c r="H473" s="22"/>
    </row>
    <row r="474" spans="1:8">
      <c r="A474" s="21"/>
      <c r="B474" s="28"/>
      <c r="C474" s="22"/>
      <c r="D474" s="28"/>
      <c r="E474" s="23" t="str">
        <f>IF($D474="","",IFERROR(VLOOKUP($D474,'ACAH Consumables Tracker'!$A:$H,8,FALSE()),""))</f>
        <v/>
      </c>
      <c r="F474" s="24"/>
      <c r="G474" s="25" t="str">
        <f>IF($D474="","",IFERROR(VLOOKUP($D474,'ACAH Consumables Tracker'!$A:$D,4,FALSE()),""))</f>
        <v/>
      </c>
      <c r="H474" s="22"/>
    </row>
    <row r="475" spans="1:8">
      <c r="A475" s="21"/>
      <c r="B475" s="28"/>
      <c r="C475" s="22"/>
      <c r="D475" s="28"/>
      <c r="E475" s="23" t="str">
        <f>IF($D475="","",IFERROR(VLOOKUP($D475,'ACAH Consumables Tracker'!$A:$H,8,FALSE()),""))</f>
        <v/>
      </c>
      <c r="F475" s="24"/>
      <c r="G475" s="25" t="str">
        <f>IF($D475="","",IFERROR(VLOOKUP($D475,'ACAH Consumables Tracker'!$A:$D,4,FALSE()),""))</f>
        <v/>
      </c>
      <c r="H475" s="22"/>
    </row>
    <row r="476" spans="1:8">
      <c r="A476" s="21"/>
      <c r="B476" s="28"/>
      <c r="C476" s="22"/>
      <c r="D476" s="28"/>
      <c r="E476" s="23" t="str">
        <f>IF($D476="","",IFERROR(VLOOKUP($D476,'ACAH Consumables Tracker'!$A:$H,8,FALSE()),""))</f>
        <v/>
      </c>
      <c r="F476" s="24"/>
      <c r="G476" s="25" t="str">
        <f>IF($D476="","",IFERROR(VLOOKUP($D476,'ACAH Consumables Tracker'!$A:$D,4,FALSE()),""))</f>
        <v/>
      </c>
      <c r="H476" s="22"/>
    </row>
    <row r="477" spans="1:8">
      <c r="A477" s="21"/>
      <c r="B477" s="28"/>
      <c r="C477" s="22"/>
      <c r="D477" s="28"/>
      <c r="E477" s="23" t="str">
        <f>IF($D477="","",IFERROR(VLOOKUP($D477,'ACAH Consumables Tracker'!$A:$H,8,FALSE()),""))</f>
        <v/>
      </c>
      <c r="F477" s="24"/>
      <c r="G477" s="25" t="str">
        <f>IF($D477="","",IFERROR(VLOOKUP($D477,'ACAH Consumables Tracker'!$A:$D,4,FALSE()),""))</f>
        <v/>
      </c>
      <c r="H477" s="22"/>
    </row>
    <row r="478" spans="1:8">
      <c r="A478" s="21"/>
      <c r="B478" s="28"/>
      <c r="C478" s="22"/>
      <c r="D478" s="28"/>
      <c r="E478" s="23" t="str">
        <f>IF($D478="","",IFERROR(VLOOKUP($D478,'ACAH Consumables Tracker'!$A:$H,8,FALSE()),""))</f>
        <v/>
      </c>
      <c r="F478" s="24"/>
      <c r="G478" s="25" t="str">
        <f>IF($D478="","",IFERROR(VLOOKUP($D478,'ACAH Consumables Tracker'!$A:$D,4,FALSE()),""))</f>
        <v/>
      </c>
      <c r="H478" s="22"/>
    </row>
    <row r="479" spans="1:8">
      <c r="A479" s="21"/>
      <c r="B479" s="28"/>
      <c r="C479" s="22"/>
      <c r="D479" s="28"/>
      <c r="E479" s="23" t="str">
        <f>IF($D479="","",IFERROR(VLOOKUP($D479,'ACAH Consumables Tracker'!$A:$H,8,FALSE()),""))</f>
        <v/>
      </c>
      <c r="F479" s="24"/>
      <c r="G479" s="25" t="str">
        <f>IF($D479="","",IFERROR(VLOOKUP($D479,'ACAH Consumables Tracker'!$A:$D,4,FALSE()),""))</f>
        <v/>
      </c>
      <c r="H479" s="22"/>
    </row>
    <row r="480" spans="1:8">
      <c r="A480" s="21"/>
      <c r="B480" s="28"/>
      <c r="C480" s="22"/>
      <c r="D480" s="28"/>
      <c r="E480" s="23" t="str">
        <f>IF($D480="","",IFERROR(VLOOKUP($D480,'ACAH Consumables Tracker'!$A:$H,8,FALSE()),""))</f>
        <v/>
      </c>
      <c r="F480" s="24"/>
      <c r="G480" s="25" t="str">
        <f>IF($D480="","",IFERROR(VLOOKUP($D480,'ACAH Consumables Tracker'!$A:$D,4,FALSE()),""))</f>
        <v/>
      </c>
      <c r="H480" s="22"/>
    </row>
    <row r="481" spans="1:8">
      <c r="A481" s="21"/>
      <c r="B481" s="28"/>
      <c r="C481" s="22"/>
      <c r="D481" s="28"/>
      <c r="E481" s="23" t="str">
        <f>IF($D481="","",IFERROR(VLOOKUP($D481,'ACAH Consumables Tracker'!$A:$H,8,FALSE()),""))</f>
        <v/>
      </c>
      <c r="F481" s="24"/>
      <c r="G481" s="25" t="str">
        <f>IF($D481="","",IFERROR(VLOOKUP($D481,'ACAH Consumables Tracker'!$A:$D,4,FALSE()),""))</f>
        <v/>
      </c>
      <c r="H481" s="22"/>
    </row>
    <row r="482" spans="1:8">
      <c r="A482" s="21"/>
      <c r="B482" s="28"/>
      <c r="C482" s="22"/>
      <c r="D482" s="28"/>
      <c r="E482" s="23" t="str">
        <f>IF($D482="","",IFERROR(VLOOKUP($D482,'ACAH Consumables Tracker'!$A:$H,8,FALSE()),""))</f>
        <v/>
      </c>
      <c r="F482" s="24"/>
      <c r="G482" s="25" t="str">
        <f>IF($D482="","",IFERROR(VLOOKUP($D482,'ACAH Consumables Tracker'!$A:$D,4,FALSE()),""))</f>
        <v/>
      </c>
      <c r="H482" s="22"/>
    </row>
    <row r="483" spans="1:8">
      <c r="A483" s="21"/>
      <c r="B483" s="28"/>
      <c r="C483" s="22"/>
      <c r="D483" s="28"/>
      <c r="E483" s="23" t="str">
        <f>IF($D483="","",IFERROR(VLOOKUP($D483,'ACAH Consumables Tracker'!$A:$H,8,FALSE()),""))</f>
        <v/>
      </c>
      <c r="F483" s="24"/>
      <c r="G483" s="25" t="str">
        <f>IF($D483="","",IFERROR(VLOOKUP($D483,'ACAH Consumables Tracker'!$A:$D,4,FALSE()),""))</f>
        <v/>
      </c>
      <c r="H483" s="22"/>
    </row>
    <row r="484" spans="1:8">
      <c r="A484" s="21"/>
      <c r="B484" s="28"/>
      <c r="C484" s="22"/>
      <c r="D484" s="28"/>
      <c r="E484" s="23" t="str">
        <f>IF($D484="","",IFERROR(VLOOKUP($D484,'ACAH Consumables Tracker'!$A:$H,8,FALSE()),""))</f>
        <v/>
      </c>
      <c r="F484" s="24"/>
      <c r="G484" s="25" t="str">
        <f>IF($D484="","",IFERROR(VLOOKUP($D484,'ACAH Consumables Tracker'!$A:$D,4,FALSE()),""))</f>
        <v/>
      </c>
      <c r="H484" s="22"/>
    </row>
    <row r="485" spans="1:8">
      <c r="A485" s="21"/>
      <c r="B485" s="28"/>
      <c r="C485" s="22"/>
      <c r="D485" s="28"/>
      <c r="E485" s="23" t="str">
        <f>IF($D485="","",IFERROR(VLOOKUP($D485,'ACAH Consumables Tracker'!$A:$H,8,FALSE()),""))</f>
        <v/>
      </c>
      <c r="F485" s="24"/>
      <c r="G485" s="25" t="str">
        <f>IF($D485="","",IFERROR(VLOOKUP($D485,'ACAH Consumables Tracker'!$A:$D,4,FALSE()),""))</f>
        <v/>
      </c>
      <c r="H485" s="22"/>
    </row>
    <row r="486" spans="1:8">
      <c r="A486" s="21"/>
      <c r="B486" s="28"/>
      <c r="C486" s="22"/>
      <c r="D486" s="28"/>
      <c r="E486" s="23" t="str">
        <f>IF($D486="","",IFERROR(VLOOKUP($D486,'ACAH Consumables Tracker'!$A:$H,8,FALSE()),""))</f>
        <v/>
      </c>
      <c r="F486" s="24"/>
      <c r="G486" s="25" t="str">
        <f>IF($D486="","",IFERROR(VLOOKUP($D486,'ACAH Consumables Tracker'!$A:$D,4,FALSE()),""))</f>
        <v/>
      </c>
      <c r="H486" s="22"/>
    </row>
    <row r="487" spans="1:8">
      <c r="A487" s="21"/>
      <c r="B487" s="28"/>
      <c r="C487" s="22"/>
      <c r="D487" s="28"/>
      <c r="E487" s="23" t="str">
        <f>IF($D487="","",IFERROR(VLOOKUP($D487,'ACAH Consumables Tracker'!$A:$H,8,FALSE()),""))</f>
        <v/>
      </c>
      <c r="F487" s="24"/>
      <c r="G487" s="25" t="str">
        <f>IF($D487="","",IFERROR(VLOOKUP($D487,'ACAH Consumables Tracker'!$A:$D,4,FALSE()),""))</f>
        <v/>
      </c>
      <c r="H487" s="22"/>
    </row>
    <row r="488" spans="1:8">
      <c r="A488" s="21"/>
      <c r="B488" s="28"/>
      <c r="C488" s="22"/>
      <c r="D488" s="28"/>
      <c r="E488" s="23" t="str">
        <f>IF($D488="","",IFERROR(VLOOKUP($D488,'ACAH Consumables Tracker'!$A:$H,8,FALSE()),""))</f>
        <v/>
      </c>
      <c r="F488" s="24"/>
      <c r="G488" s="25" t="str">
        <f>IF($D488="","",IFERROR(VLOOKUP($D488,'ACAH Consumables Tracker'!$A:$D,4,FALSE()),""))</f>
        <v/>
      </c>
      <c r="H488" s="22"/>
    </row>
    <row r="489" spans="1:8">
      <c r="A489" s="21"/>
      <c r="B489" s="28"/>
      <c r="C489" s="22"/>
      <c r="D489" s="28"/>
      <c r="E489" s="23" t="str">
        <f>IF($D489="","",IFERROR(VLOOKUP($D489,'ACAH Consumables Tracker'!$A:$H,8,FALSE()),""))</f>
        <v/>
      </c>
      <c r="F489" s="24"/>
      <c r="G489" s="25" t="str">
        <f>IF($D489="","",IFERROR(VLOOKUP($D489,'ACAH Consumables Tracker'!$A:$D,4,FALSE()),""))</f>
        <v/>
      </c>
      <c r="H489" s="22"/>
    </row>
    <row r="490" spans="1:8">
      <c r="A490" s="21"/>
      <c r="B490" s="28"/>
      <c r="C490" s="22"/>
      <c r="D490" s="28"/>
      <c r="E490" s="23" t="str">
        <f>IF($D490="","",IFERROR(VLOOKUP($D490,'ACAH Consumables Tracker'!$A:$H,8,FALSE()),""))</f>
        <v/>
      </c>
      <c r="F490" s="24"/>
      <c r="G490" s="25" t="str">
        <f>IF($D490="","",IFERROR(VLOOKUP($D490,'ACAH Consumables Tracker'!$A:$D,4,FALSE()),""))</f>
        <v/>
      </c>
      <c r="H490" s="22"/>
    </row>
    <row r="491" spans="1:8">
      <c r="A491" s="21"/>
      <c r="B491" s="28"/>
      <c r="C491" s="22"/>
      <c r="D491" s="28"/>
      <c r="E491" s="23" t="str">
        <f>IF($D491="","",IFERROR(VLOOKUP($D491,'ACAH Consumables Tracker'!$A:$H,8,FALSE()),""))</f>
        <v/>
      </c>
      <c r="F491" s="24"/>
      <c r="G491" s="25" t="str">
        <f>IF($D491="","",IFERROR(VLOOKUP($D491,'ACAH Consumables Tracker'!$A:$D,4,FALSE()),""))</f>
        <v/>
      </c>
      <c r="H491" s="22"/>
    </row>
    <row r="492" spans="1:8">
      <c r="A492" s="21"/>
      <c r="B492" s="28"/>
      <c r="C492" s="22"/>
      <c r="D492" s="28"/>
      <c r="E492" s="23" t="str">
        <f>IF($D492="","",IFERROR(VLOOKUP($D492,'ACAH Consumables Tracker'!$A:$H,8,FALSE()),""))</f>
        <v/>
      </c>
      <c r="F492" s="24"/>
      <c r="G492" s="25" t="str">
        <f>IF($D492="","",IFERROR(VLOOKUP($D492,'ACAH Consumables Tracker'!$A:$D,4,FALSE()),""))</f>
        <v/>
      </c>
      <c r="H492" s="22"/>
    </row>
    <row r="493" spans="1:8">
      <c r="A493" s="21"/>
      <c r="B493" s="28"/>
      <c r="C493" s="22"/>
      <c r="D493" s="28"/>
      <c r="E493" s="23" t="str">
        <f>IF($D493="","",IFERROR(VLOOKUP($D493,'ACAH Consumables Tracker'!$A:$H,8,FALSE()),""))</f>
        <v/>
      </c>
      <c r="F493" s="24"/>
      <c r="G493" s="25" t="str">
        <f>IF($D493="","",IFERROR(VLOOKUP($D493,'ACAH Consumables Tracker'!$A:$D,4,FALSE()),""))</f>
        <v/>
      </c>
      <c r="H493" s="22"/>
    </row>
    <row r="494" spans="1:8">
      <c r="A494" s="21"/>
      <c r="B494" s="28"/>
      <c r="C494" s="22"/>
      <c r="D494" s="28"/>
      <c r="E494" s="23" t="str">
        <f>IF($D494="","",IFERROR(VLOOKUP($D494,'ACAH Consumables Tracker'!$A:$H,8,FALSE()),""))</f>
        <v/>
      </c>
      <c r="F494" s="24"/>
      <c r="G494" s="25" t="str">
        <f>IF($D494="","",IFERROR(VLOOKUP($D494,'ACAH Consumables Tracker'!$A:$D,4,FALSE()),""))</f>
        <v/>
      </c>
      <c r="H494" s="22"/>
    </row>
    <row r="495" spans="1:8">
      <c r="A495" s="21"/>
      <c r="B495" s="28"/>
      <c r="C495" s="22"/>
      <c r="D495" s="28"/>
      <c r="E495" s="23" t="str">
        <f>IF($D495="","",IFERROR(VLOOKUP($D495,'ACAH Consumables Tracker'!$A:$H,8,FALSE()),""))</f>
        <v/>
      </c>
      <c r="F495" s="24"/>
      <c r="G495" s="25" t="str">
        <f>IF($D495="","",IFERROR(VLOOKUP($D495,'ACAH Consumables Tracker'!$A:$D,4,FALSE()),""))</f>
        <v/>
      </c>
      <c r="H495" s="22"/>
    </row>
    <row r="496" spans="1:8">
      <c r="A496" s="21"/>
      <c r="B496" s="28"/>
      <c r="C496" s="22"/>
      <c r="D496" s="28"/>
      <c r="E496" s="23" t="str">
        <f>IF($D496="","",IFERROR(VLOOKUP($D496,'ACAH Consumables Tracker'!$A:$H,8,FALSE()),""))</f>
        <v/>
      </c>
      <c r="F496" s="24"/>
      <c r="G496" s="25" t="str">
        <f>IF($D496="","",IFERROR(VLOOKUP($D496,'ACAH Consumables Tracker'!$A:$D,4,FALSE()),""))</f>
        <v/>
      </c>
      <c r="H496" s="22"/>
    </row>
    <row r="497" spans="1:8">
      <c r="A497" s="21"/>
      <c r="B497" s="28"/>
      <c r="C497" s="22"/>
      <c r="D497" s="28"/>
      <c r="E497" s="23" t="str">
        <f>IF($D497="","",IFERROR(VLOOKUP($D497,'ACAH Consumables Tracker'!$A:$H,8,FALSE()),""))</f>
        <v/>
      </c>
      <c r="F497" s="24"/>
      <c r="G497" s="25" t="str">
        <f>IF($D497="","",IFERROR(VLOOKUP($D497,'ACAH Consumables Tracker'!$A:$D,4,FALSE()),""))</f>
        <v/>
      </c>
      <c r="H497" s="22"/>
    </row>
    <row r="498" spans="1:8">
      <c r="A498" s="21"/>
      <c r="B498" s="28"/>
      <c r="C498" s="22"/>
      <c r="D498" s="28"/>
      <c r="E498" s="23" t="str">
        <f>IF($D498="","",IFERROR(VLOOKUP($D498,'ACAH Consumables Tracker'!$A:$H,8,FALSE()),""))</f>
        <v/>
      </c>
      <c r="F498" s="24"/>
      <c r="G498" s="25" t="str">
        <f>IF($D498="","",IFERROR(VLOOKUP($D498,'ACAH Consumables Tracker'!$A:$D,4,FALSE()),""))</f>
        <v/>
      </c>
      <c r="H498" s="22"/>
    </row>
    <row r="499" spans="1:8">
      <c r="A499" s="21"/>
      <c r="B499" s="28"/>
      <c r="C499" s="22"/>
      <c r="D499" s="28"/>
      <c r="E499" s="23" t="str">
        <f>IF($D499="","",IFERROR(VLOOKUP($D499,'ACAH Consumables Tracker'!$A:$H,8,FALSE()),""))</f>
        <v/>
      </c>
      <c r="F499" s="24"/>
      <c r="G499" s="25" t="str">
        <f>IF($D499="","",IFERROR(VLOOKUP($D499,'ACAH Consumables Tracker'!$A:$D,4,FALSE()),""))</f>
        <v/>
      </c>
      <c r="H499" s="22"/>
    </row>
    <row r="500" spans="1:8">
      <c r="A500" s="21"/>
      <c r="B500" s="28"/>
      <c r="C500" s="22"/>
      <c r="D500" s="28"/>
      <c r="E500" s="23" t="str">
        <f>IF($D500="","",IFERROR(VLOOKUP($D500,'ACAH Consumables Tracker'!$A:$H,8,FALSE()),""))</f>
        <v/>
      </c>
      <c r="F500" s="24"/>
      <c r="G500" s="25" t="str">
        <f>IF($D500="","",IFERROR(VLOOKUP($D500,'ACAH Consumables Tracker'!$A:$D,4,FALSE()),""))</f>
        <v/>
      </c>
      <c r="H500" s="22"/>
    </row>
    <row r="501" spans="1:8">
      <c r="A501" s="21"/>
      <c r="B501" s="28"/>
      <c r="C501" s="22"/>
      <c r="D501" s="28"/>
      <c r="E501" s="23" t="str">
        <f>IF($D501="","",IFERROR(VLOOKUP($D501,'ACAH Consumables Tracker'!$A:$H,8,FALSE()),""))</f>
        <v/>
      </c>
      <c r="F501" s="24"/>
      <c r="G501" s="25" t="str">
        <f>IF($D501="","",IFERROR(VLOOKUP($D501,'ACAH Consumables Tracker'!$A:$D,4,FALSE()),""))</f>
        <v/>
      </c>
      <c r="H501" s="22"/>
    </row>
    <row r="502" spans="1:8">
      <c r="A502" s="21"/>
      <c r="B502" s="28"/>
      <c r="C502" s="22"/>
      <c r="D502" s="28"/>
      <c r="E502" s="23" t="str">
        <f>IF($D502="","",IFERROR(VLOOKUP($D502,'ACAH Consumables Tracker'!$A:$H,8,FALSE()),""))</f>
        <v/>
      </c>
      <c r="F502" s="24"/>
      <c r="G502" s="25" t="str">
        <f>IF($D502="","",IFERROR(VLOOKUP($D502,'ACAH Consumables Tracker'!$A:$D,4,FALSE()),""))</f>
        <v/>
      </c>
      <c r="H502" s="22"/>
    </row>
    <row r="503" spans="1:8">
      <c r="A503" s="21"/>
      <c r="B503" s="28"/>
      <c r="C503" s="22"/>
      <c r="D503" s="28"/>
      <c r="E503" s="23" t="str">
        <f>IF($D503="","",IFERROR(VLOOKUP($D503,'ACAH Consumables Tracker'!$A:$H,8,FALSE()),""))</f>
        <v/>
      </c>
      <c r="F503" s="24"/>
      <c r="G503" s="25" t="str">
        <f>IF($D503="","",IFERROR(VLOOKUP($D503,'ACAH Consumables Tracker'!$A:$D,4,FALSE()),""))</f>
        <v/>
      </c>
      <c r="H503" s="22"/>
    </row>
    <row r="504" spans="1:8">
      <c r="A504" s="21"/>
      <c r="B504" s="28"/>
      <c r="C504" s="22"/>
      <c r="D504" s="28"/>
      <c r="E504" s="23" t="str">
        <f>IF($D504="","",IFERROR(VLOOKUP($D504,'ACAH Consumables Tracker'!$A:$H,8,FALSE()),""))</f>
        <v/>
      </c>
      <c r="F504" s="24"/>
      <c r="G504" s="25" t="str">
        <f>IF($D504="","",IFERROR(VLOOKUP($D504,'ACAH Consumables Tracker'!$A:$D,4,FALSE()),""))</f>
        <v/>
      </c>
      <c r="H504" s="22"/>
    </row>
    <row r="505" spans="1:8">
      <c r="A505" s="21"/>
      <c r="B505" s="28"/>
      <c r="C505" s="22"/>
      <c r="D505" s="28"/>
      <c r="E505" s="23" t="str">
        <f>IF($D505="","",IFERROR(VLOOKUP($D505,'ACAH Consumables Tracker'!$A:$H,8,FALSE()),""))</f>
        <v/>
      </c>
      <c r="F505" s="24"/>
      <c r="G505" s="25" t="str">
        <f>IF($D505="","",IFERROR(VLOOKUP($D505,'ACAH Consumables Tracker'!$A:$D,4,FALSE()),""))</f>
        <v/>
      </c>
      <c r="H505" s="22"/>
    </row>
    <row r="506" spans="1:8">
      <c r="A506" s="21"/>
      <c r="B506" s="28"/>
      <c r="C506" s="22"/>
      <c r="D506" s="28"/>
      <c r="E506" s="23" t="str">
        <f>IF($D506="","",IFERROR(VLOOKUP($D506,'ACAH Consumables Tracker'!$A:$H,8,FALSE()),""))</f>
        <v/>
      </c>
      <c r="F506" s="24"/>
      <c r="G506" s="25" t="str">
        <f>IF($D506="","",IFERROR(VLOOKUP($D506,'ACAH Consumables Tracker'!$A:$D,4,FALSE()),""))</f>
        <v/>
      </c>
      <c r="H506" s="22"/>
    </row>
    <row r="507" spans="1:8">
      <c r="A507" s="21"/>
      <c r="B507" s="28"/>
      <c r="C507" s="22"/>
      <c r="D507" s="28"/>
      <c r="E507" s="23" t="str">
        <f>IF($D507="","",IFERROR(VLOOKUP($D507,'ACAH Consumables Tracker'!$A:$H,8,FALSE()),""))</f>
        <v/>
      </c>
      <c r="F507" s="24"/>
      <c r="G507" s="25" t="str">
        <f>IF($D507="","",IFERROR(VLOOKUP($D507,'ACAH Consumables Tracker'!$A:$D,4,FALSE()),""))</f>
        <v/>
      </c>
      <c r="H507" s="22"/>
    </row>
    <row r="508" spans="1:8">
      <c r="A508" s="21"/>
      <c r="B508" s="28"/>
      <c r="C508" s="22"/>
      <c r="D508" s="28"/>
      <c r="E508" s="23" t="str">
        <f>IF($D508="","",IFERROR(VLOOKUP($D508,'ACAH Consumables Tracker'!$A:$H,8,FALSE()),""))</f>
        <v/>
      </c>
      <c r="F508" s="24"/>
      <c r="G508" s="25" t="str">
        <f>IF($D508="","",IFERROR(VLOOKUP($D508,'ACAH Consumables Tracker'!$A:$D,4,FALSE()),""))</f>
        <v/>
      </c>
      <c r="H508" s="22"/>
    </row>
    <row r="509" spans="1:8">
      <c r="A509" s="21"/>
      <c r="B509" s="28"/>
      <c r="C509" s="22"/>
      <c r="D509" s="28"/>
      <c r="E509" s="23" t="str">
        <f>IF($D509="","",IFERROR(VLOOKUP($D509,'ACAH Consumables Tracker'!$A:$H,8,FALSE()),""))</f>
        <v/>
      </c>
      <c r="F509" s="24"/>
      <c r="G509" s="25" t="str">
        <f>IF($D509="","",IFERROR(VLOOKUP($D509,'ACAH Consumables Tracker'!$A:$D,4,FALSE()),""))</f>
        <v/>
      </c>
      <c r="H509" s="22"/>
    </row>
    <row r="510" spans="1:8">
      <c r="A510" s="21"/>
      <c r="B510" s="28"/>
      <c r="C510" s="22"/>
      <c r="D510" s="28"/>
      <c r="E510" s="23" t="str">
        <f>IF($D510="","",IFERROR(VLOOKUP($D510,'ACAH Consumables Tracker'!$A:$H,8,FALSE()),""))</f>
        <v/>
      </c>
      <c r="F510" s="24"/>
      <c r="G510" s="25" t="str">
        <f>IF($D510="","",IFERROR(VLOOKUP($D510,'ACAH Consumables Tracker'!$A:$D,4,FALSE()),""))</f>
        <v/>
      </c>
      <c r="H510" s="22"/>
    </row>
    <row r="511" spans="1:8">
      <c r="A511" s="21"/>
      <c r="B511" s="28"/>
      <c r="C511" s="22"/>
      <c r="D511" s="28"/>
      <c r="E511" s="23" t="str">
        <f>IF($D511="","",IFERROR(VLOOKUP($D511,'ACAH Consumables Tracker'!$A:$H,8,FALSE()),""))</f>
        <v/>
      </c>
      <c r="F511" s="24"/>
      <c r="G511" s="25" t="str">
        <f>IF($D511="","",IFERROR(VLOOKUP($D511,'ACAH Consumables Tracker'!$A:$D,4,FALSE()),""))</f>
        <v/>
      </c>
      <c r="H511" s="22"/>
    </row>
    <row r="512" spans="1:8">
      <c r="A512" s="21"/>
      <c r="B512" s="28"/>
      <c r="C512" s="22"/>
      <c r="D512" s="28"/>
      <c r="E512" s="23" t="str">
        <f>IF($D512="","",IFERROR(VLOOKUP($D512,'ACAH Consumables Tracker'!$A:$H,8,FALSE()),""))</f>
        <v/>
      </c>
      <c r="F512" s="24"/>
      <c r="G512" s="25" t="str">
        <f>IF($D512="","",IFERROR(VLOOKUP($D512,'ACAH Consumables Tracker'!$A:$D,4,FALSE()),""))</f>
        <v/>
      </c>
      <c r="H512" s="22"/>
    </row>
    <row r="513" spans="1:8">
      <c r="A513" s="21"/>
      <c r="B513" s="28"/>
      <c r="C513" s="22"/>
      <c r="D513" s="28"/>
      <c r="E513" s="23" t="str">
        <f>IF($D513="","",IFERROR(VLOOKUP($D513,'ACAH Consumables Tracker'!$A:$H,8,FALSE()),""))</f>
        <v/>
      </c>
      <c r="F513" s="24"/>
      <c r="G513" s="25" t="str">
        <f>IF($D513="","",IFERROR(VLOOKUP($D513,'ACAH Consumables Tracker'!$A:$D,4,FALSE()),""))</f>
        <v/>
      </c>
      <c r="H513" s="22"/>
    </row>
    <row r="514" spans="1:8">
      <c r="A514" s="21"/>
      <c r="B514" s="28"/>
      <c r="C514" s="22"/>
      <c r="D514" s="28"/>
      <c r="E514" s="23" t="str">
        <f>IF($D514="","",IFERROR(VLOOKUP($D514,'ACAH Consumables Tracker'!$A:$H,8,FALSE()),""))</f>
        <v/>
      </c>
      <c r="F514" s="24"/>
      <c r="G514" s="25" t="str">
        <f>IF($D514="","",IFERROR(VLOOKUP($D514,'ACAH Consumables Tracker'!$A:$D,4,FALSE()),""))</f>
        <v/>
      </c>
      <c r="H514" s="22"/>
    </row>
    <row r="515" spans="1:8">
      <c r="A515" s="21"/>
      <c r="B515" s="28"/>
      <c r="C515" s="22"/>
      <c r="D515" s="28"/>
      <c r="E515" s="23" t="str">
        <f>IF($D515="","",IFERROR(VLOOKUP($D515,'ACAH Consumables Tracker'!$A:$H,8,FALSE()),""))</f>
        <v/>
      </c>
      <c r="F515" s="24"/>
      <c r="G515" s="25" t="str">
        <f>IF($D515="","",IFERROR(VLOOKUP($D515,'ACAH Consumables Tracker'!$A:$D,4,FALSE()),""))</f>
        <v/>
      </c>
      <c r="H515" s="22"/>
    </row>
    <row r="516" spans="1:8">
      <c r="A516" s="21"/>
      <c r="B516" s="28"/>
      <c r="C516" s="22"/>
      <c r="D516" s="28"/>
      <c r="E516" s="23" t="str">
        <f>IF($D516="","",IFERROR(VLOOKUP($D516,'ACAH Consumables Tracker'!$A:$H,8,FALSE()),""))</f>
        <v/>
      </c>
      <c r="F516" s="24"/>
      <c r="G516" s="25" t="str">
        <f>IF($D516="","",IFERROR(VLOOKUP($D516,'ACAH Consumables Tracker'!$A:$D,4,FALSE()),""))</f>
        <v/>
      </c>
      <c r="H516" s="22"/>
    </row>
    <row r="517" spans="1:8">
      <c r="A517" s="21"/>
      <c r="B517" s="28"/>
      <c r="C517" s="22"/>
      <c r="D517" s="28"/>
      <c r="E517" s="23" t="str">
        <f>IF($D517="","",IFERROR(VLOOKUP($D517,'ACAH Consumables Tracker'!$A:$H,8,FALSE()),""))</f>
        <v/>
      </c>
      <c r="F517" s="24"/>
      <c r="G517" s="25" t="str">
        <f>IF($D517="","",IFERROR(VLOOKUP($D517,'ACAH Consumables Tracker'!$A:$D,4,FALSE()),""))</f>
        <v/>
      </c>
      <c r="H517" s="22"/>
    </row>
    <row r="518" spans="1:8">
      <c r="A518" s="21"/>
      <c r="B518" s="28"/>
      <c r="C518" s="22"/>
      <c r="D518" s="28"/>
      <c r="E518" s="23" t="str">
        <f>IF($D518="","",IFERROR(VLOOKUP($D518,'ACAH Consumables Tracker'!$A:$H,8,FALSE()),""))</f>
        <v/>
      </c>
      <c r="F518" s="24"/>
      <c r="G518" s="25" t="str">
        <f>IF($D518="","",IFERROR(VLOOKUP($D518,'ACAH Consumables Tracker'!$A:$D,4,FALSE()),""))</f>
        <v/>
      </c>
      <c r="H518" s="22"/>
    </row>
    <row r="519" spans="1:8">
      <c r="A519" s="21"/>
      <c r="B519" s="28"/>
      <c r="C519" s="22"/>
      <c r="D519" s="28"/>
      <c r="E519" s="23" t="str">
        <f>IF($D519="","",IFERROR(VLOOKUP($D519,'ACAH Consumables Tracker'!$A:$H,8,FALSE()),""))</f>
        <v/>
      </c>
      <c r="F519" s="24"/>
      <c r="G519" s="25" t="str">
        <f>IF($D519="","",IFERROR(VLOOKUP($D519,'ACAH Consumables Tracker'!$A:$D,4,FALSE()),""))</f>
        <v/>
      </c>
      <c r="H519" s="22"/>
    </row>
    <row r="520" spans="1:8">
      <c r="A520" s="21"/>
      <c r="B520" s="28"/>
      <c r="C520" s="22"/>
      <c r="D520" s="28"/>
      <c r="E520" s="23" t="str">
        <f>IF($D520="","",IFERROR(VLOOKUP($D520,'ACAH Consumables Tracker'!$A:$H,8,FALSE()),""))</f>
        <v/>
      </c>
      <c r="F520" s="24"/>
      <c r="G520" s="25" t="str">
        <f>IF($D520="","",IFERROR(VLOOKUP($D520,'ACAH Consumables Tracker'!$A:$D,4,FALSE()),""))</f>
        <v/>
      </c>
      <c r="H520" s="22"/>
    </row>
    <row r="521" spans="1:8">
      <c r="A521" s="21"/>
      <c r="B521" s="28"/>
      <c r="C521" s="22"/>
      <c r="D521" s="28"/>
      <c r="E521" s="23" t="str">
        <f>IF($D521="","",IFERROR(VLOOKUP($D521,'ACAH Consumables Tracker'!$A:$H,8,FALSE()),""))</f>
        <v/>
      </c>
      <c r="F521" s="24"/>
      <c r="G521" s="25" t="str">
        <f>IF($D521="","",IFERROR(VLOOKUP($D521,'ACAH Consumables Tracker'!$A:$D,4,FALSE()),""))</f>
        <v/>
      </c>
      <c r="H521" s="22"/>
    </row>
    <row r="522" spans="1:8">
      <c r="A522" s="21"/>
      <c r="B522" s="28"/>
      <c r="C522" s="22"/>
      <c r="D522" s="28"/>
      <c r="E522" s="23" t="str">
        <f>IF($D522="","",IFERROR(VLOOKUP($D522,'ACAH Consumables Tracker'!$A:$H,8,FALSE()),""))</f>
        <v/>
      </c>
      <c r="F522" s="24"/>
      <c r="G522" s="25" t="str">
        <f>IF($D522="","",IFERROR(VLOOKUP($D522,'ACAH Consumables Tracker'!$A:$D,4,FALSE()),""))</f>
        <v/>
      </c>
      <c r="H522" s="22"/>
    </row>
    <row r="523" spans="1:8">
      <c r="A523" s="21"/>
      <c r="B523" s="28"/>
      <c r="C523" s="22"/>
      <c r="D523" s="28"/>
      <c r="E523" s="23" t="str">
        <f>IF($D523="","",IFERROR(VLOOKUP($D523,'ACAH Consumables Tracker'!$A:$H,8,FALSE()),""))</f>
        <v/>
      </c>
      <c r="F523" s="24"/>
      <c r="G523" s="25" t="str">
        <f>IF($D523="","",IFERROR(VLOOKUP($D523,'ACAH Consumables Tracker'!$A:$D,4,FALSE()),""))</f>
        <v/>
      </c>
      <c r="H523" s="22"/>
    </row>
    <row r="524" spans="1:8">
      <c r="A524" s="21"/>
      <c r="B524" s="28"/>
      <c r="C524" s="22"/>
      <c r="D524" s="28"/>
      <c r="E524" s="23" t="str">
        <f>IF($D524="","",IFERROR(VLOOKUP($D524,'ACAH Consumables Tracker'!$A:$H,8,FALSE()),""))</f>
        <v/>
      </c>
      <c r="F524" s="24"/>
      <c r="G524" s="25" t="str">
        <f>IF($D524="","",IFERROR(VLOOKUP($D524,'ACAH Consumables Tracker'!$A:$D,4,FALSE()),""))</f>
        <v/>
      </c>
      <c r="H524" s="22"/>
    </row>
    <row r="525" spans="1:8">
      <c r="A525" s="21"/>
      <c r="B525" s="28"/>
      <c r="C525" s="22"/>
      <c r="D525" s="28"/>
      <c r="E525" s="23" t="str">
        <f>IF($D525="","",IFERROR(VLOOKUP($D525,'ACAH Consumables Tracker'!$A:$H,8,FALSE()),""))</f>
        <v/>
      </c>
      <c r="F525" s="24"/>
      <c r="G525" s="25" t="str">
        <f>IF($D525="","",IFERROR(VLOOKUP($D525,'ACAH Consumables Tracker'!$A:$D,4,FALSE()),""))</f>
        <v/>
      </c>
      <c r="H525" s="22"/>
    </row>
    <row r="526" spans="1:8">
      <c r="A526" s="21"/>
      <c r="B526" s="28"/>
      <c r="C526" s="22"/>
      <c r="D526" s="28"/>
      <c r="E526" s="23" t="str">
        <f>IF($D526="","",IFERROR(VLOOKUP($D526,'ACAH Consumables Tracker'!$A:$H,8,FALSE()),""))</f>
        <v/>
      </c>
      <c r="F526" s="24"/>
      <c r="G526" s="25" t="str">
        <f>IF($D526="","",IFERROR(VLOOKUP($D526,'ACAH Consumables Tracker'!$A:$D,4,FALSE()),""))</f>
        <v/>
      </c>
      <c r="H526" s="22"/>
    </row>
    <row r="527" spans="1:8">
      <c r="A527" s="21"/>
      <c r="B527" s="28"/>
      <c r="C527" s="22"/>
      <c r="D527" s="28"/>
      <c r="E527" s="23" t="str">
        <f>IF($D527="","",IFERROR(VLOOKUP($D527,'ACAH Consumables Tracker'!$A:$H,8,FALSE()),""))</f>
        <v/>
      </c>
      <c r="F527" s="24"/>
      <c r="G527" s="25" t="str">
        <f>IF($D527="","",IFERROR(VLOOKUP($D527,'ACAH Consumables Tracker'!$A:$D,4,FALSE()),""))</f>
        <v/>
      </c>
      <c r="H527" s="22"/>
    </row>
    <row r="528" spans="1:8">
      <c r="A528" s="21"/>
      <c r="B528" s="28"/>
      <c r="C528" s="22"/>
      <c r="D528" s="28"/>
      <c r="E528" s="23" t="str">
        <f>IF($D528="","",IFERROR(VLOOKUP($D528,'ACAH Consumables Tracker'!$A:$H,8,FALSE()),""))</f>
        <v/>
      </c>
      <c r="F528" s="24"/>
      <c r="G528" s="25" t="str">
        <f>IF($D528="","",IFERROR(VLOOKUP($D528,'ACAH Consumables Tracker'!$A:$D,4,FALSE()),""))</f>
        <v/>
      </c>
      <c r="H528" s="22"/>
    </row>
    <row r="529" spans="1:8">
      <c r="A529" s="21"/>
      <c r="B529" s="28"/>
      <c r="C529" s="22"/>
      <c r="D529" s="28"/>
      <c r="E529" s="23" t="str">
        <f>IF($D529="","",IFERROR(VLOOKUP($D529,'ACAH Consumables Tracker'!$A:$H,8,FALSE()),""))</f>
        <v/>
      </c>
      <c r="F529" s="24"/>
      <c r="G529" s="25" t="str">
        <f>IF($D529="","",IFERROR(VLOOKUP($D529,'ACAH Consumables Tracker'!$A:$D,4,FALSE()),""))</f>
        <v/>
      </c>
      <c r="H529" s="22"/>
    </row>
    <row r="530" spans="1:8">
      <c r="A530" s="21"/>
      <c r="B530" s="28"/>
      <c r="C530" s="22"/>
      <c r="D530" s="28"/>
      <c r="E530" s="23" t="str">
        <f>IF($D530="","",IFERROR(VLOOKUP($D530,'ACAH Consumables Tracker'!$A:$H,8,FALSE()),""))</f>
        <v/>
      </c>
      <c r="F530" s="24"/>
      <c r="G530" s="25" t="str">
        <f>IF($D530="","",IFERROR(VLOOKUP($D530,'ACAH Consumables Tracker'!$A:$D,4,FALSE()),""))</f>
        <v/>
      </c>
      <c r="H530" s="22"/>
    </row>
    <row r="531" spans="1:8">
      <c r="A531" s="21"/>
      <c r="B531" s="28"/>
      <c r="C531" s="22"/>
      <c r="D531" s="28"/>
      <c r="E531" s="23" t="str">
        <f>IF($D531="","",IFERROR(VLOOKUP($D531,'ACAH Consumables Tracker'!$A:$H,8,FALSE()),""))</f>
        <v/>
      </c>
      <c r="F531" s="24"/>
      <c r="G531" s="25" t="str">
        <f>IF($D531="","",IFERROR(VLOOKUP($D531,'ACAH Consumables Tracker'!$A:$D,4,FALSE()),""))</f>
        <v/>
      </c>
      <c r="H531" s="22"/>
    </row>
    <row r="532" spans="1:8">
      <c r="A532" s="21"/>
      <c r="B532" s="28"/>
      <c r="C532" s="22"/>
      <c r="D532" s="28"/>
      <c r="E532" s="23" t="str">
        <f>IF($D532="","",IFERROR(VLOOKUP($D532,'ACAH Consumables Tracker'!$A:$H,8,FALSE()),""))</f>
        <v/>
      </c>
      <c r="F532" s="24"/>
      <c r="G532" s="25" t="str">
        <f>IF($D532="","",IFERROR(VLOOKUP($D532,'ACAH Consumables Tracker'!$A:$D,4,FALSE()),""))</f>
        <v/>
      </c>
      <c r="H532" s="22"/>
    </row>
    <row r="533" spans="1:8">
      <c r="A533" s="21"/>
      <c r="B533" s="28"/>
      <c r="C533" s="22"/>
      <c r="D533" s="28"/>
      <c r="E533" s="23" t="str">
        <f>IF($D533="","",IFERROR(VLOOKUP($D533,'ACAH Consumables Tracker'!$A:$H,8,FALSE()),""))</f>
        <v/>
      </c>
      <c r="F533" s="24"/>
      <c r="G533" s="25" t="str">
        <f>IF($D533="","",IFERROR(VLOOKUP($D533,'ACAH Consumables Tracker'!$A:$D,4,FALSE()),""))</f>
        <v/>
      </c>
      <c r="H533" s="22"/>
    </row>
    <row r="534" spans="1:8">
      <c r="A534" s="21"/>
      <c r="B534" s="28"/>
      <c r="C534" s="22"/>
      <c r="D534" s="28"/>
      <c r="E534" s="23" t="str">
        <f>IF($D534="","",IFERROR(VLOOKUP($D534,'ACAH Consumables Tracker'!$A:$H,8,FALSE()),""))</f>
        <v/>
      </c>
      <c r="F534" s="24"/>
      <c r="G534" s="25" t="str">
        <f>IF($D534="","",IFERROR(VLOOKUP($D534,'ACAH Consumables Tracker'!$A:$D,4,FALSE()),""))</f>
        <v/>
      </c>
      <c r="H534" s="22"/>
    </row>
    <row r="535" spans="1:8">
      <c r="A535" s="21"/>
      <c r="B535" s="28"/>
      <c r="C535" s="22"/>
      <c r="D535" s="28"/>
      <c r="E535" s="23" t="str">
        <f>IF($D535="","",IFERROR(VLOOKUP($D535,'ACAH Consumables Tracker'!$A:$H,8,FALSE()),""))</f>
        <v/>
      </c>
      <c r="F535" s="24"/>
      <c r="G535" s="25" t="str">
        <f>IF($D535="","",IFERROR(VLOOKUP($D535,'ACAH Consumables Tracker'!$A:$D,4,FALSE()),""))</f>
        <v/>
      </c>
      <c r="H535" s="22"/>
    </row>
    <row r="536" spans="1:8">
      <c r="A536" s="21"/>
      <c r="B536" s="28"/>
      <c r="C536" s="22"/>
      <c r="D536" s="28"/>
      <c r="E536" s="23" t="str">
        <f>IF($D536="","",IFERROR(VLOOKUP($D536,'ACAH Consumables Tracker'!$A:$H,8,FALSE()),""))</f>
        <v/>
      </c>
      <c r="F536" s="24"/>
      <c r="G536" s="25" t="str">
        <f>IF($D536="","",IFERROR(VLOOKUP($D536,'ACAH Consumables Tracker'!$A:$D,4,FALSE()),""))</f>
        <v/>
      </c>
      <c r="H536" s="22"/>
    </row>
    <row r="537" spans="1:8">
      <c r="A537" s="21"/>
      <c r="B537" s="28"/>
      <c r="C537" s="22"/>
      <c r="D537" s="28"/>
      <c r="E537" s="23" t="str">
        <f>IF($D537="","",IFERROR(VLOOKUP($D537,'ACAH Consumables Tracker'!$A:$H,8,FALSE()),""))</f>
        <v/>
      </c>
      <c r="F537" s="24"/>
      <c r="G537" s="25" t="str">
        <f>IF($D537="","",IFERROR(VLOOKUP($D537,'ACAH Consumables Tracker'!$A:$D,4,FALSE()),""))</f>
        <v/>
      </c>
      <c r="H537" s="22"/>
    </row>
    <row r="538" spans="1:8">
      <c r="A538" s="21"/>
      <c r="B538" s="28"/>
      <c r="C538" s="22"/>
      <c r="D538" s="28"/>
      <c r="E538" s="23" t="str">
        <f>IF($D538="","",IFERROR(VLOOKUP($D538,'ACAH Consumables Tracker'!$A:$H,8,FALSE()),""))</f>
        <v/>
      </c>
      <c r="F538" s="24"/>
      <c r="G538" s="25" t="str">
        <f>IF($D538="","",IFERROR(VLOOKUP($D538,'ACAH Consumables Tracker'!$A:$D,4,FALSE()),""))</f>
        <v/>
      </c>
      <c r="H538" s="22"/>
    </row>
    <row r="539" spans="1:8">
      <c r="A539" s="21"/>
      <c r="B539" s="28"/>
      <c r="C539" s="22"/>
      <c r="D539" s="28"/>
      <c r="E539" s="23" t="str">
        <f>IF($D539="","",IFERROR(VLOOKUP($D539,'ACAH Consumables Tracker'!$A:$H,8,FALSE()),""))</f>
        <v/>
      </c>
      <c r="F539" s="24"/>
      <c r="G539" s="25" t="str">
        <f>IF($D539="","",IFERROR(VLOOKUP($D539,'ACAH Consumables Tracker'!$A:$D,4,FALSE()),""))</f>
        <v/>
      </c>
      <c r="H539" s="22"/>
    </row>
    <row r="540" spans="1:8">
      <c r="A540" s="21"/>
      <c r="B540" s="28"/>
      <c r="C540" s="22"/>
      <c r="D540" s="28"/>
      <c r="E540" s="23" t="str">
        <f>IF($D540="","",IFERROR(VLOOKUP($D540,'ACAH Consumables Tracker'!$A:$H,8,FALSE()),""))</f>
        <v/>
      </c>
      <c r="F540" s="24"/>
      <c r="G540" s="25" t="str">
        <f>IF($D540="","",IFERROR(VLOOKUP($D540,'ACAH Consumables Tracker'!$A:$D,4,FALSE()),""))</f>
        <v/>
      </c>
      <c r="H540" s="22"/>
    </row>
    <row r="541" spans="1:8">
      <c r="A541" s="21"/>
      <c r="B541" s="28"/>
      <c r="C541" s="22"/>
      <c r="D541" s="28"/>
      <c r="E541" s="23" t="str">
        <f>IF($D541="","",IFERROR(VLOOKUP($D541,'ACAH Consumables Tracker'!$A:$H,8,FALSE()),""))</f>
        <v/>
      </c>
      <c r="F541" s="24"/>
      <c r="G541" s="25" t="str">
        <f>IF($D541="","",IFERROR(VLOOKUP($D541,'ACAH Consumables Tracker'!$A:$D,4,FALSE()),""))</f>
        <v/>
      </c>
      <c r="H541" s="22"/>
    </row>
    <row r="542" spans="1:8">
      <c r="A542" s="21"/>
      <c r="B542" s="28"/>
      <c r="C542" s="22"/>
      <c r="D542" s="28"/>
      <c r="E542" s="23" t="str">
        <f>IF($D542="","",IFERROR(VLOOKUP($D542,'ACAH Consumables Tracker'!$A:$H,8,FALSE()),""))</f>
        <v/>
      </c>
      <c r="F542" s="24"/>
      <c r="G542" s="25" t="str">
        <f>IF($D542="","",IFERROR(VLOOKUP($D542,'ACAH Consumables Tracker'!$A:$D,4,FALSE()),""))</f>
        <v/>
      </c>
      <c r="H542" s="22"/>
    </row>
    <row r="543" spans="1:8">
      <c r="A543" s="21"/>
      <c r="B543" s="28"/>
      <c r="C543" s="22"/>
      <c r="D543" s="28"/>
      <c r="E543" s="23" t="str">
        <f>IF($D543="","",IFERROR(VLOOKUP($D543,'ACAH Consumables Tracker'!$A:$H,8,FALSE()),""))</f>
        <v/>
      </c>
      <c r="F543" s="24"/>
      <c r="G543" s="25" t="str">
        <f>IF($D543="","",IFERROR(VLOOKUP($D543,'ACAH Consumables Tracker'!$A:$D,4,FALSE()),""))</f>
        <v/>
      </c>
      <c r="H543" s="22"/>
    </row>
    <row r="544" spans="1:8">
      <c r="A544" s="21"/>
      <c r="B544" s="28"/>
      <c r="C544" s="22"/>
      <c r="D544" s="28"/>
      <c r="E544" s="23" t="str">
        <f>IF($D544="","",IFERROR(VLOOKUP($D544,'ACAH Consumables Tracker'!$A:$H,8,FALSE()),""))</f>
        <v/>
      </c>
      <c r="F544" s="24"/>
      <c r="G544" s="25" t="str">
        <f>IF($D544="","",IFERROR(VLOOKUP($D544,'ACAH Consumables Tracker'!$A:$D,4,FALSE()),""))</f>
        <v/>
      </c>
      <c r="H544" s="22"/>
    </row>
    <row r="545" spans="1:8">
      <c r="A545" s="21"/>
      <c r="B545" s="28"/>
      <c r="C545" s="22"/>
      <c r="D545" s="28"/>
      <c r="E545" s="23" t="str">
        <f>IF($D545="","",IFERROR(VLOOKUP($D545,'ACAH Consumables Tracker'!$A:$H,8,FALSE()),""))</f>
        <v/>
      </c>
      <c r="F545" s="24"/>
      <c r="G545" s="25" t="str">
        <f>IF($D545="","",IFERROR(VLOOKUP($D545,'ACAH Consumables Tracker'!$A:$D,4,FALSE()),""))</f>
        <v/>
      </c>
      <c r="H545" s="22"/>
    </row>
    <row r="546" spans="1:8">
      <c r="A546" s="21"/>
      <c r="B546" s="28"/>
      <c r="C546" s="22"/>
      <c r="D546" s="28"/>
      <c r="E546" s="23" t="str">
        <f>IF($D546="","",IFERROR(VLOOKUP($D546,'ACAH Consumables Tracker'!$A:$H,8,FALSE()),""))</f>
        <v/>
      </c>
      <c r="F546" s="24"/>
      <c r="G546" s="25" t="str">
        <f>IF($D546="","",IFERROR(VLOOKUP($D546,'ACAH Consumables Tracker'!$A:$D,4,FALSE()),""))</f>
        <v/>
      </c>
      <c r="H546" s="22"/>
    </row>
    <row r="547" spans="1:8">
      <c r="A547" s="21"/>
      <c r="B547" s="28"/>
      <c r="C547" s="22"/>
      <c r="D547" s="28"/>
      <c r="E547" s="23" t="str">
        <f>IF($D547="","",IFERROR(VLOOKUP($D547,'ACAH Consumables Tracker'!$A:$H,8,FALSE()),""))</f>
        <v/>
      </c>
      <c r="F547" s="24"/>
      <c r="G547" s="25" t="str">
        <f>IF($D547="","",IFERROR(VLOOKUP($D547,'ACAH Consumables Tracker'!$A:$D,4,FALSE()),""))</f>
        <v/>
      </c>
      <c r="H547" s="22"/>
    </row>
    <row r="548" spans="1:8">
      <c r="A548" s="21"/>
      <c r="B548" s="28"/>
      <c r="C548" s="22"/>
      <c r="D548" s="28"/>
      <c r="E548" s="23" t="str">
        <f>IF($D548="","",IFERROR(VLOOKUP($D548,'ACAH Consumables Tracker'!$A:$H,8,FALSE()),""))</f>
        <v/>
      </c>
      <c r="F548" s="24"/>
      <c r="G548" s="25" t="str">
        <f>IF($D548="","",IFERROR(VLOOKUP($D548,'ACAH Consumables Tracker'!$A:$D,4,FALSE()),""))</f>
        <v/>
      </c>
      <c r="H548" s="22"/>
    </row>
    <row r="549" spans="1:8">
      <c r="A549" s="21"/>
      <c r="B549" s="28"/>
      <c r="C549" s="22"/>
      <c r="D549" s="28"/>
      <c r="E549" s="23" t="str">
        <f>IF($D549="","",IFERROR(VLOOKUP($D549,'ACAH Consumables Tracker'!$A:$H,8,FALSE()),""))</f>
        <v/>
      </c>
      <c r="F549" s="24"/>
      <c r="G549" s="25" t="str">
        <f>IF($D549="","",IFERROR(VLOOKUP($D549,'ACAH Consumables Tracker'!$A:$D,4,FALSE()),""))</f>
        <v/>
      </c>
      <c r="H549" s="22"/>
    </row>
    <row r="550" spans="1:8">
      <c r="A550" s="21"/>
      <c r="B550" s="28"/>
      <c r="C550" s="22"/>
      <c r="D550" s="28"/>
      <c r="E550" s="23" t="str">
        <f>IF($D550="","",IFERROR(VLOOKUP($D550,'ACAH Consumables Tracker'!$A:$H,8,FALSE()),""))</f>
        <v/>
      </c>
      <c r="F550" s="24"/>
      <c r="G550" s="25" t="str">
        <f>IF($D550="","",IFERROR(VLOOKUP($D550,'ACAH Consumables Tracker'!$A:$D,4,FALSE()),""))</f>
        <v/>
      </c>
      <c r="H550" s="22"/>
    </row>
    <row r="551" spans="1:8">
      <c r="A551" s="21"/>
      <c r="B551" s="28"/>
      <c r="C551" s="22"/>
      <c r="D551" s="28"/>
      <c r="E551" s="23" t="str">
        <f>IF($D551="","",IFERROR(VLOOKUP($D551,'ACAH Consumables Tracker'!$A:$H,8,FALSE()),""))</f>
        <v/>
      </c>
      <c r="F551" s="24"/>
      <c r="G551" s="25" t="str">
        <f>IF($D551="","",IFERROR(VLOOKUP($D551,'ACAH Consumables Tracker'!$A:$D,4,FALSE()),""))</f>
        <v/>
      </c>
      <c r="H551" s="22"/>
    </row>
    <row r="552" spans="1:8">
      <c r="A552" s="21"/>
      <c r="B552" s="28"/>
      <c r="C552" s="22"/>
      <c r="D552" s="28"/>
      <c r="E552" s="23" t="str">
        <f>IF($D552="","",IFERROR(VLOOKUP($D552,'ACAH Consumables Tracker'!$A:$H,8,FALSE()),""))</f>
        <v/>
      </c>
      <c r="F552" s="24"/>
      <c r="G552" s="25" t="str">
        <f>IF($D552="","",IFERROR(VLOOKUP($D552,'ACAH Consumables Tracker'!$A:$D,4,FALSE()),""))</f>
        <v/>
      </c>
      <c r="H552" s="22"/>
    </row>
    <row r="553" spans="1:8">
      <c r="A553" s="21"/>
      <c r="B553" s="28"/>
      <c r="C553" s="22"/>
      <c r="D553" s="28"/>
      <c r="E553" s="23" t="str">
        <f>IF($D553="","",IFERROR(VLOOKUP($D553,'ACAH Consumables Tracker'!$A:$H,8,FALSE()),""))</f>
        <v/>
      </c>
      <c r="F553" s="24"/>
      <c r="G553" s="25" t="str">
        <f>IF($D553="","",IFERROR(VLOOKUP($D553,'ACAH Consumables Tracker'!$A:$D,4,FALSE()),""))</f>
        <v/>
      </c>
      <c r="H553" s="22"/>
    </row>
    <row r="554" spans="1:8">
      <c r="A554" s="21"/>
      <c r="B554" s="28"/>
      <c r="C554" s="22"/>
      <c r="D554" s="28"/>
      <c r="E554" s="23" t="str">
        <f>IF($D554="","",IFERROR(VLOOKUP($D554,'ACAH Consumables Tracker'!$A:$H,8,FALSE()),""))</f>
        <v/>
      </c>
      <c r="F554" s="24"/>
      <c r="G554" s="25" t="str">
        <f>IF($D554="","",IFERROR(VLOOKUP($D554,'ACAH Consumables Tracker'!$A:$D,4,FALSE()),""))</f>
        <v/>
      </c>
      <c r="H554" s="22"/>
    </row>
    <row r="555" spans="1:8">
      <c r="A555" s="21"/>
      <c r="B555" s="28"/>
      <c r="C555" s="22"/>
      <c r="D555" s="28"/>
      <c r="E555" s="23" t="str">
        <f>IF($D555="","",IFERROR(VLOOKUP($D555,'ACAH Consumables Tracker'!$A:$H,8,FALSE()),""))</f>
        <v/>
      </c>
      <c r="F555" s="24"/>
      <c r="G555" s="25" t="str">
        <f>IF($D555="","",IFERROR(VLOOKUP($D555,'ACAH Consumables Tracker'!$A:$D,4,FALSE()),""))</f>
        <v/>
      </c>
      <c r="H555" s="22"/>
    </row>
    <row r="556" spans="1:8">
      <c r="A556" s="21"/>
      <c r="B556" s="28"/>
      <c r="C556" s="22"/>
      <c r="D556" s="28"/>
      <c r="E556" s="23" t="str">
        <f>IF($D556="","",IFERROR(VLOOKUP($D556,'ACAH Consumables Tracker'!$A:$H,8,FALSE()),""))</f>
        <v/>
      </c>
      <c r="F556" s="24"/>
      <c r="G556" s="25" t="str">
        <f>IF($D556="","",IFERROR(VLOOKUP($D556,'ACAH Consumables Tracker'!$A:$D,4,FALSE()),""))</f>
        <v/>
      </c>
      <c r="H556" s="22"/>
    </row>
    <row r="557" spans="1:8">
      <c r="A557" s="21"/>
      <c r="B557" s="28"/>
      <c r="C557" s="22"/>
      <c r="D557" s="28"/>
      <c r="E557" s="23" t="str">
        <f>IF($D557="","",IFERROR(VLOOKUP($D557,'ACAH Consumables Tracker'!$A:$H,8,FALSE()),""))</f>
        <v/>
      </c>
      <c r="F557" s="24"/>
      <c r="G557" s="25" t="str">
        <f>IF($D557="","",IFERROR(VLOOKUP($D557,'ACAH Consumables Tracker'!$A:$D,4,FALSE()),""))</f>
        <v/>
      </c>
      <c r="H557" s="22"/>
    </row>
    <row r="558" spans="1:8">
      <c r="A558" s="21"/>
      <c r="B558" s="28"/>
      <c r="C558" s="22"/>
      <c r="D558" s="28"/>
      <c r="E558" s="23" t="str">
        <f>IF($D558="","",IFERROR(VLOOKUP($D558,'ACAH Consumables Tracker'!$A:$H,8,FALSE()),""))</f>
        <v/>
      </c>
      <c r="F558" s="24"/>
      <c r="G558" s="25" t="str">
        <f>IF($D558="","",IFERROR(VLOOKUP($D558,'ACAH Consumables Tracker'!$A:$D,4,FALSE()),""))</f>
        <v/>
      </c>
      <c r="H558" s="22"/>
    </row>
    <row r="559" spans="1:8">
      <c r="A559" s="21"/>
      <c r="B559" s="28"/>
      <c r="C559" s="22"/>
      <c r="D559" s="28"/>
      <c r="E559" s="23" t="str">
        <f>IF($D559="","",IFERROR(VLOOKUP($D559,'ACAH Consumables Tracker'!$A:$H,8,FALSE()),""))</f>
        <v/>
      </c>
      <c r="F559" s="24"/>
      <c r="G559" s="25" t="str">
        <f>IF($D559="","",IFERROR(VLOOKUP($D559,'ACAH Consumables Tracker'!$A:$D,4,FALSE()),""))</f>
        <v/>
      </c>
      <c r="H559" s="22"/>
    </row>
    <row r="560" spans="1:8">
      <c r="A560" s="21"/>
      <c r="B560" s="28"/>
      <c r="C560" s="22"/>
      <c r="D560" s="28"/>
      <c r="E560" s="23" t="str">
        <f>IF($D560="","",IFERROR(VLOOKUP($D560,'ACAH Consumables Tracker'!$A:$H,8,FALSE()),""))</f>
        <v/>
      </c>
      <c r="F560" s="24"/>
      <c r="G560" s="25" t="str">
        <f>IF($D560="","",IFERROR(VLOOKUP($D560,'ACAH Consumables Tracker'!$A:$D,4,FALSE()),""))</f>
        <v/>
      </c>
      <c r="H560" s="22"/>
    </row>
    <row r="561" spans="1:8">
      <c r="A561" s="21"/>
      <c r="B561" s="28"/>
      <c r="C561" s="22"/>
      <c r="D561" s="28"/>
      <c r="E561" s="23" t="str">
        <f>IF($D561="","",IFERROR(VLOOKUP($D561,'ACAH Consumables Tracker'!$A:$H,8,FALSE()),""))</f>
        <v/>
      </c>
      <c r="F561" s="24"/>
      <c r="G561" s="25" t="str">
        <f>IF($D561="","",IFERROR(VLOOKUP($D561,'ACAH Consumables Tracker'!$A:$D,4,FALSE()),""))</f>
        <v/>
      </c>
      <c r="H561" s="22"/>
    </row>
    <row r="562" spans="1:8">
      <c r="A562" s="21"/>
      <c r="B562" s="28"/>
      <c r="C562" s="22"/>
      <c r="D562" s="28"/>
      <c r="E562" s="23" t="str">
        <f>IF($D562="","",IFERROR(VLOOKUP($D562,'ACAH Consumables Tracker'!$A:$H,8,FALSE()),""))</f>
        <v/>
      </c>
      <c r="F562" s="24"/>
      <c r="G562" s="25" t="str">
        <f>IF($D562="","",IFERROR(VLOOKUP($D562,'ACAH Consumables Tracker'!$A:$D,4,FALSE()),""))</f>
        <v/>
      </c>
      <c r="H562" s="22"/>
    </row>
    <row r="563" spans="1:8">
      <c r="A563" s="21"/>
      <c r="B563" s="28"/>
      <c r="C563" s="22"/>
      <c r="D563" s="28"/>
      <c r="E563" s="23" t="str">
        <f>IF($D563="","",IFERROR(VLOOKUP($D563,'ACAH Consumables Tracker'!$A:$H,8,FALSE()),""))</f>
        <v/>
      </c>
      <c r="F563" s="24"/>
      <c r="G563" s="25" t="str">
        <f>IF($D563="","",IFERROR(VLOOKUP($D563,'ACAH Consumables Tracker'!$A:$D,4,FALSE()),""))</f>
        <v/>
      </c>
      <c r="H563" s="22"/>
    </row>
    <row r="564" spans="1:8">
      <c r="A564" s="21"/>
      <c r="B564" s="28"/>
      <c r="C564" s="22"/>
      <c r="D564" s="28"/>
      <c r="E564" s="23" t="str">
        <f>IF($D564="","",IFERROR(VLOOKUP($D564,'ACAH Consumables Tracker'!$A:$H,8,FALSE()),""))</f>
        <v/>
      </c>
      <c r="F564" s="24"/>
      <c r="G564" s="25" t="str">
        <f>IF($D564="","",IFERROR(VLOOKUP($D564,'ACAH Consumables Tracker'!$A:$D,4,FALSE()),""))</f>
        <v/>
      </c>
      <c r="H564" s="22"/>
    </row>
    <row r="565" spans="1:8">
      <c r="A565" s="21"/>
      <c r="B565" s="28"/>
      <c r="C565" s="22"/>
      <c r="D565" s="28"/>
      <c r="E565" s="23" t="str">
        <f>IF($D565="","",IFERROR(VLOOKUP($D565,'ACAH Consumables Tracker'!$A:$H,8,FALSE()),""))</f>
        <v/>
      </c>
      <c r="F565" s="24"/>
      <c r="G565" s="25" t="str">
        <f>IF($D565="","",IFERROR(VLOOKUP($D565,'ACAH Consumables Tracker'!$A:$D,4,FALSE()),""))</f>
        <v/>
      </c>
      <c r="H565" s="22"/>
    </row>
    <row r="566" spans="1:8">
      <c r="A566" s="21"/>
      <c r="B566" s="28"/>
      <c r="C566" s="22"/>
      <c r="D566" s="28"/>
      <c r="E566" s="23" t="str">
        <f>IF($D566="","",IFERROR(VLOOKUP($D566,'ACAH Consumables Tracker'!$A:$H,8,FALSE()),""))</f>
        <v/>
      </c>
      <c r="F566" s="24"/>
      <c r="G566" s="25" t="str">
        <f>IF($D566="","",IFERROR(VLOOKUP($D566,'ACAH Consumables Tracker'!$A:$D,4,FALSE()),""))</f>
        <v/>
      </c>
      <c r="H566" s="22"/>
    </row>
    <row r="567" spans="1:8">
      <c r="A567" s="21"/>
      <c r="B567" s="28"/>
      <c r="C567" s="22"/>
      <c r="D567" s="28"/>
      <c r="E567" s="23" t="str">
        <f>IF($D567="","",IFERROR(VLOOKUP($D567,'ACAH Consumables Tracker'!$A:$H,8,FALSE()),""))</f>
        <v/>
      </c>
      <c r="F567" s="24"/>
      <c r="G567" s="25" t="str">
        <f>IF($D567="","",IFERROR(VLOOKUP($D567,'ACAH Consumables Tracker'!$A:$D,4,FALSE()),""))</f>
        <v/>
      </c>
      <c r="H567" s="22"/>
    </row>
    <row r="568" spans="1:8">
      <c r="A568" s="21"/>
      <c r="B568" s="28"/>
      <c r="C568" s="22"/>
      <c r="D568" s="28"/>
      <c r="E568" s="23" t="str">
        <f>IF($D568="","",IFERROR(VLOOKUP($D568,'ACAH Consumables Tracker'!$A:$H,8,FALSE()),""))</f>
        <v/>
      </c>
      <c r="F568" s="24"/>
      <c r="G568" s="25" t="str">
        <f>IF($D568="","",IFERROR(VLOOKUP($D568,'ACAH Consumables Tracker'!$A:$D,4,FALSE()),""))</f>
        <v/>
      </c>
      <c r="H568" s="22"/>
    </row>
    <row r="569" spans="1:8">
      <c r="A569" s="21"/>
      <c r="B569" s="28"/>
      <c r="C569" s="22"/>
      <c r="D569" s="28"/>
      <c r="E569" s="23" t="str">
        <f>IF($D569="","",IFERROR(VLOOKUP($D569,'ACAH Consumables Tracker'!$A:$H,8,FALSE()),""))</f>
        <v/>
      </c>
      <c r="F569" s="24"/>
      <c r="G569" s="25" t="str">
        <f>IF($D569="","",IFERROR(VLOOKUP($D569,'ACAH Consumables Tracker'!$A:$D,4,FALSE()),""))</f>
        <v/>
      </c>
      <c r="H569" s="22"/>
    </row>
    <row r="570" spans="1:8">
      <c r="A570" s="21"/>
      <c r="B570" s="28"/>
      <c r="C570" s="22"/>
      <c r="D570" s="28"/>
      <c r="E570" s="23" t="str">
        <f>IF($D570="","",IFERROR(VLOOKUP($D570,'ACAH Consumables Tracker'!$A:$H,8,FALSE()),""))</f>
        <v/>
      </c>
      <c r="F570" s="24"/>
      <c r="G570" s="25" t="str">
        <f>IF($D570="","",IFERROR(VLOOKUP($D570,'ACAH Consumables Tracker'!$A:$D,4,FALSE()),""))</f>
        <v/>
      </c>
      <c r="H570" s="22"/>
    </row>
    <row r="571" spans="1:8">
      <c r="A571" s="21"/>
      <c r="B571" s="28"/>
      <c r="C571" s="22"/>
      <c r="D571" s="28"/>
      <c r="E571" s="23" t="str">
        <f>IF($D571="","",IFERROR(VLOOKUP($D571,'ACAH Consumables Tracker'!$A:$H,8,FALSE()),""))</f>
        <v/>
      </c>
      <c r="F571" s="24"/>
      <c r="G571" s="25" t="str">
        <f>IF($D571="","",IFERROR(VLOOKUP($D571,'ACAH Consumables Tracker'!$A:$D,4,FALSE()),""))</f>
        <v/>
      </c>
      <c r="H571" s="22"/>
    </row>
    <row r="572" spans="1:8">
      <c r="A572" s="21"/>
      <c r="B572" s="28"/>
      <c r="C572" s="22"/>
      <c r="D572" s="28"/>
      <c r="E572" s="23" t="str">
        <f>IF($D572="","",IFERROR(VLOOKUP($D572,'ACAH Consumables Tracker'!$A:$H,8,FALSE()),""))</f>
        <v/>
      </c>
      <c r="F572" s="24"/>
      <c r="G572" s="25" t="str">
        <f>IF($D572="","",IFERROR(VLOOKUP($D572,'ACAH Consumables Tracker'!$A:$D,4,FALSE()),""))</f>
        <v/>
      </c>
      <c r="H572" s="22"/>
    </row>
    <row r="573" spans="1:8">
      <c r="A573" s="21"/>
      <c r="B573" s="28"/>
      <c r="C573" s="22"/>
      <c r="D573" s="28"/>
      <c r="E573" s="23" t="str">
        <f>IF($D573="","",IFERROR(VLOOKUP($D573,'ACAH Consumables Tracker'!$A:$H,8,FALSE()),""))</f>
        <v/>
      </c>
      <c r="F573" s="24"/>
      <c r="G573" s="25" t="str">
        <f>IF($D573="","",IFERROR(VLOOKUP($D573,'ACAH Consumables Tracker'!$A:$D,4,FALSE()),""))</f>
        <v/>
      </c>
      <c r="H573" s="22"/>
    </row>
    <row r="574" spans="1:8">
      <c r="A574" s="21"/>
      <c r="B574" s="28"/>
      <c r="C574" s="22"/>
      <c r="D574" s="28"/>
      <c r="E574" s="23" t="str">
        <f>IF($D574="","",IFERROR(VLOOKUP($D574,'ACAH Consumables Tracker'!$A:$H,8,FALSE()),""))</f>
        <v/>
      </c>
      <c r="F574" s="24"/>
      <c r="G574" s="25" t="str">
        <f>IF($D574="","",IFERROR(VLOOKUP($D574,'ACAH Consumables Tracker'!$A:$D,4,FALSE()),""))</f>
        <v/>
      </c>
      <c r="H574" s="22"/>
    </row>
    <row r="575" spans="1:8">
      <c r="A575" s="21"/>
      <c r="B575" s="28"/>
      <c r="C575" s="22"/>
      <c r="D575" s="28"/>
      <c r="E575" s="23" t="str">
        <f>IF($D575="","",IFERROR(VLOOKUP($D575,'ACAH Consumables Tracker'!$A:$H,8,FALSE()),""))</f>
        <v/>
      </c>
      <c r="F575" s="24"/>
      <c r="G575" s="25" t="str">
        <f>IF($D575="","",IFERROR(VLOOKUP($D575,'ACAH Consumables Tracker'!$A:$D,4,FALSE()),""))</f>
        <v/>
      </c>
      <c r="H575" s="22"/>
    </row>
    <row r="576" spans="1:8">
      <c r="A576" s="21"/>
      <c r="B576" s="28"/>
      <c r="C576" s="22"/>
      <c r="D576" s="28"/>
      <c r="E576" s="23" t="str">
        <f>IF($D576="","",IFERROR(VLOOKUP($D576,'ACAH Consumables Tracker'!$A:$H,8,FALSE()),""))</f>
        <v/>
      </c>
      <c r="F576" s="24"/>
      <c r="G576" s="25" t="str">
        <f>IF($D576="","",IFERROR(VLOOKUP($D576,'ACAH Consumables Tracker'!$A:$D,4,FALSE()),""))</f>
        <v/>
      </c>
      <c r="H576" s="22"/>
    </row>
    <row r="577" spans="1:8">
      <c r="A577" s="21"/>
      <c r="B577" s="28"/>
      <c r="C577" s="22"/>
      <c r="D577" s="28"/>
      <c r="E577" s="23" t="str">
        <f>IF($D577="","",IFERROR(VLOOKUP($D577,'ACAH Consumables Tracker'!$A:$H,8,FALSE()),""))</f>
        <v/>
      </c>
      <c r="F577" s="24"/>
      <c r="G577" s="25" t="str">
        <f>IF($D577="","",IFERROR(VLOOKUP($D577,'ACAH Consumables Tracker'!$A:$D,4,FALSE()),""))</f>
        <v/>
      </c>
      <c r="H577" s="22"/>
    </row>
    <row r="578" spans="1:8">
      <c r="A578" s="21"/>
      <c r="B578" s="28"/>
      <c r="C578" s="22"/>
      <c r="D578" s="28"/>
      <c r="E578" s="23" t="str">
        <f>IF($D578="","",IFERROR(VLOOKUP($D578,'ACAH Consumables Tracker'!$A:$H,8,FALSE()),""))</f>
        <v/>
      </c>
      <c r="F578" s="24"/>
      <c r="G578" s="25" t="str">
        <f>IF($D578="","",IFERROR(VLOOKUP($D578,'ACAH Consumables Tracker'!$A:$D,4,FALSE()),""))</f>
        <v/>
      </c>
      <c r="H578" s="22"/>
    </row>
    <row r="579" spans="1:8">
      <c r="A579" s="21"/>
      <c r="B579" s="28"/>
      <c r="C579" s="22"/>
      <c r="D579" s="28"/>
      <c r="E579" s="23" t="str">
        <f>IF($D579="","",IFERROR(VLOOKUP($D579,'ACAH Consumables Tracker'!$A:$H,8,FALSE()),""))</f>
        <v/>
      </c>
      <c r="F579" s="24"/>
      <c r="G579" s="25" t="str">
        <f>IF($D579="","",IFERROR(VLOOKUP($D579,'ACAH Consumables Tracker'!$A:$D,4,FALSE()),""))</f>
        <v/>
      </c>
      <c r="H579" s="22"/>
    </row>
    <row r="580" spans="1:8">
      <c r="A580" s="21"/>
      <c r="B580" s="28"/>
      <c r="C580" s="22"/>
      <c r="D580" s="28"/>
      <c r="E580" s="23" t="str">
        <f>IF($D580="","",IFERROR(VLOOKUP($D580,'ACAH Consumables Tracker'!$A:$H,8,FALSE()),""))</f>
        <v/>
      </c>
      <c r="F580" s="24"/>
      <c r="G580" s="25" t="str">
        <f>IF($D580="","",IFERROR(VLOOKUP($D580,'ACAH Consumables Tracker'!$A:$D,4,FALSE()),""))</f>
        <v/>
      </c>
      <c r="H580" s="22"/>
    </row>
    <row r="581" spans="1:8">
      <c r="A581" s="21"/>
      <c r="B581" s="28"/>
      <c r="C581" s="22"/>
      <c r="D581" s="28"/>
      <c r="E581" s="23" t="str">
        <f>IF($D581="","",IFERROR(VLOOKUP($D581,'ACAH Consumables Tracker'!$A:$H,8,FALSE()),""))</f>
        <v/>
      </c>
      <c r="F581" s="24"/>
      <c r="G581" s="25" t="str">
        <f>IF($D581="","",IFERROR(VLOOKUP($D581,'ACAH Consumables Tracker'!$A:$D,4,FALSE()),""))</f>
        <v/>
      </c>
      <c r="H581" s="22"/>
    </row>
    <row r="582" spans="1:8">
      <c r="A582" s="21"/>
      <c r="B582" s="28"/>
      <c r="C582" s="22"/>
      <c r="D582" s="28"/>
      <c r="E582" s="23" t="str">
        <f>IF($D582="","",IFERROR(VLOOKUP($D582,'ACAH Consumables Tracker'!$A:$H,8,FALSE()),""))</f>
        <v/>
      </c>
      <c r="F582" s="24"/>
      <c r="G582" s="25" t="str">
        <f>IF($D582="","",IFERROR(VLOOKUP($D582,'ACAH Consumables Tracker'!$A:$D,4,FALSE()),""))</f>
        <v/>
      </c>
      <c r="H582" s="22"/>
    </row>
    <row r="583" spans="1:8">
      <c r="A583" s="21"/>
      <c r="B583" s="28"/>
      <c r="C583" s="22"/>
      <c r="D583" s="28"/>
      <c r="E583" s="23" t="str">
        <f>IF($D583="","",IFERROR(VLOOKUP($D583,'ACAH Consumables Tracker'!$A:$H,8,FALSE()),""))</f>
        <v/>
      </c>
      <c r="F583" s="24"/>
      <c r="G583" s="25" t="str">
        <f>IF($D583="","",IFERROR(VLOOKUP($D583,'ACAH Consumables Tracker'!$A:$D,4,FALSE()),""))</f>
        <v/>
      </c>
      <c r="H583" s="22"/>
    </row>
    <row r="584" spans="1:8">
      <c r="A584" s="21"/>
      <c r="B584" s="28"/>
      <c r="C584" s="22"/>
      <c r="D584" s="28"/>
      <c r="E584" s="23" t="str">
        <f>IF($D584="","",IFERROR(VLOOKUP($D584,'ACAH Consumables Tracker'!$A:$H,8,FALSE()),""))</f>
        <v/>
      </c>
      <c r="F584" s="24"/>
      <c r="G584" s="25" t="str">
        <f>IF($D584="","",IFERROR(VLOOKUP($D584,'ACAH Consumables Tracker'!$A:$D,4,FALSE()),""))</f>
        <v/>
      </c>
      <c r="H584" s="22"/>
    </row>
    <row r="585" spans="1:8">
      <c r="A585" s="21"/>
      <c r="B585" s="28"/>
      <c r="C585" s="22"/>
      <c r="D585" s="28"/>
      <c r="E585" s="23" t="str">
        <f>IF($D585="","",IFERROR(VLOOKUP($D585,'ACAH Consumables Tracker'!$A:$H,8,FALSE()),""))</f>
        <v/>
      </c>
      <c r="F585" s="24"/>
      <c r="G585" s="25" t="str">
        <f>IF($D585="","",IFERROR(VLOOKUP($D585,'ACAH Consumables Tracker'!$A:$D,4,FALSE()),""))</f>
        <v/>
      </c>
      <c r="H585" s="22"/>
    </row>
    <row r="586" spans="1:8">
      <c r="A586" s="21"/>
      <c r="B586" s="28"/>
      <c r="C586" s="22"/>
      <c r="D586" s="28"/>
      <c r="E586" s="23" t="str">
        <f>IF($D586="","",IFERROR(VLOOKUP($D586,'ACAH Consumables Tracker'!$A:$H,8,FALSE()),""))</f>
        <v/>
      </c>
      <c r="F586" s="24"/>
      <c r="G586" s="25" t="str">
        <f>IF($D586="","",IFERROR(VLOOKUP($D586,'ACAH Consumables Tracker'!$A:$D,4,FALSE()),""))</f>
        <v/>
      </c>
      <c r="H586" s="22"/>
    </row>
    <row r="587" spans="1:8">
      <c r="A587" s="21"/>
      <c r="B587" s="28"/>
      <c r="C587" s="22"/>
      <c r="D587" s="28"/>
      <c r="E587" s="23" t="str">
        <f>IF($D587="","",IFERROR(VLOOKUP($D587,'ACAH Consumables Tracker'!$A:$H,8,FALSE()),""))</f>
        <v/>
      </c>
      <c r="F587" s="24"/>
      <c r="G587" s="25" t="str">
        <f>IF($D587="","",IFERROR(VLOOKUP($D587,'ACAH Consumables Tracker'!$A:$D,4,FALSE()),""))</f>
        <v/>
      </c>
      <c r="H587" s="22"/>
    </row>
    <row r="588" spans="1:8">
      <c r="A588" s="21"/>
      <c r="B588" s="28"/>
      <c r="C588" s="22"/>
      <c r="D588" s="28"/>
      <c r="E588" s="23" t="str">
        <f>IF($D588="","",IFERROR(VLOOKUP($D588,'ACAH Consumables Tracker'!$A:$H,8,FALSE()),""))</f>
        <v/>
      </c>
      <c r="F588" s="24"/>
      <c r="G588" s="25" t="str">
        <f>IF($D588="","",IFERROR(VLOOKUP($D588,'ACAH Consumables Tracker'!$A:$D,4,FALSE()),""))</f>
        <v/>
      </c>
      <c r="H588" s="22"/>
    </row>
    <row r="589" spans="1:8">
      <c r="A589" s="21"/>
      <c r="B589" s="28"/>
      <c r="C589" s="22"/>
      <c r="D589" s="28"/>
      <c r="E589" s="23" t="str">
        <f>IF($D589="","",IFERROR(VLOOKUP($D589,'ACAH Consumables Tracker'!$A:$H,8,FALSE()),""))</f>
        <v/>
      </c>
      <c r="F589" s="24"/>
      <c r="G589" s="25" t="str">
        <f>IF($D589="","",IFERROR(VLOOKUP($D589,'ACAH Consumables Tracker'!$A:$D,4,FALSE()),""))</f>
        <v/>
      </c>
      <c r="H589" s="22"/>
    </row>
    <row r="590" spans="1:8">
      <c r="A590" s="21"/>
      <c r="B590" s="28"/>
      <c r="C590" s="22"/>
      <c r="D590" s="28"/>
      <c r="E590" s="23" t="str">
        <f>IF($D590="","",IFERROR(VLOOKUP($D590,'ACAH Consumables Tracker'!$A:$H,8,FALSE()),""))</f>
        <v/>
      </c>
      <c r="F590" s="24"/>
      <c r="G590" s="25" t="str">
        <f>IF($D590="","",IFERROR(VLOOKUP($D590,'ACAH Consumables Tracker'!$A:$D,4,FALSE()),""))</f>
        <v/>
      </c>
      <c r="H590" s="22"/>
    </row>
    <row r="591" spans="1:8">
      <c r="A591" s="21"/>
      <c r="B591" s="28"/>
      <c r="C591" s="22"/>
      <c r="D591" s="28"/>
      <c r="E591" s="23" t="str">
        <f>IF($D591="","",IFERROR(VLOOKUP($D591,'ACAH Consumables Tracker'!$A:$H,8,FALSE()),""))</f>
        <v/>
      </c>
      <c r="F591" s="24"/>
      <c r="G591" s="25" t="str">
        <f>IF($D591="","",IFERROR(VLOOKUP($D591,'ACAH Consumables Tracker'!$A:$D,4,FALSE()),""))</f>
        <v/>
      </c>
      <c r="H591" s="22"/>
    </row>
    <row r="592" spans="1:8">
      <c r="A592" s="21"/>
      <c r="B592" s="28"/>
      <c r="C592" s="22"/>
      <c r="D592" s="28"/>
      <c r="E592" s="23" t="str">
        <f>IF($D592="","",IFERROR(VLOOKUP($D592,'ACAH Consumables Tracker'!$A:$H,8,FALSE()),""))</f>
        <v/>
      </c>
      <c r="F592" s="24"/>
      <c r="G592" s="25" t="str">
        <f>IF($D592="","",IFERROR(VLOOKUP($D592,'ACAH Consumables Tracker'!$A:$D,4,FALSE()),""))</f>
        <v/>
      </c>
      <c r="H592" s="22"/>
    </row>
    <row r="593" spans="1:8">
      <c r="A593" s="21"/>
      <c r="B593" s="28"/>
      <c r="C593" s="22"/>
      <c r="D593" s="28"/>
      <c r="E593" s="23" t="str">
        <f>IF($D593="","",IFERROR(VLOOKUP($D593,'ACAH Consumables Tracker'!$A:$H,8,FALSE()),""))</f>
        <v/>
      </c>
      <c r="F593" s="24"/>
      <c r="G593" s="25" t="str">
        <f>IF($D593="","",IFERROR(VLOOKUP($D593,'ACAH Consumables Tracker'!$A:$D,4,FALSE()),""))</f>
        <v/>
      </c>
      <c r="H593" s="22"/>
    </row>
    <row r="594" spans="1:8">
      <c r="A594" s="21"/>
      <c r="B594" s="28"/>
      <c r="C594" s="22"/>
      <c r="D594" s="28"/>
      <c r="E594" s="23" t="str">
        <f>IF($D594="","",IFERROR(VLOOKUP($D594,'ACAH Consumables Tracker'!$A:$H,8,FALSE()),""))</f>
        <v/>
      </c>
      <c r="F594" s="24"/>
      <c r="G594" s="25" t="str">
        <f>IF($D594="","",IFERROR(VLOOKUP($D594,'ACAH Consumables Tracker'!$A:$D,4,FALSE()),""))</f>
        <v/>
      </c>
      <c r="H594" s="22"/>
    </row>
    <row r="595" spans="1:8">
      <c r="A595" s="21"/>
      <c r="B595" s="28"/>
      <c r="C595" s="22"/>
      <c r="D595" s="28"/>
      <c r="E595" s="23" t="str">
        <f>IF($D595="","",IFERROR(VLOOKUP($D595,'ACAH Consumables Tracker'!$A:$H,8,FALSE()),""))</f>
        <v/>
      </c>
      <c r="F595" s="24"/>
      <c r="G595" s="25" t="str">
        <f>IF($D595="","",IFERROR(VLOOKUP($D595,'ACAH Consumables Tracker'!$A:$D,4,FALSE()),""))</f>
        <v/>
      </c>
      <c r="H595" s="22"/>
    </row>
    <row r="596" spans="1:8">
      <c r="A596" s="21"/>
      <c r="B596" s="28"/>
      <c r="C596" s="22"/>
      <c r="D596" s="28"/>
      <c r="E596" s="23" t="str">
        <f>IF($D596="","",IFERROR(VLOOKUP($D596,'ACAH Consumables Tracker'!$A:$H,8,FALSE()),""))</f>
        <v/>
      </c>
      <c r="F596" s="24"/>
      <c r="G596" s="25" t="str">
        <f>IF($D596="","",IFERROR(VLOOKUP($D596,'ACAH Consumables Tracker'!$A:$D,4,FALSE()),""))</f>
        <v/>
      </c>
      <c r="H596" s="22"/>
    </row>
    <row r="597" spans="1:8">
      <c r="A597" s="21"/>
      <c r="B597" s="28"/>
      <c r="C597" s="22"/>
      <c r="D597" s="28"/>
      <c r="E597" s="23" t="str">
        <f>IF($D597="","",IFERROR(VLOOKUP($D597,'ACAH Consumables Tracker'!$A:$H,8,FALSE()),""))</f>
        <v/>
      </c>
      <c r="F597" s="24"/>
      <c r="G597" s="25" t="str">
        <f>IF($D597="","",IFERROR(VLOOKUP($D597,'ACAH Consumables Tracker'!$A:$D,4,FALSE()),""))</f>
        <v/>
      </c>
      <c r="H597" s="22"/>
    </row>
    <row r="598" spans="1:8">
      <c r="A598" s="21"/>
      <c r="B598" s="28"/>
      <c r="C598" s="22"/>
      <c r="D598" s="28"/>
      <c r="E598" s="23" t="str">
        <f>IF($D598="","",IFERROR(VLOOKUP($D598,'ACAH Consumables Tracker'!$A:$H,8,FALSE()),""))</f>
        <v/>
      </c>
      <c r="F598" s="24"/>
      <c r="G598" s="25" t="str">
        <f>IF($D598="","",IFERROR(VLOOKUP($D598,'ACAH Consumables Tracker'!$A:$D,4,FALSE()),""))</f>
        <v/>
      </c>
      <c r="H598" s="22"/>
    </row>
    <row r="599" spans="1:8">
      <c r="A599" s="21"/>
      <c r="B599" s="28"/>
      <c r="C599" s="22"/>
      <c r="D599" s="28"/>
      <c r="E599" s="23" t="str">
        <f>IF($D599="","",IFERROR(VLOOKUP($D599,'ACAH Consumables Tracker'!$A:$H,8,FALSE()),""))</f>
        <v/>
      </c>
      <c r="F599" s="24"/>
      <c r="G599" s="25" t="str">
        <f>IF($D599="","",IFERROR(VLOOKUP($D599,'ACAH Consumables Tracker'!$A:$D,4,FALSE()),""))</f>
        <v/>
      </c>
      <c r="H599" s="22"/>
    </row>
    <row r="600" spans="1:8">
      <c r="A600" s="21"/>
      <c r="B600" s="28"/>
      <c r="C600" s="22"/>
      <c r="D600" s="28"/>
      <c r="E600" s="23" t="str">
        <f>IF($D600="","",IFERROR(VLOOKUP($D600,'ACAH Consumables Tracker'!$A:$H,8,FALSE()),""))</f>
        <v/>
      </c>
      <c r="F600" s="24"/>
      <c r="G600" s="25" t="str">
        <f>IF($D600="","",IFERROR(VLOOKUP($D600,'ACAH Consumables Tracker'!$A:$D,4,FALSE()),""))</f>
        <v/>
      </c>
      <c r="H600" s="22"/>
    </row>
    <row r="601" spans="1:8">
      <c r="A601" s="21"/>
      <c r="B601" s="28"/>
      <c r="C601" s="22"/>
      <c r="D601" s="28"/>
      <c r="E601" s="23" t="str">
        <f>IF($D601="","",IFERROR(VLOOKUP($D601,'ACAH Consumables Tracker'!$A:$H,8,FALSE()),""))</f>
        <v/>
      </c>
      <c r="F601" s="24"/>
      <c r="G601" s="25" t="str">
        <f>IF($D601="","",IFERROR(VLOOKUP($D601,'ACAH Consumables Tracker'!$A:$D,4,FALSE()),""))</f>
        <v/>
      </c>
      <c r="H601" s="22"/>
    </row>
    <row r="602" spans="1:8">
      <c r="A602" s="21"/>
      <c r="B602" s="28"/>
      <c r="C602" s="22"/>
      <c r="D602" s="28"/>
      <c r="E602" s="23" t="str">
        <f>IF($D602="","",IFERROR(VLOOKUP($D602,'ACAH Consumables Tracker'!$A:$H,8,FALSE()),""))</f>
        <v/>
      </c>
      <c r="F602" s="24"/>
      <c r="G602" s="25" t="str">
        <f>IF($D602="","",IFERROR(VLOOKUP($D602,'ACAH Consumables Tracker'!$A:$D,4,FALSE()),""))</f>
        <v/>
      </c>
      <c r="H602" s="22"/>
    </row>
    <row r="603" spans="1:8">
      <c r="A603" s="21"/>
      <c r="B603" s="28"/>
      <c r="C603" s="22"/>
      <c r="D603" s="28"/>
      <c r="E603" s="23" t="str">
        <f>IF($D603="","",IFERROR(VLOOKUP($D603,'ACAH Consumables Tracker'!$A:$H,8,FALSE()),""))</f>
        <v/>
      </c>
      <c r="F603" s="24"/>
      <c r="G603" s="25" t="str">
        <f>IF($D603="","",IFERROR(VLOOKUP($D603,'ACAH Consumables Tracker'!$A:$D,4,FALSE()),""))</f>
        <v/>
      </c>
      <c r="H603" s="22"/>
    </row>
    <row r="604" spans="1:8">
      <c r="A604" s="21"/>
      <c r="B604" s="28"/>
      <c r="C604" s="22"/>
      <c r="D604" s="28"/>
      <c r="E604" s="23" t="str">
        <f>IF($D604="","",IFERROR(VLOOKUP($D604,'ACAH Consumables Tracker'!$A:$H,8,FALSE()),""))</f>
        <v/>
      </c>
      <c r="F604" s="24"/>
      <c r="G604" s="25" t="str">
        <f>IF($D604="","",IFERROR(VLOOKUP($D604,'ACAH Consumables Tracker'!$A:$D,4,FALSE()),""))</f>
        <v/>
      </c>
      <c r="H604" s="22"/>
    </row>
    <row r="605" spans="1:8">
      <c r="A605" s="21"/>
      <c r="B605" s="28"/>
      <c r="C605" s="22"/>
      <c r="D605" s="28"/>
      <c r="E605" s="23" t="str">
        <f>IF($D605="","",IFERROR(VLOOKUP($D605,'ACAH Consumables Tracker'!$A:$H,8,FALSE()),""))</f>
        <v/>
      </c>
      <c r="F605" s="24"/>
      <c r="G605" s="25" t="str">
        <f>IF($D605="","",IFERROR(VLOOKUP($D605,'ACAH Consumables Tracker'!$A:$D,4,FALSE()),""))</f>
        <v/>
      </c>
      <c r="H605" s="22"/>
    </row>
    <row r="606" spans="1:8">
      <c r="A606" s="21"/>
      <c r="B606" s="28"/>
      <c r="C606" s="22"/>
      <c r="D606" s="28"/>
      <c r="E606" s="23" t="str">
        <f>IF($D606="","",IFERROR(VLOOKUP($D606,'ACAH Consumables Tracker'!$A:$H,8,FALSE()),""))</f>
        <v/>
      </c>
      <c r="F606" s="24"/>
      <c r="G606" s="25" t="str">
        <f>IF($D606="","",IFERROR(VLOOKUP($D606,'ACAH Consumables Tracker'!$A:$D,4,FALSE()),""))</f>
        <v/>
      </c>
      <c r="H606" s="22"/>
    </row>
    <row r="607" spans="1:8">
      <c r="A607" s="21"/>
      <c r="B607" s="28"/>
      <c r="C607" s="22"/>
      <c r="D607" s="28"/>
      <c r="E607" s="23" t="str">
        <f>IF($D607="","",IFERROR(VLOOKUP($D607,'ACAH Consumables Tracker'!$A:$H,8,FALSE()),""))</f>
        <v/>
      </c>
      <c r="F607" s="24"/>
      <c r="G607" s="25" t="str">
        <f>IF($D607="","",IFERROR(VLOOKUP($D607,'ACAH Consumables Tracker'!$A:$D,4,FALSE()),""))</f>
        <v/>
      </c>
      <c r="H607" s="22"/>
    </row>
    <row r="608" spans="1:8">
      <c r="A608" s="21"/>
      <c r="B608" s="28"/>
      <c r="C608" s="22"/>
      <c r="D608" s="28"/>
      <c r="E608" s="23" t="str">
        <f>IF($D608="","",IFERROR(VLOOKUP($D608,'ACAH Consumables Tracker'!$A:$H,8,FALSE()),""))</f>
        <v/>
      </c>
      <c r="F608" s="24"/>
      <c r="G608" s="25" t="str">
        <f>IF($D608="","",IFERROR(VLOOKUP($D608,'ACAH Consumables Tracker'!$A:$D,4,FALSE()),""))</f>
        <v/>
      </c>
      <c r="H608" s="22"/>
    </row>
    <row r="609" spans="1:8">
      <c r="A609" s="21"/>
      <c r="B609" s="28"/>
      <c r="C609" s="22"/>
      <c r="D609" s="28"/>
      <c r="E609" s="23" t="str">
        <f>IF($D609="","",IFERROR(VLOOKUP($D609,'ACAH Consumables Tracker'!$A:$H,8,FALSE()),""))</f>
        <v/>
      </c>
      <c r="F609" s="24"/>
      <c r="G609" s="25" t="str">
        <f>IF($D609="","",IFERROR(VLOOKUP($D609,'ACAH Consumables Tracker'!$A:$D,4,FALSE()),""))</f>
        <v/>
      </c>
      <c r="H609" s="22"/>
    </row>
    <row r="610" spans="1:8">
      <c r="A610" s="21"/>
      <c r="B610" s="28"/>
      <c r="C610" s="22"/>
      <c r="D610" s="28"/>
      <c r="E610" s="23" t="str">
        <f>IF($D610="","",IFERROR(VLOOKUP($D610,'ACAH Consumables Tracker'!$A:$H,8,FALSE()),""))</f>
        <v/>
      </c>
      <c r="F610" s="24"/>
      <c r="G610" s="25" t="str">
        <f>IF($D610="","",IFERROR(VLOOKUP($D610,'ACAH Consumables Tracker'!$A:$D,4,FALSE()),""))</f>
        <v/>
      </c>
      <c r="H610" s="22"/>
    </row>
    <row r="611" spans="1:8">
      <c r="A611" s="21"/>
      <c r="B611" s="28"/>
      <c r="C611" s="22"/>
      <c r="D611" s="28"/>
      <c r="E611" s="23" t="str">
        <f>IF($D611="","",IFERROR(VLOOKUP($D611,'ACAH Consumables Tracker'!$A:$H,8,FALSE()),""))</f>
        <v/>
      </c>
      <c r="F611" s="24"/>
      <c r="G611" s="25" t="str">
        <f>IF($D611="","",IFERROR(VLOOKUP($D611,'ACAH Consumables Tracker'!$A:$D,4,FALSE()),""))</f>
        <v/>
      </c>
      <c r="H611" s="22"/>
    </row>
    <row r="612" spans="1:8">
      <c r="A612" s="21"/>
      <c r="B612" s="28"/>
      <c r="C612" s="22"/>
      <c r="D612" s="28"/>
      <c r="E612" s="23" t="str">
        <f>IF($D612="","",IFERROR(VLOOKUP($D612,'ACAH Consumables Tracker'!$A:$H,8,FALSE()),""))</f>
        <v/>
      </c>
      <c r="F612" s="24"/>
      <c r="G612" s="25" t="str">
        <f>IF($D612="","",IFERROR(VLOOKUP($D612,'ACAH Consumables Tracker'!$A:$D,4,FALSE()),""))</f>
        <v/>
      </c>
      <c r="H612" s="22"/>
    </row>
    <row r="613" spans="1:8">
      <c r="A613" s="21"/>
      <c r="B613" s="28"/>
      <c r="C613" s="22"/>
      <c r="D613" s="28"/>
      <c r="E613" s="23" t="str">
        <f>IF($D613="","",IFERROR(VLOOKUP($D613,'ACAH Consumables Tracker'!$A:$H,8,FALSE()),""))</f>
        <v/>
      </c>
      <c r="F613" s="24"/>
      <c r="G613" s="25" t="str">
        <f>IF($D613="","",IFERROR(VLOOKUP($D613,'ACAH Consumables Tracker'!$A:$D,4,FALSE()),""))</f>
        <v/>
      </c>
      <c r="H613" s="22"/>
    </row>
    <row r="614" spans="1:8">
      <c r="A614" s="21"/>
      <c r="B614" s="28"/>
      <c r="C614" s="22"/>
      <c r="D614" s="28"/>
      <c r="E614" s="23" t="str">
        <f>IF($D614="","",IFERROR(VLOOKUP($D614,'ACAH Consumables Tracker'!$A:$H,8,FALSE()),""))</f>
        <v/>
      </c>
      <c r="F614" s="24"/>
      <c r="G614" s="25" t="str">
        <f>IF($D614="","",IFERROR(VLOOKUP($D614,'ACAH Consumables Tracker'!$A:$D,4,FALSE()),""))</f>
        <v/>
      </c>
      <c r="H614" s="22"/>
    </row>
    <row r="615" spans="1:8">
      <c r="A615" s="21"/>
      <c r="B615" s="28"/>
      <c r="C615" s="22"/>
      <c r="D615" s="28"/>
      <c r="E615" s="23" t="str">
        <f>IF($D615="","",IFERROR(VLOOKUP($D615,'ACAH Consumables Tracker'!$A:$H,8,FALSE()),""))</f>
        <v/>
      </c>
      <c r="F615" s="24"/>
      <c r="G615" s="25" t="str">
        <f>IF($D615="","",IFERROR(VLOOKUP($D615,'ACAH Consumables Tracker'!$A:$D,4,FALSE()),""))</f>
        <v/>
      </c>
      <c r="H615" s="22"/>
    </row>
    <row r="616" spans="1:8">
      <c r="A616" s="21"/>
      <c r="B616" s="28"/>
      <c r="C616" s="22"/>
      <c r="D616" s="28"/>
      <c r="E616" s="23" t="str">
        <f>IF($D616="","",IFERROR(VLOOKUP($D616,'ACAH Consumables Tracker'!$A:$H,8,FALSE()),""))</f>
        <v/>
      </c>
      <c r="F616" s="24"/>
      <c r="G616" s="25" t="str">
        <f>IF($D616="","",IFERROR(VLOOKUP($D616,'ACAH Consumables Tracker'!$A:$D,4,FALSE()),""))</f>
        <v/>
      </c>
      <c r="H616" s="22"/>
    </row>
    <row r="617" spans="1:8">
      <c r="A617" s="21"/>
      <c r="B617" s="28"/>
      <c r="C617" s="22"/>
      <c r="D617" s="28"/>
      <c r="E617" s="23" t="str">
        <f>IF($D617="","",IFERROR(VLOOKUP($D617,'ACAH Consumables Tracker'!$A:$H,8,FALSE()),""))</f>
        <v/>
      </c>
      <c r="F617" s="24"/>
      <c r="G617" s="25" t="str">
        <f>IF($D617="","",IFERROR(VLOOKUP($D617,'ACAH Consumables Tracker'!$A:$D,4,FALSE()),""))</f>
        <v/>
      </c>
      <c r="H617" s="22"/>
    </row>
    <row r="618" spans="1:8">
      <c r="A618" s="21"/>
      <c r="B618" s="28"/>
      <c r="C618" s="22"/>
      <c r="D618" s="28"/>
      <c r="E618" s="23" t="str">
        <f>IF($D618="","",IFERROR(VLOOKUP($D618,'ACAH Consumables Tracker'!$A:$H,8,FALSE()),""))</f>
        <v/>
      </c>
      <c r="F618" s="24"/>
      <c r="G618" s="25" t="str">
        <f>IF($D618="","",IFERROR(VLOOKUP($D618,'ACAH Consumables Tracker'!$A:$D,4,FALSE()),""))</f>
        <v/>
      </c>
      <c r="H618" s="22"/>
    </row>
    <row r="619" spans="1:8">
      <c r="A619" s="21"/>
      <c r="B619" s="28"/>
      <c r="C619" s="22"/>
      <c r="D619" s="28"/>
      <c r="E619" s="23" t="str">
        <f>IF($D619="","",IFERROR(VLOOKUP($D619,'ACAH Consumables Tracker'!$A:$H,8,FALSE()),""))</f>
        <v/>
      </c>
      <c r="F619" s="24"/>
      <c r="G619" s="25" t="str">
        <f>IF($D619="","",IFERROR(VLOOKUP($D619,'ACAH Consumables Tracker'!$A:$D,4,FALSE()),""))</f>
        <v/>
      </c>
      <c r="H619" s="22"/>
    </row>
    <row r="620" spans="1:8">
      <c r="A620" s="21"/>
      <c r="B620" s="28"/>
      <c r="C620" s="22"/>
      <c r="D620" s="28"/>
      <c r="E620" s="23" t="str">
        <f>IF($D620="","",IFERROR(VLOOKUP($D620,'ACAH Consumables Tracker'!$A:$H,8,FALSE()),""))</f>
        <v/>
      </c>
      <c r="F620" s="24"/>
      <c r="G620" s="25" t="str">
        <f>IF($D620="","",IFERROR(VLOOKUP($D620,'ACAH Consumables Tracker'!$A:$D,4,FALSE()),""))</f>
        <v/>
      </c>
      <c r="H620" s="22"/>
    </row>
    <row r="621" spans="1:8">
      <c r="A621" s="21"/>
      <c r="B621" s="28"/>
      <c r="C621" s="22"/>
      <c r="D621" s="28"/>
      <c r="E621" s="23" t="str">
        <f>IF($D621="","",IFERROR(VLOOKUP($D621,'ACAH Consumables Tracker'!$A:$H,8,FALSE()),""))</f>
        <v/>
      </c>
      <c r="F621" s="24"/>
      <c r="G621" s="25" t="str">
        <f>IF($D621="","",IFERROR(VLOOKUP($D621,'ACAH Consumables Tracker'!$A:$D,4,FALSE()),""))</f>
        <v/>
      </c>
      <c r="H621" s="22"/>
    </row>
    <row r="622" spans="1:8">
      <c r="A622" s="21"/>
      <c r="B622" s="28"/>
      <c r="C622" s="22"/>
      <c r="D622" s="28"/>
      <c r="E622" s="23" t="str">
        <f>IF($D622="","",IFERROR(VLOOKUP($D622,'ACAH Consumables Tracker'!$A:$H,8,FALSE()),""))</f>
        <v/>
      </c>
      <c r="F622" s="24"/>
      <c r="G622" s="25" t="str">
        <f>IF($D622="","",IFERROR(VLOOKUP($D622,'ACAH Consumables Tracker'!$A:$D,4,FALSE()),""))</f>
        <v/>
      </c>
      <c r="H622" s="22"/>
    </row>
    <row r="623" spans="1:8">
      <c r="A623" s="21"/>
      <c r="B623" s="28"/>
      <c r="C623" s="22"/>
      <c r="D623" s="28"/>
      <c r="E623" s="23" t="str">
        <f>IF($D623="","",IFERROR(VLOOKUP($D623,'ACAH Consumables Tracker'!$A:$H,8,FALSE()),""))</f>
        <v/>
      </c>
      <c r="F623" s="24"/>
      <c r="G623" s="25" t="str">
        <f>IF($D623="","",IFERROR(VLOOKUP($D623,'ACAH Consumables Tracker'!$A:$D,4,FALSE()),""))</f>
        <v/>
      </c>
      <c r="H623" s="22"/>
    </row>
    <row r="624" spans="1:8">
      <c r="A624" s="21"/>
      <c r="B624" s="28"/>
      <c r="C624" s="22"/>
      <c r="D624" s="28"/>
      <c r="E624" s="23" t="str">
        <f>IF($D624="","",IFERROR(VLOOKUP($D624,'ACAH Consumables Tracker'!$A:$H,8,FALSE()),""))</f>
        <v/>
      </c>
      <c r="F624" s="24"/>
      <c r="G624" s="25" t="str">
        <f>IF($D624="","",IFERROR(VLOOKUP($D624,'ACAH Consumables Tracker'!$A:$D,4,FALSE()),""))</f>
        <v/>
      </c>
      <c r="H624" s="22"/>
    </row>
    <row r="625" spans="1:8">
      <c r="A625" s="21"/>
      <c r="B625" s="28"/>
      <c r="C625" s="22"/>
      <c r="D625" s="28"/>
      <c r="E625" s="23" t="str">
        <f>IF($D625="","",IFERROR(VLOOKUP($D625,'ACAH Consumables Tracker'!$A:$H,8,FALSE()),""))</f>
        <v/>
      </c>
      <c r="F625" s="24"/>
      <c r="G625" s="25" t="str">
        <f>IF($D625="","",IFERROR(VLOOKUP($D625,'ACAH Consumables Tracker'!$A:$D,4,FALSE()),""))</f>
        <v/>
      </c>
      <c r="H625" s="22"/>
    </row>
    <row r="626" spans="1:8">
      <c r="A626" s="21"/>
      <c r="B626" s="28"/>
      <c r="C626" s="22"/>
      <c r="D626" s="28"/>
      <c r="E626" s="23" t="str">
        <f>IF($D626="","",IFERROR(VLOOKUP($D626,'ACAH Consumables Tracker'!$A:$H,8,FALSE()),""))</f>
        <v/>
      </c>
      <c r="F626" s="24"/>
      <c r="G626" s="25" t="str">
        <f>IF($D626="","",IFERROR(VLOOKUP($D626,'ACAH Consumables Tracker'!$A:$D,4,FALSE()),""))</f>
        <v/>
      </c>
      <c r="H626" s="22"/>
    </row>
    <row r="627" spans="1:8">
      <c r="A627" s="21"/>
      <c r="B627" s="28"/>
      <c r="C627" s="22"/>
      <c r="D627" s="28"/>
      <c r="E627" s="23" t="str">
        <f>IF($D627="","",IFERROR(VLOOKUP($D627,'ACAH Consumables Tracker'!$A:$H,8,FALSE()),""))</f>
        <v/>
      </c>
      <c r="F627" s="24"/>
      <c r="G627" s="25" t="str">
        <f>IF($D627="","",IFERROR(VLOOKUP($D627,'ACAH Consumables Tracker'!$A:$D,4,FALSE()),""))</f>
        <v/>
      </c>
      <c r="H627" s="22"/>
    </row>
    <row r="628" spans="1:8">
      <c r="A628" s="21"/>
      <c r="B628" s="28"/>
      <c r="C628" s="22"/>
      <c r="D628" s="28"/>
      <c r="E628" s="23" t="str">
        <f>IF($D628="","",IFERROR(VLOOKUP($D628,'ACAH Consumables Tracker'!$A:$H,8,FALSE()),""))</f>
        <v/>
      </c>
      <c r="F628" s="24"/>
      <c r="G628" s="25" t="str">
        <f>IF($D628="","",IFERROR(VLOOKUP($D628,'ACAH Consumables Tracker'!$A:$D,4,FALSE()),""))</f>
        <v/>
      </c>
      <c r="H628" s="22"/>
    </row>
    <row r="629" spans="1:8">
      <c r="A629" s="21"/>
      <c r="B629" s="28"/>
      <c r="C629" s="22"/>
      <c r="D629" s="28"/>
      <c r="E629" s="23" t="str">
        <f>IF($D629="","",IFERROR(VLOOKUP($D629,'ACAH Consumables Tracker'!$A:$H,8,FALSE()),""))</f>
        <v/>
      </c>
      <c r="F629" s="24"/>
      <c r="G629" s="25" t="str">
        <f>IF($D629="","",IFERROR(VLOOKUP($D629,'ACAH Consumables Tracker'!$A:$D,4,FALSE()),""))</f>
        <v/>
      </c>
      <c r="H629" s="22"/>
    </row>
    <row r="630" spans="1:8">
      <c r="A630" s="21"/>
      <c r="B630" s="28"/>
      <c r="C630" s="22"/>
      <c r="D630" s="28"/>
      <c r="E630" s="23" t="str">
        <f>IF($D630="","",IFERROR(VLOOKUP($D630,'ACAH Consumables Tracker'!$A:$H,8,FALSE()),""))</f>
        <v/>
      </c>
      <c r="F630" s="24"/>
      <c r="G630" s="25" t="str">
        <f>IF($D630="","",IFERROR(VLOOKUP($D630,'ACAH Consumables Tracker'!$A:$D,4,FALSE()),""))</f>
        <v/>
      </c>
      <c r="H630" s="22"/>
    </row>
    <row r="631" spans="1:8">
      <c r="A631" s="21"/>
      <c r="B631" s="28"/>
      <c r="C631" s="22"/>
      <c r="D631" s="28"/>
      <c r="E631" s="23" t="str">
        <f>IF($D631="","",IFERROR(VLOOKUP($D631,'ACAH Consumables Tracker'!$A:$H,8,FALSE()),""))</f>
        <v/>
      </c>
      <c r="F631" s="24"/>
      <c r="G631" s="25" t="str">
        <f>IF($D631="","",IFERROR(VLOOKUP($D631,'ACAH Consumables Tracker'!$A:$D,4,FALSE()),""))</f>
        <v/>
      </c>
      <c r="H631" s="22"/>
    </row>
    <row r="632" spans="1:8">
      <c r="A632" s="21"/>
      <c r="B632" s="28"/>
      <c r="C632" s="22"/>
      <c r="D632" s="28"/>
      <c r="E632" s="23" t="str">
        <f>IF($D632="","",IFERROR(VLOOKUP($D632,'ACAH Consumables Tracker'!$A:$H,8,FALSE()),""))</f>
        <v/>
      </c>
      <c r="F632" s="24"/>
      <c r="G632" s="25" t="str">
        <f>IF($D632="","",IFERROR(VLOOKUP($D632,'ACAH Consumables Tracker'!$A:$D,4,FALSE()),""))</f>
        <v/>
      </c>
      <c r="H632" s="22"/>
    </row>
    <row r="633" spans="1:8">
      <c r="A633" s="21"/>
      <c r="B633" s="28"/>
      <c r="C633" s="22"/>
      <c r="D633" s="28"/>
      <c r="E633" s="23" t="str">
        <f>IF($D633="","",IFERROR(VLOOKUP($D633,'ACAH Consumables Tracker'!$A:$H,8,FALSE()),""))</f>
        <v/>
      </c>
      <c r="F633" s="24"/>
      <c r="G633" s="25" t="str">
        <f>IF($D633="","",IFERROR(VLOOKUP($D633,'ACAH Consumables Tracker'!$A:$D,4,FALSE()),""))</f>
        <v/>
      </c>
      <c r="H633" s="22"/>
    </row>
    <row r="634" spans="1:8">
      <c r="A634" s="21"/>
      <c r="B634" s="28"/>
      <c r="C634" s="22"/>
      <c r="D634" s="28"/>
      <c r="E634" s="23" t="str">
        <f>IF($D634="","",IFERROR(VLOOKUP($D634,'ACAH Consumables Tracker'!$A:$H,8,FALSE()),""))</f>
        <v/>
      </c>
      <c r="F634" s="24"/>
      <c r="G634" s="25" t="str">
        <f>IF($D634="","",IFERROR(VLOOKUP($D634,'ACAH Consumables Tracker'!$A:$D,4,FALSE()),""))</f>
        <v/>
      </c>
      <c r="H634" s="22"/>
    </row>
    <row r="635" spans="1:8">
      <c r="A635" s="21"/>
      <c r="B635" s="28"/>
      <c r="C635" s="22"/>
      <c r="D635" s="28"/>
      <c r="E635" s="23" t="str">
        <f>IF($D635="","",IFERROR(VLOOKUP($D635,'ACAH Consumables Tracker'!$A:$H,8,FALSE()),""))</f>
        <v/>
      </c>
      <c r="F635" s="24"/>
      <c r="G635" s="25" t="str">
        <f>IF($D635="","",IFERROR(VLOOKUP($D635,'ACAH Consumables Tracker'!$A:$D,4,FALSE()),""))</f>
        <v/>
      </c>
      <c r="H635" s="22"/>
    </row>
    <row r="636" spans="1:8">
      <c r="A636" s="21"/>
      <c r="B636" s="28"/>
      <c r="C636" s="22"/>
      <c r="D636" s="28"/>
      <c r="E636" s="23" t="str">
        <f>IF($D636="","",IFERROR(VLOOKUP($D636,'ACAH Consumables Tracker'!$A:$H,8,FALSE()),""))</f>
        <v/>
      </c>
      <c r="F636" s="24"/>
      <c r="G636" s="25" t="str">
        <f>IF($D636="","",IFERROR(VLOOKUP($D636,'ACAH Consumables Tracker'!$A:$D,4,FALSE()),""))</f>
        <v/>
      </c>
      <c r="H636" s="22"/>
    </row>
    <row r="637" spans="1:8">
      <c r="A637" s="21"/>
      <c r="B637" s="28"/>
      <c r="C637" s="22"/>
      <c r="D637" s="28"/>
      <c r="E637" s="23" t="str">
        <f>IF($D637="","",IFERROR(VLOOKUP($D637,'ACAH Consumables Tracker'!$A:$H,8,FALSE()),""))</f>
        <v/>
      </c>
      <c r="F637" s="24"/>
      <c r="G637" s="25" t="str">
        <f>IF($D637="","",IFERROR(VLOOKUP($D637,'ACAH Consumables Tracker'!$A:$D,4,FALSE()),""))</f>
        <v/>
      </c>
      <c r="H637" s="22"/>
    </row>
    <row r="638" spans="1:8">
      <c r="A638" s="21"/>
      <c r="B638" s="28"/>
      <c r="C638" s="22"/>
      <c r="D638" s="28"/>
      <c r="E638" s="23" t="str">
        <f>IF($D638="","",IFERROR(VLOOKUP($D638,'ACAH Consumables Tracker'!$A:$H,8,FALSE()),""))</f>
        <v/>
      </c>
      <c r="F638" s="24"/>
      <c r="G638" s="25" t="str">
        <f>IF($D638="","",IFERROR(VLOOKUP($D638,'ACAH Consumables Tracker'!$A:$D,4,FALSE()),""))</f>
        <v/>
      </c>
      <c r="H638" s="22"/>
    </row>
    <row r="639" spans="1:8">
      <c r="A639" s="21"/>
      <c r="B639" s="28"/>
      <c r="C639" s="22"/>
      <c r="D639" s="28"/>
      <c r="E639" s="23" t="str">
        <f>IF($D639="","",IFERROR(VLOOKUP($D639,'ACAH Consumables Tracker'!$A:$H,8,FALSE()),""))</f>
        <v/>
      </c>
      <c r="F639" s="24"/>
      <c r="G639" s="25" t="str">
        <f>IF($D639="","",IFERROR(VLOOKUP($D639,'ACAH Consumables Tracker'!$A:$D,4,FALSE()),""))</f>
        <v/>
      </c>
      <c r="H639" s="22"/>
    </row>
    <row r="640" spans="1:8">
      <c r="A640" s="21"/>
      <c r="B640" s="28"/>
      <c r="C640" s="22"/>
      <c r="D640" s="28"/>
      <c r="E640" s="23" t="str">
        <f>IF($D640="","",IFERROR(VLOOKUP($D640,'ACAH Consumables Tracker'!$A:$H,8,FALSE()),""))</f>
        <v/>
      </c>
      <c r="F640" s="24"/>
      <c r="G640" s="25" t="str">
        <f>IF($D640="","",IFERROR(VLOOKUP($D640,'ACAH Consumables Tracker'!$A:$D,4,FALSE()),""))</f>
        <v/>
      </c>
      <c r="H640" s="22"/>
    </row>
    <row r="641" spans="1:8">
      <c r="A641" s="21"/>
      <c r="B641" s="28"/>
      <c r="C641" s="22"/>
      <c r="D641" s="28"/>
      <c r="E641" s="23" t="str">
        <f>IF($D641="","",IFERROR(VLOOKUP($D641,'ACAH Consumables Tracker'!$A:$H,8,FALSE()),""))</f>
        <v/>
      </c>
      <c r="F641" s="24"/>
      <c r="G641" s="25" t="str">
        <f>IF($D641="","",IFERROR(VLOOKUP($D641,'ACAH Consumables Tracker'!$A:$D,4,FALSE()),""))</f>
        <v/>
      </c>
      <c r="H641" s="22"/>
    </row>
    <row r="642" spans="1:8">
      <c r="A642" s="21"/>
      <c r="B642" s="28"/>
      <c r="C642" s="22"/>
      <c r="D642" s="28"/>
      <c r="E642" s="23" t="str">
        <f>IF($D642="","",IFERROR(VLOOKUP($D642,'ACAH Consumables Tracker'!$A:$H,8,FALSE()),""))</f>
        <v/>
      </c>
      <c r="F642" s="24"/>
      <c r="G642" s="25" t="str">
        <f>IF($D642="","",IFERROR(VLOOKUP($D642,'ACAH Consumables Tracker'!$A:$D,4,FALSE()),""))</f>
        <v/>
      </c>
      <c r="H642" s="22"/>
    </row>
    <row r="643" spans="1:8">
      <c r="A643" s="21"/>
      <c r="B643" s="28"/>
      <c r="C643" s="22"/>
      <c r="D643" s="28"/>
      <c r="E643" s="23" t="str">
        <f>IF($D643="","",IFERROR(VLOOKUP($D643,'ACAH Consumables Tracker'!$A:$H,8,FALSE()),""))</f>
        <v/>
      </c>
      <c r="F643" s="24"/>
      <c r="G643" s="25" t="str">
        <f>IF($D643="","",IFERROR(VLOOKUP($D643,'ACAH Consumables Tracker'!$A:$D,4,FALSE()),""))</f>
        <v/>
      </c>
      <c r="H643" s="22"/>
    </row>
    <row r="644" spans="1:8">
      <c r="A644" s="21"/>
      <c r="B644" s="28"/>
      <c r="C644" s="22"/>
      <c r="D644" s="28"/>
      <c r="E644" s="23" t="str">
        <f>IF($D644="","",IFERROR(VLOOKUP($D644,'ACAH Consumables Tracker'!$A:$H,8,FALSE()),""))</f>
        <v/>
      </c>
      <c r="F644" s="24"/>
      <c r="G644" s="25" t="str">
        <f>IF($D644="","",IFERROR(VLOOKUP($D644,'ACAH Consumables Tracker'!$A:$D,4,FALSE()),""))</f>
        <v/>
      </c>
      <c r="H644" s="22"/>
    </row>
    <row r="645" spans="1:8">
      <c r="A645" s="21"/>
      <c r="B645" s="28"/>
      <c r="C645" s="22"/>
      <c r="D645" s="28"/>
      <c r="E645" s="23" t="str">
        <f>IF($D645="","",IFERROR(VLOOKUP($D645,'ACAH Consumables Tracker'!$A:$H,8,FALSE()),""))</f>
        <v/>
      </c>
      <c r="F645" s="24"/>
      <c r="G645" s="25" t="str">
        <f>IF($D645="","",IFERROR(VLOOKUP($D645,'ACAH Consumables Tracker'!$A:$D,4,FALSE()),""))</f>
        <v/>
      </c>
      <c r="H645" s="22"/>
    </row>
    <row r="646" spans="1:8">
      <c r="A646" s="21"/>
      <c r="B646" s="28"/>
      <c r="C646" s="22"/>
      <c r="D646" s="28"/>
      <c r="E646" s="23" t="str">
        <f>IF($D646="","",IFERROR(VLOOKUP($D646,'ACAH Consumables Tracker'!$A:$H,8,FALSE()),""))</f>
        <v/>
      </c>
      <c r="F646" s="24"/>
      <c r="G646" s="25" t="str">
        <f>IF($D646="","",IFERROR(VLOOKUP($D646,'ACAH Consumables Tracker'!$A:$D,4,FALSE()),""))</f>
        <v/>
      </c>
      <c r="H646" s="22"/>
    </row>
    <row r="647" spans="1:8">
      <c r="A647" s="21"/>
      <c r="B647" s="28"/>
      <c r="C647" s="22"/>
      <c r="D647" s="28"/>
      <c r="E647" s="23" t="str">
        <f>IF($D647="","",IFERROR(VLOOKUP($D647,'ACAH Consumables Tracker'!$A:$H,8,FALSE()),""))</f>
        <v/>
      </c>
      <c r="F647" s="24"/>
      <c r="G647" s="25" t="str">
        <f>IF($D647="","",IFERROR(VLOOKUP($D647,'ACAH Consumables Tracker'!$A:$D,4,FALSE()),""))</f>
        <v/>
      </c>
      <c r="H647" s="22"/>
    </row>
    <row r="648" spans="1:8">
      <c r="A648" s="21"/>
      <c r="B648" s="28"/>
      <c r="C648" s="22"/>
      <c r="D648" s="28"/>
      <c r="E648" s="23" t="str">
        <f>IF($D648="","",IFERROR(VLOOKUP($D648,'ACAH Consumables Tracker'!$A:$H,8,FALSE()),""))</f>
        <v/>
      </c>
      <c r="F648" s="24"/>
      <c r="G648" s="25" t="str">
        <f>IF($D648="","",IFERROR(VLOOKUP($D648,'ACAH Consumables Tracker'!$A:$D,4,FALSE()),""))</f>
        <v/>
      </c>
      <c r="H648" s="22"/>
    </row>
    <row r="649" spans="1:8">
      <c r="A649" s="21"/>
      <c r="B649" s="28"/>
      <c r="C649" s="22"/>
      <c r="D649" s="28"/>
      <c r="E649" s="23" t="str">
        <f>IF($D649="","",IFERROR(VLOOKUP($D649,'ACAH Consumables Tracker'!$A:$H,8,FALSE()),""))</f>
        <v/>
      </c>
      <c r="F649" s="24"/>
      <c r="G649" s="25" t="str">
        <f>IF($D649="","",IFERROR(VLOOKUP($D649,'ACAH Consumables Tracker'!$A:$D,4,FALSE()),""))</f>
        <v/>
      </c>
      <c r="H649" s="22"/>
    </row>
    <row r="650" spans="1:8">
      <c r="A650" s="21"/>
      <c r="B650" s="28"/>
      <c r="C650" s="22"/>
      <c r="D650" s="28"/>
      <c r="E650" s="23" t="str">
        <f>IF($D650="","",IFERROR(VLOOKUP($D650,'ACAH Consumables Tracker'!$A:$H,8,FALSE()),""))</f>
        <v/>
      </c>
      <c r="F650" s="24"/>
      <c r="G650" s="25" t="str">
        <f>IF($D650="","",IFERROR(VLOOKUP($D650,'ACAH Consumables Tracker'!$A:$D,4,FALSE()),""))</f>
        <v/>
      </c>
      <c r="H650" s="22"/>
    </row>
    <row r="651" spans="1:8">
      <c r="A651" s="21"/>
      <c r="B651" s="28"/>
      <c r="C651" s="22"/>
      <c r="D651" s="28"/>
      <c r="E651" s="23" t="str">
        <f>IF($D651="","",IFERROR(VLOOKUP($D651,'ACAH Consumables Tracker'!$A:$H,8,FALSE()),""))</f>
        <v/>
      </c>
      <c r="F651" s="24"/>
      <c r="G651" s="25" t="str">
        <f>IF($D651="","",IFERROR(VLOOKUP($D651,'ACAH Consumables Tracker'!$A:$D,4,FALSE()),""))</f>
        <v/>
      </c>
      <c r="H651" s="22"/>
    </row>
    <row r="652" spans="1:8">
      <c r="A652" s="21"/>
      <c r="B652" s="28"/>
      <c r="C652" s="22"/>
      <c r="D652" s="28"/>
      <c r="E652" s="23" t="str">
        <f>IF($D652="","",IFERROR(VLOOKUP($D652,'ACAH Consumables Tracker'!$A:$H,8,FALSE()),""))</f>
        <v/>
      </c>
      <c r="F652" s="24"/>
      <c r="G652" s="25" t="str">
        <f>IF($D652="","",IFERROR(VLOOKUP($D652,'ACAH Consumables Tracker'!$A:$D,4,FALSE()),""))</f>
        <v/>
      </c>
      <c r="H652" s="22"/>
    </row>
    <row r="653" spans="1:8">
      <c r="A653" s="21"/>
      <c r="B653" s="28"/>
      <c r="C653" s="22"/>
      <c r="D653" s="28"/>
      <c r="E653" s="23" t="str">
        <f>IF($D653="","",IFERROR(VLOOKUP($D653,'ACAH Consumables Tracker'!$A:$H,8,FALSE()),""))</f>
        <v/>
      </c>
      <c r="F653" s="24"/>
      <c r="G653" s="25" t="str">
        <f>IF($D653="","",IFERROR(VLOOKUP($D653,'ACAH Consumables Tracker'!$A:$D,4,FALSE()),""))</f>
        <v/>
      </c>
      <c r="H653" s="22"/>
    </row>
    <row r="654" spans="1:8">
      <c r="A654" s="21"/>
      <c r="B654" s="28"/>
      <c r="C654" s="22"/>
      <c r="D654" s="28"/>
      <c r="E654" s="23" t="str">
        <f>IF($D654="","",IFERROR(VLOOKUP($D654,'ACAH Consumables Tracker'!$A:$H,8,FALSE()),""))</f>
        <v/>
      </c>
      <c r="F654" s="24"/>
      <c r="G654" s="25" t="str">
        <f>IF($D654="","",IFERROR(VLOOKUP($D654,'ACAH Consumables Tracker'!$A:$D,4,FALSE()),""))</f>
        <v/>
      </c>
      <c r="H654" s="22"/>
    </row>
    <row r="655" spans="1:8">
      <c r="A655" s="21"/>
      <c r="B655" s="28"/>
      <c r="C655" s="22"/>
      <c r="D655" s="28"/>
      <c r="E655" s="23" t="str">
        <f>IF($D655="","",IFERROR(VLOOKUP($D655,'ACAH Consumables Tracker'!$A:$H,8,FALSE()),""))</f>
        <v/>
      </c>
      <c r="F655" s="24"/>
      <c r="G655" s="25" t="str">
        <f>IF($D655="","",IFERROR(VLOOKUP($D655,'ACAH Consumables Tracker'!$A:$D,4,FALSE()),""))</f>
        <v/>
      </c>
      <c r="H655" s="22"/>
    </row>
    <row r="656" spans="1:8">
      <c r="A656" s="21"/>
      <c r="B656" s="28"/>
      <c r="C656" s="22"/>
      <c r="D656" s="28"/>
      <c r="E656" s="23" t="str">
        <f>IF($D656="","",IFERROR(VLOOKUP($D656,'ACAH Consumables Tracker'!$A:$H,8,FALSE()),""))</f>
        <v/>
      </c>
      <c r="F656" s="24"/>
      <c r="G656" s="25" t="str">
        <f>IF($D656="","",IFERROR(VLOOKUP($D656,'ACAH Consumables Tracker'!$A:$D,4,FALSE()),""))</f>
        <v/>
      </c>
      <c r="H656" s="22"/>
    </row>
    <row r="657" spans="1:8">
      <c r="A657" s="21"/>
      <c r="B657" s="28"/>
      <c r="C657" s="22"/>
      <c r="D657" s="28"/>
      <c r="E657" s="23" t="str">
        <f>IF($D657="","",IFERROR(VLOOKUP($D657,'ACAH Consumables Tracker'!$A:$H,8,FALSE()),""))</f>
        <v/>
      </c>
      <c r="F657" s="24"/>
      <c r="G657" s="25" t="str">
        <f>IF($D657="","",IFERROR(VLOOKUP($D657,'ACAH Consumables Tracker'!$A:$D,4,FALSE()),""))</f>
        <v/>
      </c>
      <c r="H657" s="22"/>
    </row>
    <row r="658" spans="1:8">
      <c r="A658" s="21"/>
      <c r="B658" s="28"/>
      <c r="C658" s="22"/>
      <c r="D658" s="28"/>
      <c r="E658" s="23" t="str">
        <f>IF($D658="","",IFERROR(VLOOKUP($D658,'ACAH Consumables Tracker'!$A:$H,8,FALSE()),""))</f>
        <v/>
      </c>
      <c r="F658" s="24"/>
      <c r="G658" s="25" t="str">
        <f>IF($D658="","",IFERROR(VLOOKUP($D658,'ACAH Consumables Tracker'!$A:$D,4,FALSE()),""))</f>
        <v/>
      </c>
      <c r="H658" s="22"/>
    </row>
    <row r="659" spans="1:8">
      <c r="A659" s="21"/>
      <c r="B659" s="28"/>
      <c r="C659" s="22"/>
      <c r="D659" s="28"/>
      <c r="E659" s="23" t="str">
        <f>IF($D659="","",IFERROR(VLOOKUP($D659,'ACAH Consumables Tracker'!$A:$H,8,FALSE()),""))</f>
        <v/>
      </c>
      <c r="F659" s="24"/>
      <c r="G659" s="25" t="str">
        <f>IF($D659="","",IFERROR(VLOOKUP($D659,'ACAH Consumables Tracker'!$A:$D,4,FALSE()),""))</f>
        <v/>
      </c>
      <c r="H659" s="22"/>
    </row>
    <row r="660" spans="1:8">
      <c r="A660" s="21"/>
      <c r="B660" s="28"/>
      <c r="C660" s="22"/>
      <c r="D660" s="28"/>
      <c r="E660" s="23" t="str">
        <f>IF($D660="","",IFERROR(VLOOKUP($D660,'ACAH Consumables Tracker'!$A:$H,8,FALSE()),""))</f>
        <v/>
      </c>
      <c r="F660" s="24"/>
      <c r="G660" s="25" t="str">
        <f>IF($D660="","",IFERROR(VLOOKUP($D660,'ACAH Consumables Tracker'!$A:$D,4,FALSE()),""))</f>
        <v/>
      </c>
      <c r="H660" s="22"/>
    </row>
    <row r="661" spans="1:8">
      <c r="A661" s="21"/>
      <c r="B661" s="28"/>
      <c r="C661" s="22"/>
      <c r="D661" s="28"/>
      <c r="E661" s="23" t="str">
        <f>IF($D661="","",IFERROR(VLOOKUP($D661,'ACAH Consumables Tracker'!$A:$H,8,FALSE()),""))</f>
        <v/>
      </c>
      <c r="F661" s="24"/>
      <c r="G661" s="25" t="str">
        <f>IF($D661="","",IFERROR(VLOOKUP($D661,'ACAH Consumables Tracker'!$A:$D,4,FALSE()),""))</f>
        <v/>
      </c>
      <c r="H661" s="22"/>
    </row>
    <row r="662" spans="1:8">
      <c r="A662" s="21"/>
      <c r="B662" s="28"/>
      <c r="C662" s="22"/>
      <c r="D662" s="28"/>
      <c r="E662" s="23" t="str">
        <f>IF($D662="","",IFERROR(VLOOKUP($D662,'ACAH Consumables Tracker'!$A:$H,8,FALSE()),""))</f>
        <v/>
      </c>
      <c r="F662" s="24"/>
      <c r="G662" s="25" t="str">
        <f>IF($D662="","",IFERROR(VLOOKUP($D662,'ACAH Consumables Tracker'!$A:$D,4,FALSE()),""))</f>
        <v/>
      </c>
      <c r="H662" s="22"/>
    </row>
    <row r="663" spans="1:8">
      <c r="A663" s="21"/>
      <c r="B663" s="28"/>
      <c r="C663" s="22"/>
      <c r="D663" s="28"/>
      <c r="E663" s="23" t="str">
        <f>IF($D663="","",IFERROR(VLOOKUP($D663,'ACAH Consumables Tracker'!$A:$H,8,FALSE()),""))</f>
        <v/>
      </c>
      <c r="F663" s="24"/>
      <c r="G663" s="25" t="str">
        <f>IF($D663="","",IFERROR(VLOOKUP($D663,'ACAH Consumables Tracker'!$A:$D,4,FALSE()),""))</f>
        <v/>
      </c>
      <c r="H663" s="22"/>
    </row>
    <row r="664" spans="1:8">
      <c r="A664" s="21"/>
      <c r="B664" s="28"/>
      <c r="C664" s="22"/>
      <c r="D664" s="28"/>
      <c r="E664" s="23" t="str">
        <f>IF($D664="","",IFERROR(VLOOKUP($D664,'ACAH Consumables Tracker'!$A:$H,8,FALSE()),""))</f>
        <v/>
      </c>
      <c r="F664" s="24"/>
      <c r="G664" s="25" t="str">
        <f>IF($D664="","",IFERROR(VLOOKUP($D664,'ACAH Consumables Tracker'!$A:$D,4,FALSE()),""))</f>
        <v/>
      </c>
      <c r="H664" s="22"/>
    </row>
    <row r="665" spans="1:8">
      <c r="A665" s="21"/>
      <c r="B665" s="28"/>
      <c r="C665" s="22"/>
      <c r="D665" s="28"/>
      <c r="E665" s="23" t="str">
        <f>IF($D665="","",IFERROR(VLOOKUP($D665,'ACAH Consumables Tracker'!$A:$H,8,FALSE()),""))</f>
        <v/>
      </c>
      <c r="F665" s="24"/>
      <c r="G665" s="25" t="str">
        <f>IF($D665="","",IFERROR(VLOOKUP($D665,'ACAH Consumables Tracker'!$A:$D,4,FALSE()),""))</f>
        <v/>
      </c>
      <c r="H665" s="22"/>
    </row>
    <row r="666" spans="1:8">
      <c r="A666" s="21"/>
      <c r="B666" s="28"/>
      <c r="C666" s="22"/>
      <c r="D666" s="28"/>
      <c r="E666" s="23" t="str">
        <f>IF($D666="","",IFERROR(VLOOKUP($D666,'ACAH Consumables Tracker'!$A:$H,8,FALSE()),""))</f>
        <v/>
      </c>
      <c r="F666" s="24"/>
      <c r="G666" s="25" t="str">
        <f>IF($D666="","",IFERROR(VLOOKUP($D666,'ACAH Consumables Tracker'!$A:$D,4,FALSE()),""))</f>
        <v/>
      </c>
      <c r="H666" s="22"/>
    </row>
    <row r="667" spans="1:8">
      <c r="A667" s="21"/>
      <c r="B667" s="28"/>
      <c r="C667" s="22"/>
      <c r="D667" s="28"/>
      <c r="E667" s="23" t="str">
        <f>IF($D667="","",IFERROR(VLOOKUP($D667,'ACAH Consumables Tracker'!$A:$H,8,FALSE()),""))</f>
        <v/>
      </c>
      <c r="F667" s="24"/>
      <c r="G667" s="25" t="str">
        <f>IF($D667="","",IFERROR(VLOOKUP($D667,'ACAH Consumables Tracker'!$A:$D,4,FALSE()),""))</f>
        <v/>
      </c>
      <c r="H667" s="22"/>
    </row>
    <row r="668" spans="1:8">
      <c r="A668" s="21"/>
      <c r="B668" s="28"/>
      <c r="C668" s="22"/>
      <c r="D668" s="28"/>
      <c r="E668" s="23" t="str">
        <f>IF($D668="","",IFERROR(VLOOKUP($D668,'ACAH Consumables Tracker'!$A:$H,8,FALSE()),""))</f>
        <v/>
      </c>
      <c r="F668" s="24"/>
      <c r="G668" s="25" t="str">
        <f>IF($D668="","",IFERROR(VLOOKUP($D668,'ACAH Consumables Tracker'!$A:$D,4,FALSE()),""))</f>
        <v/>
      </c>
      <c r="H668" s="22"/>
    </row>
    <row r="669" spans="1:8">
      <c r="A669" s="21"/>
      <c r="B669" s="28"/>
      <c r="C669" s="22"/>
      <c r="D669" s="28"/>
      <c r="E669" s="23" t="str">
        <f>IF($D669="","",IFERROR(VLOOKUP($D669,'ACAH Consumables Tracker'!$A:$H,8,FALSE()),""))</f>
        <v/>
      </c>
      <c r="F669" s="24"/>
      <c r="G669" s="25" t="str">
        <f>IF($D669="","",IFERROR(VLOOKUP($D669,'ACAH Consumables Tracker'!$A:$D,4,FALSE()),""))</f>
        <v/>
      </c>
      <c r="H669" s="22"/>
    </row>
    <row r="670" spans="1:8">
      <c r="A670" s="21"/>
      <c r="B670" s="28"/>
      <c r="C670" s="22"/>
      <c r="D670" s="28"/>
      <c r="E670" s="23" t="str">
        <f>IF($D670="","",IFERROR(VLOOKUP($D670,'ACAH Consumables Tracker'!$A:$H,8,FALSE()),""))</f>
        <v/>
      </c>
      <c r="F670" s="24"/>
      <c r="G670" s="25" t="str">
        <f>IF($D670="","",IFERROR(VLOOKUP($D670,'ACAH Consumables Tracker'!$A:$D,4,FALSE()),""))</f>
        <v/>
      </c>
      <c r="H670" s="22"/>
    </row>
    <row r="671" spans="1:8">
      <c r="A671" s="21"/>
      <c r="B671" s="28"/>
      <c r="C671" s="22"/>
      <c r="D671" s="28"/>
      <c r="E671" s="23" t="str">
        <f>IF($D671="","",IFERROR(VLOOKUP($D671,'ACAH Consumables Tracker'!$A:$H,8,FALSE()),""))</f>
        <v/>
      </c>
      <c r="F671" s="24"/>
      <c r="G671" s="25" t="str">
        <f>IF($D671="","",IFERROR(VLOOKUP($D671,'ACAH Consumables Tracker'!$A:$D,4,FALSE()),""))</f>
        <v/>
      </c>
      <c r="H671" s="22"/>
    </row>
    <row r="672" spans="1:8">
      <c r="A672" s="21"/>
      <c r="B672" s="28"/>
      <c r="C672" s="22"/>
      <c r="D672" s="28"/>
      <c r="E672" s="23" t="str">
        <f>IF($D672="","",IFERROR(VLOOKUP($D672,'ACAH Consumables Tracker'!$A:$H,8,FALSE()),""))</f>
        <v/>
      </c>
      <c r="F672" s="24"/>
      <c r="G672" s="25" t="str">
        <f>IF($D672="","",IFERROR(VLOOKUP($D672,'ACAH Consumables Tracker'!$A:$D,4,FALSE()),""))</f>
        <v/>
      </c>
      <c r="H672" s="22"/>
    </row>
    <row r="673" spans="1:8">
      <c r="A673" s="21"/>
      <c r="B673" s="28"/>
      <c r="C673" s="22"/>
      <c r="D673" s="28"/>
      <c r="E673" s="23" t="str">
        <f>IF($D673="","",IFERROR(VLOOKUP($D673,'ACAH Consumables Tracker'!$A:$H,8,FALSE()),""))</f>
        <v/>
      </c>
      <c r="F673" s="24"/>
      <c r="G673" s="25" t="str">
        <f>IF($D673="","",IFERROR(VLOOKUP($D673,'ACAH Consumables Tracker'!$A:$D,4,FALSE()),""))</f>
        <v/>
      </c>
      <c r="H673" s="22"/>
    </row>
    <row r="674" spans="1:8">
      <c r="A674" s="21"/>
      <c r="B674" s="28"/>
      <c r="C674" s="22"/>
      <c r="D674" s="28"/>
      <c r="E674" s="23" t="str">
        <f>IF($D674="","",IFERROR(VLOOKUP($D674,'ACAH Consumables Tracker'!$A:$H,8,FALSE()),""))</f>
        <v/>
      </c>
      <c r="F674" s="24"/>
      <c r="G674" s="25" t="str">
        <f>IF($D674="","",IFERROR(VLOOKUP($D674,'ACAH Consumables Tracker'!$A:$D,4,FALSE()),""))</f>
        <v/>
      </c>
      <c r="H674" s="22"/>
    </row>
    <row r="675" spans="1:8">
      <c r="A675" s="21"/>
      <c r="B675" s="28"/>
      <c r="C675" s="22"/>
      <c r="D675" s="28"/>
      <c r="E675" s="23" t="str">
        <f>IF($D675="","",IFERROR(VLOOKUP($D675,'ACAH Consumables Tracker'!$A:$H,8,FALSE()),""))</f>
        <v/>
      </c>
      <c r="F675" s="24"/>
      <c r="G675" s="25" t="str">
        <f>IF($D675="","",IFERROR(VLOOKUP($D675,'ACAH Consumables Tracker'!$A:$D,4,FALSE()),""))</f>
        <v/>
      </c>
      <c r="H675" s="22"/>
    </row>
    <row r="676" spans="1:8">
      <c r="A676" s="21"/>
      <c r="B676" s="28"/>
      <c r="C676" s="22"/>
      <c r="D676" s="28"/>
      <c r="E676" s="23" t="str">
        <f>IF($D676="","",IFERROR(VLOOKUP($D676,'ACAH Consumables Tracker'!$A:$H,8,FALSE()),""))</f>
        <v/>
      </c>
      <c r="F676" s="24"/>
      <c r="G676" s="25" t="str">
        <f>IF($D676="","",IFERROR(VLOOKUP($D676,'ACAH Consumables Tracker'!$A:$D,4,FALSE()),""))</f>
        <v/>
      </c>
      <c r="H676" s="22"/>
    </row>
    <row r="677" spans="1:8">
      <c r="A677" s="21"/>
      <c r="B677" s="28"/>
      <c r="C677" s="22"/>
      <c r="D677" s="28"/>
      <c r="E677" s="23" t="str">
        <f>IF($D677="","",IFERROR(VLOOKUP($D677,'ACAH Consumables Tracker'!$A:$H,8,FALSE()),""))</f>
        <v/>
      </c>
      <c r="F677" s="24"/>
      <c r="G677" s="25" t="str">
        <f>IF($D677="","",IFERROR(VLOOKUP($D677,'ACAH Consumables Tracker'!$A:$D,4,FALSE()),""))</f>
        <v/>
      </c>
      <c r="H677" s="22"/>
    </row>
    <row r="678" spans="1:8">
      <c r="A678" s="21"/>
      <c r="B678" s="28"/>
      <c r="C678" s="22"/>
      <c r="D678" s="28"/>
      <c r="E678" s="23" t="str">
        <f>IF($D678="","",IFERROR(VLOOKUP($D678,'ACAH Consumables Tracker'!$A:$H,8,FALSE()),""))</f>
        <v/>
      </c>
      <c r="F678" s="24"/>
      <c r="G678" s="25" t="str">
        <f>IF($D678="","",IFERROR(VLOOKUP($D678,'ACAH Consumables Tracker'!$A:$D,4,FALSE()),""))</f>
        <v/>
      </c>
      <c r="H678" s="22"/>
    </row>
    <row r="679" spans="1:8">
      <c r="A679" s="21"/>
      <c r="B679" s="28"/>
      <c r="C679" s="22"/>
      <c r="D679" s="28"/>
      <c r="E679" s="23" t="str">
        <f>IF($D679="","",IFERROR(VLOOKUP($D679,'ACAH Consumables Tracker'!$A:$H,8,FALSE()),""))</f>
        <v/>
      </c>
      <c r="F679" s="24"/>
      <c r="G679" s="25" t="str">
        <f>IF($D679="","",IFERROR(VLOOKUP($D679,'ACAH Consumables Tracker'!$A:$D,4,FALSE()),""))</f>
        <v/>
      </c>
      <c r="H679" s="22"/>
    </row>
    <row r="680" spans="1:8">
      <c r="A680" s="21"/>
      <c r="B680" s="28"/>
      <c r="C680" s="22"/>
      <c r="D680" s="28"/>
      <c r="E680" s="23" t="str">
        <f>IF($D680="","",IFERROR(VLOOKUP($D680,'ACAH Consumables Tracker'!$A:$H,8,FALSE()),""))</f>
        <v/>
      </c>
      <c r="F680" s="24"/>
      <c r="G680" s="25" t="str">
        <f>IF($D680="","",IFERROR(VLOOKUP($D680,'ACAH Consumables Tracker'!$A:$D,4,FALSE()),""))</f>
        <v/>
      </c>
      <c r="H680" s="22"/>
    </row>
    <row r="681" spans="1:8">
      <c r="A681" s="21"/>
      <c r="B681" s="28"/>
      <c r="C681" s="22"/>
      <c r="D681" s="28"/>
      <c r="E681" s="23" t="str">
        <f>IF($D681="","",IFERROR(VLOOKUP($D681,'ACAH Consumables Tracker'!$A:$H,8,FALSE()),""))</f>
        <v/>
      </c>
      <c r="F681" s="24"/>
      <c r="G681" s="25" t="str">
        <f>IF($D681="","",IFERROR(VLOOKUP($D681,'ACAH Consumables Tracker'!$A:$D,4,FALSE()),""))</f>
        <v/>
      </c>
      <c r="H681" s="22"/>
    </row>
    <row r="682" spans="1:8">
      <c r="A682" s="21"/>
      <c r="B682" s="28"/>
      <c r="C682" s="22"/>
      <c r="D682" s="28"/>
      <c r="E682" s="23" t="str">
        <f>IF($D682="","",IFERROR(VLOOKUP($D682,'ACAH Consumables Tracker'!$A:$H,8,FALSE()),""))</f>
        <v/>
      </c>
      <c r="F682" s="24"/>
      <c r="G682" s="25" t="str">
        <f>IF($D682="","",IFERROR(VLOOKUP($D682,'ACAH Consumables Tracker'!$A:$D,4,FALSE()),""))</f>
        <v/>
      </c>
      <c r="H682" s="22"/>
    </row>
    <row r="683" spans="1:8">
      <c r="A683" s="21"/>
      <c r="B683" s="28"/>
      <c r="C683" s="22"/>
      <c r="D683" s="28"/>
      <c r="E683" s="23" t="str">
        <f>IF($D683="","",IFERROR(VLOOKUP($D683,'ACAH Consumables Tracker'!$A:$H,8,FALSE()),""))</f>
        <v/>
      </c>
      <c r="F683" s="24"/>
      <c r="G683" s="25" t="str">
        <f>IF($D683="","",IFERROR(VLOOKUP($D683,'ACAH Consumables Tracker'!$A:$D,4,FALSE()),""))</f>
        <v/>
      </c>
      <c r="H683" s="22"/>
    </row>
    <row r="684" spans="1:8">
      <c r="A684" s="21"/>
      <c r="B684" s="28"/>
      <c r="C684" s="22"/>
      <c r="D684" s="28"/>
      <c r="E684" s="23" t="str">
        <f>IF($D684="","",IFERROR(VLOOKUP($D684,'ACAH Consumables Tracker'!$A:$H,8,FALSE()),""))</f>
        <v/>
      </c>
      <c r="F684" s="24"/>
      <c r="G684" s="25" t="str">
        <f>IF($D684="","",IFERROR(VLOOKUP($D684,'ACAH Consumables Tracker'!$A:$D,4,FALSE()),""))</f>
        <v/>
      </c>
      <c r="H684" s="22"/>
    </row>
    <row r="685" spans="1:8">
      <c r="A685" s="21"/>
      <c r="B685" s="28"/>
      <c r="C685" s="22"/>
      <c r="D685" s="28"/>
      <c r="E685" s="23" t="str">
        <f>IF($D685="","",IFERROR(VLOOKUP($D685,'ACAH Consumables Tracker'!$A:$H,8,FALSE()),""))</f>
        <v/>
      </c>
      <c r="F685" s="24"/>
      <c r="G685" s="25" t="str">
        <f>IF($D685="","",IFERROR(VLOOKUP($D685,'ACAH Consumables Tracker'!$A:$D,4,FALSE()),""))</f>
        <v/>
      </c>
      <c r="H685" s="22"/>
    </row>
    <row r="686" spans="1:8">
      <c r="A686" s="21"/>
      <c r="B686" s="28"/>
      <c r="C686" s="22"/>
      <c r="D686" s="28"/>
      <c r="E686" s="23" t="str">
        <f>IF($D686="","",IFERROR(VLOOKUP($D686,'ACAH Consumables Tracker'!$A:$H,8,FALSE()),""))</f>
        <v/>
      </c>
      <c r="F686" s="24"/>
      <c r="G686" s="25" t="str">
        <f>IF($D686="","",IFERROR(VLOOKUP($D686,'ACAH Consumables Tracker'!$A:$D,4,FALSE()),""))</f>
        <v/>
      </c>
      <c r="H686" s="22"/>
    </row>
    <row r="687" spans="1:8">
      <c r="A687" s="21"/>
      <c r="B687" s="28"/>
      <c r="C687" s="22"/>
      <c r="D687" s="28"/>
      <c r="E687" s="23" t="str">
        <f>IF($D687="","",IFERROR(VLOOKUP($D687,'ACAH Consumables Tracker'!$A:$H,8,FALSE()),""))</f>
        <v/>
      </c>
      <c r="F687" s="24"/>
      <c r="G687" s="25" t="str">
        <f>IF($D687="","",IFERROR(VLOOKUP($D687,'ACAH Consumables Tracker'!$A:$D,4,FALSE()),""))</f>
        <v/>
      </c>
      <c r="H687" s="22"/>
    </row>
    <row r="688" spans="1:8">
      <c r="A688" s="21"/>
      <c r="B688" s="28"/>
      <c r="C688" s="22"/>
      <c r="D688" s="28"/>
      <c r="E688" s="23" t="str">
        <f>IF($D688="","",IFERROR(VLOOKUP($D688,'ACAH Consumables Tracker'!$A:$H,8,FALSE()),""))</f>
        <v/>
      </c>
      <c r="F688" s="24"/>
      <c r="G688" s="25" t="str">
        <f>IF($D688="","",IFERROR(VLOOKUP($D688,'ACAH Consumables Tracker'!$A:$D,4,FALSE()),""))</f>
        <v/>
      </c>
      <c r="H688" s="22"/>
    </row>
    <row r="689" spans="1:8">
      <c r="A689" s="21"/>
      <c r="B689" s="28"/>
      <c r="C689" s="22"/>
      <c r="D689" s="28"/>
      <c r="E689" s="23" t="str">
        <f>IF($D689="","",IFERROR(VLOOKUP($D689,'ACAH Consumables Tracker'!$A:$H,8,FALSE()),""))</f>
        <v/>
      </c>
      <c r="F689" s="24"/>
      <c r="G689" s="25" t="str">
        <f>IF($D689="","",IFERROR(VLOOKUP($D689,'ACAH Consumables Tracker'!$A:$D,4,FALSE()),""))</f>
        <v/>
      </c>
      <c r="H689" s="22"/>
    </row>
    <row r="690" spans="1:8">
      <c r="A690" s="21"/>
      <c r="B690" s="28"/>
      <c r="C690" s="22"/>
      <c r="D690" s="28"/>
      <c r="E690" s="23" t="str">
        <f>IF($D690="","",IFERROR(VLOOKUP($D690,'ACAH Consumables Tracker'!$A:$H,8,FALSE()),""))</f>
        <v/>
      </c>
      <c r="F690" s="24"/>
      <c r="G690" s="25" t="str">
        <f>IF($D690="","",IFERROR(VLOOKUP($D690,'ACAH Consumables Tracker'!$A:$D,4,FALSE()),""))</f>
        <v/>
      </c>
      <c r="H690" s="22"/>
    </row>
    <row r="691" spans="1:8">
      <c r="A691" s="21"/>
      <c r="B691" s="28"/>
      <c r="C691" s="22"/>
      <c r="D691" s="28"/>
      <c r="E691" s="23" t="str">
        <f>IF($D691="","",IFERROR(VLOOKUP($D691,'ACAH Consumables Tracker'!$A:$H,8,FALSE()),""))</f>
        <v/>
      </c>
      <c r="F691" s="24"/>
      <c r="G691" s="25" t="str">
        <f>IF($D691="","",IFERROR(VLOOKUP($D691,'ACAH Consumables Tracker'!$A:$D,4,FALSE()),""))</f>
        <v/>
      </c>
      <c r="H691" s="22"/>
    </row>
    <row r="692" spans="1:8">
      <c r="A692" s="21"/>
      <c r="B692" s="28"/>
      <c r="C692" s="22"/>
      <c r="D692" s="28"/>
      <c r="E692" s="23" t="str">
        <f>IF($D692="","",IFERROR(VLOOKUP($D692,'ACAH Consumables Tracker'!$A:$H,8,FALSE()),""))</f>
        <v/>
      </c>
      <c r="F692" s="24"/>
      <c r="G692" s="25" t="str">
        <f>IF($D692="","",IFERROR(VLOOKUP($D692,'ACAH Consumables Tracker'!$A:$D,4,FALSE()),""))</f>
        <v/>
      </c>
      <c r="H692" s="22"/>
    </row>
    <row r="693" spans="1:8">
      <c r="A693" s="21"/>
      <c r="B693" s="28"/>
      <c r="C693" s="22"/>
      <c r="D693" s="28"/>
      <c r="E693" s="23" t="str">
        <f>IF($D693="","",IFERROR(VLOOKUP($D693,'ACAH Consumables Tracker'!$A:$H,8,FALSE()),""))</f>
        <v/>
      </c>
      <c r="F693" s="24"/>
      <c r="G693" s="25" t="str">
        <f>IF($D693="","",IFERROR(VLOOKUP($D693,'ACAH Consumables Tracker'!$A:$D,4,FALSE()),""))</f>
        <v/>
      </c>
      <c r="H693" s="22"/>
    </row>
    <row r="694" spans="1:8">
      <c r="A694" s="21"/>
      <c r="B694" s="28"/>
      <c r="C694" s="22"/>
      <c r="D694" s="28"/>
      <c r="E694" s="23" t="str">
        <f>IF($D694="","",IFERROR(VLOOKUP($D694,'ACAH Consumables Tracker'!$A:$H,8,FALSE()),""))</f>
        <v/>
      </c>
      <c r="F694" s="24"/>
      <c r="G694" s="25" t="str">
        <f>IF($D694="","",IFERROR(VLOOKUP($D694,'ACAH Consumables Tracker'!$A:$D,4,FALSE()),""))</f>
        <v/>
      </c>
      <c r="H694" s="22"/>
    </row>
    <row r="695" spans="1:8">
      <c r="A695" s="21"/>
      <c r="B695" s="28"/>
      <c r="C695" s="22"/>
      <c r="D695" s="28"/>
      <c r="E695" s="23" t="str">
        <f>IF($D695="","",IFERROR(VLOOKUP($D695,'ACAH Consumables Tracker'!$A:$H,8,FALSE()),""))</f>
        <v/>
      </c>
      <c r="F695" s="24"/>
      <c r="G695" s="25" t="str">
        <f>IF($D695="","",IFERROR(VLOOKUP($D695,'ACAH Consumables Tracker'!$A:$D,4,FALSE()),""))</f>
        <v/>
      </c>
      <c r="H695" s="22"/>
    </row>
    <row r="696" spans="1:8">
      <c r="A696" s="21"/>
      <c r="B696" s="28"/>
      <c r="C696" s="22"/>
      <c r="D696" s="28"/>
      <c r="E696" s="23" t="str">
        <f>IF($D696="","",IFERROR(VLOOKUP($D696,'ACAH Consumables Tracker'!$A:$H,8,FALSE()),""))</f>
        <v/>
      </c>
      <c r="F696" s="24"/>
      <c r="G696" s="25" t="str">
        <f>IF($D696="","",IFERROR(VLOOKUP($D696,'ACAH Consumables Tracker'!$A:$D,4,FALSE()),""))</f>
        <v/>
      </c>
      <c r="H696" s="22"/>
    </row>
    <row r="697" spans="1:8">
      <c r="A697" s="21"/>
      <c r="B697" s="28"/>
      <c r="C697" s="22"/>
      <c r="D697" s="28"/>
      <c r="E697" s="23" t="str">
        <f>IF($D697="","",IFERROR(VLOOKUP($D697,'ACAH Consumables Tracker'!$A:$H,8,FALSE()),""))</f>
        <v/>
      </c>
      <c r="F697" s="24"/>
      <c r="G697" s="25" t="str">
        <f>IF($D697="","",IFERROR(VLOOKUP($D697,'ACAH Consumables Tracker'!$A:$D,4,FALSE()),""))</f>
        <v/>
      </c>
      <c r="H697" s="22"/>
    </row>
    <row r="698" spans="1:8">
      <c r="A698" s="21"/>
      <c r="B698" s="28"/>
      <c r="C698" s="22"/>
      <c r="D698" s="28"/>
      <c r="E698" s="23" t="str">
        <f>IF($D698="","",IFERROR(VLOOKUP($D698,'ACAH Consumables Tracker'!$A:$H,8,FALSE()),""))</f>
        <v/>
      </c>
      <c r="F698" s="24"/>
      <c r="G698" s="25" t="str">
        <f>IF($D698="","",IFERROR(VLOOKUP($D698,'ACAH Consumables Tracker'!$A:$D,4,FALSE()),""))</f>
        <v/>
      </c>
      <c r="H698" s="22"/>
    </row>
    <row r="699" spans="1:8">
      <c r="A699" s="21"/>
      <c r="B699" s="28"/>
      <c r="C699" s="22"/>
      <c r="D699" s="28"/>
      <c r="E699" s="23" t="str">
        <f>IF($D699="","",IFERROR(VLOOKUP($D699,'ACAH Consumables Tracker'!$A:$H,8,FALSE()),""))</f>
        <v/>
      </c>
      <c r="F699" s="24"/>
      <c r="G699" s="25" t="str">
        <f>IF($D699="","",IFERROR(VLOOKUP($D699,'ACAH Consumables Tracker'!$A:$D,4,FALSE()),""))</f>
        <v/>
      </c>
      <c r="H699" s="22"/>
    </row>
    <row r="700" spans="1:8">
      <c r="A700" s="21"/>
      <c r="B700" s="28"/>
      <c r="C700" s="22"/>
      <c r="D700" s="28"/>
      <c r="E700" s="23" t="str">
        <f>IF($D700="","",IFERROR(VLOOKUP($D700,'ACAH Consumables Tracker'!$A:$H,8,FALSE()),""))</f>
        <v/>
      </c>
      <c r="F700" s="24"/>
      <c r="G700" s="25" t="str">
        <f>IF($D700="","",IFERROR(VLOOKUP($D700,'ACAH Consumables Tracker'!$A:$D,4,FALSE()),""))</f>
        <v/>
      </c>
      <c r="H700" s="22"/>
    </row>
    <row r="701" spans="1:8">
      <c r="A701" s="21"/>
      <c r="B701" s="28"/>
      <c r="C701" s="22"/>
      <c r="D701" s="28"/>
      <c r="E701" s="23" t="str">
        <f>IF($D701="","",IFERROR(VLOOKUP($D701,'ACAH Consumables Tracker'!$A:$H,8,FALSE()),""))</f>
        <v/>
      </c>
      <c r="F701" s="24"/>
      <c r="G701" s="25" t="str">
        <f>IF($D701="","",IFERROR(VLOOKUP($D701,'ACAH Consumables Tracker'!$A:$D,4,FALSE()),""))</f>
        <v/>
      </c>
      <c r="H701" s="22"/>
    </row>
    <row r="702" spans="1:8">
      <c r="A702" s="21"/>
      <c r="B702" s="28"/>
      <c r="C702" s="22"/>
      <c r="D702" s="28"/>
      <c r="E702" s="23" t="str">
        <f>IF($D702="","",IFERROR(VLOOKUP($D702,'ACAH Consumables Tracker'!$A:$H,8,FALSE()),""))</f>
        <v/>
      </c>
      <c r="F702" s="24"/>
      <c r="G702" s="25" t="str">
        <f>IF($D702="","",IFERROR(VLOOKUP($D702,'ACAH Consumables Tracker'!$A:$D,4,FALSE()),""))</f>
        <v/>
      </c>
      <c r="H702" s="22"/>
    </row>
    <row r="703" spans="1:8">
      <c r="A703" s="21"/>
      <c r="B703" s="28"/>
      <c r="C703" s="22"/>
      <c r="D703" s="28"/>
      <c r="E703" s="23" t="str">
        <f>IF($D703="","",IFERROR(VLOOKUP($D703,'ACAH Consumables Tracker'!$A:$H,8,FALSE()),""))</f>
        <v/>
      </c>
      <c r="F703" s="24"/>
      <c r="G703" s="25" t="str">
        <f>IF($D703="","",IFERROR(VLOOKUP($D703,'ACAH Consumables Tracker'!$A:$D,4,FALSE()),""))</f>
        <v/>
      </c>
      <c r="H703" s="22"/>
    </row>
    <row r="704" spans="1:8">
      <c r="A704" s="21"/>
      <c r="B704" s="28"/>
      <c r="C704" s="22"/>
      <c r="D704" s="28"/>
      <c r="E704" s="23" t="str">
        <f>IF($D704="","",IFERROR(VLOOKUP($D704,'ACAH Consumables Tracker'!$A:$H,8,FALSE()),""))</f>
        <v/>
      </c>
      <c r="F704" s="24"/>
      <c r="G704" s="25" t="str">
        <f>IF($D704="","",IFERROR(VLOOKUP($D704,'ACAH Consumables Tracker'!$A:$D,4,FALSE()),""))</f>
        <v/>
      </c>
      <c r="H704" s="22"/>
    </row>
    <row r="705" spans="1:8">
      <c r="A705" s="21"/>
      <c r="B705" s="28"/>
      <c r="C705" s="22"/>
      <c r="D705" s="28"/>
      <c r="E705" s="23" t="str">
        <f>IF($D705="","",IFERROR(VLOOKUP($D705,'ACAH Consumables Tracker'!$A:$H,8,FALSE()),""))</f>
        <v/>
      </c>
      <c r="F705" s="24"/>
      <c r="G705" s="25" t="str">
        <f>IF($D705="","",IFERROR(VLOOKUP($D705,'ACAH Consumables Tracker'!$A:$D,4,FALSE()),""))</f>
        <v/>
      </c>
      <c r="H705" s="22"/>
    </row>
    <row r="706" spans="1:8">
      <c r="A706" s="21"/>
      <c r="B706" s="28"/>
      <c r="C706" s="22"/>
      <c r="D706" s="28"/>
      <c r="E706" s="23" t="str">
        <f>IF($D706="","",IFERROR(VLOOKUP($D706,'ACAH Consumables Tracker'!$A:$H,8,FALSE()),""))</f>
        <v/>
      </c>
      <c r="F706" s="24"/>
      <c r="G706" s="25" t="str">
        <f>IF($D706="","",IFERROR(VLOOKUP($D706,'ACAH Consumables Tracker'!$A:$D,4,FALSE()),""))</f>
        <v/>
      </c>
      <c r="H706" s="22"/>
    </row>
    <row r="707" spans="1:8">
      <c r="A707" s="21"/>
      <c r="B707" s="28"/>
      <c r="C707" s="22"/>
      <c r="D707" s="28"/>
      <c r="E707" s="23" t="str">
        <f>IF($D707="","",IFERROR(VLOOKUP($D707,'ACAH Consumables Tracker'!$A:$H,8,FALSE()),""))</f>
        <v/>
      </c>
      <c r="F707" s="24"/>
      <c r="G707" s="25" t="str">
        <f>IF($D707="","",IFERROR(VLOOKUP($D707,'ACAH Consumables Tracker'!$A:$D,4,FALSE()),""))</f>
        <v/>
      </c>
      <c r="H707" s="22"/>
    </row>
    <row r="708" spans="1:8">
      <c r="A708" s="21"/>
      <c r="B708" s="28"/>
      <c r="C708" s="22"/>
      <c r="D708" s="28"/>
      <c r="E708" s="23" t="str">
        <f>IF($D708="","",IFERROR(VLOOKUP($D708,'ACAH Consumables Tracker'!$A:$H,8,FALSE()),""))</f>
        <v/>
      </c>
      <c r="F708" s="24"/>
      <c r="G708" s="25" t="str">
        <f>IF($D708="","",IFERROR(VLOOKUP($D708,'ACAH Consumables Tracker'!$A:$D,4,FALSE()),""))</f>
        <v/>
      </c>
      <c r="H708" s="22"/>
    </row>
    <row r="709" spans="1:8">
      <c r="A709" s="21"/>
      <c r="B709" s="28"/>
      <c r="C709" s="22"/>
      <c r="D709" s="28"/>
      <c r="E709" s="23" t="str">
        <f>IF($D709="","",IFERROR(VLOOKUP($D709,'ACAH Consumables Tracker'!$A:$H,8,FALSE()),""))</f>
        <v/>
      </c>
      <c r="F709" s="24"/>
      <c r="G709" s="25" t="str">
        <f>IF($D709="","",IFERROR(VLOOKUP($D709,'ACAH Consumables Tracker'!$A:$D,4,FALSE()),""))</f>
        <v/>
      </c>
      <c r="H709" s="22"/>
    </row>
    <row r="710" spans="1:8">
      <c r="A710" s="21"/>
      <c r="B710" s="28"/>
      <c r="C710" s="22"/>
      <c r="D710" s="28"/>
      <c r="E710" s="23" t="str">
        <f>IF($D710="","",IFERROR(VLOOKUP($D710,'ACAH Consumables Tracker'!$A:$H,8,FALSE()),""))</f>
        <v/>
      </c>
      <c r="F710" s="24"/>
      <c r="G710" s="25" t="str">
        <f>IF($D710="","",IFERROR(VLOOKUP($D710,'ACAH Consumables Tracker'!$A:$D,4,FALSE()),""))</f>
        <v/>
      </c>
      <c r="H710" s="22"/>
    </row>
    <row r="711" spans="1:8">
      <c r="A711" s="21"/>
      <c r="B711" s="28"/>
      <c r="C711" s="22"/>
      <c r="D711" s="28"/>
      <c r="E711" s="23" t="str">
        <f>IF($D711="","",IFERROR(VLOOKUP($D711,'ACAH Consumables Tracker'!$A:$H,8,FALSE()),""))</f>
        <v/>
      </c>
      <c r="F711" s="24"/>
      <c r="G711" s="25" t="str">
        <f>IF($D711="","",IFERROR(VLOOKUP($D711,'ACAH Consumables Tracker'!$A:$D,4,FALSE()),""))</f>
        <v/>
      </c>
      <c r="H711" s="22"/>
    </row>
    <row r="712" spans="1:8">
      <c r="A712" s="21"/>
      <c r="B712" s="28"/>
      <c r="C712" s="22"/>
      <c r="D712" s="28"/>
      <c r="E712" s="23" t="str">
        <f>IF($D712="","",IFERROR(VLOOKUP($D712,'ACAH Consumables Tracker'!$A:$H,8,FALSE()),""))</f>
        <v/>
      </c>
      <c r="F712" s="24"/>
      <c r="G712" s="25" t="str">
        <f>IF($D712="","",IFERROR(VLOOKUP($D712,'ACAH Consumables Tracker'!$A:$D,4,FALSE()),""))</f>
        <v/>
      </c>
      <c r="H712" s="22"/>
    </row>
    <row r="713" spans="1:8">
      <c r="A713" s="21"/>
      <c r="B713" s="28"/>
      <c r="C713" s="22"/>
      <c r="D713" s="28"/>
      <c r="E713" s="23" t="str">
        <f>IF($D713="","",IFERROR(VLOOKUP($D713,'ACAH Consumables Tracker'!$A:$H,8,FALSE()),""))</f>
        <v/>
      </c>
      <c r="F713" s="24"/>
      <c r="G713" s="25" t="str">
        <f>IF($D713="","",IFERROR(VLOOKUP($D713,'ACAH Consumables Tracker'!$A:$D,4,FALSE()),""))</f>
        <v/>
      </c>
      <c r="H713" s="22"/>
    </row>
    <row r="714" spans="1:8">
      <c r="A714" s="21"/>
      <c r="B714" s="28"/>
      <c r="C714" s="22"/>
      <c r="D714" s="28"/>
      <c r="E714" s="23" t="str">
        <f>IF($D714="","",IFERROR(VLOOKUP($D714,'ACAH Consumables Tracker'!$A:$H,8,FALSE()),""))</f>
        <v/>
      </c>
      <c r="F714" s="24"/>
      <c r="G714" s="25" t="str">
        <f>IF($D714="","",IFERROR(VLOOKUP($D714,'ACAH Consumables Tracker'!$A:$D,4,FALSE()),""))</f>
        <v/>
      </c>
      <c r="H714" s="22"/>
    </row>
    <row r="715" spans="1:8">
      <c r="A715" s="21"/>
      <c r="B715" s="28"/>
      <c r="C715" s="22"/>
      <c r="D715" s="28"/>
      <c r="E715" s="23" t="str">
        <f>IF($D715="","",IFERROR(VLOOKUP($D715,'ACAH Consumables Tracker'!$A:$H,8,FALSE()),""))</f>
        <v/>
      </c>
      <c r="F715" s="24"/>
      <c r="G715" s="25" t="str">
        <f>IF($D715="","",IFERROR(VLOOKUP($D715,'ACAH Consumables Tracker'!$A:$D,4,FALSE()),""))</f>
        <v/>
      </c>
      <c r="H715" s="22"/>
    </row>
    <row r="716" spans="1:8">
      <c r="A716" s="21"/>
      <c r="B716" s="28"/>
      <c r="C716" s="22"/>
      <c r="D716" s="28"/>
      <c r="E716" s="23" t="str">
        <f>IF($D716="","",IFERROR(VLOOKUP($D716,'ACAH Consumables Tracker'!$A:$H,8,FALSE()),""))</f>
        <v/>
      </c>
      <c r="F716" s="24"/>
      <c r="G716" s="25" t="str">
        <f>IF($D716="","",IFERROR(VLOOKUP($D716,'ACAH Consumables Tracker'!$A:$D,4,FALSE()),""))</f>
        <v/>
      </c>
      <c r="H716" s="22"/>
    </row>
    <row r="717" spans="1:8">
      <c r="A717" s="21"/>
      <c r="B717" s="28"/>
      <c r="C717" s="22"/>
      <c r="D717" s="28"/>
      <c r="E717" s="23" t="str">
        <f>IF($D717="","",IFERROR(VLOOKUP($D717,'ACAH Consumables Tracker'!$A:$H,8,FALSE()),""))</f>
        <v/>
      </c>
      <c r="F717" s="24"/>
      <c r="G717" s="25" t="str">
        <f>IF($D717="","",IFERROR(VLOOKUP($D717,'ACAH Consumables Tracker'!$A:$D,4,FALSE()),""))</f>
        <v/>
      </c>
      <c r="H717" s="22"/>
    </row>
    <row r="718" spans="1:8">
      <c r="A718" s="21"/>
      <c r="B718" s="28"/>
      <c r="C718" s="22"/>
      <c r="D718" s="28"/>
      <c r="E718" s="23" t="str">
        <f>IF($D718="","",IFERROR(VLOOKUP($D718,'ACAH Consumables Tracker'!$A:$H,8,FALSE()),""))</f>
        <v/>
      </c>
      <c r="F718" s="24"/>
      <c r="G718" s="25" t="str">
        <f>IF($D718="","",IFERROR(VLOOKUP($D718,'ACAH Consumables Tracker'!$A:$D,4,FALSE()),""))</f>
        <v/>
      </c>
      <c r="H718" s="22"/>
    </row>
    <row r="719" spans="1:8">
      <c r="A719" s="21"/>
      <c r="B719" s="28"/>
      <c r="C719" s="22"/>
      <c r="D719" s="28"/>
      <c r="E719" s="23" t="str">
        <f>IF($D719="","",IFERROR(VLOOKUP($D719,'ACAH Consumables Tracker'!$A:$H,8,FALSE()),""))</f>
        <v/>
      </c>
      <c r="F719" s="24"/>
      <c r="G719" s="25" t="str">
        <f>IF($D719="","",IFERROR(VLOOKUP($D719,'ACAH Consumables Tracker'!$A:$D,4,FALSE()),""))</f>
        <v/>
      </c>
      <c r="H719" s="22"/>
    </row>
    <row r="720" spans="1:8">
      <c r="A720" s="21"/>
      <c r="B720" s="28"/>
      <c r="C720" s="22"/>
      <c r="D720" s="28"/>
      <c r="E720" s="23" t="str">
        <f>IF($D720="","",IFERROR(VLOOKUP($D720,'ACAH Consumables Tracker'!$A:$H,8,FALSE()),""))</f>
        <v/>
      </c>
      <c r="F720" s="24"/>
      <c r="G720" s="25" t="str">
        <f>IF($D720="","",IFERROR(VLOOKUP($D720,'ACAH Consumables Tracker'!$A:$D,4,FALSE()),""))</f>
        <v/>
      </c>
      <c r="H720" s="22"/>
    </row>
    <row r="721" spans="1:8">
      <c r="A721" s="21"/>
      <c r="B721" s="28"/>
      <c r="C721" s="22"/>
      <c r="D721" s="28"/>
      <c r="E721" s="23" t="str">
        <f>IF($D721="","",IFERROR(VLOOKUP($D721,'ACAH Consumables Tracker'!$A:$H,8,FALSE()),""))</f>
        <v/>
      </c>
      <c r="F721" s="24"/>
      <c r="G721" s="25" t="str">
        <f>IF($D721="","",IFERROR(VLOOKUP($D721,'ACAH Consumables Tracker'!$A:$D,4,FALSE()),""))</f>
        <v/>
      </c>
      <c r="H721" s="22"/>
    </row>
    <row r="722" spans="1:8">
      <c r="A722" s="21"/>
      <c r="B722" s="28"/>
      <c r="C722" s="22"/>
      <c r="D722" s="28"/>
      <c r="E722" s="23" t="str">
        <f>IF($D722="","",IFERROR(VLOOKUP($D722,'ACAH Consumables Tracker'!$A:$H,8,FALSE()),""))</f>
        <v/>
      </c>
      <c r="F722" s="24"/>
      <c r="G722" s="25" t="str">
        <f>IF($D722="","",IFERROR(VLOOKUP($D722,'ACAH Consumables Tracker'!$A:$D,4,FALSE()),""))</f>
        <v/>
      </c>
      <c r="H722" s="22"/>
    </row>
    <row r="723" spans="1:8">
      <c r="A723" s="21"/>
      <c r="B723" s="28"/>
      <c r="C723" s="22"/>
      <c r="D723" s="28"/>
      <c r="E723" s="23" t="str">
        <f>IF($D723="","",IFERROR(VLOOKUP($D723,'ACAH Consumables Tracker'!$A:$H,8,FALSE()),""))</f>
        <v/>
      </c>
      <c r="F723" s="24"/>
      <c r="G723" s="25" t="str">
        <f>IF($D723="","",IFERROR(VLOOKUP($D723,'ACAH Consumables Tracker'!$A:$D,4,FALSE()),""))</f>
        <v/>
      </c>
      <c r="H723" s="22"/>
    </row>
    <row r="724" spans="1:8">
      <c r="A724" s="21"/>
      <c r="B724" s="28"/>
      <c r="C724" s="22"/>
      <c r="D724" s="28"/>
      <c r="E724" s="23" t="str">
        <f>IF($D724="","",IFERROR(VLOOKUP($D724,'ACAH Consumables Tracker'!$A:$H,8,FALSE()),""))</f>
        <v/>
      </c>
      <c r="F724" s="24"/>
      <c r="G724" s="25" t="str">
        <f>IF($D724="","",IFERROR(VLOOKUP($D724,'ACAH Consumables Tracker'!$A:$D,4,FALSE()),""))</f>
        <v/>
      </c>
      <c r="H724" s="22"/>
    </row>
    <row r="725" spans="1:8">
      <c r="A725" s="21"/>
      <c r="B725" s="28"/>
      <c r="C725" s="22"/>
      <c r="D725" s="28"/>
      <c r="E725" s="23" t="str">
        <f>IF($D725="","",IFERROR(VLOOKUP($D725,'ACAH Consumables Tracker'!$A:$H,8,FALSE()),""))</f>
        <v/>
      </c>
      <c r="F725" s="24"/>
      <c r="G725" s="25" t="str">
        <f>IF($D725="","",IFERROR(VLOOKUP($D725,'ACAH Consumables Tracker'!$A:$D,4,FALSE()),""))</f>
        <v/>
      </c>
      <c r="H725" s="22"/>
    </row>
    <row r="726" spans="1:8">
      <c r="A726" s="21"/>
      <c r="B726" s="28"/>
      <c r="C726" s="22"/>
      <c r="D726" s="28"/>
      <c r="E726" s="23" t="str">
        <f>IF($D726="","",IFERROR(VLOOKUP($D726,'ACAH Consumables Tracker'!$A:$H,8,FALSE()),""))</f>
        <v/>
      </c>
      <c r="F726" s="24"/>
      <c r="G726" s="25" t="str">
        <f>IF($D726="","",IFERROR(VLOOKUP($D726,'ACAH Consumables Tracker'!$A:$D,4,FALSE()),""))</f>
        <v/>
      </c>
      <c r="H726" s="22"/>
    </row>
    <row r="727" spans="1:8">
      <c r="A727" s="21"/>
      <c r="B727" s="28"/>
      <c r="C727" s="22"/>
      <c r="D727" s="28"/>
      <c r="E727" s="23" t="str">
        <f>IF($D727="","",IFERROR(VLOOKUP($D727,'ACAH Consumables Tracker'!$A:$H,8,FALSE()),""))</f>
        <v/>
      </c>
      <c r="F727" s="24"/>
      <c r="G727" s="25" t="str">
        <f>IF($D727="","",IFERROR(VLOOKUP($D727,'ACAH Consumables Tracker'!$A:$D,4,FALSE()),""))</f>
        <v/>
      </c>
      <c r="H727" s="22"/>
    </row>
    <row r="728" spans="1:8">
      <c r="A728" s="21"/>
      <c r="B728" s="28"/>
      <c r="C728" s="22"/>
      <c r="D728" s="28"/>
      <c r="E728" s="23" t="str">
        <f>IF($D728="","",IFERROR(VLOOKUP($D728,'ACAH Consumables Tracker'!$A:$H,8,FALSE()),""))</f>
        <v/>
      </c>
      <c r="F728" s="24"/>
      <c r="G728" s="25" t="str">
        <f>IF($D728="","",IFERROR(VLOOKUP($D728,'ACAH Consumables Tracker'!$A:$D,4,FALSE()),""))</f>
        <v/>
      </c>
      <c r="H728" s="22"/>
    </row>
    <row r="729" spans="1:8">
      <c r="A729" s="21"/>
      <c r="B729" s="28"/>
      <c r="C729" s="22"/>
      <c r="D729" s="28"/>
      <c r="E729" s="23" t="str">
        <f>IF($D729="","",IFERROR(VLOOKUP($D729,'ACAH Consumables Tracker'!$A:$H,8,FALSE()),""))</f>
        <v/>
      </c>
      <c r="F729" s="24"/>
      <c r="G729" s="25" t="str">
        <f>IF($D729="","",IFERROR(VLOOKUP($D729,'ACAH Consumables Tracker'!$A:$D,4,FALSE()),""))</f>
        <v/>
      </c>
      <c r="H729" s="22"/>
    </row>
    <row r="730" spans="1:8">
      <c r="A730" s="21"/>
      <c r="B730" s="28"/>
      <c r="C730" s="22"/>
      <c r="D730" s="28"/>
      <c r="E730" s="23" t="str">
        <f>IF($D730="","",IFERROR(VLOOKUP($D730,'ACAH Consumables Tracker'!$A:$H,8,FALSE()),""))</f>
        <v/>
      </c>
      <c r="F730" s="24"/>
      <c r="G730" s="25" t="str">
        <f>IF($D730="","",IFERROR(VLOOKUP($D730,'ACAH Consumables Tracker'!$A:$D,4,FALSE()),""))</f>
        <v/>
      </c>
      <c r="H730" s="22"/>
    </row>
    <row r="731" spans="1:8">
      <c r="A731" s="21"/>
      <c r="B731" s="28"/>
      <c r="C731" s="22"/>
      <c r="D731" s="28"/>
      <c r="E731" s="23" t="str">
        <f>IF($D731="","",IFERROR(VLOOKUP($D731,'ACAH Consumables Tracker'!$A:$H,8,FALSE()),""))</f>
        <v/>
      </c>
      <c r="F731" s="24"/>
      <c r="G731" s="25" t="str">
        <f>IF($D731="","",IFERROR(VLOOKUP($D731,'ACAH Consumables Tracker'!$A:$D,4,FALSE()),""))</f>
        <v/>
      </c>
      <c r="H731" s="22"/>
    </row>
    <row r="732" spans="1:8">
      <c r="A732" s="21"/>
      <c r="B732" s="28"/>
      <c r="C732" s="22"/>
      <c r="D732" s="28"/>
      <c r="E732" s="23" t="str">
        <f>IF($D732="","",IFERROR(VLOOKUP($D732,'ACAH Consumables Tracker'!$A:$H,8,FALSE()),""))</f>
        <v/>
      </c>
      <c r="F732" s="24"/>
      <c r="G732" s="25" t="str">
        <f>IF($D732="","",IFERROR(VLOOKUP($D732,'ACAH Consumables Tracker'!$A:$D,4,FALSE()),""))</f>
        <v/>
      </c>
      <c r="H732" s="22"/>
    </row>
    <row r="733" spans="1:8">
      <c r="A733" s="21"/>
      <c r="B733" s="28"/>
      <c r="C733" s="22"/>
      <c r="D733" s="28"/>
      <c r="E733" s="23" t="str">
        <f>IF($D733="","",IFERROR(VLOOKUP($D733,'ACAH Consumables Tracker'!$A:$H,8,FALSE()),""))</f>
        <v/>
      </c>
      <c r="F733" s="24"/>
      <c r="G733" s="25" t="str">
        <f>IF($D733="","",IFERROR(VLOOKUP($D733,'ACAH Consumables Tracker'!$A:$D,4,FALSE()),""))</f>
        <v/>
      </c>
      <c r="H733" s="22"/>
    </row>
    <row r="734" spans="1:8">
      <c r="A734" s="21"/>
      <c r="B734" s="28"/>
      <c r="C734" s="22"/>
      <c r="D734" s="28"/>
      <c r="E734" s="23" t="str">
        <f>IF($D734="","",IFERROR(VLOOKUP($D734,'ACAH Consumables Tracker'!$A:$H,8,FALSE()),""))</f>
        <v/>
      </c>
      <c r="F734" s="24"/>
      <c r="G734" s="25" t="str">
        <f>IF($D734="","",IFERROR(VLOOKUP($D734,'ACAH Consumables Tracker'!$A:$D,4,FALSE()),""))</f>
        <v/>
      </c>
      <c r="H734" s="22"/>
    </row>
    <row r="735" spans="1:8">
      <c r="A735" s="21"/>
      <c r="B735" s="28"/>
      <c r="C735" s="22"/>
      <c r="D735" s="28"/>
      <c r="E735" s="23" t="str">
        <f>IF($D735="","",IFERROR(VLOOKUP($D735,'ACAH Consumables Tracker'!$A:$H,8,FALSE()),""))</f>
        <v/>
      </c>
      <c r="F735" s="24"/>
      <c r="G735" s="25" t="str">
        <f>IF($D735="","",IFERROR(VLOOKUP($D735,'ACAH Consumables Tracker'!$A:$D,4,FALSE()),""))</f>
        <v/>
      </c>
      <c r="H735" s="22"/>
    </row>
    <row r="736" spans="1:8">
      <c r="A736" s="21"/>
      <c r="B736" s="28"/>
      <c r="C736" s="22"/>
      <c r="D736" s="28"/>
      <c r="E736" s="23" t="str">
        <f>IF($D736="","",IFERROR(VLOOKUP($D736,'ACAH Consumables Tracker'!$A:$H,8,FALSE()),""))</f>
        <v/>
      </c>
      <c r="F736" s="24"/>
      <c r="G736" s="25" t="str">
        <f>IF($D736="","",IFERROR(VLOOKUP($D736,'ACAH Consumables Tracker'!$A:$D,4,FALSE()),""))</f>
        <v/>
      </c>
      <c r="H736" s="22"/>
    </row>
    <row r="737" spans="1:8">
      <c r="A737" s="21"/>
      <c r="B737" s="28"/>
      <c r="C737" s="22"/>
      <c r="D737" s="28"/>
      <c r="E737" s="23" t="str">
        <f>IF($D737="","",IFERROR(VLOOKUP($D737,'ACAH Consumables Tracker'!$A:$H,8,FALSE()),""))</f>
        <v/>
      </c>
      <c r="F737" s="24"/>
      <c r="G737" s="25" t="str">
        <f>IF($D737="","",IFERROR(VLOOKUP($D737,'ACAH Consumables Tracker'!$A:$D,4,FALSE()),""))</f>
        <v/>
      </c>
      <c r="H737" s="22"/>
    </row>
    <row r="738" spans="1:8">
      <c r="A738" s="21"/>
      <c r="B738" s="28"/>
      <c r="C738" s="22"/>
      <c r="D738" s="28"/>
      <c r="E738" s="23" t="str">
        <f>IF($D738="","",IFERROR(VLOOKUP($D738,'ACAH Consumables Tracker'!$A:$H,8,FALSE()),""))</f>
        <v/>
      </c>
      <c r="F738" s="24"/>
      <c r="G738" s="25" t="str">
        <f>IF($D738="","",IFERROR(VLOOKUP($D738,'ACAH Consumables Tracker'!$A:$D,4,FALSE()),""))</f>
        <v/>
      </c>
      <c r="H738" s="22"/>
    </row>
    <row r="739" spans="1:8">
      <c r="A739" s="21"/>
      <c r="B739" s="28"/>
      <c r="C739" s="22"/>
      <c r="D739" s="28"/>
      <c r="E739" s="23" t="str">
        <f>IF($D739="","",IFERROR(VLOOKUP($D739,'ACAH Consumables Tracker'!$A:$H,8,FALSE()),""))</f>
        <v/>
      </c>
      <c r="F739" s="24"/>
      <c r="G739" s="25" t="str">
        <f>IF($D739="","",IFERROR(VLOOKUP($D739,'ACAH Consumables Tracker'!$A:$D,4,FALSE()),""))</f>
        <v/>
      </c>
      <c r="H739" s="22"/>
    </row>
    <row r="740" spans="1:8">
      <c r="A740" s="21"/>
      <c r="B740" s="28"/>
      <c r="C740" s="22"/>
      <c r="D740" s="28"/>
      <c r="E740" s="23" t="str">
        <f>IF($D740="","",IFERROR(VLOOKUP($D740,'ACAH Consumables Tracker'!$A:$H,8,FALSE()),""))</f>
        <v/>
      </c>
      <c r="F740" s="24"/>
      <c r="G740" s="25" t="str">
        <f>IF($D740="","",IFERROR(VLOOKUP($D740,'ACAH Consumables Tracker'!$A:$D,4,FALSE()),""))</f>
        <v/>
      </c>
      <c r="H740" s="22"/>
    </row>
    <row r="741" spans="1:8">
      <c r="A741" s="21"/>
      <c r="B741" s="28"/>
      <c r="C741" s="22"/>
      <c r="D741" s="28"/>
      <c r="E741" s="23" t="str">
        <f>IF($D741="","",IFERROR(VLOOKUP($D741,'ACAH Consumables Tracker'!$A:$H,8,FALSE()),""))</f>
        <v/>
      </c>
      <c r="F741" s="24"/>
      <c r="G741" s="25" t="str">
        <f>IF($D741="","",IFERROR(VLOOKUP($D741,'ACAH Consumables Tracker'!$A:$D,4,FALSE()),""))</f>
        <v/>
      </c>
      <c r="H741" s="22"/>
    </row>
    <row r="742" spans="1:8">
      <c r="A742" s="21"/>
      <c r="B742" s="28"/>
      <c r="C742" s="22"/>
      <c r="D742" s="28"/>
      <c r="E742" s="23" t="str">
        <f>IF($D742="","",IFERROR(VLOOKUP($D742,'ACAH Consumables Tracker'!$A:$H,8,FALSE()),""))</f>
        <v/>
      </c>
      <c r="F742" s="24"/>
      <c r="G742" s="25" t="str">
        <f>IF($D742="","",IFERROR(VLOOKUP($D742,'ACAH Consumables Tracker'!$A:$D,4,FALSE()),""))</f>
        <v/>
      </c>
      <c r="H742" s="22"/>
    </row>
    <row r="743" spans="1:8">
      <c r="A743" s="21"/>
      <c r="B743" s="28"/>
      <c r="C743" s="22"/>
      <c r="D743" s="28"/>
      <c r="E743" s="23" t="str">
        <f>IF($D743="","",IFERROR(VLOOKUP($D743,'ACAH Consumables Tracker'!$A:$H,8,FALSE()),""))</f>
        <v/>
      </c>
      <c r="F743" s="24"/>
      <c r="G743" s="25" t="str">
        <f>IF($D743="","",IFERROR(VLOOKUP($D743,'ACAH Consumables Tracker'!$A:$D,4,FALSE()),""))</f>
        <v/>
      </c>
      <c r="H743" s="22"/>
    </row>
    <row r="744" spans="1:8">
      <c r="A744" s="21"/>
      <c r="B744" s="28"/>
      <c r="C744" s="22"/>
      <c r="D744" s="28"/>
      <c r="E744" s="23" t="str">
        <f>IF($D744="","",IFERROR(VLOOKUP($D744,'ACAH Consumables Tracker'!$A:$H,8,FALSE()),""))</f>
        <v/>
      </c>
      <c r="F744" s="24"/>
      <c r="G744" s="25" t="str">
        <f>IF($D744="","",IFERROR(VLOOKUP($D744,'ACAH Consumables Tracker'!$A:$D,4,FALSE()),""))</f>
        <v/>
      </c>
      <c r="H744" s="22"/>
    </row>
    <row r="745" spans="1:8">
      <c r="A745" s="21"/>
      <c r="B745" s="28"/>
      <c r="C745" s="22"/>
      <c r="D745" s="28"/>
      <c r="E745" s="23" t="str">
        <f>IF($D745="","",IFERROR(VLOOKUP($D745,'ACAH Consumables Tracker'!$A:$H,8,FALSE()),""))</f>
        <v/>
      </c>
      <c r="F745" s="24"/>
      <c r="G745" s="25" t="str">
        <f>IF($D745="","",IFERROR(VLOOKUP($D745,'ACAH Consumables Tracker'!$A:$D,4,FALSE()),""))</f>
        <v/>
      </c>
      <c r="H745" s="22"/>
    </row>
    <row r="746" spans="1:8">
      <c r="A746" s="21"/>
      <c r="B746" s="28"/>
      <c r="C746" s="22"/>
      <c r="D746" s="28"/>
      <c r="E746" s="23" t="str">
        <f>IF($D746="","",IFERROR(VLOOKUP($D746,'ACAH Consumables Tracker'!$A:$H,8,FALSE()),""))</f>
        <v/>
      </c>
      <c r="F746" s="24"/>
      <c r="G746" s="25" t="str">
        <f>IF($D746="","",IFERROR(VLOOKUP($D746,'ACAH Consumables Tracker'!$A:$D,4,FALSE()),""))</f>
        <v/>
      </c>
      <c r="H746" s="22"/>
    </row>
    <row r="747" spans="1:8">
      <c r="A747" s="21"/>
      <c r="B747" s="28"/>
      <c r="C747" s="22"/>
      <c r="D747" s="28"/>
      <c r="E747" s="23" t="str">
        <f>IF($D747="","",IFERROR(VLOOKUP($D747,'ACAH Consumables Tracker'!$A:$H,8,FALSE()),""))</f>
        <v/>
      </c>
      <c r="F747" s="24"/>
      <c r="G747" s="25" t="str">
        <f>IF($D747="","",IFERROR(VLOOKUP($D747,'ACAH Consumables Tracker'!$A:$D,4,FALSE()),""))</f>
        <v/>
      </c>
      <c r="H747" s="22"/>
    </row>
    <row r="748" spans="1:8">
      <c r="A748" s="21"/>
      <c r="B748" s="28"/>
      <c r="C748" s="22"/>
      <c r="D748" s="28"/>
      <c r="E748" s="23" t="str">
        <f>IF($D748="","",IFERROR(VLOOKUP($D748,'ACAH Consumables Tracker'!$A:$H,8,FALSE()),""))</f>
        <v/>
      </c>
      <c r="F748" s="24"/>
      <c r="G748" s="25" t="str">
        <f>IF($D748="","",IFERROR(VLOOKUP($D748,'ACAH Consumables Tracker'!$A:$D,4,FALSE()),""))</f>
        <v/>
      </c>
      <c r="H748" s="22"/>
    </row>
    <row r="749" spans="1:8">
      <c r="A749" s="21"/>
      <c r="B749" s="28"/>
      <c r="C749" s="22"/>
      <c r="D749" s="28"/>
      <c r="E749" s="23" t="str">
        <f>IF($D749="","",IFERROR(VLOOKUP($D749,'ACAH Consumables Tracker'!$A:$H,8,FALSE()),""))</f>
        <v/>
      </c>
      <c r="F749" s="24"/>
      <c r="G749" s="25" t="str">
        <f>IF($D749="","",IFERROR(VLOOKUP($D749,'ACAH Consumables Tracker'!$A:$D,4,FALSE()),""))</f>
        <v/>
      </c>
      <c r="H749" s="22"/>
    </row>
    <row r="750" spans="1:8">
      <c r="A750" s="21"/>
      <c r="B750" s="28"/>
      <c r="C750" s="22"/>
      <c r="D750" s="28"/>
      <c r="E750" s="23" t="str">
        <f>IF($D750="","",IFERROR(VLOOKUP($D750,'ACAH Consumables Tracker'!$A:$H,8,FALSE()),""))</f>
        <v/>
      </c>
      <c r="F750" s="24"/>
      <c r="G750" s="25" t="str">
        <f>IF($D750="","",IFERROR(VLOOKUP($D750,'ACAH Consumables Tracker'!$A:$D,4,FALSE()),""))</f>
        <v/>
      </c>
      <c r="H750" s="22"/>
    </row>
    <row r="751" spans="1:8">
      <c r="A751" s="21"/>
      <c r="B751" s="28"/>
      <c r="C751" s="22"/>
      <c r="D751" s="28"/>
      <c r="E751" s="23" t="str">
        <f>IF($D751="","",IFERROR(VLOOKUP($D751,'ACAH Consumables Tracker'!$A:$H,8,FALSE()),""))</f>
        <v/>
      </c>
      <c r="F751" s="24"/>
      <c r="G751" s="25" t="str">
        <f>IF($D751="","",IFERROR(VLOOKUP($D751,'ACAH Consumables Tracker'!$A:$D,4,FALSE()),""))</f>
        <v/>
      </c>
      <c r="H751" s="22"/>
    </row>
    <row r="752" spans="1:8">
      <c r="A752" s="21"/>
      <c r="B752" s="28"/>
      <c r="C752" s="22"/>
      <c r="D752" s="28"/>
      <c r="E752" s="23" t="str">
        <f>IF($D752="","",IFERROR(VLOOKUP($D752,'ACAH Consumables Tracker'!$A:$H,8,FALSE()),""))</f>
        <v/>
      </c>
      <c r="F752" s="24"/>
      <c r="G752" s="25" t="str">
        <f>IF($D752="","",IFERROR(VLOOKUP($D752,'ACAH Consumables Tracker'!$A:$D,4,FALSE()),""))</f>
        <v/>
      </c>
      <c r="H752" s="22"/>
    </row>
    <row r="753" spans="1:8">
      <c r="A753" s="21"/>
      <c r="B753" s="28"/>
      <c r="C753" s="22"/>
      <c r="D753" s="28"/>
      <c r="E753" s="23" t="str">
        <f>IF($D753="","",IFERROR(VLOOKUP($D753,'ACAH Consumables Tracker'!$A:$H,8,FALSE()),""))</f>
        <v/>
      </c>
      <c r="F753" s="24"/>
      <c r="G753" s="25" t="str">
        <f>IF($D753="","",IFERROR(VLOOKUP($D753,'ACAH Consumables Tracker'!$A:$D,4,FALSE()),""))</f>
        <v/>
      </c>
      <c r="H753" s="22"/>
    </row>
    <row r="754" spans="1:8">
      <c r="A754" s="21"/>
      <c r="B754" s="28"/>
      <c r="C754" s="22"/>
      <c r="D754" s="28"/>
      <c r="E754" s="23" t="str">
        <f>IF($D754="","",IFERROR(VLOOKUP($D754,'ACAH Consumables Tracker'!$A:$H,8,FALSE()),""))</f>
        <v/>
      </c>
      <c r="F754" s="24"/>
      <c r="G754" s="25" t="str">
        <f>IF($D754="","",IFERROR(VLOOKUP($D754,'ACAH Consumables Tracker'!$A:$D,4,FALSE()),""))</f>
        <v/>
      </c>
      <c r="H754" s="22"/>
    </row>
    <row r="755" spans="1:8">
      <c r="A755" s="21"/>
      <c r="B755" s="28"/>
      <c r="C755" s="22"/>
      <c r="D755" s="28"/>
      <c r="E755" s="23" t="str">
        <f>IF($D755="","",IFERROR(VLOOKUP($D755,'ACAH Consumables Tracker'!$A:$H,8,FALSE()),""))</f>
        <v/>
      </c>
      <c r="F755" s="24"/>
      <c r="G755" s="25" t="str">
        <f>IF($D755="","",IFERROR(VLOOKUP($D755,'ACAH Consumables Tracker'!$A:$D,4,FALSE()),""))</f>
        <v/>
      </c>
      <c r="H755" s="22"/>
    </row>
    <row r="756" spans="1:8">
      <c r="A756" s="21"/>
      <c r="B756" s="28"/>
      <c r="C756" s="22"/>
      <c r="D756" s="28"/>
      <c r="E756" s="23" t="str">
        <f>IF($D756="","",IFERROR(VLOOKUP($D756,'ACAH Consumables Tracker'!$A:$H,8,FALSE()),""))</f>
        <v/>
      </c>
      <c r="F756" s="24"/>
      <c r="G756" s="25" t="str">
        <f>IF($D756="","",IFERROR(VLOOKUP($D756,'ACAH Consumables Tracker'!$A:$D,4,FALSE()),""))</f>
        <v/>
      </c>
      <c r="H756" s="22"/>
    </row>
    <row r="757" spans="1:8">
      <c r="A757" s="21"/>
      <c r="B757" s="28"/>
      <c r="C757" s="22"/>
      <c r="D757" s="28"/>
      <c r="E757" s="23" t="str">
        <f>IF($D757="","",IFERROR(VLOOKUP($D757,'ACAH Consumables Tracker'!$A:$H,8,FALSE()),""))</f>
        <v/>
      </c>
      <c r="F757" s="24"/>
      <c r="G757" s="25" t="str">
        <f>IF($D757="","",IFERROR(VLOOKUP($D757,'ACAH Consumables Tracker'!$A:$D,4,FALSE()),""))</f>
        <v/>
      </c>
      <c r="H757" s="22"/>
    </row>
    <row r="758" spans="1:8">
      <c r="A758" s="21"/>
      <c r="B758" s="28"/>
      <c r="C758" s="22"/>
      <c r="D758" s="28"/>
      <c r="E758" s="23" t="str">
        <f>IF($D758="","",IFERROR(VLOOKUP($D758,'ACAH Consumables Tracker'!$A:$H,8,FALSE()),""))</f>
        <v/>
      </c>
      <c r="F758" s="24"/>
      <c r="G758" s="25" t="str">
        <f>IF($D758="","",IFERROR(VLOOKUP($D758,'ACAH Consumables Tracker'!$A:$D,4,FALSE()),""))</f>
        <v/>
      </c>
      <c r="H758" s="22"/>
    </row>
    <row r="759" spans="1:8">
      <c r="A759" s="21"/>
      <c r="B759" s="28"/>
      <c r="C759" s="22"/>
      <c r="D759" s="28"/>
      <c r="E759" s="23" t="str">
        <f>IF($D759="","",IFERROR(VLOOKUP($D759,'ACAH Consumables Tracker'!$A:$H,8,FALSE()),""))</f>
        <v/>
      </c>
      <c r="F759" s="24"/>
      <c r="G759" s="25" t="str">
        <f>IF($D759="","",IFERROR(VLOOKUP($D759,'ACAH Consumables Tracker'!$A:$D,4,FALSE()),""))</f>
        <v/>
      </c>
      <c r="H759" s="22"/>
    </row>
    <row r="760" spans="1:8">
      <c r="A760" s="21"/>
      <c r="B760" s="28"/>
      <c r="C760" s="22"/>
      <c r="D760" s="28"/>
      <c r="E760" s="23" t="str">
        <f>IF($D760="","",IFERROR(VLOOKUP($D760,'ACAH Consumables Tracker'!$A:$H,8,FALSE()),""))</f>
        <v/>
      </c>
      <c r="F760" s="24"/>
      <c r="G760" s="25" t="str">
        <f>IF($D760="","",IFERROR(VLOOKUP($D760,'ACAH Consumables Tracker'!$A:$D,4,FALSE()),""))</f>
        <v/>
      </c>
      <c r="H760" s="22"/>
    </row>
    <row r="761" spans="1:8">
      <c r="A761" s="21"/>
      <c r="B761" s="28"/>
      <c r="C761" s="22"/>
      <c r="D761" s="28"/>
      <c r="E761" s="23" t="str">
        <f>IF($D761="","",IFERROR(VLOOKUP($D761,'ACAH Consumables Tracker'!$A:$H,8,FALSE()),""))</f>
        <v/>
      </c>
      <c r="F761" s="24"/>
      <c r="G761" s="25" t="str">
        <f>IF($D761="","",IFERROR(VLOOKUP($D761,'ACAH Consumables Tracker'!$A:$D,4,FALSE()),""))</f>
        <v/>
      </c>
      <c r="H761" s="22"/>
    </row>
    <row r="762" spans="1:8">
      <c r="A762" s="21"/>
      <c r="B762" s="28"/>
      <c r="C762" s="22"/>
      <c r="D762" s="28"/>
      <c r="E762" s="23" t="str">
        <f>IF($D762="","",IFERROR(VLOOKUP($D762,'ACAH Consumables Tracker'!$A:$H,8,FALSE()),""))</f>
        <v/>
      </c>
      <c r="F762" s="24"/>
      <c r="G762" s="25" t="str">
        <f>IF($D762="","",IFERROR(VLOOKUP($D762,'ACAH Consumables Tracker'!$A:$D,4,FALSE()),""))</f>
        <v/>
      </c>
      <c r="H762" s="22"/>
    </row>
    <row r="763" spans="1:8">
      <c r="A763" s="21"/>
      <c r="B763" s="28"/>
      <c r="C763" s="22"/>
      <c r="D763" s="28"/>
      <c r="E763" s="23" t="str">
        <f>IF($D763="","",IFERROR(VLOOKUP($D763,'ACAH Consumables Tracker'!$A:$H,8,FALSE()),""))</f>
        <v/>
      </c>
      <c r="F763" s="24"/>
      <c r="G763" s="25" t="str">
        <f>IF($D763="","",IFERROR(VLOOKUP($D763,'ACAH Consumables Tracker'!$A:$D,4,FALSE()),""))</f>
        <v/>
      </c>
      <c r="H763" s="22"/>
    </row>
    <row r="764" spans="1:8">
      <c r="A764" s="21"/>
      <c r="B764" s="28"/>
      <c r="C764" s="22"/>
      <c r="D764" s="28"/>
      <c r="E764" s="23" t="str">
        <f>IF($D764="","",IFERROR(VLOOKUP($D764,'ACAH Consumables Tracker'!$A:$H,8,FALSE()),""))</f>
        <v/>
      </c>
      <c r="F764" s="24"/>
      <c r="G764" s="25" t="str">
        <f>IF($D764="","",IFERROR(VLOOKUP($D764,'ACAH Consumables Tracker'!$A:$D,4,FALSE()),""))</f>
        <v/>
      </c>
      <c r="H764" s="22"/>
    </row>
    <row r="765" spans="1:8">
      <c r="A765" s="21"/>
      <c r="B765" s="28"/>
      <c r="C765" s="22"/>
      <c r="D765" s="28"/>
      <c r="E765" s="23" t="str">
        <f>IF($D765="","",IFERROR(VLOOKUP($D765,'ACAH Consumables Tracker'!$A:$H,8,FALSE()),""))</f>
        <v/>
      </c>
      <c r="F765" s="24"/>
      <c r="G765" s="25" t="str">
        <f>IF($D765="","",IFERROR(VLOOKUP($D765,'ACAH Consumables Tracker'!$A:$D,4,FALSE()),""))</f>
        <v/>
      </c>
      <c r="H765" s="22"/>
    </row>
    <row r="766" spans="1:8">
      <c r="A766" s="21"/>
      <c r="B766" s="28"/>
      <c r="C766" s="22"/>
      <c r="D766" s="28"/>
      <c r="E766" s="23" t="str">
        <f>IF($D766="","",IFERROR(VLOOKUP($D766,'ACAH Consumables Tracker'!$A:$H,8,FALSE()),""))</f>
        <v/>
      </c>
      <c r="F766" s="24"/>
      <c r="G766" s="25" t="str">
        <f>IF($D766="","",IFERROR(VLOOKUP($D766,'ACAH Consumables Tracker'!$A:$D,4,FALSE()),""))</f>
        <v/>
      </c>
      <c r="H766" s="22"/>
    </row>
    <row r="767" spans="1:8">
      <c r="A767" s="21"/>
      <c r="B767" s="28"/>
      <c r="C767" s="22"/>
      <c r="D767" s="28"/>
      <c r="E767" s="23" t="str">
        <f>IF($D767="","",IFERROR(VLOOKUP($D767,'ACAH Consumables Tracker'!$A:$H,8,FALSE()),""))</f>
        <v/>
      </c>
      <c r="F767" s="24"/>
      <c r="G767" s="25" t="str">
        <f>IF($D767="","",IFERROR(VLOOKUP($D767,'ACAH Consumables Tracker'!$A:$D,4,FALSE()),""))</f>
        <v/>
      </c>
      <c r="H767" s="22"/>
    </row>
    <row r="768" spans="1:8">
      <c r="A768" s="21"/>
      <c r="B768" s="28"/>
      <c r="C768" s="22"/>
      <c r="D768" s="28"/>
      <c r="E768" s="23" t="str">
        <f>IF($D768="","",IFERROR(VLOOKUP($D768,'ACAH Consumables Tracker'!$A:$H,8,FALSE()),""))</f>
        <v/>
      </c>
      <c r="F768" s="24"/>
      <c r="G768" s="25" t="str">
        <f>IF($D768="","",IFERROR(VLOOKUP($D768,'ACAH Consumables Tracker'!$A:$D,4,FALSE()),""))</f>
        <v/>
      </c>
      <c r="H768" s="22"/>
    </row>
    <row r="769" spans="1:8">
      <c r="A769" s="21"/>
      <c r="B769" s="28"/>
      <c r="C769" s="22"/>
      <c r="D769" s="28"/>
      <c r="E769" s="23" t="str">
        <f>IF($D769="","",IFERROR(VLOOKUP($D769,'ACAH Consumables Tracker'!$A:$H,8,FALSE()),""))</f>
        <v/>
      </c>
      <c r="F769" s="24"/>
      <c r="G769" s="25" t="str">
        <f>IF($D769="","",IFERROR(VLOOKUP($D769,'ACAH Consumables Tracker'!$A:$D,4,FALSE()),""))</f>
        <v/>
      </c>
      <c r="H769" s="22"/>
    </row>
    <row r="770" spans="1:8">
      <c r="A770" s="21"/>
      <c r="B770" s="28"/>
      <c r="C770" s="22"/>
      <c r="D770" s="28"/>
      <c r="E770" s="23" t="str">
        <f>IF($D770="","",IFERROR(VLOOKUP($D770,'ACAH Consumables Tracker'!$A:$H,8,FALSE()),""))</f>
        <v/>
      </c>
      <c r="F770" s="24"/>
      <c r="G770" s="25" t="str">
        <f>IF($D770="","",IFERROR(VLOOKUP($D770,'ACAH Consumables Tracker'!$A:$D,4,FALSE()),""))</f>
        <v/>
      </c>
      <c r="H770" s="22"/>
    </row>
    <row r="771" spans="1:8">
      <c r="A771" s="21"/>
      <c r="B771" s="28"/>
      <c r="C771" s="22"/>
      <c r="D771" s="28"/>
      <c r="E771" s="23" t="str">
        <f>IF($D771="","",IFERROR(VLOOKUP($D771,'ACAH Consumables Tracker'!$A:$H,8,FALSE()),""))</f>
        <v/>
      </c>
      <c r="F771" s="24"/>
      <c r="G771" s="25" t="str">
        <f>IF($D771="","",IFERROR(VLOOKUP($D771,'ACAH Consumables Tracker'!$A:$D,4,FALSE()),""))</f>
        <v/>
      </c>
      <c r="H771" s="22"/>
    </row>
    <row r="772" spans="1:8">
      <c r="A772" s="21"/>
      <c r="B772" s="28"/>
      <c r="C772" s="22"/>
      <c r="D772" s="28"/>
      <c r="E772" s="23" t="str">
        <f>IF($D772="","",IFERROR(VLOOKUP($D772,'ACAH Consumables Tracker'!$A:$H,8,FALSE()),""))</f>
        <v/>
      </c>
      <c r="F772" s="24"/>
      <c r="G772" s="25" t="str">
        <f>IF($D772="","",IFERROR(VLOOKUP($D772,'ACAH Consumables Tracker'!$A:$D,4,FALSE()),""))</f>
        <v/>
      </c>
      <c r="H772" s="22"/>
    </row>
    <row r="773" spans="1:8">
      <c r="A773" s="21"/>
      <c r="B773" s="28"/>
      <c r="C773" s="22"/>
      <c r="D773" s="28"/>
      <c r="E773" s="23" t="str">
        <f>IF($D773="","",IFERROR(VLOOKUP($D773,'ACAH Consumables Tracker'!$A:$H,8,FALSE()),""))</f>
        <v/>
      </c>
      <c r="F773" s="24"/>
      <c r="G773" s="25" t="str">
        <f>IF($D773="","",IFERROR(VLOOKUP($D773,'ACAH Consumables Tracker'!$A:$D,4,FALSE()),""))</f>
        <v/>
      </c>
      <c r="H773" s="22"/>
    </row>
    <row r="774" spans="1:8">
      <c r="A774" s="21"/>
      <c r="B774" s="28"/>
      <c r="C774" s="22"/>
      <c r="D774" s="28"/>
      <c r="E774" s="23" t="str">
        <f>IF($D774="","",IFERROR(VLOOKUP($D774,'ACAH Consumables Tracker'!$A:$H,8,FALSE()),""))</f>
        <v/>
      </c>
      <c r="F774" s="24"/>
      <c r="G774" s="25" t="str">
        <f>IF($D774="","",IFERROR(VLOOKUP($D774,'ACAH Consumables Tracker'!$A:$D,4,FALSE()),""))</f>
        <v/>
      </c>
      <c r="H774" s="22"/>
    </row>
    <row r="775" spans="1:8">
      <c r="A775" s="21"/>
      <c r="B775" s="28"/>
      <c r="C775" s="22"/>
      <c r="D775" s="28"/>
      <c r="E775" s="23" t="str">
        <f>IF($D775="","",IFERROR(VLOOKUP($D775,'ACAH Consumables Tracker'!$A:$H,8,FALSE()),""))</f>
        <v/>
      </c>
      <c r="F775" s="24"/>
      <c r="G775" s="25" t="str">
        <f>IF($D775="","",IFERROR(VLOOKUP($D775,'ACAH Consumables Tracker'!$A:$D,4,FALSE()),""))</f>
        <v/>
      </c>
      <c r="H775" s="22"/>
    </row>
    <row r="776" spans="1:8">
      <c r="A776" s="21"/>
      <c r="B776" s="28"/>
      <c r="C776" s="22"/>
      <c r="D776" s="28"/>
      <c r="E776" s="23" t="str">
        <f>IF($D776="","",IFERROR(VLOOKUP($D776,'ACAH Consumables Tracker'!$A:$H,8,FALSE()),""))</f>
        <v/>
      </c>
      <c r="F776" s="24"/>
      <c r="G776" s="25" t="str">
        <f>IF($D776="","",IFERROR(VLOOKUP($D776,'ACAH Consumables Tracker'!$A:$D,4,FALSE()),""))</f>
        <v/>
      </c>
      <c r="H776" s="22"/>
    </row>
    <row r="777" spans="1:8">
      <c r="A777" s="21"/>
      <c r="B777" s="28"/>
      <c r="C777" s="22"/>
      <c r="D777" s="28"/>
      <c r="E777" s="23" t="str">
        <f>IF($D777="","",IFERROR(VLOOKUP($D777,'ACAH Consumables Tracker'!$A:$H,8,FALSE()),""))</f>
        <v/>
      </c>
      <c r="F777" s="24"/>
      <c r="G777" s="25" t="str">
        <f>IF($D777="","",IFERROR(VLOOKUP($D777,'ACAH Consumables Tracker'!$A:$D,4,FALSE()),""))</f>
        <v/>
      </c>
      <c r="H777" s="22"/>
    </row>
    <row r="778" spans="1:8">
      <c r="A778" s="21"/>
      <c r="B778" s="28"/>
      <c r="C778" s="22"/>
      <c r="D778" s="28"/>
      <c r="E778" s="23" t="str">
        <f>IF($D778="","",IFERROR(VLOOKUP($D778,'ACAH Consumables Tracker'!$A:$H,8,FALSE()),""))</f>
        <v/>
      </c>
      <c r="F778" s="24"/>
      <c r="G778" s="25" t="str">
        <f>IF($D778="","",IFERROR(VLOOKUP($D778,'ACAH Consumables Tracker'!$A:$D,4,FALSE()),""))</f>
        <v/>
      </c>
      <c r="H778" s="22"/>
    </row>
    <row r="779" spans="1:8">
      <c r="A779" s="21"/>
      <c r="B779" s="28"/>
      <c r="C779" s="22"/>
      <c r="D779" s="28"/>
      <c r="E779" s="23" t="str">
        <f>IF($D779="","",IFERROR(VLOOKUP($D779,'ACAH Consumables Tracker'!$A:$H,8,FALSE()),""))</f>
        <v/>
      </c>
      <c r="F779" s="24"/>
      <c r="G779" s="25" t="str">
        <f>IF($D779="","",IFERROR(VLOOKUP($D779,'ACAH Consumables Tracker'!$A:$D,4,FALSE()),""))</f>
        <v/>
      </c>
      <c r="H779" s="22"/>
    </row>
    <row r="780" spans="1:8">
      <c r="A780" s="21"/>
      <c r="B780" s="28"/>
      <c r="C780" s="22"/>
      <c r="D780" s="28"/>
      <c r="E780" s="23" t="str">
        <f>IF($D780="","",IFERROR(VLOOKUP($D780,'ACAH Consumables Tracker'!$A:$H,8,FALSE()),""))</f>
        <v/>
      </c>
      <c r="F780" s="24"/>
      <c r="G780" s="25" t="str">
        <f>IF($D780="","",IFERROR(VLOOKUP($D780,'ACAH Consumables Tracker'!$A:$D,4,FALSE()),""))</f>
        <v/>
      </c>
      <c r="H780" s="22"/>
    </row>
    <row r="781" spans="1:8">
      <c r="A781" s="21"/>
      <c r="B781" s="28"/>
      <c r="C781" s="22"/>
      <c r="D781" s="28"/>
      <c r="E781" s="23" t="str">
        <f>IF($D781="","",IFERROR(VLOOKUP($D781,'ACAH Consumables Tracker'!$A:$H,8,FALSE()),""))</f>
        <v/>
      </c>
      <c r="F781" s="24"/>
      <c r="G781" s="25" t="str">
        <f>IF($D781="","",IFERROR(VLOOKUP($D781,'ACAH Consumables Tracker'!$A:$D,4,FALSE()),""))</f>
        <v/>
      </c>
      <c r="H781" s="22"/>
    </row>
    <row r="782" spans="1:8">
      <c r="A782" s="21"/>
      <c r="B782" s="28"/>
      <c r="C782" s="22"/>
      <c r="D782" s="28"/>
      <c r="E782" s="23" t="str">
        <f>IF($D782="","",IFERROR(VLOOKUP($D782,'ACAH Consumables Tracker'!$A:$H,8,FALSE()),""))</f>
        <v/>
      </c>
      <c r="F782" s="24"/>
      <c r="G782" s="25" t="str">
        <f>IF($D782="","",IFERROR(VLOOKUP($D782,'ACAH Consumables Tracker'!$A:$D,4,FALSE()),""))</f>
        <v/>
      </c>
      <c r="H782" s="22"/>
    </row>
    <row r="783" spans="1:8">
      <c r="A783" s="21"/>
      <c r="B783" s="28"/>
      <c r="C783" s="22"/>
      <c r="D783" s="28"/>
      <c r="E783" s="23" t="str">
        <f>IF($D783="","",IFERROR(VLOOKUP($D783,'ACAH Consumables Tracker'!$A:$H,8,FALSE()),""))</f>
        <v/>
      </c>
      <c r="F783" s="24"/>
      <c r="G783" s="25" t="str">
        <f>IF($D783="","",IFERROR(VLOOKUP($D783,'ACAH Consumables Tracker'!$A:$D,4,FALSE()),""))</f>
        <v/>
      </c>
      <c r="H783" s="22"/>
    </row>
    <row r="784" spans="1:8">
      <c r="A784" s="21"/>
      <c r="B784" s="28"/>
      <c r="C784" s="22"/>
      <c r="D784" s="28"/>
      <c r="E784" s="23" t="str">
        <f>IF($D784="","",IFERROR(VLOOKUP($D784,'ACAH Consumables Tracker'!$A:$H,8,FALSE()),""))</f>
        <v/>
      </c>
      <c r="F784" s="24"/>
      <c r="G784" s="25" t="str">
        <f>IF($D784="","",IFERROR(VLOOKUP($D784,'ACAH Consumables Tracker'!$A:$D,4,FALSE()),""))</f>
        <v/>
      </c>
      <c r="H784" s="22"/>
    </row>
    <row r="785" spans="1:8">
      <c r="A785" s="21"/>
      <c r="B785" s="28"/>
      <c r="C785" s="22"/>
      <c r="D785" s="28"/>
      <c r="E785" s="23" t="str">
        <f>IF($D785="","",IFERROR(VLOOKUP($D785,'ACAH Consumables Tracker'!$A:$H,8,FALSE()),""))</f>
        <v/>
      </c>
      <c r="F785" s="24"/>
      <c r="G785" s="25" t="str">
        <f>IF($D785="","",IFERROR(VLOOKUP($D785,'ACAH Consumables Tracker'!$A:$D,4,FALSE()),""))</f>
        <v/>
      </c>
      <c r="H785" s="22"/>
    </row>
    <row r="786" spans="1:8">
      <c r="A786" s="21"/>
      <c r="B786" s="28"/>
      <c r="C786" s="22"/>
      <c r="D786" s="28"/>
      <c r="E786" s="23" t="str">
        <f>IF($D786="","",IFERROR(VLOOKUP($D786,'ACAH Consumables Tracker'!$A:$H,8,FALSE()),""))</f>
        <v/>
      </c>
      <c r="F786" s="24"/>
      <c r="G786" s="25" t="str">
        <f>IF($D786="","",IFERROR(VLOOKUP($D786,'ACAH Consumables Tracker'!$A:$D,4,FALSE()),""))</f>
        <v/>
      </c>
      <c r="H786" s="22"/>
    </row>
    <row r="787" spans="1:8">
      <c r="A787" s="21"/>
      <c r="B787" s="28"/>
      <c r="C787" s="22"/>
      <c r="D787" s="28"/>
      <c r="E787" s="23" t="str">
        <f>IF($D787="","",IFERROR(VLOOKUP($D787,'ACAH Consumables Tracker'!$A:$H,8,FALSE()),""))</f>
        <v/>
      </c>
      <c r="F787" s="24"/>
      <c r="G787" s="25" t="str">
        <f>IF($D787="","",IFERROR(VLOOKUP($D787,'ACAH Consumables Tracker'!$A:$D,4,FALSE()),""))</f>
        <v/>
      </c>
      <c r="H787" s="22"/>
    </row>
    <row r="788" spans="1:8">
      <c r="A788" s="21"/>
      <c r="B788" s="28"/>
      <c r="C788" s="22"/>
      <c r="D788" s="28"/>
      <c r="E788" s="23" t="str">
        <f>IF($D788="","",IFERROR(VLOOKUP($D788,'ACAH Consumables Tracker'!$A:$H,8,FALSE()),""))</f>
        <v/>
      </c>
      <c r="F788" s="24"/>
      <c r="G788" s="25" t="str">
        <f>IF($D788="","",IFERROR(VLOOKUP($D788,'ACAH Consumables Tracker'!$A:$D,4,FALSE()),""))</f>
        <v/>
      </c>
      <c r="H788" s="22"/>
    </row>
    <row r="789" spans="1:8">
      <c r="A789" s="21"/>
      <c r="B789" s="28"/>
      <c r="C789" s="22"/>
      <c r="D789" s="28"/>
      <c r="E789" s="23" t="str">
        <f>IF($D789="","",IFERROR(VLOOKUP($D789,'ACAH Consumables Tracker'!$A:$H,8,FALSE()),""))</f>
        <v/>
      </c>
      <c r="F789" s="24"/>
      <c r="G789" s="25" t="str">
        <f>IF($D789="","",IFERROR(VLOOKUP($D789,'ACAH Consumables Tracker'!$A:$D,4,FALSE()),""))</f>
        <v/>
      </c>
      <c r="H789" s="22"/>
    </row>
    <row r="790" spans="1:8">
      <c r="A790" s="21"/>
      <c r="B790" s="28"/>
      <c r="C790" s="22"/>
      <c r="D790" s="28"/>
      <c r="E790" s="23" t="str">
        <f>IF($D790="","",IFERROR(VLOOKUP($D790,'ACAH Consumables Tracker'!$A:$H,8,FALSE()),""))</f>
        <v/>
      </c>
      <c r="F790" s="24"/>
      <c r="G790" s="25" t="str">
        <f>IF($D790="","",IFERROR(VLOOKUP($D790,'ACAH Consumables Tracker'!$A:$D,4,FALSE()),""))</f>
        <v/>
      </c>
      <c r="H790" s="22"/>
    </row>
    <row r="791" spans="1:8">
      <c r="A791" s="21"/>
      <c r="B791" s="28"/>
      <c r="C791" s="22"/>
      <c r="D791" s="28"/>
      <c r="E791" s="23" t="str">
        <f>IF($D791="","",IFERROR(VLOOKUP($D791,'ACAH Consumables Tracker'!$A:$H,8,FALSE()),""))</f>
        <v/>
      </c>
      <c r="F791" s="24"/>
      <c r="G791" s="25" t="str">
        <f>IF($D791="","",IFERROR(VLOOKUP($D791,'ACAH Consumables Tracker'!$A:$D,4,FALSE()),""))</f>
        <v/>
      </c>
      <c r="H791" s="22"/>
    </row>
    <row r="792" spans="1:8">
      <c r="A792" s="21"/>
      <c r="B792" s="28"/>
      <c r="C792" s="22"/>
      <c r="D792" s="28"/>
      <c r="E792" s="23" t="str">
        <f>IF($D792="","",IFERROR(VLOOKUP($D792,'ACAH Consumables Tracker'!$A:$H,8,FALSE()),""))</f>
        <v/>
      </c>
      <c r="F792" s="24"/>
      <c r="G792" s="25" t="str">
        <f>IF($D792="","",IFERROR(VLOOKUP($D792,'ACAH Consumables Tracker'!$A:$D,4,FALSE()),""))</f>
        <v/>
      </c>
      <c r="H792" s="22"/>
    </row>
    <row r="793" spans="1:8">
      <c r="A793" s="21"/>
      <c r="B793" s="28"/>
      <c r="C793" s="22"/>
      <c r="D793" s="28"/>
      <c r="E793" s="23" t="str">
        <f>IF($D793="","",IFERROR(VLOOKUP($D793,'ACAH Consumables Tracker'!$A:$H,8,FALSE()),""))</f>
        <v/>
      </c>
      <c r="F793" s="24"/>
      <c r="G793" s="25" t="str">
        <f>IF($D793="","",IFERROR(VLOOKUP($D793,'ACAH Consumables Tracker'!$A:$D,4,FALSE()),""))</f>
        <v/>
      </c>
      <c r="H793" s="22"/>
    </row>
    <row r="794" spans="1:8">
      <c r="A794" s="21"/>
      <c r="B794" s="28"/>
      <c r="C794" s="22"/>
      <c r="D794" s="28"/>
      <c r="E794" s="23" t="str">
        <f>IF($D794="","",IFERROR(VLOOKUP($D794,'ACAH Consumables Tracker'!$A:$H,8,FALSE()),""))</f>
        <v/>
      </c>
      <c r="F794" s="24"/>
      <c r="G794" s="25" t="str">
        <f>IF($D794="","",IFERROR(VLOOKUP($D794,'ACAH Consumables Tracker'!$A:$D,4,FALSE()),""))</f>
        <v/>
      </c>
      <c r="H794" s="22"/>
    </row>
    <row r="795" spans="1:8">
      <c r="A795" s="21"/>
      <c r="B795" s="28"/>
      <c r="C795" s="22"/>
      <c r="D795" s="28"/>
      <c r="E795" s="23" t="str">
        <f>IF($D795="","",IFERROR(VLOOKUP($D795,'ACAH Consumables Tracker'!$A:$H,8,FALSE()),""))</f>
        <v/>
      </c>
      <c r="F795" s="24"/>
      <c r="G795" s="25" t="str">
        <f>IF($D795="","",IFERROR(VLOOKUP($D795,'ACAH Consumables Tracker'!$A:$D,4,FALSE()),""))</f>
        <v/>
      </c>
      <c r="H795" s="22"/>
    </row>
    <row r="796" spans="1:8">
      <c r="A796" s="21"/>
      <c r="B796" s="28"/>
      <c r="C796" s="22"/>
      <c r="D796" s="28"/>
      <c r="E796" s="23" t="str">
        <f>IF($D796="","",IFERROR(VLOOKUP($D796,'ACAH Consumables Tracker'!$A:$H,8,FALSE()),""))</f>
        <v/>
      </c>
      <c r="F796" s="24"/>
      <c r="G796" s="25" t="str">
        <f>IF($D796="","",IFERROR(VLOOKUP($D796,'ACAH Consumables Tracker'!$A:$D,4,FALSE()),""))</f>
        <v/>
      </c>
      <c r="H796" s="22"/>
    </row>
    <row r="797" spans="1:8">
      <c r="A797" s="21"/>
      <c r="B797" s="28"/>
      <c r="C797" s="22"/>
      <c r="D797" s="28"/>
      <c r="E797" s="23" t="str">
        <f>IF($D797="","",IFERROR(VLOOKUP($D797,'ACAH Consumables Tracker'!$A:$H,8,FALSE()),""))</f>
        <v/>
      </c>
      <c r="F797" s="24"/>
      <c r="G797" s="25" t="str">
        <f>IF($D797="","",IFERROR(VLOOKUP($D797,'ACAH Consumables Tracker'!$A:$D,4,FALSE()),""))</f>
        <v/>
      </c>
      <c r="H797" s="22"/>
    </row>
    <row r="798" spans="1:8">
      <c r="A798" s="21"/>
      <c r="B798" s="28"/>
      <c r="C798" s="22"/>
      <c r="D798" s="28"/>
      <c r="E798" s="23" t="str">
        <f>IF($D798="","",IFERROR(VLOOKUP($D798,'ACAH Consumables Tracker'!$A:$H,8,FALSE()),""))</f>
        <v/>
      </c>
      <c r="F798" s="24"/>
      <c r="G798" s="25" t="str">
        <f>IF($D798="","",IFERROR(VLOOKUP($D798,'ACAH Consumables Tracker'!$A:$D,4,FALSE()),""))</f>
        <v/>
      </c>
      <c r="H798" s="22"/>
    </row>
    <row r="799" spans="1:8">
      <c r="A799" s="21"/>
      <c r="B799" s="28"/>
      <c r="C799" s="22"/>
      <c r="D799" s="28"/>
      <c r="E799" s="23" t="str">
        <f>IF($D799="","",IFERROR(VLOOKUP($D799,'ACAH Consumables Tracker'!$A:$H,8,FALSE()),""))</f>
        <v/>
      </c>
      <c r="F799" s="24"/>
      <c r="G799" s="25" t="str">
        <f>IF($D799="","",IFERROR(VLOOKUP($D799,'ACAH Consumables Tracker'!$A:$D,4,FALSE()),""))</f>
        <v/>
      </c>
      <c r="H799" s="22"/>
    </row>
    <row r="800" spans="1:8">
      <c r="A800" s="21"/>
      <c r="B800" s="28"/>
      <c r="C800" s="22"/>
      <c r="D800" s="28"/>
      <c r="E800" s="23" t="str">
        <f>IF($D800="","",IFERROR(VLOOKUP($D800,'ACAH Consumables Tracker'!$A:$H,8,FALSE()),""))</f>
        <v/>
      </c>
      <c r="F800" s="24"/>
      <c r="G800" s="25" t="str">
        <f>IF($D800="","",IFERROR(VLOOKUP($D800,'ACAH Consumables Tracker'!$A:$D,4,FALSE()),""))</f>
        <v/>
      </c>
      <c r="H800" s="22"/>
    </row>
    <row r="801" spans="1:8">
      <c r="A801" s="21"/>
      <c r="B801" s="28"/>
      <c r="C801" s="22"/>
      <c r="D801" s="28"/>
      <c r="E801" s="23" t="str">
        <f>IF($D801="","",IFERROR(VLOOKUP($D801,'ACAH Consumables Tracker'!$A:$H,8,FALSE()),""))</f>
        <v/>
      </c>
      <c r="F801" s="24"/>
      <c r="G801" s="25" t="str">
        <f>IF($D801="","",IFERROR(VLOOKUP($D801,'ACAH Consumables Tracker'!$A:$D,4,FALSE()),""))</f>
        <v/>
      </c>
      <c r="H801" s="22"/>
    </row>
    <row r="802" spans="1:8">
      <c r="A802" s="21"/>
      <c r="B802" s="28"/>
      <c r="C802" s="22"/>
      <c r="D802" s="28"/>
      <c r="E802" s="23" t="str">
        <f>IF($D802="","",IFERROR(VLOOKUP($D802,'ACAH Consumables Tracker'!$A:$H,8,FALSE()),""))</f>
        <v/>
      </c>
      <c r="F802" s="24"/>
      <c r="G802" s="25" t="str">
        <f>IF($D802="","",IFERROR(VLOOKUP($D802,'ACAH Consumables Tracker'!$A:$D,4,FALSE()),""))</f>
        <v/>
      </c>
      <c r="H802" s="22"/>
    </row>
    <row r="803" spans="1:8">
      <c r="A803" s="21"/>
      <c r="B803" s="28"/>
      <c r="C803" s="22"/>
      <c r="D803" s="28"/>
      <c r="E803" s="23" t="str">
        <f>IF($D803="","",IFERROR(VLOOKUP($D803,'ACAH Consumables Tracker'!$A:$H,8,FALSE()),""))</f>
        <v/>
      </c>
      <c r="F803" s="24"/>
      <c r="G803" s="25" t="str">
        <f>IF($D803="","",IFERROR(VLOOKUP($D803,'ACAH Consumables Tracker'!$A:$D,4,FALSE()),""))</f>
        <v/>
      </c>
      <c r="H803" s="22"/>
    </row>
    <row r="804" spans="1:8">
      <c r="A804" s="21"/>
      <c r="B804" s="28"/>
      <c r="C804" s="22"/>
      <c r="D804" s="28"/>
      <c r="E804" s="23" t="str">
        <f>IF($D804="","",IFERROR(VLOOKUP($D804,'ACAH Consumables Tracker'!$A:$H,8,FALSE()),""))</f>
        <v/>
      </c>
      <c r="F804" s="24"/>
      <c r="G804" s="25" t="str">
        <f>IF($D804="","",IFERROR(VLOOKUP($D804,'ACAH Consumables Tracker'!$A:$D,4,FALSE()),""))</f>
        <v/>
      </c>
      <c r="H804" s="22"/>
    </row>
    <row r="805" spans="1:8">
      <c r="A805" s="21"/>
      <c r="B805" s="28"/>
      <c r="C805" s="22"/>
      <c r="D805" s="28"/>
      <c r="E805" s="23" t="str">
        <f>IF($D805="","",IFERROR(VLOOKUP($D805,'ACAH Consumables Tracker'!$A:$H,8,FALSE()),""))</f>
        <v/>
      </c>
      <c r="F805" s="24"/>
      <c r="G805" s="25" t="str">
        <f>IF($D805="","",IFERROR(VLOOKUP($D805,'ACAH Consumables Tracker'!$A:$D,4,FALSE()),""))</f>
        <v/>
      </c>
      <c r="H805" s="22"/>
    </row>
    <row r="806" spans="1:8">
      <c r="A806" s="21"/>
      <c r="B806" s="28"/>
      <c r="C806" s="22"/>
      <c r="D806" s="28"/>
      <c r="E806" s="23" t="str">
        <f>IF($D806="","",IFERROR(VLOOKUP($D806,'ACAH Consumables Tracker'!$A:$H,8,FALSE()),""))</f>
        <v/>
      </c>
      <c r="F806" s="24"/>
      <c r="G806" s="25" t="str">
        <f>IF($D806="","",IFERROR(VLOOKUP($D806,'ACAH Consumables Tracker'!$A:$D,4,FALSE()),""))</f>
        <v/>
      </c>
      <c r="H806" s="22"/>
    </row>
    <row r="807" spans="1:8">
      <c r="A807" s="21"/>
      <c r="B807" s="28"/>
      <c r="C807" s="22"/>
      <c r="D807" s="28"/>
      <c r="E807" s="23" t="str">
        <f>IF($D807="","",IFERROR(VLOOKUP($D807,'ACAH Consumables Tracker'!$A:$H,8,FALSE()),""))</f>
        <v/>
      </c>
      <c r="F807" s="24"/>
      <c r="G807" s="25" t="str">
        <f>IF($D807="","",IFERROR(VLOOKUP($D807,'ACAH Consumables Tracker'!$A:$D,4,FALSE()),""))</f>
        <v/>
      </c>
      <c r="H807" s="22"/>
    </row>
    <row r="808" spans="1:8">
      <c r="A808" s="21"/>
      <c r="B808" s="28"/>
      <c r="C808" s="22"/>
      <c r="D808" s="28"/>
      <c r="E808" s="23" t="str">
        <f>IF($D808="","",IFERROR(VLOOKUP($D808,'ACAH Consumables Tracker'!$A:$H,8,FALSE()),""))</f>
        <v/>
      </c>
      <c r="F808" s="24"/>
      <c r="G808" s="25" t="str">
        <f>IF($D808="","",IFERROR(VLOOKUP($D808,'ACAH Consumables Tracker'!$A:$D,4,FALSE()),""))</f>
        <v/>
      </c>
      <c r="H808" s="22"/>
    </row>
    <row r="809" spans="1:8">
      <c r="A809" s="21"/>
      <c r="B809" s="28"/>
      <c r="C809" s="22"/>
      <c r="D809" s="28"/>
      <c r="E809" s="23" t="str">
        <f>IF($D809="","",IFERROR(VLOOKUP($D809,'ACAH Consumables Tracker'!$A:$H,8,FALSE()),""))</f>
        <v/>
      </c>
      <c r="F809" s="24"/>
      <c r="G809" s="25" t="str">
        <f>IF($D809="","",IFERROR(VLOOKUP($D809,'ACAH Consumables Tracker'!$A:$D,4,FALSE()),""))</f>
        <v/>
      </c>
      <c r="H809" s="22"/>
    </row>
    <row r="810" spans="1:8">
      <c r="A810" s="21"/>
      <c r="B810" s="28"/>
      <c r="C810" s="22"/>
      <c r="D810" s="28"/>
      <c r="E810" s="23" t="str">
        <f>IF($D810="","",IFERROR(VLOOKUP($D810,'ACAH Consumables Tracker'!$A:$H,8,FALSE()),""))</f>
        <v/>
      </c>
      <c r="F810" s="24"/>
      <c r="G810" s="25" t="str">
        <f>IF($D810="","",IFERROR(VLOOKUP($D810,'ACAH Consumables Tracker'!$A:$D,4,FALSE()),""))</f>
        <v/>
      </c>
      <c r="H810" s="22"/>
    </row>
    <row r="811" spans="1:8">
      <c r="A811" s="21"/>
      <c r="B811" s="28"/>
      <c r="C811" s="22"/>
      <c r="D811" s="28"/>
      <c r="E811" s="23" t="str">
        <f>IF($D811="","",IFERROR(VLOOKUP($D811,'ACAH Consumables Tracker'!$A:$H,8,FALSE()),""))</f>
        <v/>
      </c>
      <c r="F811" s="24"/>
      <c r="G811" s="25" t="str">
        <f>IF($D811="","",IFERROR(VLOOKUP($D811,'ACAH Consumables Tracker'!$A:$D,4,FALSE()),""))</f>
        <v/>
      </c>
      <c r="H811" s="22"/>
    </row>
    <row r="812" spans="1:8">
      <c r="A812" s="21"/>
      <c r="B812" s="28"/>
      <c r="C812" s="22"/>
      <c r="D812" s="28"/>
      <c r="E812" s="23" t="str">
        <f>IF($D812="","",IFERROR(VLOOKUP($D812,'ACAH Consumables Tracker'!$A:$H,8,FALSE()),""))</f>
        <v/>
      </c>
      <c r="F812" s="24"/>
      <c r="G812" s="25" t="str">
        <f>IF($D812="","",IFERROR(VLOOKUP($D812,'ACAH Consumables Tracker'!$A:$D,4,FALSE()),""))</f>
        <v/>
      </c>
      <c r="H812" s="22"/>
    </row>
    <row r="813" spans="1:8">
      <c r="A813" s="21"/>
      <c r="B813" s="28"/>
      <c r="C813" s="22"/>
      <c r="D813" s="28"/>
      <c r="E813" s="23" t="str">
        <f>IF($D813="","",IFERROR(VLOOKUP($D813,'ACAH Consumables Tracker'!$A:$H,8,FALSE()),""))</f>
        <v/>
      </c>
      <c r="F813" s="24"/>
      <c r="G813" s="25" t="str">
        <f>IF($D813="","",IFERROR(VLOOKUP($D813,'ACAH Consumables Tracker'!$A:$D,4,FALSE()),""))</f>
        <v/>
      </c>
      <c r="H813" s="22"/>
    </row>
    <row r="814" spans="1:8">
      <c r="A814" s="21"/>
      <c r="B814" s="28"/>
      <c r="C814" s="22"/>
      <c r="D814" s="28"/>
      <c r="E814" s="23" t="str">
        <f>IF($D814="","",IFERROR(VLOOKUP($D814,'ACAH Consumables Tracker'!$A:$H,8,FALSE()),""))</f>
        <v/>
      </c>
      <c r="F814" s="24"/>
      <c r="G814" s="25" t="str">
        <f>IF($D814="","",IFERROR(VLOOKUP($D814,'ACAH Consumables Tracker'!$A:$D,4,FALSE()),""))</f>
        <v/>
      </c>
      <c r="H814" s="22"/>
    </row>
    <row r="815" spans="1:8">
      <c r="A815" s="21"/>
      <c r="B815" s="28"/>
      <c r="C815" s="22"/>
      <c r="D815" s="28"/>
      <c r="E815" s="23" t="str">
        <f>IF($D815="","",IFERROR(VLOOKUP($D815,'ACAH Consumables Tracker'!$A:$H,8,FALSE()),""))</f>
        <v/>
      </c>
      <c r="F815" s="24"/>
      <c r="G815" s="25" t="str">
        <f>IF($D815="","",IFERROR(VLOOKUP($D815,'ACAH Consumables Tracker'!$A:$D,4,FALSE()),""))</f>
        <v/>
      </c>
      <c r="H815" s="22"/>
    </row>
    <row r="816" spans="1:8">
      <c r="A816" s="21"/>
      <c r="B816" s="28"/>
      <c r="C816" s="22"/>
      <c r="D816" s="28"/>
      <c r="E816" s="23" t="str">
        <f>IF($D816="","",IFERROR(VLOOKUP($D816,'ACAH Consumables Tracker'!$A:$H,8,FALSE()),""))</f>
        <v/>
      </c>
      <c r="F816" s="24"/>
      <c r="G816" s="25" t="str">
        <f>IF($D816="","",IFERROR(VLOOKUP($D816,'ACAH Consumables Tracker'!$A:$D,4,FALSE()),""))</f>
        <v/>
      </c>
      <c r="H816" s="22"/>
    </row>
    <row r="817" spans="1:8">
      <c r="A817" s="21"/>
      <c r="B817" s="28"/>
      <c r="C817" s="22"/>
      <c r="D817" s="28"/>
      <c r="E817" s="23" t="str">
        <f>IF($D817="","",IFERROR(VLOOKUP($D817,'ACAH Consumables Tracker'!$A:$H,8,FALSE()),""))</f>
        <v/>
      </c>
      <c r="F817" s="24"/>
      <c r="G817" s="25" t="str">
        <f>IF($D817="","",IFERROR(VLOOKUP($D817,'ACAH Consumables Tracker'!$A:$D,4,FALSE()),""))</f>
        <v/>
      </c>
      <c r="H817" s="22"/>
    </row>
    <row r="818" spans="1:8">
      <c r="A818" s="21"/>
      <c r="B818" s="28"/>
      <c r="C818" s="22"/>
      <c r="D818" s="28"/>
      <c r="E818" s="23" t="str">
        <f>IF($D818="","",IFERROR(VLOOKUP($D818,'ACAH Consumables Tracker'!$A:$H,8,FALSE()),""))</f>
        <v/>
      </c>
      <c r="F818" s="24"/>
      <c r="G818" s="25" t="str">
        <f>IF($D818="","",IFERROR(VLOOKUP($D818,'ACAH Consumables Tracker'!$A:$D,4,FALSE()),""))</f>
        <v/>
      </c>
      <c r="H818" s="22"/>
    </row>
    <row r="819" spans="1:8">
      <c r="A819" s="21"/>
      <c r="B819" s="28"/>
      <c r="C819" s="22"/>
      <c r="D819" s="28"/>
      <c r="E819" s="23" t="str">
        <f>IF($D819="","",IFERROR(VLOOKUP($D819,'ACAH Consumables Tracker'!$A:$H,8,FALSE()),""))</f>
        <v/>
      </c>
      <c r="F819" s="24"/>
      <c r="G819" s="25" t="str">
        <f>IF($D819="","",IFERROR(VLOOKUP($D819,'ACAH Consumables Tracker'!$A:$D,4,FALSE()),""))</f>
        <v/>
      </c>
      <c r="H819" s="22"/>
    </row>
    <row r="820" spans="1:8">
      <c r="A820" s="21"/>
      <c r="B820" s="28"/>
      <c r="C820" s="22"/>
      <c r="D820" s="28"/>
      <c r="E820" s="23" t="str">
        <f>IF($D820="","",IFERROR(VLOOKUP($D820,'ACAH Consumables Tracker'!$A:$H,8,FALSE()),""))</f>
        <v/>
      </c>
      <c r="F820" s="24"/>
      <c r="G820" s="25" t="str">
        <f>IF($D820="","",IFERROR(VLOOKUP($D820,'ACAH Consumables Tracker'!$A:$D,4,FALSE()),""))</f>
        <v/>
      </c>
      <c r="H820" s="22"/>
    </row>
    <row r="821" spans="1:8">
      <c r="A821" s="21"/>
      <c r="B821" s="28"/>
      <c r="C821" s="22"/>
      <c r="D821" s="28"/>
      <c r="E821" s="23" t="str">
        <f>IF($D821="","",IFERROR(VLOOKUP($D821,'ACAH Consumables Tracker'!$A:$H,8,FALSE()),""))</f>
        <v/>
      </c>
      <c r="F821" s="24"/>
      <c r="G821" s="25" t="str">
        <f>IF($D821="","",IFERROR(VLOOKUP($D821,'ACAH Consumables Tracker'!$A:$D,4,FALSE()),""))</f>
        <v/>
      </c>
      <c r="H821" s="22"/>
    </row>
    <row r="822" spans="1:8">
      <c r="A822" s="21"/>
      <c r="B822" s="28"/>
      <c r="C822" s="22"/>
      <c r="D822" s="28"/>
      <c r="E822" s="23" t="str">
        <f>IF($D822="","",IFERROR(VLOOKUP($D822,'ACAH Consumables Tracker'!$A:$H,8,FALSE()),""))</f>
        <v/>
      </c>
      <c r="F822" s="24"/>
      <c r="G822" s="25" t="str">
        <f>IF($D822="","",IFERROR(VLOOKUP($D822,'ACAH Consumables Tracker'!$A:$D,4,FALSE()),""))</f>
        <v/>
      </c>
      <c r="H822" s="22"/>
    </row>
    <row r="823" spans="1:8">
      <c r="A823" s="21"/>
      <c r="B823" s="28"/>
      <c r="C823" s="22"/>
      <c r="D823" s="28"/>
      <c r="E823" s="23" t="str">
        <f>IF($D823="","",IFERROR(VLOOKUP($D823,'ACAH Consumables Tracker'!$A:$H,8,FALSE()),""))</f>
        <v/>
      </c>
      <c r="F823" s="24"/>
      <c r="G823" s="25" t="str">
        <f>IF($D823="","",IFERROR(VLOOKUP($D823,'ACAH Consumables Tracker'!$A:$D,4,FALSE()),""))</f>
        <v/>
      </c>
      <c r="H823" s="22"/>
    </row>
    <row r="824" spans="1:8">
      <c r="A824" s="21"/>
      <c r="B824" s="28"/>
      <c r="C824" s="22"/>
      <c r="D824" s="28"/>
      <c r="E824" s="23" t="str">
        <f>IF($D824="","",IFERROR(VLOOKUP($D824,'ACAH Consumables Tracker'!$A:$H,8,FALSE()),""))</f>
        <v/>
      </c>
      <c r="F824" s="24"/>
      <c r="G824" s="25" t="str">
        <f>IF($D824="","",IFERROR(VLOOKUP($D824,'ACAH Consumables Tracker'!$A:$D,4,FALSE()),""))</f>
        <v/>
      </c>
      <c r="H824" s="22"/>
    </row>
    <row r="825" spans="1:8">
      <c r="A825" s="21"/>
      <c r="B825" s="28"/>
      <c r="C825" s="22"/>
      <c r="D825" s="28"/>
      <c r="E825" s="23" t="str">
        <f>IF($D825="","",IFERROR(VLOOKUP($D825,'ACAH Consumables Tracker'!$A:$H,8,FALSE()),""))</f>
        <v/>
      </c>
      <c r="F825" s="24"/>
      <c r="G825" s="25" t="str">
        <f>IF($D825="","",IFERROR(VLOOKUP($D825,'ACAH Consumables Tracker'!$A:$D,4,FALSE()),""))</f>
        <v/>
      </c>
      <c r="H825" s="22"/>
    </row>
    <row r="826" spans="1:8">
      <c r="A826" s="21"/>
      <c r="B826" s="28"/>
      <c r="C826" s="22"/>
      <c r="D826" s="28"/>
      <c r="E826" s="23" t="str">
        <f>IF($D826="","",IFERROR(VLOOKUP($D826,'ACAH Consumables Tracker'!$A:$H,8,FALSE()),""))</f>
        <v/>
      </c>
      <c r="F826" s="24"/>
      <c r="G826" s="25" t="str">
        <f>IF($D826="","",IFERROR(VLOOKUP($D826,'ACAH Consumables Tracker'!$A:$D,4,FALSE()),""))</f>
        <v/>
      </c>
      <c r="H826" s="22"/>
    </row>
    <row r="827" spans="1:8">
      <c r="A827" s="21"/>
      <c r="B827" s="28"/>
      <c r="C827" s="22"/>
      <c r="D827" s="28"/>
      <c r="E827" s="23" t="str">
        <f>IF($D827="","",IFERROR(VLOOKUP($D827,'ACAH Consumables Tracker'!$A:$H,8,FALSE()),""))</f>
        <v/>
      </c>
      <c r="F827" s="24"/>
      <c r="G827" s="25" t="str">
        <f>IF($D827="","",IFERROR(VLOOKUP($D827,'ACAH Consumables Tracker'!$A:$D,4,FALSE()),""))</f>
        <v/>
      </c>
      <c r="H827" s="22"/>
    </row>
    <row r="828" spans="1:8">
      <c r="A828" s="21"/>
      <c r="B828" s="28"/>
      <c r="C828" s="22"/>
      <c r="D828" s="28"/>
      <c r="E828" s="23" t="str">
        <f>IF($D828="","",IFERROR(VLOOKUP($D828,'ACAH Consumables Tracker'!$A:$H,8,FALSE()),""))</f>
        <v/>
      </c>
      <c r="F828" s="24"/>
      <c r="G828" s="25" t="str">
        <f>IF($D828="","",IFERROR(VLOOKUP($D828,'ACAH Consumables Tracker'!$A:$D,4,FALSE()),""))</f>
        <v/>
      </c>
      <c r="H828" s="22"/>
    </row>
    <row r="829" spans="1:8">
      <c r="A829" s="21"/>
      <c r="B829" s="28"/>
      <c r="C829" s="22"/>
      <c r="D829" s="28"/>
      <c r="E829" s="23" t="str">
        <f>IF($D829="","",IFERROR(VLOOKUP($D829,'ACAH Consumables Tracker'!$A:$H,8,FALSE()),""))</f>
        <v/>
      </c>
      <c r="F829" s="24"/>
      <c r="G829" s="25" t="str">
        <f>IF($D829="","",IFERROR(VLOOKUP($D829,'ACAH Consumables Tracker'!$A:$D,4,FALSE()),""))</f>
        <v/>
      </c>
      <c r="H829" s="22"/>
    </row>
    <row r="830" spans="1:8">
      <c r="A830" s="21"/>
      <c r="B830" s="28"/>
      <c r="C830" s="22"/>
      <c r="D830" s="28"/>
      <c r="E830" s="23" t="str">
        <f>IF($D830="","",IFERROR(VLOOKUP($D830,'ACAH Consumables Tracker'!$A:$H,8,FALSE()),""))</f>
        <v/>
      </c>
      <c r="F830" s="24"/>
      <c r="G830" s="25" t="str">
        <f>IF($D830="","",IFERROR(VLOOKUP($D830,'ACAH Consumables Tracker'!$A:$D,4,FALSE()),""))</f>
        <v/>
      </c>
      <c r="H830" s="22"/>
    </row>
    <row r="831" spans="1:8">
      <c r="A831" s="21"/>
      <c r="B831" s="28"/>
      <c r="C831" s="22"/>
      <c r="D831" s="28"/>
      <c r="E831" s="23" t="str">
        <f>IF($D831="","",IFERROR(VLOOKUP($D831,'ACAH Consumables Tracker'!$A:$H,8,FALSE()),""))</f>
        <v/>
      </c>
      <c r="F831" s="24"/>
      <c r="G831" s="25" t="str">
        <f>IF($D831="","",IFERROR(VLOOKUP($D831,'ACAH Consumables Tracker'!$A:$D,4,FALSE()),""))</f>
        <v/>
      </c>
      <c r="H831" s="22"/>
    </row>
    <row r="832" spans="1:8">
      <c r="A832" s="21"/>
      <c r="B832" s="28"/>
      <c r="C832" s="22"/>
      <c r="D832" s="28"/>
      <c r="E832" s="23" t="str">
        <f>IF($D832="","",IFERROR(VLOOKUP($D832,'ACAH Consumables Tracker'!$A:$H,8,FALSE()),""))</f>
        <v/>
      </c>
      <c r="F832" s="24"/>
      <c r="G832" s="25" t="str">
        <f>IF($D832="","",IFERROR(VLOOKUP($D832,'ACAH Consumables Tracker'!$A:$D,4,FALSE()),""))</f>
        <v/>
      </c>
      <c r="H832" s="22"/>
    </row>
    <row r="833" spans="1:8">
      <c r="A833" s="21"/>
      <c r="B833" s="28"/>
      <c r="C833" s="22"/>
      <c r="D833" s="28"/>
      <c r="E833" s="23" t="str">
        <f>IF($D833="","",IFERROR(VLOOKUP($D833,'ACAH Consumables Tracker'!$A:$H,8,FALSE()),""))</f>
        <v/>
      </c>
      <c r="F833" s="24"/>
      <c r="G833" s="25" t="str">
        <f>IF($D833="","",IFERROR(VLOOKUP($D833,'ACAH Consumables Tracker'!$A:$D,4,FALSE()),""))</f>
        <v/>
      </c>
      <c r="H833" s="22"/>
    </row>
    <row r="834" spans="1:8">
      <c r="A834" s="21"/>
      <c r="B834" s="28"/>
      <c r="C834" s="22"/>
      <c r="D834" s="28"/>
      <c r="E834" s="23" t="str">
        <f>IF($D834="","",IFERROR(VLOOKUP($D834,'ACAH Consumables Tracker'!$A:$H,8,FALSE()),""))</f>
        <v/>
      </c>
      <c r="F834" s="24"/>
      <c r="G834" s="25" t="str">
        <f>IF($D834="","",IFERROR(VLOOKUP($D834,'ACAH Consumables Tracker'!$A:$D,4,FALSE()),""))</f>
        <v/>
      </c>
      <c r="H834" s="22"/>
    </row>
    <row r="835" spans="1:8">
      <c r="A835" s="21"/>
      <c r="B835" s="28"/>
      <c r="C835" s="22"/>
      <c r="D835" s="28"/>
      <c r="E835" s="23" t="str">
        <f>IF($D835="","",IFERROR(VLOOKUP($D835,'ACAH Consumables Tracker'!$A:$H,8,FALSE()),""))</f>
        <v/>
      </c>
      <c r="F835" s="24"/>
      <c r="G835" s="25" t="str">
        <f>IF($D835="","",IFERROR(VLOOKUP($D835,'ACAH Consumables Tracker'!$A:$D,4,FALSE()),""))</f>
        <v/>
      </c>
      <c r="H835" s="22"/>
    </row>
    <row r="836" spans="1:8">
      <c r="A836" s="21"/>
      <c r="B836" s="28"/>
      <c r="C836" s="22"/>
      <c r="D836" s="28"/>
      <c r="E836" s="23" t="str">
        <f>IF($D836="","",IFERROR(VLOOKUP($D836,'ACAH Consumables Tracker'!$A:$H,8,FALSE()),""))</f>
        <v/>
      </c>
      <c r="F836" s="24"/>
      <c r="G836" s="25" t="str">
        <f>IF($D836="","",IFERROR(VLOOKUP($D836,'ACAH Consumables Tracker'!$A:$D,4,FALSE()),""))</f>
        <v/>
      </c>
      <c r="H836" s="22"/>
    </row>
    <row r="837" spans="1:8">
      <c r="A837" s="21"/>
      <c r="B837" s="28"/>
      <c r="C837" s="22"/>
      <c r="D837" s="28"/>
      <c r="E837" s="23" t="str">
        <f>IF($D837="","",IFERROR(VLOOKUP($D837,'ACAH Consumables Tracker'!$A:$H,8,FALSE()),""))</f>
        <v/>
      </c>
      <c r="F837" s="24"/>
      <c r="G837" s="25" t="str">
        <f>IF($D837="","",IFERROR(VLOOKUP($D837,'ACAH Consumables Tracker'!$A:$D,4,FALSE()),""))</f>
        <v/>
      </c>
      <c r="H837" s="22"/>
    </row>
    <row r="838" spans="1:8">
      <c r="A838" s="21"/>
      <c r="B838" s="28"/>
      <c r="C838" s="22"/>
      <c r="D838" s="28"/>
      <c r="E838" s="23" t="str">
        <f>IF($D838="","",IFERROR(VLOOKUP($D838,'ACAH Consumables Tracker'!$A:$H,8,FALSE()),""))</f>
        <v/>
      </c>
      <c r="F838" s="24"/>
      <c r="G838" s="25" t="str">
        <f>IF($D838="","",IFERROR(VLOOKUP($D838,'ACAH Consumables Tracker'!$A:$D,4,FALSE()),""))</f>
        <v/>
      </c>
      <c r="H838" s="22"/>
    </row>
    <row r="839" spans="1:8">
      <c r="A839" s="21"/>
      <c r="B839" s="28"/>
      <c r="C839" s="22"/>
      <c r="D839" s="28"/>
      <c r="E839" s="23" t="str">
        <f>IF($D839="","",IFERROR(VLOOKUP($D839,'ACAH Consumables Tracker'!$A:$H,8,FALSE()),""))</f>
        <v/>
      </c>
      <c r="F839" s="24"/>
      <c r="G839" s="25" t="str">
        <f>IF($D839="","",IFERROR(VLOOKUP($D839,'ACAH Consumables Tracker'!$A:$D,4,FALSE()),""))</f>
        <v/>
      </c>
      <c r="H839" s="22"/>
    </row>
    <row r="840" spans="1:8">
      <c r="A840" s="21"/>
      <c r="B840" s="28"/>
      <c r="C840" s="22"/>
      <c r="D840" s="28"/>
      <c r="E840" s="23" t="str">
        <f>IF($D840="","",IFERROR(VLOOKUP($D840,'ACAH Consumables Tracker'!$A:$H,8,FALSE()),""))</f>
        <v/>
      </c>
      <c r="F840" s="24"/>
      <c r="G840" s="25" t="str">
        <f>IF($D840="","",IFERROR(VLOOKUP($D840,'ACAH Consumables Tracker'!$A:$D,4,FALSE()),""))</f>
        <v/>
      </c>
      <c r="H840" s="22"/>
    </row>
    <row r="841" spans="1:8">
      <c r="A841" s="21"/>
      <c r="B841" s="28"/>
      <c r="C841" s="22"/>
      <c r="D841" s="28"/>
      <c r="E841" s="23" t="str">
        <f>IF($D841="","",IFERROR(VLOOKUP($D841,'ACAH Consumables Tracker'!$A:$H,8,FALSE()),""))</f>
        <v/>
      </c>
      <c r="F841" s="24"/>
      <c r="G841" s="25" t="str">
        <f>IF($D841="","",IFERROR(VLOOKUP($D841,'ACAH Consumables Tracker'!$A:$D,4,FALSE()),""))</f>
        <v/>
      </c>
      <c r="H841" s="22"/>
    </row>
    <row r="842" spans="1:8">
      <c r="A842" s="21"/>
      <c r="B842" s="28"/>
      <c r="C842" s="22"/>
      <c r="D842" s="28"/>
      <c r="E842" s="23" t="str">
        <f>IF($D842="","",IFERROR(VLOOKUP($D842,'ACAH Consumables Tracker'!$A:$H,8,FALSE()),""))</f>
        <v/>
      </c>
      <c r="F842" s="24"/>
      <c r="G842" s="25" t="str">
        <f>IF($D842="","",IFERROR(VLOOKUP($D842,'ACAH Consumables Tracker'!$A:$D,4,FALSE()),""))</f>
        <v/>
      </c>
      <c r="H842" s="22"/>
    </row>
    <row r="843" spans="1:8">
      <c r="A843" s="21"/>
      <c r="B843" s="28"/>
      <c r="C843" s="22"/>
      <c r="D843" s="28"/>
      <c r="E843" s="23" t="str">
        <f>IF($D843="","",IFERROR(VLOOKUP($D843,'ACAH Consumables Tracker'!$A:$H,8,FALSE()),""))</f>
        <v/>
      </c>
      <c r="F843" s="24"/>
      <c r="G843" s="25" t="str">
        <f>IF($D843="","",IFERROR(VLOOKUP($D843,'ACAH Consumables Tracker'!$A:$D,4,FALSE()),""))</f>
        <v/>
      </c>
      <c r="H843" s="22"/>
    </row>
    <row r="844" spans="1:8">
      <c r="A844" s="21"/>
      <c r="B844" s="28"/>
      <c r="C844" s="22"/>
      <c r="D844" s="28"/>
      <c r="E844" s="23" t="str">
        <f>IF($D844="","",IFERROR(VLOOKUP($D844,'ACAH Consumables Tracker'!$A:$H,8,FALSE()),""))</f>
        <v/>
      </c>
      <c r="F844" s="24"/>
      <c r="G844" s="25" t="str">
        <f>IF($D844="","",IFERROR(VLOOKUP($D844,'ACAH Consumables Tracker'!$A:$D,4,FALSE()),""))</f>
        <v/>
      </c>
      <c r="H844" s="22"/>
    </row>
    <row r="845" spans="1:8">
      <c r="A845" s="21"/>
      <c r="B845" s="28"/>
      <c r="C845" s="22"/>
      <c r="D845" s="28"/>
      <c r="E845" s="23" t="str">
        <f>IF($D845="","",IFERROR(VLOOKUP($D845,'ACAH Consumables Tracker'!$A:$H,8,FALSE()),""))</f>
        <v/>
      </c>
      <c r="F845" s="24"/>
      <c r="G845" s="25" t="str">
        <f>IF($D845="","",IFERROR(VLOOKUP($D845,'ACAH Consumables Tracker'!$A:$D,4,FALSE()),""))</f>
        <v/>
      </c>
      <c r="H845" s="22"/>
    </row>
    <row r="846" spans="1:8">
      <c r="A846" s="21"/>
      <c r="B846" s="28"/>
      <c r="C846" s="22"/>
      <c r="D846" s="28"/>
      <c r="E846" s="23" t="str">
        <f>IF($D846="","",IFERROR(VLOOKUP($D846,'ACAH Consumables Tracker'!$A:$H,8,FALSE()),""))</f>
        <v/>
      </c>
      <c r="F846" s="24"/>
      <c r="G846" s="25" t="str">
        <f>IF($D846="","",IFERROR(VLOOKUP($D846,'ACAH Consumables Tracker'!$A:$D,4,FALSE()),""))</f>
        <v/>
      </c>
      <c r="H846" s="22"/>
    </row>
    <row r="847" spans="1:8">
      <c r="A847" s="21"/>
      <c r="B847" s="28"/>
      <c r="C847" s="22"/>
      <c r="D847" s="28"/>
      <c r="E847" s="23" t="str">
        <f>IF($D847="","",IFERROR(VLOOKUP($D847,'ACAH Consumables Tracker'!$A:$H,8,FALSE()),""))</f>
        <v/>
      </c>
      <c r="F847" s="24"/>
      <c r="G847" s="25" t="str">
        <f>IF($D847="","",IFERROR(VLOOKUP($D847,'ACAH Consumables Tracker'!$A:$D,4,FALSE()),""))</f>
        <v/>
      </c>
      <c r="H847" s="22"/>
    </row>
    <row r="848" spans="1:8">
      <c r="A848" s="21"/>
      <c r="B848" s="28"/>
      <c r="C848" s="22"/>
      <c r="D848" s="28"/>
      <c r="E848" s="23" t="str">
        <f>IF($D848="","",IFERROR(VLOOKUP($D848,'ACAH Consumables Tracker'!$A:$H,8,FALSE()),""))</f>
        <v/>
      </c>
      <c r="F848" s="24"/>
      <c r="G848" s="25" t="str">
        <f>IF($D848="","",IFERROR(VLOOKUP($D848,'ACAH Consumables Tracker'!$A:$D,4,FALSE()),""))</f>
        <v/>
      </c>
      <c r="H848" s="22"/>
    </row>
    <row r="849" spans="1:8">
      <c r="A849" s="21"/>
      <c r="B849" s="28"/>
      <c r="C849" s="22"/>
      <c r="D849" s="28"/>
      <c r="E849" s="23" t="str">
        <f>IF($D849="","",IFERROR(VLOOKUP($D849,'ACAH Consumables Tracker'!$A:$H,8,FALSE()),""))</f>
        <v/>
      </c>
      <c r="F849" s="24"/>
      <c r="G849" s="25" t="str">
        <f>IF($D849="","",IFERROR(VLOOKUP($D849,'ACAH Consumables Tracker'!$A:$D,4,FALSE()),""))</f>
        <v/>
      </c>
      <c r="H849" s="22"/>
    </row>
    <row r="850" spans="1:8">
      <c r="A850" s="21"/>
      <c r="B850" s="28"/>
      <c r="C850" s="22"/>
      <c r="D850" s="28"/>
      <c r="E850" s="23" t="str">
        <f>IF($D850="","",IFERROR(VLOOKUP($D850,'ACAH Consumables Tracker'!$A:$H,8,FALSE()),""))</f>
        <v/>
      </c>
      <c r="F850" s="24"/>
      <c r="G850" s="25" t="str">
        <f>IF($D850="","",IFERROR(VLOOKUP($D850,'ACAH Consumables Tracker'!$A:$D,4,FALSE()),""))</f>
        <v/>
      </c>
      <c r="H850" s="22"/>
    </row>
    <row r="851" spans="1:8">
      <c r="A851" s="21"/>
      <c r="B851" s="28"/>
      <c r="C851" s="22"/>
      <c r="D851" s="28"/>
      <c r="E851" s="23" t="str">
        <f>IF($D851="","",IFERROR(VLOOKUP($D851,'ACAH Consumables Tracker'!$A:$H,8,FALSE()),""))</f>
        <v/>
      </c>
      <c r="F851" s="24"/>
      <c r="G851" s="25" t="str">
        <f>IF($D851="","",IFERROR(VLOOKUP($D851,'ACAH Consumables Tracker'!$A:$D,4,FALSE()),""))</f>
        <v/>
      </c>
      <c r="H851" s="22"/>
    </row>
    <row r="852" spans="1:8">
      <c r="A852" s="21"/>
      <c r="B852" s="28"/>
      <c r="C852" s="22"/>
      <c r="D852" s="28"/>
      <c r="E852" s="23" t="str">
        <f>IF($D852="","",IFERROR(VLOOKUP($D852,'ACAH Consumables Tracker'!$A:$H,8,FALSE()),""))</f>
        <v/>
      </c>
      <c r="F852" s="24"/>
      <c r="G852" s="25" t="str">
        <f>IF($D852="","",IFERROR(VLOOKUP($D852,'ACAH Consumables Tracker'!$A:$D,4,FALSE()),""))</f>
        <v/>
      </c>
      <c r="H852" s="22"/>
    </row>
    <row r="853" spans="1:8">
      <c r="A853" s="21"/>
      <c r="B853" s="28"/>
      <c r="C853" s="22"/>
      <c r="D853" s="28"/>
      <c r="E853" s="23" t="str">
        <f>IF($D853="","",IFERROR(VLOOKUP($D853,'ACAH Consumables Tracker'!$A:$H,8,FALSE()),""))</f>
        <v/>
      </c>
      <c r="F853" s="24"/>
      <c r="G853" s="25" t="str">
        <f>IF($D853="","",IFERROR(VLOOKUP($D853,'ACAH Consumables Tracker'!$A:$D,4,FALSE()),""))</f>
        <v/>
      </c>
      <c r="H853" s="22"/>
    </row>
    <row r="854" spans="1:8">
      <c r="A854" s="21"/>
      <c r="B854" s="28"/>
      <c r="C854" s="22"/>
      <c r="D854" s="28"/>
      <c r="E854" s="23" t="str">
        <f>IF($D854="","",IFERROR(VLOOKUP($D854,'ACAH Consumables Tracker'!$A:$H,8,FALSE()),""))</f>
        <v/>
      </c>
      <c r="F854" s="24"/>
      <c r="G854" s="25" t="str">
        <f>IF($D854="","",IFERROR(VLOOKUP($D854,'ACAH Consumables Tracker'!$A:$D,4,FALSE()),""))</f>
        <v/>
      </c>
      <c r="H854" s="22"/>
    </row>
    <row r="855" spans="1:8">
      <c r="A855" s="21"/>
      <c r="B855" s="28"/>
      <c r="C855" s="22"/>
      <c r="D855" s="28"/>
      <c r="E855" s="23" t="str">
        <f>IF($D855="","",IFERROR(VLOOKUP($D855,'ACAH Consumables Tracker'!$A:$H,8,FALSE()),""))</f>
        <v/>
      </c>
      <c r="F855" s="24"/>
      <c r="G855" s="25" t="str">
        <f>IF($D855="","",IFERROR(VLOOKUP($D855,'ACAH Consumables Tracker'!$A:$D,4,FALSE()),""))</f>
        <v/>
      </c>
      <c r="H855" s="22"/>
    </row>
    <row r="856" spans="1:8">
      <c r="A856" s="21"/>
      <c r="B856" s="28"/>
      <c r="C856" s="22"/>
      <c r="D856" s="28"/>
      <c r="E856" s="23" t="str">
        <f>IF($D856="","",IFERROR(VLOOKUP($D856,'ACAH Consumables Tracker'!$A:$H,8,FALSE()),""))</f>
        <v/>
      </c>
      <c r="F856" s="24"/>
      <c r="G856" s="25" t="str">
        <f>IF($D856="","",IFERROR(VLOOKUP($D856,'ACAH Consumables Tracker'!$A:$D,4,FALSE()),""))</f>
        <v/>
      </c>
      <c r="H856" s="22"/>
    </row>
    <row r="857" spans="1:8">
      <c r="A857" s="21"/>
      <c r="B857" s="28"/>
      <c r="C857" s="22"/>
      <c r="D857" s="28"/>
      <c r="E857" s="23" t="str">
        <f>IF($D857="","",IFERROR(VLOOKUP($D857,'ACAH Consumables Tracker'!$A:$H,8,FALSE()),""))</f>
        <v/>
      </c>
      <c r="F857" s="24"/>
      <c r="G857" s="25" t="str">
        <f>IF($D857="","",IFERROR(VLOOKUP($D857,'ACAH Consumables Tracker'!$A:$D,4,FALSE()),""))</f>
        <v/>
      </c>
      <c r="H857" s="22"/>
    </row>
    <row r="858" spans="1:8">
      <c r="A858" s="21"/>
      <c r="B858" s="28"/>
      <c r="C858" s="22"/>
      <c r="D858" s="28"/>
      <c r="E858" s="23" t="str">
        <f>IF($D858="","",IFERROR(VLOOKUP($D858,'ACAH Consumables Tracker'!$A:$H,8,FALSE()),""))</f>
        <v/>
      </c>
      <c r="F858" s="24"/>
      <c r="G858" s="25" t="str">
        <f>IF($D858="","",IFERROR(VLOOKUP($D858,'ACAH Consumables Tracker'!$A:$D,4,FALSE()),""))</f>
        <v/>
      </c>
      <c r="H858" s="22"/>
    </row>
    <row r="859" spans="1:8">
      <c r="A859" s="21"/>
      <c r="B859" s="28"/>
      <c r="C859" s="22"/>
      <c r="D859" s="28"/>
      <c r="E859" s="23" t="str">
        <f>IF($D859="","",IFERROR(VLOOKUP($D859,'ACAH Consumables Tracker'!$A:$H,8,FALSE()),""))</f>
        <v/>
      </c>
      <c r="F859" s="24"/>
      <c r="G859" s="25" t="str">
        <f>IF($D859="","",IFERROR(VLOOKUP($D859,'ACAH Consumables Tracker'!$A:$D,4,FALSE()),""))</f>
        <v/>
      </c>
      <c r="H859" s="22"/>
    </row>
    <row r="860" spans="1:8">
      <c r="A860" s="21"/>
      <c r="B860" s="28"/>
      <c r="C860" s="22"/>
      <c r="D860" s="28"/>
      <c r="E860" s="23" t="str">
        <f>IF($D860="","",IFERROR(VLOOKUP($D860,'ACAH Consumables Tracker'!$A:$H,8,FALSE()),""))</f>
        <v/>
      </c>
      <c r="F860" s="24"/>
      <c r="G860" s="25" t="str">
        <f>IF($D860="","",IFERROR(VLOOKUP($D860,'ACAH Consumables Tracker'!$A:$D,4,FALSE()),""))</f>
        <v/>
      </c>
      <c r="H860" s="22"/>
    </row>
    <row r="861" spans="1:8">
      <c r="A861" s="21"/>
      <c r="B861" s="28"/>
      <c r="C861" s="22"/>
      <c r="D861" s="28"/>
      <c r="E861" s="23" t="str">
        <f>IF($D861="","",IFERROR(VLOOKUP($D861,'ACAH Consumables Tracker'!$A:$H,8,FALSE()),""))</f>
        <v/>
      </c>
      <c r="F861" s="24"/>
      <c r="G861" s="25" t="str">
        <f>IF($D861="","",IFERROR(VLOOKUP($D861,'ACAH Consumables Tracker'!$A:$D,4,FALSE()),""))</f>
        <v/>
      </c>
      <c r="H861" s="22"/>
    </row>
    <row r="862" spans="1:8">
      <c r="A862" s="21"/>
      <c r="B862" s="28"/>
      <c r="C862" s="22"/>
      <c r="D862" s="28"/>
      <c r="E862" s="23" t="str">
        <f>IF($D862="","",IFERROR(VLOOKUP($D862,'ACAH Consumables Tracker'!$A:$H,8,FALSE()),""))</f>
        <v/>
      </c>
      <c r="F862" s="24"/>
      <c r="G862" s="25" t="str">
        <f>IF($D862="","",IFERROR(VLOOKUP($D862,'ACAH Consumables Tracker'!$A:$D,4,FALSE()),""))</f>
        <v/>
      </c>
      <c r="H862" s="22"/>
    </row>
    <row r="863" spans="1:8">
      <c r="A863" s="21"/>
      <c r="B863" s="28"/>
      <c r="C863" s="22"/>
      <c r="D863" s="28"/>
      <c r="E863" s="23" t="str">
        <f>IF($D863="","",IFERROR(VLOOKUP($D863,'ACAH Consumables Tracker'!$A:$H,8,FALSE()),""))</f>
        <v/>
      </c>
      <c r="F863" s="24"/>
      <c r="G863" s="25" t="str">
        <f>IF($D863="","",IFERROR(VLOOKUP($D863,'ACAH Consumables Tracker'!$A:$D,4,FALSE()),""))</f>
        <v/>
      </c>
      <c r="H863" s="22"/>
    </row>
    <row r="864" spans="1:8">
      <c r="A864" s="21"/>
      <c r="B864" s="28"/>
      <c r="C864" s="22"/>
      <c r="D864" s="28"/>
      <c r="E864" s="23" t="str">
        <f>IF($D864="","",IFERROR(VLOOKUP($D864,'ACAH Consumables Tracker'!$A:$H,8,FALSE()),""))</f>
        <v/>
      </c>
      <c r="F864" s="24"/>
      <c r="G864" s="25" t="str">
        <f>IF($D864="","",IFERROR(VLOOKUP($D864,'ACAH Consumables Tracker'!$A:$D,4,FALSE()),""))</f>
        <v/>
      </c>
      <c r="H864" s="22"/>
    </row>
    <row r="865" spans="1:8">
      <c r="A865" s="21"/>
      <c r="B865" s="28"/>
      <c r="C865" s="22"/>
      <c r="D865" s="28"/>
      <c r="E865" s="23" t="str">
        <f>IF($D865="","",IFERROR(VLOOKUP($D865,'ACAH Consumables Tracker'!$A:$H,8,FALSE()),""))</f>
        <v/>
      </c>
      <c r="F865" s="24"/>
      <c r="G865" s="25" t="str">
        <f>IF($D865="","",IFERROR(VLOOKUP($D865,'ACAH Consumables Tracker'!$A:$D,4,FALSE()),""))</f>
        <v/>
      </c>
      <c r="H865" s="22"/>
    </row>
    <row r="866" spans="1:8">
      <c r="A866" s="21"/>
      <c r="B866" s="28"/>
      <c r="C866" s="22"/>
      <c r="D866" s="28"/>
      <c r="E866" s="23" t="str">
        <f>IF($D866="","",IFERROR(VLOOKUP($D866,'ACAH Consumables Tracker'!$A:$H,8,FALSE()),""))</f>
        <v/>
      </c>
      <c r="F866" s="24"/>
      <c r="G866" s="25" t="str">
        <f>IF($D866="","",IFERROR(VLOOKUP($D866,'ACAH Consumables Tracker'!$A:$D,4,FALSE()),""))</f>
        <v/>
      </c>
      <c r="H866" s="22"/>
    </row>
    <row r="867" spans="1:8">
      <c r="A867" s="21"/>
      <c r="B867" s="28"/>
      <c r="C867" s="22"/>
      <c r="D867" s="28"/>
      <c r="E867" s="23" t="str">
        <f>IF($D867="","",IFERROR(VLOOKUP($D867,'ACAH Consumables Tracker'!$A:$H,8,FALSE()),""))</f>
        <v/>
      </c>
      <c r="F867" s="24"/>
      <c r="G867" s="25" t="str">
        <f>IF($D867="","",IFERROR(VLOOKUP($D867,'ACAH Consumables Tracker'!$A:$D,4,FALSE()),""))</f>
        <v/>
      </c>
      <c r="H867" s="22"/>
    </row>
    <row r="868" spans="1:8">
      <c r="A868" s="21"/>
      <c r="B868" s="28"/>
      <c r="C868" s="22"/>
      <c r="D868" s="28"/>
      <c r="E868" s="23" t="str">
        <f>IF($D868="","",IFERROR(VLOOKUP($D868,'ACAH Consumables Tracker'!$A:$H,8,FALSE()),""))</f>
        <v/>
      </c>
      <c r="F868" s="24"/>
      <c r="G868" s="25" t="str">
        <f>IF($D868="","",IFERROR(VLOOKUP($D868,'ACAH Consumables Tracker'!$A:$D,4,FALSE()),""))</f>
        <v/>
      </c>
      <c r="H868" s="22"/>
    </row>
    <row r="869" spans="1:8">
      <c r="A869" s="21"/>
      <c r="B869" s="28"/>
      <c r="C869" s="22"/>
      <c r="D869" s="28"/>
      <c r="E869" s="23" t="str">
        <f>IF($D869="","",IFERROR(VLOOKUP($D869,'ACAH Consumables Tracker'!$A:$H,8,FALSE()),""))</f>
        <v/>
      </c>
      <c r="F869" s="24"/>
      <c r="G869" s="25" t="str">
        <f>IF($D869="","",IFERROR(VLOOKUP($D869,'ACAH Consumables Tracker'!$A:$D,4,FALSE()),""))</f>
        <v/>
      </c>
      <c r="H869" s="22"/>
    </row>
    <row r="870" spans="1:8">
      <c r="A870" s="21"/>
      <c r="B870" s="28"/>
      <c r="C870" s="22"/>
      <c r="D870" s="28"/>
      <c r="E870" s="23" t="str">
        <f>IF($D870="","",IFERROR(VLOOKUP($D870,'ACAH Consumables Tracker'!$A:$H,8,FALSE()),""))</f>
        <v/>
      </c>
      <c r="F870" s="24"/>
      <c r="G870" s="25" t="str">
        <f>IF($D870="","",IFERROR(VLOOKUP($D870,'ACAH Consumables Tracker'!$A:$D,4,FALSE()),""))</f>
        <v/>
      </c>
      <c r="H870" s="22"/>
    </row>
    <row r="871" spans="1:8">
      <c r="A871" s="21"/>
      <c r="B871" s="28"/>
      <c r="C871" s="22"/>
      <c r="D871" s="28"/>
      <c r="E871" s="23" t="str">
        <f>IF($D871="","",IFERROR(VLOOKUP($D871,'ACAH Consumables Tracker'!$A:$H,8,FALSE()),""))</f>
        <v/>
      </c>
      <c r="F871" s="24"/>
      <c r="G871" s="25" t="str">
        <f>IF($D871="","",IFERROR(VLOOKUP($D871,'ACAH Consumables Tracker'!$A:$D,4,FALSE()),""))</f>
        <v/>
      </c>
      <c r="H871" s="22"/>
    </row>
    <row r="872" spans="1:8">
      <c r="A872" s="21"/>
      <c r="B872" s="28"/>
      <c r="C872" s="22"/>
      <c r="D872" s="28"/>
      <c r="E872" s="23" t="str">
        <f>IF($D872="","",IFERROR(VLOOKUP($D872,'ACAH Consumables Tracker'!$A:$H,8,FALSE()),""))</f>
        <v/>
      </c>
      <c r="F872" s="24"/>
      <c r="G872" s="25" t="str">
        <f>IF($D872="","",IFERROR(VLOOKUP($D872,'ACAH Consumables Tracker'!$A:$D,4,FALSE()),""))</f>
        <v/>
      </c>
      <c r="H872" s="22"/>
    </row>
    <row r="873" spans="1:8">
      <c r="A873" s="21"/>
      <c r="B873" s="28"/>
      <c r="C873" s="22"/>
      <c r="D873" s="28"/>
      <c r="E873" s="23" t="str">
        <f>IF($D873="","",IFERROR(VLOOKUP($D873,'ACAH Consumables Tracker'!$A:$H,8,FALSE()),""))</f>
        <v/>
      </c>
      <c r="F873" s="24"/>
      <c r="G873" s="25" t="str">
        <f>IF($D873="","",IFERROR(VLOOKUP($D873,'ACAH Consumables Tracker'!$A:$D,4,FALSE()),""))</f>
        <v/>
      </c>
      <c r="H873" s="22"/>
    </row>
    <row r="874" spans="1:8">
      <c r="A874" s="21"/>
      <c r="B874" s="28"/>
      <c r="C874" s="22"/>
      <c r="D874" s="28"/>
      <c r="E874" s="23" t="str">
        <f>IF($D874="","",IFERROR(VLOOKUP($D874,'ACAH Consumables Tracker'!$A:$H,8,FALSE()),""))</f>
        <v/>
      </c>
      <c r="F874" s="24"/>
      <c r="G874" s="25" t="str">
        <f>IF($D874="","",IFERROR(VLOOKUP($D874,'ACAH Consumables Tracker'!$A:$D,4,FALSE()),""))</f>
        <v/>
      </c>
      <c r="H874" s="22"/>
    </row>
    <row r="875" spans="1:8">
      <c r="A875" s="21"/>
      <c r="B875" s="28"/>
      <c r="C875" s="22"/>
      <c r="D875" s="28"/>
      <c r="E875" s="23" t="str">
        <f>IF($D875="","",IFERROR(VLOOKUP($D875,'ACAH Consumables Tracker'!$A:$H,8,FALSE()),""))</f>
        <v/>
      </c>
      <c r="F875" s="24"/>
      <c r="G875" s="25" t="str">
        <f>IF($D875="","",IFERROR(VLOOKUP($D875,'ACAH Consumables Tracker'!$A:$D,4,FALSE()),""))</f>
        <v/>
      </c>
      <c r="H875" s="22"/>
    </row>
    <row r="876" spans="1:8">
      <c r="A876" s="21"/>
      <c r="B876" s="28"/>
      <c r="C876" s="22"/>
      <c r="D876" s="28"/>
      <c r="E876" s="23" t="str">
        <f>IF($D876="","",IFERROR(VLOOKUP($D876,'ACAH Consumables Tracker'!$A:$H,8,FALSE()),""))</f>
        <v/>
      </c>
      <c r="F876" s="24"/>
      <c r="G876" s="25" t="str">
        <f>IF($D876="","",IFERROR(VLOOKUP($D876,'ACAH Consumables Tracker'!$A:$D,4,FALSE()),""))</f>
        <v/>
      </c>
      <c r="H876" s="22"/>
    </row>
    <row r="877" spans="1:8">
      <c r="A877" s="21"/>
      <c r="B877" s="28"/>
      <c r="C877" s="22"/>
      <c r="D877" s="28"/>
      <c r="E877" s="23" t="str">
        <f>IF($D877="","",IFERROR(VLOOKUP($D877,'ACAH Consumables Tracker'!$A:$H,8,FALSE()),""))</f>
        <v/>
      </c>
      <c r="F877" s="24"/>
      <c r="G877" s="25" t="str">
        <f>IF($D877="","",IFERROR(VLOOKUP($D877,'ACAH Consumables Tracker'!$A:$D,4,FALSE()),""))</f>
        <v/>
      </c>
      <c r="H877" s="22"/>
    </row>
    <row r="878" spans="1:8">
      <c r="A878" s="21"/>
      <c r="B878" s="28"/>
      <c r="C878" s="22"/>
      <c r="D878" s="28"/>
      <c r="E878" s="23" t="str">
        <f>IF($D878="","",IFERROR(VLOOKUP($D878,'ACAH Consumables Tracker'!$A:$H,8,FALSE()),""))</f>
        <v/>
      </c>
      <c r="F878" s="24"/>
      <c r="G878" s="25" t="str">
        <f>IF($D878="","",IFERROR(VLOOKUP($D878,'ACAH Consumables Tracker'!$A:$D,4,FALSE()),""))</f>
        <v/>
      </c>
      <c r="H878" s="22"/>
    </row>
    <row r="879" spans="1:8">
      <c r="A879" s="21"/>
      <c r="B879" s="28"/>
      <c r="C879" s="22"/>
      <c r="D879" s="28"/>
      <c r="E879" s="23" t="str">
        <f>IF($D879="","",IFERROR(VLOOKUP($D879,'ACAH Consumables Tracker'!$A:$H,8,FALSE()),""))</f>
        <v/>
      </c>
      <c r="F879" s="24"/>
      <c r="G879" s="25" t="str">
        <f>IF($D879="","",IFERROR(VLOOKUP($D879,'ACAH Consumables Tracker'!$A:$D,4,FALSE()),""))</f>
        <v/>
      </c>
      <c r="H879" s="22"/>
    </row>
    <row r="880" spans="1:8">
      <c r="A880" s="21"/>
      <c r="B880" s="28"/>
      <c r="C880" s="22"/>
      <c r="D880" s="28"/>
      <c r="E880" s="23" t="str">
        <f>IF($D880="","",IFERROR(VLOOKUP($D880,'ACAH Consumables Tracker'!$A:$H,8,FALSE()),""))</f>
        <v/>
      </c>
      <c r="F880" s="24"/>
      <c r="G880" s="25" t="str">
        <f>IF($D880="","",IFERROR(VLOOKUP($D880,'ACAH Consumables Tracker'!$A:$D,4,FALSE()),""))</f>
        <v/>
      </c>
      <c r="H880" s="22"/>
    </row>
    <row r="881" spans="1:8">
      <c r="A881" s="21"/>
      <c r="B881" s="28"/>
      <c r="C881" s="22"/>
      <c r="D881" s="28"/>
      <c r="E881" s="23" t="str">
        <f>IF($D881="","",IFERROR(VLOOKUP($D881,'ACAH Consumables Tracker'!$A:$H,8,FALSE()),""))</f>
        <v/>
      </c>
      <c r="F881" s="24"/>
      <c r="G881" s="25" t="str">
        <f>IF($D881="","",IFERROR(VLOOKUP($D881,'ACAH Consumables Tracker'!$A:$D,4,FALSE()),""))</f>
        <v/>
      </c>
      <c r="H881" s="22"/>
    </row>
    <row r="882" spans="1:8">
      <c r="A882" s="21"/>
      <c r="B882" s="28"/>
      <c r="C882" s="22"/>
      <c r="D882" s="28"/>
      <c r="E882" s="23" t="str">
        <f>IF($D882="","",IFERROR(VLOOKUP($D882,'ACAH Consumables Tracker'!$A:$H,8,FALSE()),""))</f>
        <v/>
      </c>
      <c r="F882" s="24"/>
      <c r="G882" s="25" t="str">
        <f>IF($D882="","",IFERROR(VLOOKUP($D882,'ACAH Consumables Tracker'!$A:$D,4,FALSE()),""))</f>
        <v/>
      </c>
      <c r="H882" s="22"/>
    </row>
    <row r="883" spans="1:8">
      <c r="A883" s="21"/>
      <c r="B883" s="28"/>
      <c r="C883" s="22"/>
      <c r="D883" s="28"/>
      <c r="E883" s="23" t="str">
        <f>IF($D883="","",IFERROR(VLOOKUP($D883,'ACAH Consumables Tracker'!$A:$H,8,FALSE()),""))</f>
        <v/>
      </c>
      <c r="F883" s="24"/>
      <c r="G883" s="25" t="str">
        <f>IF($D883="","",IFERROR(VLOOKUP($D883,'ACAH Consumables Tracker'!$A:$D,4,FALSE()),""))</f>
        <v/>
      </c>
      <c r="H883" s="22"/>
    </row>
    <row r="884" spans="1:8">
      <c r="A884" s="21"/>
      <c r="B884" s="28"/>
      <c r="C884" s="22"/>
      <c r="D884" s="28"/>
      <c r="E884" s="23" t="str">
        <f>IF($D884="","",IFERROR(VLOOKUP($D884,'ACAH Consumables Tracker'!$A:$H,8,FALSE()),""))</f>
        <v/>
      </c>
      <c r="F884" s="24"/>
      <c r="G884" s="25" t="str">
        <f>IF($D884="","",IFERROR(VLOOKUP($D884,'ACAH Consumables Tracker'!$A:$D,4,FALSE()),""))</f>
        <v/>
      </c>
      <c r="H884" s="22"/>
    </row>
    <row r="885" spans="1:8">
      <c r="A885" s="21"/>
      <c r="B885" s="28"/>
      <c r="C885" s="22"/>
      <c r="D885" s="28"/>
      <c r="E885" s="23" t="str">
        <f>IF($D885="","",IFERROR(VLOOKUP($D885,'ACAH Consumables Tracker'!$A:$H,8,FALSE()),""))</f>
        <v/>
      </c>
      <c r="F885" s="24"/>
      <c r="G885" s="25" t="str">
        <f>IF($D885="","",IFERROR(VLOOKUP($D885,'ACAH Consumables Tracker'!$A:$D,4,FALSE()),""))</f>
        <v/>
      </c>
      <c r="H885" s="22"/>
    </row>
    <row r="886" spans="1:8">
      <c r="A886" s="21"/>
      <c r="B886" s="28"/>
      <c r="C886" s="22"/>
      <c r="D886" s="28"/>
      <c r="E886" s="23" t="str">
        <f>IF($D886="","",IFERROR(VLOOKUP($D886,'ACAH Consumables Tracker'!$A:$H,8,FALSE()),""))</f>
        <v/>
      </c>
      <c r="F886" s="24"/>
      <c r="G886" s="25" t="str">
        <f>IF($D886="","",IFERROR(VLOOKUP($D886,'ACAH Consumables Tracker'!$A:$D,4,FALSE()),""))</f>
        <v/>
      </c>
      <c r="H886" s="22"/>
    </row>
    <row r="887" spans="1:8">
      <c r="A887" s="21"/>
      <c r="B887" s="28"/>
      <c r="C887" s="22"/>
      <c r="D887" s="28"/>
      <c r="E887" s="23" t="str">
        <f>IF($D887="","",IFERROR(VLOOKUP($D887,'ACAH Consumables Tracker'!$A:$H,8,FALSE()),""))</f>
        <v/>
      </c>
      <c r="F887" s="24"/>
      <c r="G887" s="25" t="str">
        <f>IF($D887="","",IFERROR(VLOOKUP($D887,'ACAH Consumables Tracker'!$A:$D,4,FALSE()),""))</f>
        <v/>
      </c>
      <c r="H887" s="22"/>
    </row>
    <row r="888" spans="1:8">
      <c r="A888" s="21"/>
      <c r="B888" s="28"/>
      <c r="C888" s="22"/>
      <c r="D888" s="28"/>
      <c r="E888" s="23" t="str">
        <f>IF($D888="","",IFERROR(VLOOKUP($D888,'ACAH Consumables Tracker'!$A:$H,8,FALSE()),""))</f>
        <v/>
      </c>
      <c r="F888" s="24"/>
      <c r="G888" s="25" t="str">
        <f>IF($D888="","",IFERROR(VLOOKUP($D888,'ACAH Consumables Tracker'!$A:$D,4,FALSE()),""))</f>
        <v/>
      </c>
      <c r="H888" s="22"/>
    </row>
    <row r="889" spans="1:8">
      <c r="A889" s="21"/>
      <c r="B889" s="28"/>
      <c r="C889" s="22"/>
      <c r="D889" s="28"/>
      <c r="E889" s="23" t="str">
        <f>IF($D889="","",IFERROR(VLOOKUP($D889,'ACAH Consumables Tracker'!$A:$H,8,FALSE()),""))</f>
        <v/>
      </c>
      <c r="F889" s="24"/>
      <c r="G889" s="25" t="str">
        <f>IF($D889="","",IFERROR(VLOOKUP($D889,'ACAH Consumables Tracker'!$A:$D,4,FALSE()),""))</f>
        <v/>
      </c>
      <c r="H889" s="22"/>
    </row>
    <row r="890" spans="1:8">
      <c r="A890" s="21"/>
      <c r="B890" s="28"/>
      <c r="C890" s="22"/>
      <c r="D890" s="28"/>
      <c r="E890" s="23" t="str">
        <f>IF($D890="","",IFERROR(VLOOKUP($D890,'ACAH Consumables Tracker'!$A:$H,8,FALSE()),""))</f>
        <v/>
      </c>
      <c r="F890" s="24"/>
      <c r="G890" s="25" t="str">
        <f>IF($D890="","",IFERROR(VLOOKUP($D890,'ACAH Consumables Tracker'!$A:$D,4,FALSE()),""))</f>
        <v/>
      </c>
      <c r="H890" s="22"/>
    </row>
    <row r="891" spans="1:8">
      <c r="A891" s="21"/>
      <c r="B891" s="28"/>
      <c r="C891" s="22"/>
      <c r="D891" s="28"/>
      <c r="E891" s="23" t="str">
        <f>IF($D891="","",IFERROR(VLOOKUP($D891,'ACAH Consumables Tracker'!$A:$H,8,FALSE()),""))</f>
        <v/>
      </c>
      <c r="F891" s="24"/>
      <c r="G891" s="25" t="str">
        <f>IF($D891="","",IFERROR(VLOOKUP($D891,'ACAH Consumables Tracker'!$A:$D,4,FALSE()),""))</f>
        <v/>
      </c>
      <c r="H891" s="22"/>
    </row>
    <row r="892" spans="1:8">
      <c r="A892" s="21"/>
      <c r="B892" s="28"/>
      <c r="C892" s="22"/>
      <c r="D892" s="28"/>
      <c r="E892" s="23" t="str">
        <f>IF($D892="","",IFERROR(VLOOKUP($D892,'ACAH Consumables Tracker'!$A:$H,8,FALSE()),""))</f>
        <v/>
      </c>
      <c r="F892" s="24"/>
      <c r="G892" s="25" t="str">
        <f>IF($D892="","",IFERROR(VLOOKUP($D892,'ACAH Consumables Tracker'!$A:$D,4,FALSE()),""))</f>
        <v/>
      </c>
      <c r="H892" s="22"/>
    </row>
    <row r="893" spans="1:8">
      <c r="A893" s="21"/>
      <c r="B893" s="28"/>
      <c r="C893" s="22"/>
      <c r="D893" s="28"/>
      <c r="E893" s="23" t="str">
        <f>IF($D893="","",IFERROR(VLOOKUP($D893,'ACAH Consumables Tracker'!$A:$H,8,FALSE()),""))</f>
        <v/>
      </c>
      <c r="F893" s="24"/>
      <c r="G893" s="25" t="str">
        <f>IF($D893="","",IFERROR(VLOOKUP($D893,'ACAH Consumables Tracker'!$A:$D,4,FALSE()),""))</f>
        <v/>
      </c>
      <c r="H893" s="22"/>
    </row>
    <row r="894" spans="1:8">
      <c r="A894" s="21"/>
      <c r="B894" s="28"/>
      <c r="C894" s="22"/>
      <c r="D894" s="28"/>
      <c r="E894" s="23" t="str">
        <f>IF($D894="","",IFERROR(VLOOKUP($D894,'ACAH Consumables Tracker'!$A:$H,8,FALSE()),""))</f>
        <v/>
      </c>
      <c r="F894" s="24"/>
      <c r="G894" s="25" t="str">
        <f>IF($D894="","",IFERROR(VLOOKUP($D894,'ACAH Consumables Tracker'!$A:$D,4,FALSE()),""))</f>
        <v/>
      </c>
      <c r="H894" s="22"/>
    </row>
    <row r="895" spans="1:8">
      <c r="A895" s="21"/>
      <c r="B895" s="28"/>
      <c r="C895" s="22"/>
      <c r="D895" s="28"/>
      <c r="E895" s="23" t="str">
        <f>IF($D895="","",IFERROR(VLOOKUP($D895,'ACAH Consumables Tracker'!$A:$H,8,FALSE()),""))</f>
        <v/>
      </c>
      <c r="F895" s="24"/>
      <c r="G895" s="25" t="str">
        <f>IF($D895="","",IFERROR(VLOOKUP($D895,'ACAH Consumables Tracker'!$A:$D,4,FALSE()),""))</f>
        <v/>
      </c>
      <c r="H895" s="22"/>
    </row>
    <row r="896" spans="1:8">
      <c r="A896" s="21"/>
      <c r="B896" s="28"/>
      <c r="C896" s="22"/>
      <c r="D896" s="28"/>
      <c r="E896" s="23" t="str">
        <f>IF($D896="","",IFERROR(VLOOKUP($D896,'ACAH Consumables Tracker'!$A:$H,8,FALSE()),""))</f>
        <v/>
      </c>
      <c r="F896" s="24"/>
      <c r="G896" s="25" t="str">
        <f>IF($D896="","",IFERROR(VLOOKUP($D896,'ACAH Consumables Tracker'!$A:$D,4,FALSE()),""))</f>
        <v/>
      </c>
      <c r="H896" s="22"/>
    </row>
    <row r="897" spans="1:8">
      <c r="A897" s="21"/>
      <c r="B897" s="28"/>
      <c r="C897" s="22"/>
      <c r="D897" s="28"/>
      <c r="E897" s="23" t="str">
        <f>IF($D897="","",IFERROR(VLOOKUP($D897,'ACAH Consumables Tracker'!$A:$H,8,FALSE()),""))</f>
        <v/>
      </c>
      <c r="F897" s="24"/>
      <c r="G897" s="25" t="str">
        <f>IF($D897="","",IFERROR(VLOOKUP($D897,'ACAH Consumables Tracker'!$A:$D,4,FALSE()),""))</f>
        <v/>
      </c>
      <c r="H897" s="22"/>
    </row>
    <row r="898" spans="1:8">
      <c r="A898" s="21"/>
      <c r="B898" s="28"/>
      <c r="C898" s="22"/>
      <c r="D898" s="28"/>
      <c r="E898" s="23" t="str">
        <f>IF($D898="","",IFERROR(VLOOKUP($D898,'ACAH Consumables Tracker'!$A:$H,8,FALSE()),""))</f>
        <v/>
      </c>
      <c r="F898" s="24"/>
      <c r="G898" s="25" t="str">
        <f>IF($D898="","",IFERROR(VLOOKUP($D898,'ACAH Consumables Tracker'!$A:$D,4,FALSE()),""))</f>
        <v/>
      </c>
      <c r="H898" s="22"/>
    </row>
    <row r="899" spans="1:8">
      <c r="A899" s="21"/>
      <c r="B899" s="28"/>
      <c r="C899" s="22"/>
      <c r="D899" s="28"/>
      <c r="E899" s="23" t="str">
        <f>IF($D899="","",IFERROR(VLOOKUP($D899,'ACAH Consumables Tracker'!$A:$H,8,FALSE()),""))</f>
        <v/>
      </c>
      <c r="F899" s="24"/>
      <c r="G899" s="25" t="str">
        <f>IF($D899="","",IFERROR(VLOOKUP($D899,'ACAH Consumables Tracker'!$A:$D,4,FALSE()),""))</f>
        <v/>
      </c>
      <c r="H899" s="22"/>
    </row>
    <row r="900" spans="1:8">
      <c r="A900" s="21"/>
      <c r="B900" s="28"/>
      <c r="C900" s="22"/>
      <c r="D900" s="28"/>
      <c r="E900" s="23" t="str">
        <f>IF($D900="","",IFERROR(VLOOKUP($D900,'ACAH Consumables Tracker'!$A:$H,8,FALSE()),""))</f>
        <v/>
      </c>
      <c r="F900" s="24"/>
      <c r="G900" s="25" t="str">
        <f>IF($D900="","",IFERROR(VLOOKUP($D900,'ACAH Consumables Tracker'!$A:$D,4,FALSE()),""))</f>
        <v/>
      </c>
      <c r="H900" s="22"/>
    </row>
    <row r="901" spans="1:8">
      <c r="A901" s="21"/>
      <c r="B901" s="28"/>
      <c r="C901" s="22"/>
      <c r="D901" s="28"/>
      <c r="E901" s="23" t="str">
        <f>IF($D901="","",IFERROR(VLOOKUP($D901,'ACAH Consumables Tracker'!$A:$H,8,FALSE()),""))</f>
        <v/>
      </c>
      <c r="F901" s="24"/>
      <c r="G901" s="25" t="str">
        <f>IF($D901="","",IFERROR(VLOOKUP($D901,'ACAH Consumables Tracker'!$A:$D,4,FALSE()),""))</f>
        <v/>
      </c>
      <c r="H901" s="22"/>
    </row>
    <row r="902" spans="1:8">
      <c r="A902" s="21"/>
      <c r="B902" s="28"/>
      <c r="C902" s="22"/>
      <c r="D902" s="28"/>
      <c r="E902" s="23" t="str">
        <f>IF($D902="","",IFERROR(VLOOKUP($D902,'ACAH Consumables Tracker'!$A:$H,8,FALSE()),""))</f>
        <v/>
      </c>
      <c r="F902" s="24"/>
      <c r="G902" s="25" t="str">
        <f>IF($D902="","",IFERROR(VLOOKUP($D902,'ACAH Consumables Tracker'!$A:$D,4,FALSE()),""))</f>
        <v/>
      </c>
      <c r="H902" s="22"/>
    </row>
    <row r="903" spans="1:8">
      <c r="A903" s="21"/>
      <c r="B903" s="28"/>
      <c r="C903" s="22"/>
      <c r="D903" s="28"/>
      <c r="E903" s="23" t="str">
        <f>IF($D903="","",IFERROR(VLOOKUP($D903,'ACAH Consumables Tracker'!$A:$H,8,FALSE()),""))</f>
        <v/>
      </c>
      <c r="F903" s="24"/>
      <c r="G903" s="25" t="str">
        <f>IF($D903="","",IFERROR(VLOOKUP($D903,'ACAH Consumables Tracker'!$A:$D,4,FALSE()),""))</f>
        <v/>
      </c>
      <c r="H903" s="22"/>
    </row>
    <row r="904" spans="1:8">
      <c r="A904" s="21"/>
      <c r="B904" s="28"/>
      <c r="C904" s="22"/>
      <c r="D904" s="28"/>
      <c r="E904" s="23" t="str">
        <f>IF($D904="","",IFERROR(VLOOKUP($D904,'ACAH Consumables Tracker'!$A:$H,8,FALSE()),""))</f>
        <v/>
      </c>
      <c r="F904" s="24"/>
      <c r="G904" s="25" t="str">
        <f>IF($D904="","",IFERROR(VLOOKUP($D904,'ACAH Consumables Tracker'!$A:$D,4,FALSE()),""))</f>
        <v/>
      </c>
      <c r="H904" s="22"/>
    </row>
    <row r="905" spans="1:8">
      <c r="A905" s="21"/>
      <c r="B905" s="28"/>
      <c r="C905" s="22"/>
      <c r="D905" s="28"/>
      <c r="E905" s="23" t="str">
        <f>IF($D905="","",IFERROR(VLOOKUP($D905,'ACAH Consumables Tracker'!$A:$H,8,FALSE()),""))</f>
        <v/>
      </c>
      <c r="F905" s="24"/>
      <c r="G905" s="25" t="str">
        <f>IF($D905="","",IFERROR(VLOOKUP($D905,'ACAH Consumables Tracker'!$A:$D,4,FALSE()),""))</f>
        <v/>
      </c>
      <c r="H905" s="22"/>
    </row>
    <row r="906" spans="1:8">
      <c r="A906" s="21"/>
      <c r="B906" s="28"/>
      <c r="C906" s="22"/>
      <c r="D906" s="28"/>
      <c r="E906" s="23" t="str">
        <f>IF($D906="","",IFERROR(VLOOKUP($D906,'ACAH Consumables Tracker'!$A:$H,8,FALSE()),""))</f>
        <v/>
      </c>
      <c r="F906" s="24"/>
      <c r="G906" s="25" t="str">
        <f>IF($D906="","",IFERROR(VLOOKUP($D906,'ACAH Consumables Tracker'!$A:$D,4,FALSE()),""))</f>
        <v/>
      </c>
      <c r="H906" s="22"/>
    </row>
    <row r="907" spans="1:8">
      <c r="A907" s="21"/>
      <c r="B907" s="28"/>
      <c r="C907" s="22"/>
      <c r="D907" s="28"/>
      <c r="E907" s="23" t="str">
        <f>IF($D907="","",IFERROR(VLOOKUP($D907,'ACAH Consumables Tracker'!$A:$H,8,FALSE()),""))</f>
        <v/>
      </c>
      <c r="F907" s="24"/>
      <c r="G907" s="25" t="str">
        <f>IF($D907="","",IFERROR(VLOOKUP($D907,'ACAH Consumables Tracker'!$A:$D,4,FALSE()),""))</f>
        <v/>
      </c>
      <c r="H907" s="22"/>
    </row>
    <row r="908" spans="1:8">
      <c r="A908" s="21"/>
      <c r="B908" s="28"/>
      <c r="C908" s="22"/>
      <c r="D908" s="28"/>
      <c r="E908" s="23" t="str">
        <f>IF($D908="","",IFERROR(VLOOKUP($D908,'ACAH Consumables Tracker'!$A:$H,8,FALSE()),""))</f>
        <v/>
      </c>
      <c r="F908" s="24"/>
      <c r="G908" s="25" t="str">
        <f>IF($D908="","",IFERROR(VLOOKUP($D908,'ACAH Consumables Tracker'!$A:$D,4,FALSE()),""))</f>
        <v/>
      </c>
      <c r="H908" s="22"/>
    </row>
    <row r="909" spans="1:8">
      <c r="A909" s="21"/>
      <c r="B909" s="28"/>
      <c r="C909" s="22"/>
      <c r="D909" s="28"/>
      <c r="E909" s="23" t="str">
        <f>IF($D909="","",IFERROR(VLOOKUP($D909,'ACAH Consumables Tracker'!$A:$H,8,FALSE()),""))</f>
        <v/>
      </c>
      <c r="F909" s="24"/>
      <c r="G909" s="25" t="str">
        <f>IF($D909="","",IFERROR(VLOOKUP($D909,'ACAH Consumables Tracker'!$A:$D,4,FALSE()),""))</f>
        <v/>
      </c>
      <c r="H909" s="22"/>
    </row>
    <row r="910" spans="1:8">
      <c r="A910" s="21"/>
      <c r="B910" s="28"/>
      <c r="C910" s="22"/>
      <c r="D910" s="28"/>
      <c r="E910" s="23" t="str">
        <f>IF($D910="","",IFERROR(VLOOKUP($D910,'ACAH Consumables Tracker'!$A:$H,8,FALSE()),""))</f>
        <v/>
      </c>
      <c r="F910" s="24"/>
      <c r="G910" s="25" t="str">
        <f>IF($D910="","",IFERROR(VLOOKUP($D910,'ACAH Consumables Tracker'!$A:$D,4,FALSE()),""))</f>
        <v/>
      </c>
      <c r="H910" s="22"/>
    </row>
    <row r="911" spans="1:8">
      <c r="A911" s="21"/>
      <c r="B911" s="28"/>
      <c r="C911" s="22"/>
      <c r="D911" s="28"/>
      <c r="E911" s="23" t="str">
        <f>IF($D911="","",IFERROR(VLOOKUP($D911,'ACAH Consumables Tracker'!$A:$H,8,FALSE()),""))</f>
        <v/>
      </c>
      <c r="F911" s="24"/>
      <c r="G911" s="25" t="str">
        <f>IF($D911="","",IFERROR(VLOOKUP($D911,'ACAH Consumables Tracker'!$A:$D,4,FALSE()),""))</f>
        <v/>
      </c>
      <c r="H911" s="22"/>
    </row>
    <row r="912" spans="1:8">
      <c r="A912" s="21"/>
      <c r="B912" s="28"/>
      <c r="C912" s="22"/>
      <c r="D912" s="28"/>
      <c r="E912" s="23" t="str">
        <f>IF($D912="","",IFERROR(VLOOKUP($D912,'ACAH Consumables Tracker'!$A:$H,8,FALSE()),""))</f>
        <v/>
      </c>
      <c r="F912" s="24"/>
      <c r="G912" s="25" t="str">
        <f>IF($D912="","",IFERROR(VLOOKUP($D912,'ACAH Consumables Tracker'!$A:$D,4,FALSE()),""))</f>
        <v/>
      </c>
      <c r="H912" s="22"/>
    </row>
    <row r="913" spans="1:8">
      <c r="A913" s="21"/>
      <c r="B913" s="28"/>
      <c r="C913" s="22"/>
      <c r="D913" s="28"/>
      <c r="E913" s="23" t="str">
        <f>IF($D913="","",IFERROR(VLOOKUP($D913,'ACAH Consumables Tracker'!$A:$H,8,FALSE()),""))</f>
        <v/>
      </c>
      <c r="F913" s="24"/>
      <c r="G913" s="25" t="str">
        <f>IF($D913="","",IFERROR(VLOOKUP($D913,'ACAH Consumables Tracker'!$A:$D,4,FALSE()),""))</f>
        <v/>
      </c>
      <c r="H913" s="22"/>
    </row>
    <row r="914" spans="1:8">
      <c r="A914" s="21"/>
      <c r="B914" s="28"/>
      <c r="C914" s="22"/>
      <c r="D914" s="28"/>
      <c r="E914" s="23" t="str">
        <f>IF($D914="","",IFERROR(VLOOKUP($D914,'ACAH Consumables Tracker'!$A:$H,8,FALSE()),""))</f>
        <v/>
      </c>
      <c r="F914" s="24"/>
      <c r="G914" s="25" t="str">
        <f>IF($D914="","",IFERROR(VLOOKUP($D914,'ACAH Consumables Tracker'!$A:$D,4,FALSE()),""))</f>
        <v/>
      </c>
      <c r="H914" s="22"/>
    </row>
    <row r="915" spans="1:8">
      <c r="A915" s="21"/>
      <c r="B915" s="28"/>
      <c r="C915" s="22"/>
      <c r="D915" s="28"/>
      <c r="E915" s="23" t="str">
        <f>IF($D915="","",IFERROR(VLOOKUP($D915,'ACAH Consumables Tracker'!$A:$H,8,FALSE()),""))</f>
        <v/>
      </c>
      <c r="F915" s="24"/>
      <c r="G915" s="25" t="str">
        <f>IF($D915="","",IFERROR(VLOOKUP($D915,'ACAH Consumables Tracker'!$A:$D,4,FALSE()),""))</f>
        <v/>
      </c>
      <c r="H915" s="22"/>
    </row>
    <row r="916" spans="1:8">
      <c r="A916" s="21"/>
      <c r="B916" s="28"/>
      <c r="C916" s="22"/>
      <c r="D916" s="28"/>
      <c r="E916" s="23" t="str">
        <f>IF($D916="","",IFERROR(VLOOKUP($D916,'ACAH Consumables Tracker'!$A:$H,8,FALSE()),""))</f>
        <v/>
      </c>
      <c r="F916" s="24"/>
      <c r="G916" s="25" t="str">
        <f>IF($D916="","",IFERROR(VLOOKUP($D916,'ACAH Consumables Tracker'!$A:$D,4,FALSE()),""))</f>
        <v/>
      </c>
      <c r="H916" s="22"/>
    </row>
    <row r="917" spans="1:8">
      <c r="A917" s="21"/>
      <c r="B917" s="28"/>
      <c r="C917" s="22"/>
      <c r="D917" s="28"/>
      <c r="E917" s="23" t="str">
        <f>IF($D917="","",IFERROR(VLOOKUP($D917,'ACAH Consumables Tracker'!$A:$H,8,FALSE()),""))</f>
        <v/>
      </c>
      <c r="F917" s="24"/>
      <c r="G917" s="25" t="str">
        <f>IF($D917="","",IFERROR(VLOOKUP($D917,'ACAH Consumables Tracker'!$A:$D,4,FALSE()),""))</f>
        <v/>
      </c>
      <c r="H917" s="22"/>
    </row>
    <row r="918" spans="1:8">
      <c r="A918" s="21"/>
      <c r="B918" s="28"/>
      <c r="C918" s="22"/>
      <c r="D918" s="28"/>
      <c r="E918" s="23" t="str">
        <f>IF($D918="","",IFERROR(VLOOKUP($D918,'ACAH Consumables Tracker'!$A:$H,8,FALSE()),""))</f>
        <v/>
      </c>
      <c r="F918" s="24"/>
      <c r="G918" s="25" t="str">
        <f>IF($D918="","",IFERROR(VLOOKUP($D918,'ACAH Consumables Tracker'!$A:$D,4,FALSE()),""))</f>
        <v/>
      </c>
      <c r="H918" s="22"/>
    </row>
    <row r="919" spans="1:8">
      <c r="A919" s="21"/>
      <c r="B919" s="28"/>
      <c r="C919" s="22"/>
      <c r="D919" s="28"/>
      <c r="E919" s="23" t="str">
        <f>IF($D919="","",IFERROR(VLOOKUP($D919,'ACAH Consumables Tracker'!$A:$H,8,FALSE()),""))</f>
        <v/>
      </c>
      <c r="F919" s="24"/>
      <c r="G919" s="25" t="str">
        <f>IF($D919="","",IFERROR(VLOOKUP($D919,'ACAH Consumables Tracker'!$A:$D,4,FALSE()),""))</f>
        <v/>
      </c>
      <c r="H919" s="22"/>
    </row>
    <row r="920" spans="1:8">
      <c r="A920" s="21"/>
      <c r="B920" s="28"/>
      <c r="C920" s="22"/>
      <c r="D920" s="28"/>
      <c r="E920" s="23" t="str">
        <f>IF($D920="","",IFERROR(VLOOKUP($D920,'ACAH Consumables Tracker'!$A:$H,8,FALSE()),""))</f>
        <v/>
      </c>
      <c r="F920" s="24"/>
      <c r="G920" s="25" t="str">
        <f>IF($D920="","",IFERROR(VLOOKUP($D920,'ACAH Consumables Tracker'!$A:$D,4,FALSE()),""))</f>
        <v/>
      </c>
      <c r="H920" s="22"/>
    </row>
    <row r="921" spans="1:8">
      <c r="A921" s="21"/>
      <c r="B921" s="28"/>
      <c r="C921" s="22"/>
      <c r="D921" s="28"/>
      <c r="E921" s="23" t="str">
        <f>IF($D921="","",IFERROR(VLOOKUP($D921,'ACAH Consumables Tracker'!$A:$H,8,FALSE()),""))</f>
        <v/>
      </c>
      <c r="F921" s="24"/>
      <c r="G921" s="25" t="str">
        <f>IF($D921="","",IFERROR(VLOOKUP($D921,'ACAH Consumables Tracker'!$A:$D,4,FALSE()),""))</f>
        <v/>
      </c>
      <c r="H921" s="22"/>
    </row>
    <row r="922" spans="1:8">
      <c r="A922" s="21"/>
      <c r="B922" s="28"/>
      <c r="C922" s="22"/>
      <c r="D922" s="28"/>
      <c r="E922" s="23" t="str">
        <f>IF($D922="","",IFERROR(VLOOKUP($D922,'ACAH Consumables Tracker'!$A:$H,8,FALSE()),""))</f>
        <v/>
      </c>
      <c r="F922" s="24"/>
      <c r="G922" s="25" t="str">
        <f>IF($D922="","",IFERROR(VLOOKUP($D922,'ACAH Consumables Tracker'!$A:$D,4,FALSE()),""))</f>
        <v/>
      </c>
      <c r="H922" s="22"/>
    </row>
    <row r="923" spans="1:8">
      <c r="A923" s="21"/>
      <c r="B923" s="28"/>
      <c r="C923" s="22"/>
      <c r="D923" s="28"/>
      <c r="E923" s="23" t="str">
        <f>IF($D923="","",IFERROR(VLOOKUP($D923,'ACAH Consumables Tracker'!$A:$H,8,FALSE()),""))</f>
        <v/>
      </c>
      <c r="F923" s="24"/>
      <c r="G923" s="25" t="str">
        <f>IF($D923="","",IFERROR(VLOOKUP($D923,'ACAH Consumables Tracker'!$A:$D,4,FALSE()),""))</f>
        <v/>
      </c>
      <c r="H923" s="22"/>
    </row>
    <row r="924" spans="1:8">
      <c r="A924" s="21"/>
      <c r="B924" s="28"/>
      <c r="C924" s="22"/>
      <c r="D924" s="28"/>
      <c r="E924" s="23" t="str">
        <f>IF($D924="","",IFERROR(VLOOKUP($D924,'ACAH Consumables Tracker'!$A:$H,8,FALSE()),""))</f>
        <v/>
      </c>
      <c r="F924" s="24"/>
      <c r="G924" s="25" t="str">
        <f>IF($D924="","",IFERROR(VLOOKUP($D924,'ACAH Consumables Tracker'!$A:$D,4,FALSE()),""))</f>
        <v/>
      </c>
      <c r="H924" s="22"/>
    </row>
    <row r="925" spans="1:8">
      <c r="A925" s="21"/>
      <c r="B925" s="28"/>
      <c r="C925" s="22"/>
      <c r="D925" s="28"/>
      <c r="E925" s="23" t="str">
        <f>IF($D925="","",IFERROR(VLOOKUP($D925,'ACAH Consumables Tracker'!$A:$H,8,FALSE()),""))</f>
        <v/>
      </c>
      <c r="F925" s="24"/>
      <c r="G925" s="25" t="str">
        <f>IF($D925="","",IFERROR(VLOOKUP($D925,'ACAH Consumables Tracker'!$A:$D,4,FALSE()),""))</f>
        <v/>
      </c>
      <c r="H925" s="22"/>
    </row>
    <row r="926" spans="1:8">
      <c r="A926" s="21"/>
      <c r="B926" s="28"/>
      <c r="C926" s="22"/>
      <c r="D926" s="28"/>
      <c r="E926" s="23" t="str">
        <f>IF($D926="","",IFERROR(VLOOKUP($D926,'ACAH Consumables Tracker'!$A:$H,8,FALSE()),""))</f>
        <v/>
      </c>
      <c r="F926" s="24"/>
      <c r="G926" s="25" t="str">
        <f>IF($D926="","",IFERROR(VLOOKUP($D926,'ACAH Consumables Tracker'!$A:$D,4,FALSE()),""))</f>
        <v/>
      </c>
      <c r="H926" s="22"/>
    </row>
    <row r="927" spans="1:8">
      <c r="A927" s="21"/>
      <c r="B927" s="28"/>
      <c r="C927" s="22"/>
      <c r="D927" s="28"/>
      <c r="E927" s="23" t="str">
        <f>IF($D927="","",IFERROR(VLOOKUP($D927,'ACAH Consumables Tracker'!$A:$H,8,FALSE()),""))</f>
        <v/>
      </c>
      <c r="F927" s="24"/>
      <c r="G927" s="25" t="str">
        <f>IF($D927="","",IFERROR(VLOOKUP($D927,'ACAH Consumables Tracker'!$A:$D,4,FALSE()),""))</f>
        <v/>
      </c>
      <c r="H927" s="22"/>
    </row>
    <row r="928" spans="1:8">
      <c r="A928" s="21"/>
      <c r="B928" s="28"/>
      <c r="C928" s="22"/>
      <c r="D928" s="28"/>
      <c r="E928" s="23" t="str">
        <f>IF($D928="","",IFERROR(VLOOKUP($D928,'ACAH Consumables Tracker'!$A:$H,8,FALSE()),""))</f>
        <v/>
      </c>
      <c r="F928" s="24"/>
      <c r="G928" s="25" t="str">
        <f>IF($D928="","",IFERROR(VLOOKUP($D928,'ACAH Consumables Tracker'!$A:$D,4,FALSE()),""))</f>
        <v/>
      </c>
      <c r="H928" s="22"/>
    </row>
    <row r="929" spans="1:8">
      <c r="A929" s="21"/>
      <c r="B929" s="28"/>
      <c r="C929" s="22"/>
      <c r="D929" s="28"/>
      <c r="E929" s="23" t="str">
        <f>IF($D929="","",IFERROR(VLOOKUP($D929,'ACAH Consumables Tracker'!$A:$H,8,FALSE()),""))</f>
        <v/>
      </c>
      <c r="F929" s="24"/>
      <c r="G929" s="25" t="str">
        <f>IF($D929="","",IFERROR(VLOOKUP($D929,'ACAH Consumables Tracker'!$A:$D,4,FALSE()),""))</f>
        <v/>
      </c>
      <c r="H929" s="22"/>
    </row>
    <row r="930" spans="1:8">
      <c r="A930" s="21"/>
      <c r="B930" s="28"/>
      <c r="C930" s="22"/>
      <c r="D930" s="28"/>
      <c r="E930" s="23" t="str">
        <f>IF($D930="","",IFERROR(VLOOKUP($D930,'ACAH Consumables Tracker'!$A:$H,8,FALSE()),""))</f>
        <v/>
      </c>
      <c r="F930" s="24"/>
      <c r="G930" s="25" t="str">
        <f>IF($D930="","",IFERROR(VLOOKUP($D930,'ACAH Consumables Tracker'!$A:$D,4,FALSE()),""))</f>
        <v/>
      </c>
      <c r="H930" s="22"/>
    </row>
    <row r="931" spans="1:8">
      <c r="A931" s="21"/>
      <c r="B931" s="28"/>
      <c r="C931" s="22"/>
      <c r="D931" s="28"/>
      <c r="E931" s="23" t="str">
        <f>IF($D931="","",IFERROR(VLOOKUP($D931,'ACAH Consumables Tracker'!$A:$H,8,FALSE()),""))</f>
        <v/>
      </c>
      <c r="F931" s="24"/>
      <c r="G931" s="25" t="str">
        <f>IF($D931="","",IFERROR(VLOOKUP($D931,'ACAH Consumables Tracker'!$A:$D,4,FALSE()),""))</f>
        <v/>
      </c>
      <c r="H931" s="22"/>
    </row>
    <row r="932" spans="1:8">
      <c r="A932" s="21"/>
      <c r="B932" s="28"/>
      <c r="C932" s="22"/>
      <c r="D932" s="28"/>
      <c r="E932" s="23" t="str">
        <f>IF($D932="","",IFERROR(VLOOKUP($D932,'ACAH Consumables Tracker'!$A:$H,8,FALSE()),""))</f>
        <v/>
      </c>
      <c r="F932" s="24"/>
      <c r="G932" s="25" t="str">
        <f>IF($D932="","",IFERROR(VLOOKUP($D932,'ACAH Consumables Tracker'!$A:$D,4,FALSE()),""))</f>
        <v/>
      </c>
      <c r="H932" s="22"/>
    </row>
    <row r="933" spans="1:8">
      <c r="A933" s="21"/>
      <c r="B933" s="28"/>
      <c r="C933" s="22"/>
      <c r="D933" s="28"/>
      <c r="E933" s="23" t="str">
        <f>IF($D933="","",IFERROR(VLOOKUP($D933,'ACAH Consumables Tracker'!$A:$H,8,FALSE()),""))</f>
        <v/>
      </c>
      <c r="F933" s="24"/>
      <c r="G933" s="25" t="str">
        <f>IF($D933="","",IFERROR(VLOOKUP($D933,'ACAH Consumables Tracker'!$A:$D,4,FALSE()),""))</f>
        <v/>
      </c>
      <c r="H933" s="22"/>
    </row>
    <row r="934" spans="1:8">
      <c r="A934" s="21"/>
      <c r="B934" s="28"/>
      <c r="C934" s="22"/>
      <c r="D934" s="28"/>
      <c r="E934" s="23" t="str">
        <f>IF($D934="","",IFERROR(VLOOKUP($D934,'ACAH Consumables Tracker'!$A:$H,8,FALSE()),""))</f>
        <v/>
      </c>
      <c r="F934" s="24"/>
      <c r="G934" s="25" t="str">
        <f>IF($D934="","",IFERROR(VLOOKUP($D934,'ACAH Consumables Tracker'!$A:$D,4,FALSE()),""))</f>
        <v/>
      </c>
      <c r="H934" s="22"/>
    </row>
    <row r="935" spans="1:8">
      <c r="A935" s="21"/>
      <c r="B935" s="28"/>
      <c r="C935" s="22"/>
      <c r="D935" s="28"/>
      <c r="E935" s="23" t="str">
        <f>IF($D935="","",IFERROR(VLOOKUP($D935,'ACAH Consumables Tracker'!$A:$H,8,FALSE()),""))</f>
        <v/>
      </c>
      <c r="F935" s="24"/>
      <c r="G935" s="25" t="str">
        <f>IF($D935="","",IFERROR(VLOOKUP($D935,'ACAH Consumables Tracker'!$A:$D,4,FALSE()),""))</f>
        <v/>
      </c>
      <c r="H935" s="22"/>
    </row>
    <row r="936" spans="1:8">
      <c r="A936" s="21"/>
      <c r="B936" s="28"/>
      <c r="C936" s="22"/>
      <c r="D936" s="28"/>
      <c r="E936" s="23" t="str">
        <f>IF($D936="","",IFERROR(VLOOKUP($D936,'ACAH Consumables Tracker'!$A:$H,8,FALSE()),""))</f>
        <v/>
      </c>
      <c r="F936" s="24"/>
      <c r="G936" s="25" t="str">
        <f>IF($D936="","",IFERROR(VLOOKUP($D936,'ACAH Consumables Tracker'!$A:$D,4,FALSE()),""))</f>
        <v/>
      </c>
      <c r="H936" s="22"/>
    </row>
    <row r="937" spans="1:8">
      <c r="A937" s="21"/>
      <c r="B937" s="28"/>
      <c r="C937" s="22"/>
      <c r="D937" s="28"/>
      <c r="E937" s="23" t="str">
        <f>IF($D937="","",IFERROR(VLOOKUP($D937,'ACAH Consumables Tracker'!$A:$H,8,FALSE()),""))</f>
        <v/>
      </c>
      <c r="F937" s="24"/>
      <c r="G937" s="25" t="str">
        <f>IF($D937="","",IFERROR(VLOOKUP($D937,'ACAH Consumables Tracker'!$A:$D,4,FALSE()),""))</f>
        <v/>
      </c>
      <c r="H937" s="22"/>
    </row>
    <row r="938" spans="1:8">
      <c r="A938" s="21"/>
      <c r="B938" s="28"/>
      <c r="C938" s="22"/>
      <c r="D938" s="28"/>
      <c r="E938" s="23" t="str">
        <f>IF($D938="","",IFERROR(VLOOKUP($D938,'ACAH Consumables Tracker'!$A:$H,8,FALSE()),""))</f>
        <v/>
      </c>
      <c r="F938" s="24"/>
      <c r="G938" s="25" t="str">
        <f>IF($D938="","",IFERROR(VLOOKUP($D938,'ACAH Consumables Tracker'!$A:$D,4,FALSE()),""))</f>
        <v/>
      </c>
      <c r="H938" s="22"/>
    </row>
    <row r="939" spans="1:8">
      <c r="A939" s="21"/>
      <c r="B939" s="28"/>
      <c r="C939" s="22"/>
      <c r="D939" s="28"/>
      <c r="E939" s="23" t="str">
        <f>IF($D939="","",IFERROR(VLOOKUP($D939,'ACAH Consumables Tracker'!$A:$H,8,FALSE()),""))</f>
        <v/>
      </c>
      <c r="F939" s="24"/>
      <c r="G939" s="25" t="str">
        <f>IF($D939="","",IFERROR(VLOOKUP($D939,'ACAH Consumables Tracker'!$A:$D,4,FALSE()),""))</f>
        <v/>
      </c>
      <c r="H939" s="22"/>
    </row>
    <row r="940" spans="1:8">
      <c r="A940" s="21"/>
      <c r="B940" s="28"/>
      <c r="C940" s="22"/>
      <c r="D940" s="28"/>
      <c r="E940" s="23" t="str">
        <f>IF($D940="","",IFERROR(VLOOKUP($D940,'ACAH Consumables Tracker'!$A:$H,8,FALSE()),""))</f>
        <v/>
      </c>
      <c r="F940" s="24"/>
      <c r="G940" s="25" t="str">
        <f>IF($D940="","",IFERROR(VLOOKUP($D940,'ACAH Consumables Tracker'!$A:$D,4,FALSE()),""))</f>
        <v/>
      </c>
      <c r="H940" s="22"/>
    </row>
    <row r="941" spans="1:8">
      <c r="A941" s="21"/>
      <c r="B941" s="28"/>
      <c r="C941" s="22"/>
      <c r="D941" s="28"/>
      <c r="E941" s="23" t="str">
        <f>IF($D941="","",IFERROR(VLOOKUP($D941,'ACAH Consumables Tracker'!$A:$H,8,FALSE()),""))</f>
        <v/>
      </c>
      <c r="F941" s="24"/>
      <c r="G941" s="25" t="str">
        <f>IF($D941="","",IFERROR(VLOOKUP($D941,'ACAH Consumables Tracker'!$A:$D,4,FALSE()),""))</f>
        <v/>
      </c>
      <c r="H941" s="22"/>
    </row>
    <row r="942" spans="1:8">
      <c r="A942" s="21"/>
      <c r="B942" s="28"/>
      <c r="C942" s="22"/>
      <c r="D942" s="28"/>
      <c r="E942" s="23" t="str">
        <f>IF($D942="","",IFERROR(VLOOKUP($D942,'ACAH Consumables Tracker'!$A:$H,8,FALSE()),""))</f>
        <v/>
      </c>
      <c r="F942" s="24"/>
      <c r="G942" s="25" t="str">
        <f>IF($D942="","",IFERROR(VLOOKUP($D942,'ACAH Consumables Tracker'!$A:$D,4,FALSE()),""))</f>
        <v/>
      </c>
      <c r="H942" s="22"/>
    </row>
    <row r="943" spans="1:8">
      <c r="A943" s="21"/>
      <c r="B943" s="28"/>
      <c r="C943" s="22"/>
      <c r="D943" s="28"/>
      <c r="E943" s="23" t="str">
        <f>IF($D943="","",IFERROR(VLOOKUP($D943,'ACAH Consumables Tracker'!$A:$H,8,FALSE()),""))</f>
        <v/>
      </c>
      <c r="F943" s="24"/>
      <c r="G943" s="25" t="str">
        <f>IF($D943="","",IFERROR(VLOOKUP($D943,'ACAH Consumables Tracker'!$A:$D,4,FALSE()),""))</f>
        <v/>
      </c>
      <c r="H943" s="22"/>
    </row>
    <row r="944" spans="1:8">
      <c r="A944" s="21"/>
      <c r="B944" s="28"/>
      <c r="C944" s="22"/>
      <c r="D944" s="28"/>
      <c r="E944" s="23" t="str">
        <f>IF($D944="","",IFERROR(VLOOKUP($D944,'ACAH Consumables Tracker'!$A:$H,8,FALSE()),""))</f>
        <v/>
      </c>
      <c r="F944" s="24"/>
      <c r="G944" s="25" t="str">
        <f>IF($D944="","",IFERROR(VLOOKUP($D944,'ACAH Consumables Tracker'!$A:$D,4,FALSE()),""))</f>
        <v/>
      </c>
      <c r="H944" s="22"/>
    </row>
    <row r="945" spans="1:8">
      <c r="A945" s="21"/>
      <c r="B945" s="28"/>
      <c r="C945" s="22"/>
      <c r="D945" s="28"/>
      <c r="E945" s="23" t="str">
        <f>IF($D945="","",IFERROR(VLOOKUP($D945,'ACAH Consumables Tracker'!$A:$H,8,FALSE()),""))</f>
        <v/>
      </c>
      <c r="F945" s="24"/>
      <c r="G945" s="25" t="str">
        <f>IF($D945="","",IFERROR(VLOOKUP($D945,'ACAH Consumables Tracker'!$A:$D,4,FALSE()),""))</f>
        <v/>
      </c>
      <c r="H945" s="22"/>
    </row>
    <row r="946" spans="1:8">
      <c r="A946" s="21"/>
      <c r="B946" s="28"/>
      <c r="C946" s="22"/>
      <c r="D946" s="28"/>
      <c r="E946" s="23" t="str">
        <f>IF($D946="","",IFERROR(VLOOKUP($D946,'ACAH Consumables Tracker'!$A:$H,8,FALSE()),""))</f>
        <v/>
      </c>
      <c r="F946" s="24"/>
      <c r="G946" s="25" t="str">
        <f>IF($D946="","",IFERROR(VLOOKUP($D946,'ACAH Consumables Tracker'!$A:$D,4,FALSE()),""))</f>
        <v/>
      </c>
      <c r="H946" s="22"/>
    </row>
    <row r="947" spans="1:8">
      <c r="A947" s="21"/>
      <c r="B947" s="28"/>
      <c r="C947" s="22"/>
      <c r="D947" s="28"/>
      <c r="E947" s="23" t="str">
        <f>IF($D947="","",IFERROR(VLOOKUP($D947,'ACAH Consumables Tracker'!$A:$H,8,FALSE()),""))</f>
        <v/>
      </c>
      <c r="F947" s="24"/>
      <c r="G947" s="25" t="str">
        <f>IF($D947="","",IFERROR(VLOOKUP($D947,'ACAH Consumables Tracker'!$A:$D,4,FALSE()),""))</f>
        <v/>
      </c>
      <c r="H947" s="22"/>
    </row>
    <row r="948" spans="1:8">
      <c r="A948" s="21"/>
      <c r="B948" s="28"/>
      <c r="C948" s="22"/>
      <c r="D948" s="28"/>
      <c r="E948" s="23" t="str">
        <f>IF($D948="","",IFERROR(VLOOKUP($D948,'ACAH Consumables Tracker'!$A:$H,8,FALSE()),""))</f>
        <v/>
      </c>
      <c r="F948" s="24"/>
      <c r="G948" s="25" t="str">
        <f>IF($D948="","",IFERROR(VLOOKUP($D948,'ACAH Consumables Tracker'!$A:$D,4,FALSE()),""))</f>
        <v/>
      </c>
      <c r="H948" s="22"/>
    </row>
    <row r="949" spans="1:8">
      <c r="A949" s="21"/>
      <c r="B949" s="28"/>
      <c r="C949" s="22"/>
      <c r="D949" s="28"/>
      <c r="E949" s="23" t="str">
        <f>IF($D949="","",IFERROR(VLOOKUP($D949,'ACAH Consumables Tracker'!$A:$H,8,FALSE()),""))</f>
        <v/>
      </c>
      <c r="F949" s="24"/>
      <c r="G949" s="25" t="str">
        <f>IF($D949="","",IFERROR(VLOOKUP($D949,'ACAH Consumables Tracker'!$A:$D,4,FALSE()),""))</f>
        <v/>
      </c>
      <c r="H949" s="22"/>
    </row>
    <row r="950" spans="1:8">
      <c r="A950" s="21"/>
      <c r="B950" s="28"/>
      <c r="C950" s="22"/>
      <c r="D950" s="28"/>
      <c r="E950" s="23" t="str">
        <f>IF($D950="","",IFERROR(VLOOKUP($D950,'ACAH Consumables Tracker'!$A:$H,8,FALSE()),""))</f>
        <v/>
      </c>
      <c r="F950" s="24"/>
      <c r="G950" s="25" t="str">
        <f>IF($D950="","",IFERROR(VLOOKUP($D950,'ACAH Consumables Tracker'!$A:$D,4,FALSE()),""))</f>
        <v/>
      </c>
      <c r="H950" s="22"/>
    </row>
    <row r="951" spans="1:8">
      <c r="A951" s="21"/>
      <c r="B951" s="28"/>
      <c r="C951" s="22"/>
      <c r="D951" s="28"/>
      <c r="E951" s="23" t="str">
        <f>IF($D951="","",IFERROR(VLOOKUP($D951,'ACAH Consumables Tracker'!$A:$H,8,FALSE()),""))</f>
        <v/>
      </c>
      <c r="F951" s="24"/>
      <c r="G951" s="25" t="str">
        <f>IF($D951="","",IFERROR(VLOOKUP($D951,'ACAH Consumables Tracker'!$A:$D,4,FALSE()),""))</f>
        <v/>
      </c>
      <c r="H951" s="22"/>
    </row>
    <row r="952" spans="1:8">
      <c r="A952" s="21"/>
      <c r="B952" s="28"/>
      <c r="C952" s="22"/>
      <c r="D952" s="28"/>
      <c r="E952" s="23" t="str">
        <f>IF($D952="","",IFERROR(VLOOKUP($D952,'ACAH Consumables Tracker'!$A:$H,8,FALSE()),""))</f>
        <v/>
      </c>
      <c r="F952" s="24"/>
      <c r="G952" s="25" t="str">
        <f>IF($D952="","",IFERROR(VLOOKUP($D952,'ACAH Consumables Tracker'!$A:$D,4,FALSE()),""))</f>
        <v/>
      </c>
      <c r="H952" s="22"/>
    </row>
    <row r="953" spans="1:8">
      <c r="A953" s="21"/>
      <c r="B953" s="28"/>
      <c r="C953" s="22"/>
      <c r="D953" s="28"/>
      <c r="E953" s="23" t="str">
        <f>IF($D953="","",IFERROR(VLOOKUP($D953,'ACAH Consumables Tracker'!$A:$H,8,FALSE()),""))</f>
        <v/>
      </c>
      <c r="F953" s="24"/>
      <c r="G953" s="25" t="str">
        <f>IF($D953="","",IFERROR(VLOOKUP($D953,'ACAH Consumables Tracker'!$A:$D,4,FALSE()),""))</f>
        <v/>
      </c>
      <c r="H953" s="22"/>
    </row>
    <row r="954" spans="1:8">
      <c r="A954" s="21"/>
      <c r="B954" s="28"/>
      <c r="C954" s="22"/>
      <c r="D954" s="28"/>
      <c r="E954" s="23" t="str">
        <f>IF($D954="","",IFERROR(VLOOKUP($D954,'ACAH Consumables Tracker'!$A:$H,8,FALSE()),""))</f>
        <v/>
      </c>
      <c r="F954" s="24"/>
      <c r="G954" s="25" t="str">
        <f>IF($D954="","",IFERROR(VLOOKUP($D954,'ACAH Consumables Tracker'!$A:$D,4,FALSE()),""))</f>
        <v/>
      </c>
      <c r="H954" s="22"/>
    </row>
    <row r="955" spans="1:8">
      <c r="A955" s="21"/>
      <c r="B955" s="28"/>
      <c r="C955" s="22"/>
      <c r="D955" s="28"/>
      <c r="E955" s="23" t="str">
        <f>IF($D955="","",IFERROR(VLOOKUP($D955,'ACAH Consumables Tracker'!$A:$H,8,FALSE()),""))</f>
        <v/>
      </c>
      <c r="F955" s="24"/>
      <c r="G955" s="25" t="str">
        <f>IF($D955="","",IFERROR(VLOOKUP($D955,'ACAH Consumables Tracker'!$A:$D,4,FALSE()),""))</f>
        <v/>
      </c>
      <c r="H955" s="22"/>
    </row>
    <row r="956" spans="1:8">
      <c r="A956" s="21"/>
      <c r="B956" s="28"/>
      <c r="C956" s="22"/>
      <c r="D956" s="28"/>
      <c r="E956" s="23" t="str">
        <f>IF($D956="","",IFERROR(VLOOKUP($D956,'ACAH Consumables Tracker'!$A:$H,8,FALSE()),""))</f>
        <v/>
      </c>
      <c r="F956" s="24"/>
      <c r="G956" s="25" t="str">
        <f>IF($D956="","",IFERROR(VLOOKUP($D956,'ACAH Consumables Tracker'!$A:$D,4,FALSE()),""))</f>
        <v/>
      </c>
      <c r="H956" s="22"/>
    </row>
    <row r="957" spans="1:8">
      <c r="A957" s="21"/>
      <c r="B957" s="28"/>
      <c r="C957" s="22"/>
      <c r="D957" s="28"/>
      <c r="E957" s="23" t="str">
        <f>IF($D957="","",IFERROR(VLOOKUP($D957,'ACAH Consumables Tracker'!$A:$H,8,FALSE()),""))</f>
        <v/>
      </c>
      <c r="F957" s="24"/>
      <c r="G957" s="25" t="str">
        <f>IF($D957="","",IFERROR(VLOOKUP($D957,'ACAH Consumables Tracker'!$A:$D,4,FALSE()),""))</f>
        <v/>
      </c>
      <c r="H957" s="22"/>
    </row>
    <row r="958" spans="1:8">
      <c r="A958" s="21"/>
      <c r="B958" s="28"/>
      <c r="C958" s="22"/>
      <c r="D958" s="28"/>
      <c r="E958" s="23" t="str">
        <f>IF($D958="","",IFERROR(VLOOKUP($D958,'ACAH Consumables Tracker'!$A:$H,8,FALSE()),""))</f>
        <v/>
      </c>
      <c r="F958" s="24"/>
      <c r="G958" s="25" t="str">
        <f>IF($D958="","",IFERROR(VLOOKUP($D958,'ACAH Consumables Tracker'!$A:$D,4,FALSE()),""))</f>
        <v/>
      </c>
      <c r="H958" s="22"/>
    </row>
    <row r="959" spans="1:8">
      <c r="A959" s="21"/>
      <c r="B959" s="28"/>
      <c r="C959" s="22"/>
      <c r="D959" s="28"/>
      <c r="E959" s="23" t="str">
        <f>IF($D959="","",IFERROR(VLOOKUP($D959,'ACAH Consumables Tracker'!$A:$H,8,FALSE()),""))</f>
        <v/>
      </c>
      <c r="F959" s="24"/>
      <c r="G959" s="25" t="str">
        <f>IF($D959="","",IFERROR(VLOOKUP($D959,'ACAH Consumables Tracker'!$A:$D,4,FALSE()),""))</f>
        <v/>
      </c>
      <c r="H959" s="22"/>
    </row>
    <row r="960" spans="1:8">
      <c r="A960" s="21"/>
      <c r="B960" s="28"/>
      <c r="C960" s="22"/>
      <c r="D960" s="28"/>
      <c r="E960" s="23" t="str">
        <f>IF($D960="","",IFERROR(VLOOKUP($D960,'ACAH Consumables Tracker'!$A:$H,8,FALSE()),""))</f>
        <v/>
      </c>
      <c r="F960" s="24"/>
      <c r="G960" s="25" t="str">
        <f>IF($D960="","",IFERROR(VLOOKUP($D960,'ACAH Consumables Tracker'!$A:$D,4,FALSE()),""))</f>
        <v/>
      </c>
      <c r="H960" s="22"/>
    </row>
    <row r="961" spans="1:8">
      <c r="A961" s="21"/>
      <c r="B961" s="28"/>
      <c r="C961" s="22"/>
      <c r="D961" s="28"/>
      <c r="E961" s="23" t="str">
        <f>IF($D961="","",IFERROR(VLOOKUP($D961,'ACAH Consumables Tracker'!$A:$H,8,FALSE()),""))</f>
        <v/>
      </c>
      <c r="F961" s="24"/>
      <c r="G961" s="25" t="str">
        <f>IF($D961="","",IFERROR(VLOOKUP($D961,'ACAH Consumables Tracker'!$A:$D,4,FALSE()),""))</f>
        <v/>
      </c>
      <c r="H961" s="22"/>
    </row>
    <row r="962" spans="1:8">
      <c r="A962" s="21"/>
      <c r="B962" s="28"/>
      <c r="C962" s="22"/>
      <c r="D962" s="28"/>
      <c r="E962" s="23" t="str">
        <f>IF($D962="","",IFERROR(VLOOKUP($D962,'ACAH Consumables Tracker'!$A:$H,8,FALSE()),""))</f>
        <v/>
      </c>
      <c r="F962" s="24"/>
      <c r="G962" s="25" t="str">
        <f>IF($D962="","",IFERROR(VLOOKUP($D962,'ACAH Consumables Tracker'!$A:$D,4,FALSE()),""))</f>
        <v/>
      </c>
      <c r="H962" s="22"/>
    </row>
    <row r="963" spans="1:8">
      <c r="A963" s="21"/>
      <c r="B963" s="28"/>
      <c r="C963" s="22"/>
      <c r="D963" s="28"/>
      <c r="E963" s="23" t="str">
        <f>IF($D963="","",IFERROR(VLOOKUP($D963,'ACAH Consumables Tracker'!$A:$H,8,FALSE()),""))</f>
        <v/>
      </c>
      <c r="F963" s="24"/>
      <c r="G963" s="25" t="str">
        <f>IF($D963="","",IFERROR(VLOOKUP($D963,'ACAH Consumables Tracker'!$A:$D,4,FALSE()),""))</f>
        <v/>
      </c>
      <c r="H963" s="22"/>
    </row>
    <row r="964" spans="1:8">
      <c r="A964" s="21"/>
      <c r="B964" s="28"/>
      <c r="C964" s="22"/>
      <c r="D964" s="28"/>
      <c r="E964" s="23" t="str">
        <f>IF($D964="","",IFERROR(VLOOKUP($D964,'ACAH Consumables Tracker'!$A:$H,8,FALSE()),""))</f>
        <v/>
      </c>
      <c r="F964" s="24"/>
      <c r="G964" s="25" t="str">
        <f>IF($D964="","",IFERROR(VLOOKUP($D964,'ACAH Consumables Tracker'!$A:$D,4,FALSE()),""))</f>
        <v/>
      </c>
      <c r="H964" s="22"/>
    </row>
    <row r="965" spans="1:8">
      <c r="A965" s="21"/>
      <c r="B965" s="28"/>
      <c r="C965" s="22"/>
      <c r="D965" s="28"/>
      <c r="E965" s="23" t="str">
        <f>IF($D965="","",IFERROR(VLOOKUP($D965,'ACAH Consumables Tracker'!$A:$H,8,FALSE()),""))</f>
        <v/>
      </c>
      <c r="F965" s="24"/>
      <c r="G965" s="25" t="str">
        <f>IF($D965="","",IFERROR(VLOOKUP($D965,'ACAH Consumables Tracker'!$A:$D,4,FALSE()),""))</f>
        <v/>
      </c>
      <c r="H965" s="22"/>
    </row>
    <row r="966" spans="1:8">
      <c r="A966" s="21"/>
      <c r="B966" s="28"/>
      <c r="C966" s="22"/>
      <c r="D966" s="28"/>
      <c r="E966" s="23" t="str">
        <f>IF($D966="","",IFERROR(VLOOKUP($D966,'ACAH Consumables Tracker'!$A:$H,8,FALSE()),""))</f>
        <v/>
      </c>
      <c r="F966" s="24"/>
      <c r="G966" s="25" t="str">
        <f>IF($D966="","",IFERROR(VLOOKUP($D966,'ACAH Consumables Tracker'!$A:$D,4,FALSE()),""))</f>
        <v/>
      </c>
      <c r="H966" s="22"/>
    </row>
    <row r="967" spans="1:8">
      <c r="A967" s="21"/>
      <c r="B967" s="28"/>
      <c r="C967" s="22"/>
      <c r="D967" s="28"/>
      <c r="E967" s="23" t="str">
        <f>IF($D967="","",IFERROR(VLOOKUP($D967,'ACAH Consumables Tracker'!$A:$H,8,FALSE()),""))</f>
        <v/>
      </c>
      <c r="F967" s="24"/>
      <c r="G967" s="25" t="str">
        <f>IF($D967="","",IFERROR(VLOOKUP($D967,'ACAH Consumables Tracker'!$A:$D,4,FALSE()),""))</f>
        <v/>
      </c>
      <c r="H967" s="22"/>
    </row>
    <row r="968" spans="1:8">
      <c r="A968" s="21"/>
      <c r="B968" s="28"/>
      <c r="C968" s="22"/>
      <c r="D968" s="28"/>
      <c r="E968" s="23" t="str">
        <f>IF($D968="","",IFERROR(VLOOKUP($D968,'ACAH Consumables Tracker'!$A:$H,8,FALSE()),""))</f>
        <v/>
      </c>
      <c r="F968" s="24"/>
      <c r="G968" s="25" t="str">
        <f>IF($D968="","",IFERROR(VLOOKUP($D968,'ACAH Consumables Tracker'!$A:$D,4,FALSE()),""))</f>
        <v/>
      </c>
      <c r="H968" s="22"/>
    </row>
    <row r="969" spans="1:8">
      <c r="A969" s="21"/>
      <c r="B969" s="28"/>
      <c r="C969" s="22"/>
      <c r="D969" s="28"/>
      <c r="E969" s="23" t="str">
        <f>IF($D969="","",IFERROR(VLOOKUP($D969,'ACAH Consumables Tracker'!$A:$H,8,FALSE()),""))</f>
        <v/>
      </c>
      <c r="F969" s="24"/>
      <c r="G969" s="25" t="str">
        <f>IF($D969="","",IFERROR(VLOOKUP($D969,'ACAH Consumables Tracker'!$A:$D,4,FALSE()),""))</f>
        <v/>
      </c>
      <c r="H969" s="22"/>
    </row>
    <row r="970" spans="1:8">
      <c r="A970" s="21"/>
      <c r="B970" s="28"/>
      <c r="C970" s="22"/>
      <c r="D970" s="28"/>
      <c r="E970" s="23" t="str">
        <f>IF($D970="","",IFERROR(VLOOKUP($D970,'ACAH Consumables Tracker'!$A:$H,8,FALSE()),""))</f>
        <v/>
      </c>
      <c r="F970" s="24"/>
      <c r="G970" s="25" t="str">
        <f>IF($D970="","",IFERROR(VLOOKUP($D970,'ACAH Consumables Tracker'!$A:$D,4,FALSE()),""))</f>
        <v/>
      </c>
      <c r="H970" s="22"/>
    </row>
    <row r="971" spans="1:8">
      <c r="A971" s="21"/>
      <c r="B971" s="28"/>
      <c r="C971" s="22"/>
      <c r="D971" s="28"/>
      <c r="E971" s="23" t="str">
        <f>IF($D971="","",IFERROR(VLOOKUP($D971,'ACAH Consumables Tracker'!$A:$H,8,FALSE()),""))</f>
        <v/>
      </c>
      <c r="F971" s="24"/>
      <c r="G971" s="25" t="str">
        <f>IF($D971="","",IFERROR(VLOOKUP($D971,'ACAH Consumables Tracker'!$A:$D,4,FALSE()),""))</f>
        <v/>
      </c>
      <c r="H971" s="22"/>
    </row>
    <row r="972" spans="1:8">
      <c r="A972" s="21"/>
      <c r="B972" s="28"/>
      <c r="C972" s="22"/>
      <c r="D972" s="28"/>
      <c r="E972" s="23" t="str">
        <f>IF($D972="","",IFERROR(VLOOKUP($D972,'ACAH Consumables Tracker'!$A:$H,8,FALSE()),""))</f>
        <v/>
      </c>
      <c r="F972" s="24"/>
      <c r="G972" s="25" t="str">
        <f>IF($D972="","",IFERROR(VLOOKUP($D972,'ACAH Consumables Tracker'!$A:$D,4,FALSE()),""))</f>
        <v/>
      </c>
      <c r="H972" s="22"/>
    </row>
    <row r="973" spans="1:8">
      <c r="A973" s="21"/>
      <c r="B973" s="28"/>
      <c r="C973" s="22"/>
      <c r="D973" s="28"/>
      <c r="E973" s="23" t="str">
        <f>IF($D973="","",IFERROR(VLOOKUP($D973,'ACAH Consumables Tracker'!$A:$H,8,FALSE()),""))</f>
        <v/>
      </c>
      <c r="F973" s="24"/>
      <c r="G973" s="25" t="str">
        <f>IF($D973="","",IFERROR(VLOOKUP($D973,'ACAH Consumables Tracker'!$A:$D,4,FALSE()),""))</f>
        <v/>
      </c>
      <c r="H973" s="22"/>
    </row>
    <row r="974" spans="1:8">
      <c r="A974" s="21"/>
      <c r="B974" s="28"/>
      <c r="C974" s="22"/>
      <c r="D974" s="28"/>
      <c r="E974" s="23" t="str">
        <f>IF($D974="","",IFERROR(VLOOKUP($D974,'ACAH Consumables Tracker'!$A:$H,8,FALSE()),""))</f>
        <v/>
      </c>
      <c r="F974" s="24"/>
      <c r="G974" s="25" t="str">
        <f>IF($D974="","",IFERROR(VLOOKUP($D974,'ACAH Consumables Tracker'!$A:$D,4,FALSE()),""))</f>
        <v/>
      </c>
      <c r="H974" s="22"/>
    </row>
    <row r="975" spans="1:8">
      <c r="A975" s="21"/>
      <c r="B975" s="28"/>
      <c r="C975" s="22"/>
      <c r="D975" s="28"/>
      <c r="E975" s="23" t="str">
        <f>IF($D975="","",IFERROR(VLOOKUP($D975,'ACAH Consumables Tracker'!$A:$H,8,FALSE()),""))</f>
        <v/>
      </c>
      <c r="F975" s="24"/>
      <c r="G975" s="25" t="str">
        <f>IF($D975="","",IFERROR(VLOOKUP($D975,'ACAH Consumables Tracker'!$A:$D,4,FALSE()),""))</f>
        <v/>
      </c>
      <c r="H975" s="22"/>
    </row>
    <row r="976" spans="1:8">
      <c r="A976" s="21"/>
      <c r="B976" s="28"/>
      <c r="C976" s="22"/>
      <c r="D976" s="28"/>
      <c r="E976" s="23" t="str">
        <f>IF($D976="","",IFERROR(VLOOKUP($D976,'ACAH Consumables Tracker'!$A:$H,8,FALSE()),""))</f>
        <v/>
      </c>
      <c r="F976" s="24"/>
      <c r="G976" s="25" t="str">
        <f>IF($D976="","",IFERROR(VLOOKUP($D976,'ACAH Consumables Tracker'!$A:$D,4,FALSE()),""))</f>
        <v/>
      </c>
      <c r="H976" s="22"/>
    </row>
    <row r="977" spans="1:8">
      <c r="A977" s="21"/>
      <c r="B977" s="28"/>
      <c r="C977" s="22"/>
      <c r="D977" s="28"/>
      <c r="E977" s="23" t="str">
        <f>IF($D977="","",IFERROR(VLOOKUP($D977,'ACAH Consumables Tracker'!$A:$H,8,FALSE()),""))</f>
        <v/>
      </c>
      <c r="F977" s="24"/>
      <c r="G977" s="25" t="str">
        <f>IF($D977="","",IFERROR(VLOOKUP($D977,'ACAH Consumables Tracker'!$A:$D,4,FALSE()),""))</f>
        <v/>
      </c>
      <c r="H977" s="22"/>
    </row>
    <row r="978" spans="1:8">
      <c r="A978" s="21"/>
      <c r="B978" s="28"/>
      <c r="C978" s="22"/>
      <c r="D978" s="28"/>
      <c r="E978" s="23" t="str">
        <f>IF($D978="","",IFERROR(VLOOKUP($D978,'ACAH Consumables Tracker'!$A:$H,8,FALSE()),""))</f>
        <v/>
      </c>
      <c r="F978" s="24"/>
      <c r="G978" s="25" t="str">
        <f>IF($D978="","",IFERROR(VLOOKUP($D978,'ACAH Consumables Tracker'!$A:$D,4,FALSE()),""))</f>
        <v/>
      </c>
      <c r="H978" s="22"/>
    </row>
    <row r="979" spans="1:8">
      <c r="A979" s="21"/>
      <c r="B979" s="28"/>
      <c r="C979" s="22"/>
      <c r="D979" s="28"/>
      <c r="E979" s="23" t="str">
        <f>IF($D979="","",IFERROR(VLOOKUP($D979,'ACAH Consumables Tracker'!$A:$H,8,FALSE()),""))</f>
        <v/>
      </c>
      <c r="F979" s="24"/>
      <c r="G979" s="25" t="str">
        <f>IF($D979="","",IFERROR(VLOOKUP($D979,'ACAH Consumables Tracker'!$A:$D,4,FALSE()),""))</f>
        <v/>
      </c>
      <c r="H979" s="22"/>
    </row>
    <row r="980" spans="1:8">
      <c r="A980" s="21"/>
      <c r="B980" s="28"/>
      <c r="C980" s="22"/>
      <c r="D980" s="28"/>
      <c r="E980" s="23" t="str">
        <f>IF($D980="","",IFERROR(VLOOKUP($D980,'ACAH Consumables Tracker'!$A:$H,8,FALSE()),""))</f>
        <v/>
      </c>
      <c r="F980" s="24"/>
      <c r="G980" s="25" t="str">
        <f>IF($D980="","",IFERROR(VLOOKUP($D980,'ACAH Consumables Tracker'!$A:$D,4,FALSE()),""))</f>
        <v/>
      </c>
      <c r="H980" s="22"/>
    </row>
    <row r="981" spans="1:8">
      <c r="A981" s="21"/>
      <c r="B981" s="28"/>
      <c r="C981" s="22"/>
      <c r="D981" s="28"/>
      <c r="E981" s="23" t="str">
        <f>IF($D981="","",IFERROR(VLOOKUP($D981,'ACAH Consumables Tracker'!$A:$H,8,FALSE()),""))</f>
        <v/>
      </c>
      <c r="F981" s="24"/>
      <c r="G981" s="25" t="str">
        <f>IF($D981="","",IFERROR(VLOOKUP($D981,'ACAH Consumables Tracker'!$A:$D,4,FALSE()),""))</f>
        <v/>
      </c>
      <c r="H981" s="22"/>
    </row>
    <row r="982" spans="1:8">
      <c r="A982" s="21"/>
      <c r="B982" s="28"/>
      <c r="C982" s="22"/>
      <c r="D982" s="28"/>
      <c r="E982" s="23" t="str">
        <f>IF($D982="","",IFERROR(VLOOKUP($D982,'ACAH Consumables Tracker'!$A:$H,8,FALSE()),""))</f>
        <v/>
      </c>
      <c r="F982" s="24"/>
      <c r="G982" s="25" t="str">
        <f>IF($D982="","",IFERROR(VLOOKUP($D982,'ACAH Consumables Tracker'!$A:$D,4,FALSE()),""))</f>
        <v/>
      </c>
      <c r="H982" s="22"/>
    </row>
    <row r="983" spans="1:8">
      <c r="A983" s="21"/>
      <c r="B983" s="28"/>
      <c r="C983" s="22"/>
      <c r="D983" s="28"/>
      <c r="E983" s="23" t="str">
        <f>IF($D983="","",IFERROR(VLOOKUP($D983,'ACAH Consumables Tracker'!$A:$H,8,FALSE()),""))</f>
        <v/>
      </c>
      <c r="F983" s="24"/>
      <c r="G983" s="25" t="str">
        <f>IF($D983="","",IFERROR(VLOOKUP($D983,'ACAH Consumables Tracker'!$A:$D,4,FALSE()),""))</f>
        <v/>
      </c>
      <c r="H983" s="22"/>
    </row>
    <row r="984" spans="1:8">
      <c r="A984" s="21"/>
      <c r="B984" s="28"/>
      <c r="C984" s="22"/>
      <c r="D984" s="28"/>
      <c r="E984" s="23" t="str">
        <f>IF($D984="","",IFERROR(VLOOKUP($D984,'ACAH Consumables Tracker'!$A:$H,8,FALSE()),""))</f>
        <v/>
      </c>
      <c r="F984" s="24"/>
      <c r="G984" s="25" t="str">
        <f>IF($D984="","",IFERROR(VLOOKUP($D984,'ACAH Consumables Tracker'!$A:$D,4,FALSE()),""))</f>
        <v/>
      </c>
      <c r="H984" s="22"/>
    </row>
    <row r="985" spans="1:8">
      <c r="A985" s="21"/>
      <c r="B985" s="28"/>
      <c r="C985" s="22"/>
      <c r="D985" s="28"/>
      <c r="E985" s="23" t="str">
        <f>IF($D985="","",IFERROR(VLOOKUP($D985,'ACAH Consumables Tracker'!$A:$H,8,FALSE()),""))</f>
        <v/>
      </c>
      <c r="F985" s="24"/>
      <c r="G985" s="25" t="str">
        <f>IF($D985="","",IFERROR(VLOOKUP($D985,'ACAH Consumables Tracker'!$A:$D,4,FALSE()),""))</f>
        <v/>
      </c>
      <c r="H985" s="22"/>
    </row>
    <row r="986" spans="1:8">
      <c r="A986" s="21"/>
      <c r="B986" s="28"/>
      <c r="C986" s="22"/>
      <c r="D986" s="28"/>
      <c r="E986" s="23" t="str">
        <f>IF($D986="","",IFERROR(VLOOKUP($D986,'ACAH Consumables Tracker'!$A:$H,8,FALSE()),""))</f>
        <v/>
      </c>
      <c r="F986" s="24"/>
      <c r="G986" s="25" t="str">
        <f>IF($D986="","",IFERROR(VLOOKUP($D986,'ACAH Consumables Tracker'!$A:$D,4,FALSE()),""))</f>
        <v/>
      </c>
      <c r="H986" s="22"/>
    </row>
    <row r="987" spans="1:8">
      <c r="A987" s="21"/>
      <c r="B987" s="28"/>
      <c r="C987" s="22"/>
      <c r="D987" s="28"/>
      <c r="E987" s="23" t="str">
        <f>IF($D987="","",IFERROR(VLOOKUP($D987,'ACAH Consumables Tracker'!$A:$H,8,FALSE()),""))</f>
        <v/>
      </c>
      <c r="F987" s="24"/>
      <c r="G987" s="25" t="str">
        <f>IF($D987="","",IFERROR(VLOOKUP($D987,'ACAH Consumables Tracker'!$A:$D,4,FALSE()),""))</f>
        <v/>
      </c>
      <c r="H987" s="22"/>
    </row>
    <row r="988" spans="1:8">
      <c r="A988" s="21"/>
      <c r="B988" s="28"/>
      <c r="C988" s="22"/>
      <c r="D988" s="28"/>
      <c r="E988" s="23" t="str">
        <f>IF($D988="","",IFERROR(VLOOKUP($D988,'ACAH Consumables Tracker'!$A:$H,8,FALSE()),""))</f>
        <v/>
      </c>
      <c r="F988" s="24"/>
      <c r="G988" s="25" t="str">
        <f>IF($D988="","",IFERROR(VLOOKUP($D988,'ACAH Consumables Tracker'!$A:$D,4,FALSE()),""))</f>
        <v/>
      </c>
      <c r="H988" s="22"/>
    </row>
    <row r="989" spans="1:8">
      <c r="A989" s="21"/>
      <c r="B989" s="28"/>
      <c r="C989" s="22"/>
      <c r="D989" s="28"/>
      <c r="E989" s="23" t="str">
        <f>IF($D989="","",IFERROR(VLOOKUP($D989,'ACAH Consumables Tracker'!$A:$H,8,FALSE()),""))</f>
        <v/>
      </c>
      <c r="F989" s="24"/>
      <c r="G989" s="25" t="str">
        <f>IF($D989="","",IFERROR(VLOOKUP($D989,'ACAH Consumables Tracker'!$A:$D,4,FALSE()),""))</f>
        <v/>
      </c>
      <c r="H989" s="22"/>
    </row>
    <row r="990" spans="1:8">
      <c r="A990" s="21"/>
      <c r="B990" s="28"/>
      <c r="C990" s="22"/>
      <c r="D990" s="28"/>
      <c r="E990" s="23" t="str">
        <f>IF($D990="","",IFERROR(VLOOKUP($D990,'ACAH Consumables Tracker'!$A:$H,8,FALSE()),""))</f>
        <v/>
      </c>
      <c r="F990" s="24"/>
      <c r="G990" s="25" t="str">
        <f>IF($D990="","",IFERROR(VLOOKUP($D990,'ACAH Consumables Tracker'!$A:$D,4,FALSE()),""))</f>
        <v/>
      </c>
      <c r="H990" s="22"/>
    </row>
    <row r="991" spans="1:8">
      <c r="A991" s="21"/>
      <c r="B991" s="28"/>
      <c r="C991" s="22"/>
      <c r="D991" s="28"/>
      <c r="E991" s="23" t="str">
        <f>IF($D991="","",IFERROR(VLOOKUP($D991,'ACAH Consumables Tracker'!$A:$H,8,FALSE()),""))</f>
        <v/>
      </c>
      <c r="F991" s="24"/>
      <c r="G991" s="25" t="str">
        <f>IF($D991="","",IFERROR(VLOOKUP($D991,'ACAH Consumables Tracker'!$A:$D,4,FALSE()),""))</f>
        <v/>
      </c>
      <c r="H991" s="22"/>
    </row>
    <row r="992" spans="1:8">
      <c r="A992" s="21"/>
      <c r="B992" s="28"/>
      <c r="C992" s="22"/>
      <c r="D992" s="28"/>
      <c r="E992" s="23" t="str">
        <f>IF($D992="","",IFERROR(VLOOKUP($D992,'ACAH Consumables Tracker'!$A:$H,8,FALSE()),""))</f>
        <v/>
      </c>
      <c r="F992" s="24"/>
      <c r="G992" s="25" t="str">
        <f>IF($D992="","",IFERROR(VLOOKUP($D992,'ACAH Consumables Tracker'!$A:$D,4,FALSE()),""))</f>
        <v/>
      </c>
      <c r="H992" s="22"/>
    </row>
    <row r="993" spans="1:8">
      <c r="A993" s="21"/>
      <c r="B993" s="28"/>
      <c r="C993" s="22"/>
      <c r="D993" s="28"/>
      <c r="E993" s="23" t="str">
        <f>IF($D993="","",IFERROR(VLOOKUP($D993,'ACAH Consumables Tracker'!$A:$H,8,FALSE()),""))</f>
        <v/>
      </c>
      <c r="F993" s="24"/>
      <c r="G993" s="25" t="str">
        <f>IF($D993="","",IFERROR(VLOOKUP($D993,'ACAH Consumables Tracker'!$A:$D,4,FALSE()),""))</f>
        <v/>
      </c>
      <c r="H993" s="22"/>
    </row>
    <row r="994" spans="1:8">
      <c r="A994" s="21"/>
      <c r="B994" s="28"/>
      <c r="C994" s="22"/>
      <c r="D994" s="28"/>
      <c r="E994" s="23" t="str">
        <f>IF($D994="","",IFERROR(VLOOKUP($D994,'ACAH Consumables Tracker'!$A:$H,8,FALSE()),""))</f>
        <v/>
      </c>
      <c r="F994" s="24"/>
      <c r="G994" s="25" t="str">
        <f>IF($D994="","",IFERROR(VLOOKUP($D994,'ACAH Consumables Tracker'!$A:$D,4,FALSE()),""))</f>
        <v/>
      </c>
      <c r="H994" s="22"/>
    </row>
    <row r="995" spans="1:8">
      <c r="A995" s="21"/>
      <c r="B995" s="28"/>
      <c r="C995" s="22"/>
      <c r="D995" s="28"/>
      <c r="E995" s="23" t="str">
        <f>IF($D995="","",IFERROR(VLOOKUP($D995,'ACAH Consumables Tracker'!$A:$H,8,FALSE()),""))</f>
        <v/>
      </c>
      <c r="F995" s="24"/>
      <c r="G995" s="25" t="str">
        <f>IF($D995="","",IFERROR(VLOOKUP($D995,'ACAH Consumables Tracker'!$A:$D,4,FALSE()),""))</f>
        <v/>
      </c>
      <c r="H995" s="22"/>
    </row>
    <row r="996" spans="1:8">
      <c r="A996" s="21"/>
      <c r="B996" s="28"/>
      <c r="C996" s="22"/>
      <c r="D996" s="28"/>
      <c r="E996" s="23" t="str">
        <f>IF($D996="","",IFERROR(VLOOKUP($D996,'ACAH Consumables Tracker'!$A:$H,8,FALSE()),""))</f>
        <v/>
      </c>
      <c r="F996" s="24"/>
      <c r="G996" s="25" t="str">
        <f>IF($D996="","",IFERROR(VLOOKUP($D996,'ACAH Consumables Tracker'!$A:$D,4,FALSE()),""))</f>
        <v/>
      </c>
      <c r="H996" s="22"/>
    </row>
    <row r="997" spans="1:8">
      <c r="A997" s="21"/>
      <c r="B997" s="28"/>
      <c r="C997" s="22"/>
      <c r="D997" s="28"/>
      <c r="E997" s="23" t="str">
        <f>IF($D997="","",IFERROR(VLOOKUP($D997,'ACAH Consumables Tracker'!$A:$H,8,FALSE()),""))</f>
        <v/>
      </c>
      <c r="F997" s="24"/>
      <c r="G997" s="25" t="str">
        <f>IF($D997="","",IFERROR(VLOOKUP($D997,'ACAH Consumables Tracker'!$A:$D,4,FALSE()),""))</f>
        <v/>
      </c>
      <c r="H997" s="22"/>
    </row>
    <row r="998" spans="1:8">
      <c r="A998" s="21"/>
      <c r="B998" s="28"/>
      <c r="C998" s="22"/>
      <c r="D998" s="28"/>
      <c r="E998" s="23" t="str">
        <f>IF($D998="","",IFERROR(VLOOKUP($D998,'ACAH Consumables Tracker'!$A:$H,8,FALSE()),""))</f>
        <v/>
      </c>
      <c r="F998" s="24"/>
      <c r="G998" s="25" t="str">
        <f>IF($D998="","",IFERROR(VLOOKUP($D998,'ACAH Consumables Tracker'!$A:$D,4,FALSE()),""))</f>
        <v/>
      </c>
      <c r="H998" s="22"/>
    </row>
    <row r="999" spans="1:8">
      <c r="A999" s="21"/>
      <c r="B999" s="28"/>
      <c r="C999" s="22"/>
      <c r="D999" s="28"/>
      <c r="E999" s="23" t="str">
        <f>IF($D999="","",IFERROR(VLOOKUP($D999,'ACAH Consumables Tracker'!$A:$H,8,FALSE()),""))</f>
        <v/>
      </c>
      <c r="F999" s="24"/>
      <c r="G999" s="25" t="str">
        <f>IF($D999="","",IFERROR(VLOOKUP($D999,'ACAH Consumables Tracker'!$A:$D,4,FALSE()),""))</f>
        <v/>
      </c>
      <c r="H999" s="22"/>
    </row>
    <row r="1000" spans="1:8">
      <c r="A1000" s="21"/>
      <c r="B1000" s="28"/>
      <c r="C1000" s="22"/>
      <c r="D1000" s="28"/>
      <c r="E1000" s="23" t="str">
        <f>IF($D1000="","",IFERROR(VLOOKUP($D1000,'ACAH Consumables Tracker'!$A:$H,8,FALSE()),""))</f>
        <v/>
      </c>
      <c r="F1000" s="24"/>
      <c r="G1000" s="25" t="str">
        <f>IF($D1000="","",IFERROR(VLOOKUP($D1000,'ACAH Consumables Tracker'!$A:$D,4,FALSE()),""))</f>
        <v/>
      </c>
      <c r="H1000" s="22"/>
    </row>
    <row r="1001" spans="1:8">
      <c r="A1001" s="21"/>
      <c r="B1001" s="28"/>
      <c r="C1001" s="22"/>
      <c r="D1001" s="28"/>
      <c r="E1001" s="23" t="str">
        <f>IF($D1001="","",IFERROR(VLOOKUP($D1001,'ACAH Consumables Tracker'!$A:$H,8,FALSE()),""))</f>
        <v/>
      </c>
      <c r="F1001" s="24"/>
      <c r="G1001" s="25" t="str">
        <f>IF($D1001="","",IFERROR(VLOOKUP($D1001,'ACAH Consumables Tracker'!$A:$D,4,FALSE()),""))</f>
        <v/>
      </c>
      <c r="H1001" s="22"/>
    </row>
    <row r="1002" spans="1:8">
      <c r="A1002" s="21"/>
      <c r="B1002" s="28"/>
      <c r="C1002" s="22"/>
      <c r="D1002" s="28"/>
      <c r="E1002" s="23" t="str">
        <f>IF($D1002="","",IFERROR(VLOOKUP($D1002,'ACAH Consumables Tracker'!$A:$H,8,FALSE()),""))</f>
        <v/>
      </c>
      <c r="F1002" s="24"/>
      <c r="G1002" s="25" t="str">
        <f>IF($D1002="","",IFERROR(VLOOKUP($D1002,'ACAH Consumables Tracker'!$A:$D,4,FALSE()),""))</f>
        <v/>
      </c>
      <c r="H1002" s="22"/>
    </row>
    <row r="1003" spans="1:8">
      <c r="A1003" s="21"/>
      <c r="B1003" s="28"/>
      <c r="C1003" s="22"/>
      <c r="D1003" s="28"/>
      <c r="E1003" s="23" t="str">
        <f>IF($D1003="","",IFERROR(VLOOKUP($D1003,'ACAH Consumables Tracker'!$A:$H,8,FALSE()),""))</f>
        <v/>
      </c>
      <c r="F1003" s="24"/>
      <c r="G1003" s="25" t="str">
        <f>IF($D1003="","",IFERROR(VLOOKUP($D1003,'ACAH Consumables Tracker'!$A:$D,4,FALSE()),""))</f>
        <v/>
      </c>
      <c r="H1003" s="22"/>
    </row>
    <row r="1004" spans="1:8">
      <c r="A1004" s="21"/>
      <c r="B1004" s="28"/>
      <c r="C1004" s="22"/>
      <c r="D1004" s="28"/>
      <c r="E1004" s="23" t="str">
        <f>IF($D1004="","",IFERROR(VLOOKUP($D1004,'ACAH Consumables Tracker'!$A:$H,8,FALSE()),""))</f>
        <v/>
      </c>
      <c r="F1004" s="24"/>
      <c r="G1004" s="25" t="str">
        <f>IF($D1004="","",IFERROR(VLOOKUP($D1004,'ACAH Consumables Tracker'!$A:$D,4,FALSE()),""))</f>
        <v/>
      </c>
      <c r="H1004" s="22"/>
    </row>
    <row r="1005" spans="1:8">
      <c r="A1005" s="21"/>
      <c r="B1005" s="28"/>
      <c r="C1005" s="22"/>
      <c r="D1005" s="28"/>
      <c r="E1005" s="23" t="str">
        <f>IF($D1005="","",IFERROR(VLOOKUP($D1005,'ACAH Consumables Tracker'!$A:$H,8,FALSE()),""))</f>
        <v/>
      </c>
      <c r="F1005" s="24"/>
      <c r="G1005" s="25" t="str">
        <f>IF($D1005="","",IFERROR(VLOOKUP($D1005,'ACAH Consumables Tracker'!$A:$D,4,FALSE()),""))</f>
        <v/>
      </c>
      <c r="H1005" s="22"/>
    </row>
    <row r="1006" spans="1:8">
      <c r="A1006" s="21"/>
      <c r="B1006" s="28"/>
      <c r="C1006" s="22"/>
      <c r="D1006" s="28"/>
      <c r="E1006" s="23" t="str">
        <f>IF($D1006="","",IFERROR(VLOOKUP($D1006,'ACAH Consumables Tracker'!$A:$H,8,FALSE()),""))</f>
        <v/>
      </c>
      <c r="F1006" s="24"/>
      <c r="G1006" s="25" t="str">
        <f>IF($D1006="","",IFERROR(VLOOKUP($D1006,'ACAH Consumables Tracker'!$A:$D,4,FALSE()),""))</f>
        <v/>
      </c>
      <c r="H1006" s="22"/>
    </row>
    <row r="1007" spans="1:8">
      <c r="A1007" s="21"/>
      <c r="B1007" s="28"/>
      <c r="C1007" s="22"/>
      <c r="D1007" s="28"/>
      <c r="E1007" s="23" t="str">
        <f>IF($D1007="","",IFERROR(VLOOKUP($D1007,'ACAH Consumables Tracker'!$A:$H,8,FALSE()),""))</f>
        <v/>
      </c>
      <c r="F1007" s="24"/>
      <c r="G1007" s="25" t="str">
        <f>IF($D1007="","",IFERROR(VLOOKUP($D1007,'ACAH Consumables Tracker'!$A:$D,4,FALSE()),""))</f>
        <v/>
      </c>
      <c r="H1007" s="22"/>
    </row>
    <row r="1008" spans="1:8">
      <c r="A1008" s="21"/>
      <c r="B1008" s="28"/>
      <c r="C1008" s="22"/>
      <c r="D1008" s="28"/>
      <c r="E1008" s="23" t="str">
        <f>IF($D1008="","",IFERROR(VLOOKUP($D1008,'ACAH Consumables Tracker'!$A:$H,8,FALSE()),""))</f>
        <v/>
      </c>
      <c r="F1008" s="24"/>
      <c r="G1008" s="25" t="str">
        <f>IF($D1008="","",IFERROR(VLOOKUP($D1008,'ACAH Consumables Tracker'!$A:$D,4,FALSE()),""))</f>
        <v/>
      </c>
      <c r="H1008" s="22"/>
    </row>
    <row r="1009" spans="1:8">
      <c r="A1009" s="21"/>
      <c r="B1009" s="28"/>
      <c r="C1009" s="22"/>
      <c r="D1009" s="28"/>
      <c r="E1009" s="23" t="str">
        <f>IF($D1009="","",IFERROR(VLOOKUP($D1009,'ACAH Consumables Tracker'!$A:$H,8,FALSE()),""))</f>
        <v/>
      </c>
      <c r="F1009" s="24"/>
      <c r="G1009" s="25" t="str">
        <f>IF($D1009="","",IFERROR(VLOOKUP($D1009,'ACAH Consumables Tracker'!$A:$D,4,FALSE()),""))</f>
        <v/>
      </c>
      <c r="H1009" s="22"/>
    </row>
    <row r="1010" spans="1:8">
      <c r="A1010" s="21"/>
      <c r="B1010" s="28"/>
      <c r="C1010" s="22"/>
      <c r="D1010" s="28"/>
      <c r="E1010" s="23" t="str">
        <f>IF($D1010="","",IFERROR(VLOOKUP($D1010,'ACAH Consumables Tracker'!$A:$H,8,FALSE()),""))</f>
        <v/>
      </c>
      <c r="F1010" s="24"/>
      <c r="G1010" s="25" t="str">
        <f>IF($D1010="","",IFERROR(VLOOKUP($D1010,'ACAH Consumables Tracker'!$A:$D,4,FALSE()),""))</f>
        <v/>
      </c>
      <c r="H1010" s="22"/>
    </row>
    <row r="1011" spans="1:8">
      <c r="A1011" s="21"/>
      <c r="B1011" s="28"/>
      <c r="C1011" s="22"/>
      <c r="D1011" s="28"/>
      <c r="E1011" s="23" t="str">
        <f>IF($D1011="","",IFERROR(VLOOKUP($D1011,'ACAH Consumables Tracker'!$A:$H,8,FALSE()),""))</f>
        <v/>
      </c>
      <c r="F1011" s="24"/>
      <c r="G1011" s="25" t="str">
        <f>IF($D1011="","",IFERROR(VLOOKUP($D1011,'ACAH Consumables Tracker'!$A:$D,4,FALSE()),""))</f>
        <v/>
      </c>
      <c r="H1011" s="22"/>
    </row>
    <row r="1012" spans="1:8">
      <c r="A1012" s="21"/>
      <c r="B1012" s="28"/>
      <c r="C1012" s="22"/>
      <c r="D1012" s="28"/>
      <c r="E1012" s="23" t="str">
        <f>IF($D1012="","",IFERROR(VLOOKUP($D1012,'ACAH Consumables Tracker'!$A:$H,8,FALSE()),""))</f>
        <v/>
      </c>
      <c r="F1012" s="24"/>
      <c r="G1012" s="25" t="str">
        <f>IF($D1012="","",IFERROR(VLOOKUP($D1012,'ACAH Consumables Tracker'!$A:$D,4,FALSE()),""))</f>
        <v/>
      </c>
      <c r="H1012" s="22"/>
    </row>
    <row r="1013" spans="1:8">
      <c r="A1013" s="21"/>
      <c r="B1013" s="28"/>
      <c r="C1013" s="22"/>
      <c r="D1013" s="28"/>
      <c r="E1013" s="23" t="str">
        <f>IF($D1013="","",IFERROR(VLOOKUP($D1013,'ACAH Consumables Tracker'!$A:$H,8,FALSE()),""))</f>
        <v/>
      </c>
      <c r="F1013" s="24"/>
      <c r="G1013" s="25" t="str">
        <f>IF($D1013="","",IFERROR(VLOOKUP($D1013,'ACAH Consumables Tracker'!$A:$D,4,FALSE()),""))</f>
        <v/>
      </c>
      <c r="H1013" s="22"/>
    </row>
    <row r="1014" spans="1:8">
      <c r="A1014" s="21"/>
      <c r="B1014" s="28"/>
      <c r="C1014" s="22"/>
      <c r="D1014" s="28"/>
      <c r="E1014" s="23" t="str">
        <f>IF($D1014="","",IFERROR(VLOOKUP($D1014,'ACAH Consumables Tracker'!$A:$H,8,FALSE()),""))</f>
        <v/>
      </c>
      <c r="F1014" s="24"/>
      <c r="G1014" s="25" t="str">
        <f>IF($D1014="","",IFERROR(VLOOKUP($D1014,'ACAH Consumables Tracker'!$A:$D,4,FALSE()),""))</f>
        <v/>
      </c>
      <c r="H1014" s="22"/>
    </row>
    <row r="1015" spans="1:8">
      <c r="A1015" s="21"/>
      <c r="B1015" s="28"/>
      <c r="C1015" s="22"/>
      <c r="D1015" s="28"/>
      <c r="E1015" s="23" t="str">
        <f>IF($D1015="","",IFERROR(VLOOKUP($D1015,'ACAH Consumables Tracker'!$A:$H,8,FALSE()),""))</f>
        <v/>
      </c>
      <c r="F1015" s="24"/>
      <c r="G1015" s="25" t="str">
        <f>IF($D1015="","",IFERROR(VLOOKUP($D1015,'ACAH Consumables Tracker'!$A:$D,4,FALSE()),""))</f>
        <v/>
      </c>
      <c r="H1015" s="22"/>
    </row>
    <row r="1016" spans="1:8">
      <c r="A1016" s="21"/>
      <c r="B1016" s="28"/>
      <c r="C1016" s="22"/>
      <c r="D1016" s="28"/>
      <c r="E1016" s="23" t="str">
        <f>IF($D1016="","",IFERROR(VLOOKUP($D1016,'ACAH Consumables Tracker'!$A:$H,8,FALSE()),""))</f>
        <v/>
      </c>
      <c r="F1016" s="24"/>
      <c r="G1016" s="25" t="str">
        <f>IF($D1016="","",IFERROR(VLOOKUP($D1016,'ACAH Consumables Tracker'!$A:$D,4,FALSE()),""))</f>
        <v/>
      </c>
      <c r="H1016" s="22"/>
    </row>
    <row r="1017" spans="1:8">
      <c r="A1017" s="21"/>
      <c r="B1017" s="28"/>
      <c r="C1017" s="22"/>
      <c r="D1017" s="28"/>
      <c r="E1017" s="23" t="str">
        <f>IF($D1017="","",IFERROR(VLOOKUP($D1017,'ACAH Consumables Tracker'!$A:$H,8,FALSE()),""))</f>
        <v/>
      </c>
      <c r="F1017" s="24"/>
      <c r="G1017" s="25" t="str">
        <f>IF($D1017="","",IFERROR(VLOOKUP($D1017,'ACAH Consumables Tracker'!$A:$D,4,FALSE()),""))</f>
        <v/>
      </c>
      <c r="H1017" s="22"/>
    </row>
    <row r="1018" spans="1:8">
      <c r="A1018" s="21"/>
      <c r="B1018" s="28"/>
      <c r="C1018" s="22"/>
      <c r="D1018" s="28"/>
      <c r="E1018" s="23" t="str">
        <f>IF($D1018="","",IFERROR(VLOOKUP($D1018,'ACAH Consumables Tracker'!$A:$H,8,FALSE()),""))</f>
        <v/>
      </c>
      <c r="F1018" s="24"/>
      <c r="G1018" s="25" t="str">
        <f>IF($D1018="","",IFERROR(VLOOKUP($D1018,'ACAH Consumables Tracker'!$A:$D,4,FALSE()),""))</f>
        <v/>
      </c>
      <c r="H1018" s="22"/>
    </row>
    <row r="1019" spans="1:8">
      <c r="A1019" s="21"/>
      <c r="B1019" s="28"/>
      <c r="C1019" s="22"/>
      <c r="D1019" s="28"/>
      <c r="E1019" s="23" t="str">
        <f>IF($D1019="","",IFERROR(VLOOKUP($D1019,'ACAH Consumables Tracker'!$A:$H,8,FALSE()),""))</f>
        <v/>
      </c>
      <c r="F1019" s="24"/>
      <c r="G1019" s="25" t="str">
        <f>IF($D1019="","",IFERROR(VLOOKUP($D1019,'ACAH Consumables Tracker'!$A:$D,4,FALSE()),""))</f>
        <v/>
      </c>
      <c r="H1019" s="22"/>
    </row>
    <row r="1020" spans="1:8">
      <c r="A1020" s="21"/>
      <c r="B1020" s="28"/>
      <c r="C1020" s="22"/>
      <c r="D1020" s="28"/>
      <c r="E1020" s="23" t="str">
        <f>IF($D1020="","",IFERROR(VLOOKUP($D1020,'ACAH Consumables Tracker'!$A:$H,8,FALSE()),""))</f>
        <v/>
      </c>
      <c r="F1020" s="24"/>
      <c r="G1020" s="25" t="str">
        <f>IF($D1020="","",IFERROR(VLOOKUP($D1020,'ACAH Consumables Tracker'!$A:$D,4,FALSE()),""))</f>
        <v/>
      </c>
      <c r="H1020" s="22"/>
    </row>
    <row r="1021" spans="1:8">
      <c r="A1021" s="21"/>
      <c r="B1021" s="28"/>
      <c r="C1021" s="22"/>
      <c r="D1021" s="28"/>
      <c r="E1021" s="23" t="str">
        <f>IF($D1021="","",IFERROR(VLOOKUP($D1021,'ACAH Consumables Tracker'!$A:$H,8,FALSE()),""))</f>
        <v/>
      </c>
      <c r="F1021" s="24"/>
      <c r="G1021" s="25" t="str">
        <f>IF($D1021="","",IFERROR(VLOOKUP($D1021,'ACAH Consumables Tracker'!$A:$D,4,FALSE()),""))</f>
        <v/>
      </c>
      <c r="H1021" s="22"/>
    </row>
    <row r="1022" spans="1:8">
      <c r="A1022" s="21"/>
      <c r="B1022" s="28"/>
      <c r="C1022" s="22"/>
      <c r="D1022" s="28"/>
      <c r="E1022" s="23" t="str">
        <f>IF($D1022="","",IFERROR(VLOOKUP($D1022,'ACAH Consumables Tracker'!$A:$H,8,FALSE()),""))</f>
        <v/>
      </c>
      <c r="F1022" s="24"/>
      <c r="G1022" s="25" t="str">
        <f>IF($D1022="","",IFERROR(VLOOKUP($D1022,'ACAH Consumables Tracker'!$A:$D,4,FALSE()),""))</f>
        <v/>
      </c>
      <c r="H1022" s="22"/>
    </row>
    <row r="1023" spans="1:8">
      <c r="A1023" s="21"/>
      <c r="B1023" s="28"/>
      <c r="C1023" s="22"/>
      <c r="D1023" s="28"/>
      <c r="E1023" s="23" t="str">
        <f>IF($D1023="","",IFERROR(VLOOKUP($D1023,'ACAH Consumables Tracker'!$A:$H,8,FALSE()),""))</f>
        <v/>
      </c>
      <c r="F1023" s="24"/>
      <c r="G1023" s="25" t="str">
        <f>IF($D1023="","",IFERROR(VLOOKUP($D1023,'ACAH Consumables Tracker'!$A:$D,4,FALSE()),""))</f>
        <v/>
      </c>
      <c r="H1023" s="22"/>
    </row>
    <row r="1024" spans="1:8">
      <c r="A1024" s="21"/>
      <c r="B1024" s="28"/>
      <c r="C1024" s="22"/>
      <c r="D1024" s="28"/>
      <c r="E1024" s="23" t="str">
        <f>IF($D1024="","",IFERROR(VLOOKUP($D1024,'ACAH Consumables Tracker'!$A:$H,8,FALSE()),""))</f>
        <v/>
      </c>
      <c r="F1024" s="24"/>
      <c r="G1024" s="25" t="str">
        <f>IF($D1024="","",IFERROR(VLOOKUP($D1024,'ACAH Consumables Tracker'!$A:$D,4,FALSE()),""))</f>
        <v/>
      </c>
      <c r="H1024" s="22"/>
    </row>
    <row r="1025" spans="1:8">
      <c r="A1025" s="21"/>
      <c r="B1025" s="28"/>
      <c r="C1025" s="22"/>
      <c r="D1025" s="28"/>
      <c r="E1025" s="23" t="str">
        <f>IF($D1025="","",IFERROR(VLOOKUP($D1025,'ACAH Consumables Tracker'!$A:$H,8,FALSE()),""))</f>
        <v/>
      </c>
      <c r="F1025" s="24"/>
      <c r="G1025" s="25" t="str">
        <f>IF($D1025="","",IFERROR(VLOOKUP($D1025,'ACAH Consumables Tracker'!$A:$D,4,FALSE()),""))</f>
        <v/>
      </c>
      <c r="H1025" s="22"/>
    </row>
    <row r="1026" spans="1:8">
      <c r="A1026" s="21"/>
      <c r="B1026" s="28"/>
      <c r="C1026" s="22"/>
      <c r="D1026" s="28"/>
      <c r="E1026" s="23" t="str">
        <f>IF($D1026="","",IFERROR(VLOOKUP($D1026,'ACAH Consumables Tracker'!$A:$H,8,FALSE()),""))</f>
        <v/>
      </c>
      <c r="F1026" s="24"/>
      <c r="G1026" s="25" t="str">
        <f>IF($D1026="","",IFERROR(VLOOKUP($D1026,'ACAH Consumables Tracker'!$A:$D,4,FALSE()),""))</f>
        <v/>
      </c>
      <c r="H1026" s="22"/>
    </row>
    <row r="1027" spans="1:8">
      <c r="A1027" s="21"/>
      <c r="B1027" s="28"/>
      <c r="C1027" s="22"/>
      <c r="D1027" s="28"/>
      <c r="E1027" s="23" t="str">
        <f>IF($D1027="","",IFERROR(VLOOKUP($D1027,'ACAH Consumables Tracker'!$A:$H,8,FALSE()),""))</f>
        <v/>
      </c>
      <c r="F1027" s="24"/>
      <c r="G1027" s="25" t="str">
        <f>IF($D1027="","",IFERROR(VLOOKUP($D1027,'ACAH Consumables Tracker'!$A:$D,4,FALSE()),""))</f>
        <v/>
      </c>
      <c r="H1027" s="22"/>
    </row>
    <row r="1028" spans="1:8">
      <c r="A1028" s="21"/>
      <c r="B1028" s="28"/>
      <c r="C1028" s="22"/>
      <c r="D1028" s="28"/>
      <c r="E1028" s="23" t="str">
        <f>IF($D1028="","",IFERROR(VLOOKUP($D1028,'ACAH Consumables Tracker'!$A:$H,8,FALSE()),""))</f>
        <v/>
      </c>
      <c r="F1028" s="24"/>
      <c r="G1028" s="25" t="str">
        <f>IF($D1028="","",IFERROR(VLOOKUP($D1028,'ACAH Consumables Tracker'!$A:$D,4,FALSE()),""))</f>
        <v/>
      </c>
      <c r="H1028" s="22"/>
    </row>
    <row r="1029" spans="1:8">
      <c r="A1029" s="21"/>
      <c r="B1029" s="28"/>
      <c r="C1029" s="22"/>
      <c r="D1029" s="28"/>
      <c r="E1029" s="23" t="str">
        <f>IF($D1029="","",IFERROR(VLOOKUP($D1029,'ACAH Consumables Tracker'!$A:$H,8,FALSE()),""))</f>
        <v/>
      </c>
      <c r="F1029" s="24"/>
      <c r="G1029" s="25" t="str">
        <f>IF($D1029="","",IFERROR(VLOOKUP($D1029,'ACAH Consumables Tracker'!$A:$D,4,FALSE()),""))</f>
        <v/>
      </c>
      <c r="H1029" s="22"/>
    </row>
    <row r="1030" spans="1:8">
      <c r="A1030" s="21"/>
      <c r="B1030" s="28"/>
      <c r="C1030" s="22"/>
      <c r="D1030" s="28"/>
      <c r="E1030" s="23" t="str">
        <f>IF($D1030="","",IFERROR(VLOOKUP($D1030,'ACAH Consumables Tracker'!$A:$H,8,FALSE()),""))</f>
        <v/>
      </c>
      <c r="F1030" s="24"/>
      <c r="G1030" s="25" t="str">
        <f>IF($D1030="","",IFERROR(VLOOKUP($D1030,'ACAH Consumables Tracker'!$A:$D,4,FALSE()),""))</f>
        <v/>
      </c>
      <c r="H1030" s="22"/>
    </row>
    <row r="1031" spans="1:8">
      <c r="A1031" s="21"/>
      <c r="B1031" s="28"/>
      <c r="C1031" s="22"/>
      <c r="D1031" s="28"/>
      <c r="E1031" s="23" t="str">
        <f>IF($D1031="","",IFERROR(VLOOKUP($D1031,'ACAH Consumables Tracker'!$A:$H,8,FALSE()),""))</f>
        <v/>
      </c>
      <c r="F1031" s="24"/>
      <c r="G1031" s="25" t="str">
        <f>IF($D1031="","",IFERROR(VLOOKUP($D1031,'ACAH Consumables Tracker'!$A:$D,4,FALSE()),""))</f>
        <v/>
      </c>
      <c r="H1031" s="22"/>
    </row>
    <row r="1032" spans="1:8">
      <c r="A1032" s="21"/>
      <c r="B1032" s="28"/>
      <c r="C1032" s="22"/>
      <c r="D1032" s="28"/>
      <c r="E1032" s="23" t="str">
        <f>IF($D1032="","",IFERROR(VLOOKUP($D1032,'ACAH Consumables Tracker'!$A:$H,8,FALSE()),""))</f>
        <v/>
      </c>
      <c r="F1032" s="24"/>
      <c r="G1032" s="25" t="str">
        <f>IF($D1032="","",IFERROR(VLOOKUP($D1032,'ACAH Consumables Tracker'!$A:$D,4,FALSE()),""))</f>
        <v/>
      </c>
      <c r="H1032" s="22"/>
    </row>
    <row r="1033" spans="1:8">
      <c r="A1033" s="21"/>
      <c r="B1033" s="28"/>
      <c r="C1033" s="22"/>
      <c r="D1033" s="28"/>
      <c r="E1033" s="23" t="str">
        <f>IF($D1033="","",IFERROR(VLOOKUP($D1033,'ACAH Consumables Tracker'!$A:$H,8,FALSE()),""))</f>
        <v/>
      </c>
      <c r="F1033" s="24"/>
      <c r="G1033" s="25" t="str">
        <f>IF($D1033="","",IFERROR(VLOOKUP($D1033,'ACAH Consumables Tracker'!$A:$D,4,FALSE()),""))</f>
        <v/>
      </c>
      <c r="H1033" s="22"/>
    </row>
    <row r="1034" spans="1:8">
      <c r="A1034" s="21"/>
      <c r="B1034" s="28"/>
      <c r="C1034" s="22"/>
      <c r="D1034" s="28"/>
      <c r="E1034" s="23" t="str">
        <f>IF($D1034="","",IFERROR(VLOOKUP($D1034,'ACAH Consumables Tracker'!$A:$H,8,FALSE()),""))</f>
        <v/>
      </c>
      <c r="F1034" s="24"/>
      <c r="G1034" s="25" t="str">
        <f>IF($D1034="","",IFERROR(VLOOKUP($D1034,'ACAH Consumables Tracker'!$A:$D,4,FALSE()),""))</f>
        <v/>
      </c>
      <c r="H1034" s="22"/>
    </row>
    <row r="1035" spans="1:8">
      <c r="A1035" s="21"/>
      <c r="B1035" s="28"/>
      <c r="C1035" s="22"/>
      <c r="D1035" s="28"/>
      <c r="E1035" s="23" t="str">
        <f>IF($D1035="","",IFERROR(VLOOKUP($D1035,'ACAH Consumables Tracker'!$A:$H,8,FALSE()),""))</f>
        <v/>
      </c>
      <c r="F1035" s="24"/>
      <c r="G1035" s="25" t="str">
        <f>IF($D1035="","",IFERROR(VLOOKUP($D1035,'ACAH Consumables Tracker'!$A:$D,4,FALSE()),""))</f>
        <v/>
      </c>
      <c r="H1035" s="22"/>
    </row>
    <row r="1036" spans="1:8">
      <c r="A1036" s="21"/>
      <c r="B1036" s="28"/>
      <c r="C1036" s="22"/>
      <c r="D1036" s="28"/>
      <c r="E1036" s="23" t="str">
        <f>IF($D1036="","",IFERROR(VLOOKUP($D1036,'ACAH Consumables Tracker'!$A:$H,8,FALSE()),""))</f>
        <v/>
      </c>
      <c r="F1036" s="24"/>
      <c r="G1036" s="25" t="str">
        <f>IF($D1036="","",IFERROR(VLOOKUP($D1036,'ACAH Consumables Tracker'!$A:$D,4,FALSE()),""))</f>
        <v/>
      </c>
      <c r="H1036" s="22"/>
    </row>
    <row r="1037" spans="1:8">
      <c r="A1037" s="21"/>
      <c r="B1037" s="28"/>
      <c r="C1037" s="22"/>
      <c r="D1037" s="28"/>
      <c r="E1037" s="23" t="str">
        <f>IF($D1037="","",IFERROR(VLOOKUP($D1037,'ACAH Consumables Tracker'!$A:$H,8,FALSE()),""))</f>
        <v/>
      </c>
      <c r="F1037" s="24"/>
      <c r="G1037" s="25" t="str">
        <f>IF($D1037="","",IFERROR(VLOOKUP($D1037,'ACAH Consumables Tracker'!$A:$D,4,FALSE()),""))</f>
        <v/>
      </c>
      <c r="H1037" s="22"/>
    </row>
    <row r="1038" spans="1:8">
      <c r="A1038" s="21"/>
      <c r="B1038" s="28"/>
      <c r="C1038" s="22"/>
      <c r="D1038" s="28"/>
      <c r="E1038" s="23" t="str">
        <f>IF($D1038="","",IFERROR(VLOOKUP($D1038,'ACAH Consumables Tracker'!$A:$H,8,FALSE()),""))</f>
        <v/>
      </c>
      <c r="F1038" s="24"/>
      <c r="G1038" s="25" t="str">
        <f>IF($D1038="","",IFERROR(VLOOKUP($D1038,'ACAH Consumables Tracker'!$A:$D,4,FALSE()),""))</f>
        <v/>
      </c>
      <c r="H1038" s="22"/>
    </row>
    <row r="1039" spans="1:8">
      <c r="A1039" s="21"/>
      <c r="B1039" s="28"/>
      <c r="C1039" s="22"/>
      <c r="D1039" s="28"/>
      <c r="E1039" s="23" t="str">
        <f>IF($D1039="","",IFERROR(VLOOKUP($D1039,'ACAH Consumables Tracker'!$A:$H,8,FALSE()),""))</f>
        <v/>
      </c>
      <c r="F1039" s="24"/>
      <c r="G1039" s="25" t="str">
        <f>IF($D1039="","",IFERROR(VLOOKUP($D1039,'ACAH Consumables Tracker'!$A:$D,4,FALSE()),""))</f>
        <v/>
      </c>
      <c r="H1039" s="22"/>
    </row>
    <row r="1040" spans="1:8">
      <c r="A1040" s="21"/>
      <c r="B1040" s="28"/>
      <c r="C1040" s="22"/>
      <c r="D1040" s="28"/>
      <c r="E1040" s="23" t="str">
        <f>IF($D1040="","",IFERROR(VLOOKUP($D1040,'ACAH Consumables Tracker'!$A:$H,8,FALSE()),""))</f>
        <v/>
      </c>
      <c r="F1040" s="24"/>
      <c r="G1040" s="25" t="str">
        <f>IF($D1040="","",IFERROR(VLOOKUP($D1040,'ACAH Consumables Tracker'!$A:$D,4,FALSE()),""))</f>
        <v/>
      </c>
      <c r="H1040" s="22"/>
    </row>
    <row r="1041" spans="1:8">
      <c r="A1041" s="21"/>
      <c r="B1041" s="28"/>
      <c r="C1041" s="22"/>
      <c r="D1041" s="28"/>
      <c r="E1041" s="23" t="str">
        <f>IF($D1041="","",IFERROR(VLOOKUP($D1041,'ACAH Consumables Tracker'!$A:$H,8,FALSE()),""))</f>
        <v/>
      </c>
      <c r="F1041" s="24"/>
      <c r="G1041" s="25" t="str">
        <f>IF($D1041="","",IFERROR(VLOOKUP($D1041,'ACAH Consumables Tracker'!$A:$D,4,FALSE()),""))</f>
        <v/>
      </c>
      <c r="H1041" s="22"/>
    </row>
    <row r="1042" spans="1:8">
      <c r="A1042" s="21"/>
      <c r="B1042" s="28"/>
      <c r="C1042" s="22"/>
      <c r="D1042" s="28"/>
      <c r="E1042" s="23" t="str">
        <f>IF($D1042="","",IFERROR(VLOOKUP($D1042,'ACAH Consumables Tracker'!$A:$H,8,FALSE()),""))</f>
        <v/>
      </c>
      <c r="F1042" s="24"/>
      <c r="G1042" s="25" t="str">
        <f>IF($D1042="","",IFERROR(VLOOKUP($D1042,'ACAH Consumables Tracker'!$A:$D,4,FALSE()),""))</f>
        <v/>
      </c>
      <c r="H1042" s="22"/>
    </row>
    <row r="1043" spans="1:8">
      <c r="A1043" s="21"/>
      <c r="B1043" s="28"/>
      <c r="C1043" s="22"/>
      <c r="D1043" s="28"/>
      <c r="E1043" s="23" t="str">
        <f>IF($D1043="","",IFERROR(VLOOKUP($D1043,'ACAH Consumables Tracker'!$A:$H,8,FALSE()),""))</f>
        <v/>
      </c>
      <c r="F1043" s="24"/>
      <c r="G1043" s="25" t="str">
        <f>IF($D1043="","",IFERROR(VLOOKUP($D1043,'ACAH Consumables Tracker'!$A:$D,4,FALSE()),""))</f>
        <v/>
      </c>
      <c r="H1043" s="22"/>
    </row>
    <row r="1044" spans="1:8">
      <c r="A1044" s="21"/>
      <c r="B1044" s="28"/>
      <c r="C1044" s="22"/>
      <c r="D1044" s="28"/>
      <c r="E1044" s="23" t="str">
        <f>IF($D1044="","",IFERROR(VLOOKUP($D1044,'ACAH Consumables Tracker'!$A:$H,8,FALSE()),""))</f>
        <v/>
      </c>
      <c r="F1044" s="24"/>
      <c r="G1044" s="25" t="str">
        <f>IF($D1044="","",IFERROR(VLOOKUP($D1044,'ACAH Consumables Tracker'!$A:$D,4,FALSE()),""))</f>
        <v/>
      </c>
      <c r="H1044" s="22"/>
    </row>
    <row r="1045" spans="1:8">
      <c r="A1045" s="21"/>
      <c r="B1045" s="28"/>
      <c r="C1045" s="22"/>
      <c r="D1045" s="28"/>
      <c r="E1045" s="23" t="str">
        <f>IF($D1045="","",IFERROR(VLOOKUP($D1045,'ACAH Consumables Tracker'!$A:$H,8,FALSE()),""))</f>
        <v/>
      </c>
      <c r="F1045" s="24"/>
      <c r="G1045" s="25" t="str">
        <f>IF($D1045="","",IFERROR(VLOOKUP($D1045,'ACAH Consumables Tracker'!$A:$D,4,FALSE()),""))</f>
        <v/>
      </c>
      <c r="H1045" s="22"/>
    </row>
    <row r="1046" spans="1:8">
      <c r="A1046" s="21"/>
      <c r="B1046" s="28"/>
      <c r="C1046" s="22"/>
      <c r="D1046" s="28"/>
      <c r="E1046" s="23" t="str">
        <f>IF($D1046="","",IFERROR(VLOOKUP($D1046,'ACAH Consumables Tracker'!$A:$H,8,FALSE()),""))</f>
        <v/>
      </c>
      <c r="F1046" s="24"/>
      <c r="G1046" s="25" t="str">
        <f>IF($D1046="","",IFERROR(VLOOKUP($D1046,'ACAH Consumables Tracker'!$A:$D,4,FALSE()),""))</f>
        <v/>
      </c>
      <c r="H1046" s="22"/>
    </row>
    <row r="1047" spans="1:8">
      <c r="A1047" s="21"/>
      <c r="B1047" s="28"/>
      <c r="C1047" s="22"/>
      <c r="D1047" s="28"/>
      <c r="E1047" s="23" t="str">
        <f>IF($D1047="","",IFERROR(VLOOKUP($D1047,'ACAH Consumables Tracker'!$A:$H,8,FALSE()),""))</f>
        <v/>
      </c>
      <c r="F1047" s="24"/>
      <c r="G1047" s="25" t="str">
        <f>IF($D1047="","",IFERROR(VLOOKUP($D1047,'ACAH Consumables Tracker'!$A:$D,4,FALSE()),""))</f>
        <v/>
      </c>
      <c r="H1047" s="22"/>
    </row>
    <row r="1048" spans="1:8">
      <c r="A1048" s="21"/>
      <c r="B1048" s="28"/>
      <c r="C1048" s="22"/>
      <c r="D1048" s="28"/>
      <c r="E1048" s="23" t="str">
        <f>IF($D1048="","",IFERROR(VLOOKUP($D1048,'ACAH Consumables Tracker'!$A:$H,8,FALSE()),""))</f>
        <v/>
      </c>
      <c r="F1048" s="24"/>
      <c r="G1048" s="25" t="str">
        <f>IF($D1048="","",IFERROR(VLOOKUP($D1048,'ACAH Consumables Tracker'!$A:$D,4,FALSE()),""))</f>
        <v/>
      </c>
      <c r="H1048" s="22"/>
    </row>
    <row r="1049" spans="1:8">
      <c r="A1049" s="21"/>
      <c r="B1049" s="28"/>
      <c r="C1049" s="22"/>
      <c r="D1049" s="28"/>
      <c r="E1049" s="23" t="str">
        <f>IF($D1049="","",IFERROR(VLOOKUP($D1049,'ACAH Consumables Tracker'!$A:$H,8,FALSE()),""))</f>
        <v/>
      </c>
      <c r="F1049" s="24"/>
      <c r="G1049" s="25" t="str">
        <f>IF($D1049="","",IFERROR(VLOOKUP($D1049,'ACAH Consumables Tracker'!$A:$D,4,FALSE()),""))</f>
        <v/>
      </c>
      <c r="H1049" s="22"/>
    </row>
    <row r="1050" spans="1:8">
      <c r="A1050" s="21"/>
      <c r="B1050" s="28"/>
      <c r="C1050" s="22"/>
      <c r="D1050" s="28"/>
      <c r="E1050" s="23" t="str">
        <f>IF($D1050="","",IFERROR(VLOOKUP($D1050,'ACAH Consumables Tracker'!$A:$H,8,FALSE()),""))</f>
        <v/>
      </c>
      <c r="F1050" s="24"/>
      <c r="G1050" s="25" t="str">
        <f>IF($D1050="","",IFERROR(VLOOKUP($D1050,'ACAH Consumables Tracker'!$A:$D,4,FALSE()),""))</f>
        <v/>
      </c>
      <c r="H1050" s="22"/>
    </row>
    <row r="1051" spans="1:8">
      <c r="A1051" s="21"/>
      <c r="B1051" s="28"/>
      <c r="C1051" s="22"/>
      <c r="D1051" s="28"/>
      <c r="E1051" s="23" t="str">
        <f>IF($D1051="","",IFERROR(VLOOKUP($D1051,'ACAH Consumables Tracker'!$A:$H,8,FALSE()),""))</f>
        <v/>
      </c>
      <c r="F1051" s="24"/>
      <c r="G1051" s="25" t="str">
        <f>IF($D1051="","",IFERROR(VLOOKUP($D1051,'ACAH Consumables Tracker'!$A:$D,4,FALSE()),""))</f>
        <v/>
      </c>
      <c r="H1051" s="22"/>
    </row>
    <row r="1052" spans="1:8">
      <c r="A1052" s="21"/>
      <c r="B1052" s="28"/>
      <c r="C1052" s="22"/>
      <c r="D1052" s="28"/>
      <c r="E1052" s="23" t="str">
        <f>IF($D1052="","",IFERROR(VLOOKUP($D1052,'ACAH Consumables Tracker'!$A:$H,8,FALSE()),""))</f>
        <v/>
      </c>
      <c r="F1052" s="24"/>
      <c r="G1052" s="25" t="str">
        <f>IF($D1052="","",IFERROR(VLOOKUP($D1052,'ACAH Consumables Tracker'!$A:$D,4,FALSE()),""))</f>
        <v/>
      </c>
      <c r="H1052" s="22"/>
    </row>
    <row r="1053" spans="1:8">
      <c r="A1053" s="21"/>
      <c r="B1053" s="28"/>
      <c r="C1053" s="22"/>
      <c r="D1053" s="28"/>
      <c r="E1053" s="23" t="str">
        <f>IF($D1053="","",IFERROR(VLOOKUP($D1053,'ACAH Consumables Tracker'!$A:$H,8,FALSE()),""))</f>
        <v/>
      </c>
      <c r="F1053" s="24"/>
      <c r="G1053" s="25" t="str">
        <f>IF($D1053="","",IFERROR(VLOOKUP($D1053,'ACAH Consumables Tracker'!$A:$D,4,FALSE()),""))</f>
        <v/>
      </c>
      <c r="H1053" s="22"/>
    </row>
    <row r="1054" spans="1:8">
      <c r="A1054" s="21"/>
      <c r="B1054" s="28"/>
      <c r="C1054" s="22"/>
      <c r="D1054" s="28"/>
      <c r="E1054" s="23" t="str">
        <f>IF($D1054="","",IFERROR(VLOOKUP($D1054,'ACAH Consumables Tracker'!$A:$H,8,FALSE()),""))</f>
        <v/>
      </c>
      <c r="F1054" s="24"/>
      <c r="G1054" s="25" t="str">
        <f>IF($D1054="","",IFERROR(VLOOKUP($D1054,'ACAH Consumables Tracker'!$A:$D,4,FALSE()),""))</f>
        <v/>
      </c>
      <c r="H1054" s="22"/>
    </row>
    <row r="1055" spans="1:8">
      <c r="A1055" s="21"/>
      <c r="B1055" s="28"/>
      <c r="C1055" s="22"/>
      <c r="D1055" s="28"/>
      <c r="E1055" s="23" t="str">
        <f>IF($D1055="","",IFERROR(VLOOKUP($D1055,'ACAH Consumables Tracker'!$A:$H,8,FALSE()),""))</f>
        <v/>
      </c>
      <c r="F1055" s="24"/>
      <c r="G1055" s="25" t="str">
        <f>IF($D1055="","",IFERROR(VLOOKUP($D1055,'ACAH Consumables Tracker'!$A:$D,4,FALSE()),""))</f>
        <v/>
      </c>
      <c r="H1055" s="22"/>
    </row>
    <row r="1056" spans="1:8">
      <c r="A1056" s="21"/>
      <c r="B1056" s="28"/>
      <c r="C1056" s="22"/>
      <c r="D1056" s="28"/>
      <c r="E1056" s="23" t="str">
        <f>IF($D1056="","",IFERROR(VLOOKUP($D1056,'ACAH Consumables Tracker'!$A:$H,8,FALSE()),""))</f>
        <v/>
      </c>
      <c r="F1056" s="24"/>
      <c r="G1056" s="25" t="str">
        <f>IF($D1056="","",IFERROR(VLOOKUP($D1056,'ACAH Consumables Tracker'!$A:$D,4,FALSE()),""))</f>
        <v/>
      </c>
      <c r="H1056" s="22"/>
    </row>
    <row r="1057" spans="1:8">
      <c r="A1057" s="21"/>
      <c r="B1057" s="28"/>
      <c r="C1057" s="22"/>
      <c r="D1057" s="28"/>
      <c r="E1057" s="23" t="str">
        <f>IF($D1057="","",IFERROR(VLOOKUP($D1057,'ACAH Consumables Tracker'!$A:$H,8,FALSE()),""))</f>
        <v/>
      </c>
      <c r="F1057" s="24"/>
      <c r="G1057" s="25" t="str">
        <f>IF($D1057="","",IFERROR(VLOOKUP($D1057,'ACAH Consumables Tracker'!$A:$D,4,FALSE()),""))</f>
        <v/>
      </c>
      <c r="H1057" s="22"/>
    </row>
    <row r="1058" spans="1:8">
      <c r="A1058" s="21"/>
      <c r="B1058" s="28"/>
      <c r="C1058" s="22"/>
      <c r="D1058" s="28"/>
      <c r="E1058" s="23" t="str">
        <f>IF($D1058="","",IFERROR(VLOOKUP($D1058,'ACAH Consumables Tracker'!$A:$H,8,FALSE()),""))</f>
        <v/>
      </c>
      <c r="F1058" s="24"/>
      <c r="G1058" s="25" t="str">
        <f>IF($D1058="","",IFERROR(VLOOKUP($D1058,'ACAH Consumables Tracker'!$A:$D,4,FALSE()),""))</f>
        <v/>
      </c>
      <c r="H1058" s="22"/>
    </row>
    <row r="1059" spans="1:8">
      <c r="A1059" s="21"/>
      <c r="B1059" s="28"/>
      <c r="C1059" s="22"/>
      <c r="D1059" s="28"/>
      <c r="E1059" s="23" t="str">
        <f>IF($D1059="","",IFERROR(VLOOKUP($D1059,'ACAH Consumables Tracker'!$A:$H,8,FALSE()),""))</f>
        <v/>
      </c>
      <c r="F1059" s="24"/>
      <c r="G1059" s="25" t="str">
        <f>IF($D1059="","",IFERROR(VLOOKUP($D1059,'ACAH Consumables Tracker'!$A:$D,4,FALSE()),""))</f>
        <v/>
      </c>
      <c r="H1059" s="22"/>
    </row>
    <row r="1060" spans="1:8">
      <c r="A1060" s="21"/>
      <c r="B1060" s="28"/>
      <c r="C1060" s="22"/>
      <c r="D1060" s="28"/>
      <c r="E1060" s="23" t="str">
        <f>IF($D1060="","",IFERROR(VLOOKUP($D1060,'ACAH Consumables Tracker'!$A:$H,8,FALSE()),""))</f>
        <v/>
      </c>
      <c r="F1060" s="24"/>
      <c r="G1060" s="25" t="str">
        <f>IF($D1060="","",IFERROR(VLOOKUP($D1060,'ACAH Consumables Tracker'!$A:$D,4,FALSE()),""))</f>
        <v/>
      </c>
      <c r="H1060" s="22"/>
    </row>
    <row r="1061" spans="1:8">
      <c r="A1061" s="21"/>
      <c r="B1061" s="28"/>
      <c r="C1061" s="22"/>
      <c r="D1061" s="28"/>
      <c r="E1061" s="23" t="str">
        <f>IF($D1061="","",IFERROR(VLOOKUP($D1061,'ACAH Consumables Tracker'!$A:$H,8,FALSE()),""))</f>
        <v/>
      </c>
      <c r="F1061" s="24"/>
      <c r="G1061" s="25" t="str">
        <f>IF($D1061="","",IFERROR(VLOOKUP($D1061,'ACAH Consumables Tracker'!$A:$D,4,FALSE()),""))</f>
        <v/>
      </c>
      <c r="H1061" s="22"/>
    </row>
    <row r="1062" spans="1:8">
      <c r="A1062" s="21"/>
      <c r="B1062" s="28"/>
      <c r="C1062" s="22"/>
      <c r="D1062" s="28"/>
      <c r="E1062" s="23" t="str">
        <f>IF($D1062="","",IFERROR(VLOOKUP($D1062,'ACAH Consumables Tracker'!$A:$H,8,FALSE()),""))</f>
        <v/>
      </c>
      <c r="F1062" s="24"/>
      <c r="G1062" s="25" t="str">
        <f>IF($D1062="","",IFERROR(VLOOKUP($D1062,'ACAH Consumables Tracker'!$A:$D,4,FALSE()),""))</f>
        <v/>
      </c>
      <c r="H1062" s="22"/>
    </row>
    <row r="1063" spans="1:8">
      <c r="A1063" s="21"/>
      <c r="B1063" s="28"/>
      <c r="C1063" s="22"/>
      <c r="D1063" s="28"/>
      <c r="E1063" s="23" t="str">
        <f>IF($D1063="","",IFERROR(VLOOKUP($D1063,'ACAH Consumables Tracker'!$A:$H,8,FALSE()),""))</f>
        <v/>
      </c>
      <c r="F1063" s="24"/>
      <c r="G1063" s="25" t="str">
        <f>IF($D1063="","",IFERROR(VLOOKUP($D1063,'ACAH Consumables Tracker'!$A:$D,4,FALSE()),""))</f>
        <v/>
      </c>
      <c r="H1063" s="22"/>
    </row>
    <row r="1064" spans="1:8">
      <c r="A1064" s="21"/>
      <c r="B1064" s="28"/>
      <c r="C1064" s="22"/>
      <c r="D1064" s="28"/>
      <c r="E1064" s="23" t="str">
        <f>IF($D1064="","",IFERROR(VLOOKUP($D1064,'ACAH Consumables Tracker'!$A:$H,8,FALSE()),""))</f>
        <v/>
      </c>
      <c r="F1064" s="24"/>
      <c r="G1064" s="25" t="str">
        <f>IF($D1064="","",IFERROR(VLOOKUP($D1064,'ACAH Consumables Tracker'!$A:$D,4,FALSE()),""))</f>
        <v/>
      </c>
      <c r="H1064" s="22"/>
    </row>
    <row r="1065" spans="1:8">
      <c r="A1065" s="21"/>
      <c r="B1065" s="28"/>
      <c r="C1065" s="22"/>
      <c r="D1065" s="28"/>
      <c r="E1065" s="23" t="str">
        <f>IF($D1065="","",IFERROR(VLOOKUP($D1065,'ACAH Consumables Tracker'!$A:$H,8,FALSE()),""))</f>
        <v/>
      </c>
      <c r="F1065" s="24"/>
      <c r="G1065" s="25" t="str">
        <f>IF($D1065="","",IFERROR(VLOOKUP($D1065,'ACAH Consumables Tracker'!$A:$D,4,FALSE()),""))</f>
        <v/>
      </c>
      <c r="H1065" s="22"/>
    </row>
    <row r="1066" spans="1:8">
      <c r="A1066" s="21"/>
      <c r="B1066" s="28"/>
      <c r="C1066" s="22"/>
      <c r="D1066" s="28"/>
      <c r="E1066" s="23" t="str">
        <f>IF($D1066="","",IFERROR(VLOOKUP($D1066,'ACAH Consumables Tracker'!$A:$H,8,FALSE()),""))</f>
        <v/>
      </c>
      <c r="F1066" s="24"/>
      <c r="G1066" s="25" t="str">
        <f>IF($D1066="","",IFERROR(VLOOKUP($D1066,'ACAH Consumables Tracker'!$A:$D,4,FALSE()),""))</f>
        <v/>
      </c>
      <c r="H1066" s="22"/>
    </row>
    <row r="1067" spans="1:8">
      <c r="A1067" s="21"/>
      <c r="B1067" s="28"/>
      <c r="C1067" s="22"/>
      <c r="D1067" s="28"/>
      <c r="E1067" s="23" t="str">
        <f>IF($D1067="","",IFERROR(VLOOKUP($D1067,'ACAH Consumables Tracker'!$A:$H,8,FALSE()),""))</f>
        <v/>
      </c>
      <c r="F1067" s="24"/>
      <c r="G1067" s="25" t="str">
        <f>IF($D1067="","",IFERROR(VLOOKUP($D1067,'ACAH Consumables Tracker'!$A:$D,4,FALSE()),""))</f>
        <v/>
      </c>
      <c r="H1067" s="22"/>
    </row>
    <row r="1068" spans="1:8">
      <c r="A1068" s="21"/>
      <c r="B1068" s="28"/>
      <c r="C1068" s="22"/>
      <c r="D1068" s="28"/>
      <c r="E1068" s="23" t="str">
        <f>IF($D1068="","",IFERROR(VLOOKUP($D1068,'ACAH Consumables Tracker'!$A:$H,8,FALSE()),""))</f>
        <v/>
      </c>
      <c r="F1068" s="24"/>
      <c r="G1068" s="25" t="str">
        <f>IF($D1068="","",IFERROR(VLOOKUP($D1068,'ACAH Consumables Tracker'!$A:$D,4,FALSE()),""))</f>
        <v/>
      </c>
      <c r="H1068" s="22"/>
    </row>
    <row r="1069" spans="1:8">
      <c r="A1069" s="21"/>
      <c r="B1069" s="28"/>
      <c r="C1069" s="22"/>
      <c r="D1069" s="28"/>
      <c r="E1069" s="23" t="str">
        <f>IF($D1069="","",IFERROR(VLOOKUP($D1069,'ACAH Consumables Tracker'!$A:$H,8,FALSE()),""))</f>
        <v/>
      </c>
      <c r="F1069" s="24"/>
      <c r="G1069" s="25" t="str">
        <f>IF($D1069="","",IFERROR(VLOOKUP($D1069,'ACAH Consumables Tracker'!$A:$D,4,FALSE()),""))</f>
        <v/>
      </c>
      <c r="H1069" s="22"/>
    </row>
    <row r="1070" spans="1:8">
      <c r="A1070" s="21"/>
      <c r="B1070" s="28"/>
      <c r="C1070" s="22"/>
      <c r="D1070" s="28"/>
      <c r="E1070" s="23" t="str">
        <f>IF($D1070="","",IFERROR(VLOOKUP($D1070,'ACAH Consumables Tracker'!$A:$H,8,FALSE()),""))</f>
        <v/>
      </c>
      <c r="F1070" s="24"/>
      <c r="G1070" s="25" t="str">
        <f>IF($D1070="","",IFERROR(VLOOKUP($D1070,'ACAH Consumables Tracker'!$A:$D,4,FALSE()),""))</f>
        <v/>
      </c>
      <c r="H1070" s="22"/>
    </row>
    <row r="1071" spans="1:8">
      <c r="A1071" s="21"/>
      <c r="B1071" s="28"/>
      <c r="C1071" s="22"/>
      <c r="D1071" s="28"/>
      <c r="E1071" s="23" t="str">
        <f>IF($D1071="","",IFERROR(VLOOKUP($D1071,'ACAH Consumables Tracker'!$A:$H,8,FALSE()),""))</f>
        <v/>
      </c>
      <c r="F1071" s="24"/>
      <c r="G1071" s="25" t="str">
        <f>IF($D1071="","",IFERROR(VLOOKUP($D1071,'ACAH Consumables Tracker'!$A:$D,4,FALSE()),""))</f>
        <v/>
      </c>
      <c r="H1071" s="22"/>
    </row>
    <row r="1072" spans="1:8">
      <c r="A1072" s="21"/>
      <c r="B1072" s="28"/>
      <c r="C1072" s="22"/>
      <c r="D1072" s="28"/>
      <c r="E1072" s="23" t="str">
        <f>IF($D1072="","",IFERROR(VLOOKUP($D1072,'ACAH Consumables Tracker'!$A:$H,8,FALSE()),""))</f>
        <v/>
      </c>
      <c r="F1072" s="24"/>
      <c r="G1072" s="25" t="str">
        <f>IF($D1072="","",IFERROR(VLOOKUP($D1072,'ACAH Consumables Tracker'!$A:$D,4,FALSE()),""))</f>
        <v/>
      </c>
      <c r="H1072" s="22"/>
    </row>
    <row r="1073" spans="1:8">
      <c r="A1073" s="21"/>
      <c r="B1073" s="28"/>
      <c r="C1073" s="22"/>
      <c r="D1073" s="28"/>
      <c r="E1073" s="23" t="str">
        <f>IF($D1073="","",IFERROR(VLOOKUP($D1073,'ACAH Consumables Tracker'!$A:$H,8,FALSE()),""))</f>
        <v/>
      </c>
      <c r="F1073" s="24"/>
      <c r="G1073" s="25" t="str">
        <f>IF($D1073="","",IFERROR(VLOOKUP($D1073,'ACAH Consumables Tracker'!$A:$D,4,FALSE()),""))</f>
        <v/>
      </c>
      <c r="H1073" s="22"/>
    </row>
    <row r="1074" spans="1:8">
      <c r="A1074" s="21"/>
      <c r="B1074" s="28"/>
      <c r="C1074" s="22"/>
      <c r="D1074" s="28"/>
      <c r="E1074" s="23" t="str">
        <f>IF($D1074="","",IFERROR(VLOOKUP($D1074,'ACAH Consumables Tracker'!$A:$H,8,FALSE()),""))</f>
        <v/>
      </c>
      <c r="F1074" s="24"/>
      <c r="G1074" s="25" t="str">
        <f>IF($D1074="","",IFERROR(VLOOKUP($D1074,'ACAH Consumables Tracker'!$A:$D,4,FALSE()),""))</f>
        <v/>
      </c>
      <c r="H1074" s="22"/>
    </row>
    <row r="1075" spans="1:8">
      <c r="A1075" s="21"/>
      <c r="B1075" s="28"/>
      <c r="C1075" s="22"/>
      <c r="D1075" s="28"/>
      <c r="E1075" s="23" t="str">
        <f>IF($D1075="","",IFERROR(VLOOKUP($D1075,'ACAH Consumables Tracker'!$A:$H,8,FALSE()),""))</f>
        <v/>
      </c>
      <c r="F1075" s="24"/>
      <c r="G1075" s="25" t="str">
        <f>IF($D1075="","",IFERROR(VLOOKUP($D1075,'ACAH Consumables Tracker'!$A:$D,4,FALSE()),""))</f>
        <v/>
      </c>
      <c r="H1075" s="22"/>
    </row>
    <row r="1076" spans="1:8">
      <c r="A1076" s="21"/>
      <c r="B1076" s="28"/>
      <c r="C1076" s="22"/>
      <c r="D1076" s="28"/>
      <c r="E1076" s="23" t="str">
        <f>IF($D1076="","",IFERROR(VLOOKUP($D1076,'ACAH Consumables Tracker'!$A:$H,8,FALSE()),""))</f>
        <v/>
      </c>
      <c r="F1076" s="24"/>
      <c r="G1076" s="25" t="str">
        <f>IF($D1076="","",IFERROR(VLOOKUP($D1076,'ACAH Consumables Tracker'!$A:$D,4,FALSE()),""))</f>
        <v/>
      </c>
      <c r="H1076" s="22"/>
    </row>
    <row r="1077" spans="1:8">
      <c r="A1077" s="21"/>
      <c r="B1077" s="28"/>
      <c r="C1077" s="22"/>
      <c r="D1077" s="28"/>
      <c r="E1077" s="23" t="str">
        <f>IF($D1077="","",IFERROR(VLOOKUP($D1077,'ACAH Consumables Tracker'!$A:$H,8,FALSE()),""))</f>
        <v/>
      </c>
      <c r="F1077" s="24"/>
      <c r="G1077" s="25" t="str">
        <f>IF($D1077="","",IFERROR(VLOOKUP($D1077,'ACAH Consumables Tracker'!$A:$D,4,FALSE()),""))</f>
        <v/>
      </c>
      <c r="H1077" s="22"/>
    </row>
    <row r="1078" spans="1:8">
      <c r="A1078" s="21"/>
      <c r="B1078" s="28"/>
      <c r="C1078" s="22"/>
      <c r="D1078" s="28"/>
      <c r="E1078" s="23" t="str">
        <f>IF($D1078="","",IFERROR(VLOOKUP($D1078,'ACAH Consumables Tracker'!$A:$H,8,FALSE()),""))</f>
        <v/>
      </c>
      <c r="F1078" s="24"/>
      <c r="G1078" s="25" t="str">
        <f>IF($D1078="","",IFERROR(VLOOKUP($D1078,'ACAH Consumables Tracker'!$A:$D,4,FALSE()),""))</f>
        <v/>
      </c>
      <c r="H1078" s="22"/>
    </row>
    <row r="1079" spans="1:8">
      <c r="A1079" s="21"/>
      <c r="B1079" s="28"/>
      <c r="C1079" s="22"/>
      <c r="D1079" s="28"/>
      <c r="E1079" s="23" t="str">
        <f>IF($D1079="","",IFERROR(VLOOKUP($D1079,'ACAH Consumables Tracker'!$A:$H,8,FALSE()),""))</f>
        <v/>
      </c>
      <c r="F1079" s="24"/>
      <c r="G1079" s="25" t="str">
        <f>IF($D1079="","",IFERROR(VLOOKUP($D1079,'ACAH Consumables Tracker'!$A:$D,4,FALSE()),""))</f>
        <v/>
      </c>
      <c r="H1079" s="22"/>
    </row>
    <row r="1080" spans="1:8">
      <c r="A1080" s="21"/>
      <c r="B1080" s="28"/>
      <c r="C1080" s="22"/>
      <c r="D1080" s="28"/>
      <c r="E1080" s="23" t="str">
        <f>IF($D1080="","",IFERROR(VLOOKUP($D1080,'ACAH Consumables Tracker'!$A:$H,8,FALSE()),""))</f>
        <v/>
      </c>
      <c r="F1080" s="24"/>
      <c r="G1080" s="25" t="str">
        <f>IF($D1080="","",IFERROR(VLOOKUP($D1080,'ACAH Consumables Tracker'!$A:$D,4,FALSE()),""))</f>
        <v/>
      </c>
      <c r="H1080" s="22"/>
    </row>
    <row r="1081" spans="1:8">
      <c r="A1081" s="21"/>
      <c r="B1081" s="28"/>
      <c r="C1081" s="22"/>
      <c r="D1081" s="28"/>
      <c r="E1081" s="23" t="str">
        <f>IF($D1081="","",IFERROR(VLOOKUP($D1081,'ACAH Consumables Tracker'!$A:$H,8,FALSE()),""))</f>
        <v/>
      </c>
      <c r="F1081" s="24"/>
      <c r="G1081" s="25" t="str">
        <f>IF($D1081="","",IFERROR(VLOOKUP($D1081,'ACAH Consumables Tracker'!$A:$D,4,FALSE()),""))</f>
        <v/>
      </c>
      <c r="H1081" s="22"/>
    </row>
    <row r="1082" spans="1:8">
      <c r="A1082" s="21"/>
      <c r="B1082" s="28"/>
      <c r="C1082" s="22"/>
      <c r="D1082" s="28"/>
      <c r="E1082" s="23" t="str">
        <f>IF($D1082="","",IFERROR(VLOOKUP($D1082,'ACAH Consumables Tracker'!$A:$H,8,FALSE()),""))</f>
        <v/>
      </c>
      <c r="F1082" s="24"/>
      <c r="G1082" s="25" t="str">
        <f>IF($D1082="","",IFERROR(VLOOKUP($D1082,'ACAH Consumables Tracker'!$A:$D,4,FALSE()),""))</f>
        <v/>
      </c>
      <c r="H1082" s="22"/>
    </row>
    <row r="1083" spans="1:8">
      <c r="A1083" s="21"/>
      <c r="B1083" s="28"/>
      <c r="C1083" s="22"/>
      <c r="D1083" s="28"/>
      <c r="E1083" s="23" t="str">
        <f>IF($D1083="","",IFERROR(VLOOKUP($D1083,'ACAH Consumables Tracker'!$A:$H,8,FALSE()),""))</f>
        <v/>
      </c>
      <c r="F1083" s="24"/>
      <c r="G1083" s="25" t="str">
        <f>IF($D1083="","",IFERROR(VLOOKUP($D1083,'ACAH Consumables Tracker'!$A:$D,4,FALSE()),""))</f>
        <v/>
      </c>
      <c r="H1083" s="22"/>
    </row>
    <row r="1084" spans="1:8">
      <c r="A1084" s="21"/>
      <c r="B1084" s="28"/>
      <c r="C1084" s="22"/>
      <c r="D1084" s="28"/>
      <c r="E1084" s="23" t="str">
        <f>IF($D1084="","",IFERROR(VLOOKUP($D1084,'ACAH Consumables Tracker'!$A:$H,8,FALSE()),""))</f>
        <v/>
      </c>
      <c r="F1084" s="24"/>
      <c r="G1084" s="25" t="str">
        <f>IF($D1084="","",IFERROR(VLOOKUP($D1084,'ACAH Consumables Tracker'!$A:$D,4,FALSE()),""))</f>
        <v/>
      </c>
      <c r="H1084" s="22"/>
    </row>
    <row r="1085" spans="1:8">
      <c r="A1085" s="21"/>
      <c r="B1085" s="28"/>
      <c r="C1085" s="22"/>
      <c r="D1085" s="28"/>
      <c r="E1085" s="23" t="str">
        <f>IF($D1085="","",IFERROR(VLOOKUP($D1085,'ACAH Consumables Tracker'!$A:$H,8,FALSE()),""))</f>
        <v/>
      </c>
      <c r="F1085" s="24"/>
      <c r="G1085" s="25" t="str">
        <f>IF($D1085="","",IFERROR(VLOOKUP($D1085,'ACAH Consumables Tracker'!$A:$D,4,FALSE()),""))</f>
        <v/>
      </c>
      <c r="H1085" s="22"/>
    </row>
    <row r="1086" spans="1:8">
      <c r="A1086" s="21"/>
      <c r="B1086" s="28"/>
      <c r="C1086" s="22"/>
      <c r="D1086" s="28"/>
      <c r="E1086" s="23" t="str">
        <f>IF($D1086="","",IFERROR(VLOOKUP($D1086,'ACAH Consumables Tracker'!$A:$H,8,FALSE()),""))</f>
        <v/>
      </c>
      <c r="F1086" s="24"/>
      <c r="G1086" s="25" t="str">
        <f>IF($D1086="","",IFERROR(VLOOKUP($D1086,'ACAH Consumables Tracker'!$A:$D,4,FALSE()),""))</f>
        <v/>
      </c>
      <c r="H1086" s="22"/>
    </row>
    <row r="1087" spans="1:8">
      <c r="A1087" s="21"/>
      <c r="B1087" s="28"/>
      <c r="C1087" s="22"/>
      <c r="D1087" s="28"/>
      <c r="E1087" s="23" t="str">
        <f>IF($D1087="","",IFERROR(VLOOKUP($D1087,'ACAH Consumables Tracker'!$A:$H,8,FALSE()),""))</f>
        <v/>
      </c>
      <c r="F1087" s="24"/>
      <c r="G1087" s="25" t="str">
        <f>IF($D1087="","",IFERROR(VLOOKUP($D1087,'ACAH Consumables Tracker'!$A:$D,4,FALSE()),""))</f>
        <v/>
      </c>
      <c r="H1087" s="22"/>
    </row>
    <row r="1088" spans="1:8">
      <c r="A1088" s="21"/>
      <c r="B1088" s="28"/>
      <c r="C1088" s="22"/>
      <c r="D1088" s="28"/>
      <c r="E1088" s="23" t="str">
        <f>IF($D1088="","",IFERROR(VLOOKUP($D1088,'ACAH Consumables Tracker'!$A:$H,8,FALSE()),""))</f>
        <v/>
      </c>
      <c r="F1088" s="24"/>
      <c r="G1088" s="25" t="str">
        <f>IF($D1088="","",IFERROR(VLOOKUP($D1088,'ACAH Consumables Tracker'!$A:$D,4,FALSE()),""))</f>
        <v/>
      </c>
      <c r="H1088" s="22"/>
    </row>
    <row r="1089" spans="1:8">
      <c r="A1089" s="21"/>
      <c r="B1089" s="28"/>
      <c r="C1089" s="22"/>
      <c r="D1089" s="28"/>
      <c r="E1089" s="23" t="str">
        <f>IF($D1089="","",IFERROR(VLOOKUP($D1089,'ACAH Consumables Tracker'!$A:$H,8,FALSE()),""))</f>
        <v/>
      </c>
      <c r="F1089" s="24"/>
      <c r="G1089" s="25" t="str">
        <f>IF($D1089="","",IFERROR(VLOOKUP($D1089,'ACAH Consumables Tracker'!$A:$D,4,FALSE()),""))</f>
        <v/>
      </c>
      <c r="H1089" s="22"/>
    </row>
    <row r="1090" spans="1:8">
      <c r="A1090" s="21"/>
      <c r="B1090" s="28"/>
      <c r="C1090" s="22"/>
      <c r="D1090" s="28"/>
      <c r="E1090" s="23" t="str">
        <f>IF($D1090="","",IFERROR(VLOOKUP($D1090,'ACAH Consumables Tracker'!$A:$H,8,FALSE()),""))</f>
        <v/>
      </c>
      <c r="F1090" s="24"/>
      <c r="G1090" s="25" t="str">
        <f>IF($D1090="","",IFERROR(VLOOKUP($D1090,'ACAH Consumables Tracker'!$A:$D,4,FALSE()),""))</f>
        <v/>
      </c>
      <c r="H1090" s="22"/>
    </row>
    <row r="1091" spans="1:8">
      <c r="A1091" s="21"/>
      <c r="B1091" s="28"/>
      <c r="C1091" s="22"/>
      <c r="D1091" s="28"/>
      <c r="E1091" s="23" t="str">
        <f>IF($D1091="","",IFERROR(VLOOKUP($D1091,'ACAH Consumables Tracker'!$A:$H,8,FALSE()),""))</f>
        <v/>
      </c>
      <c r="F1091" s="24"/>
      <c r="G1091" s="25" t="str">
        <f>IF($D1091="","",IFERROR(VLOOKUP($D1091,'ACAH Consumables Tracker'!$A:$D,4,FALSE()),""))</f>
        <v/>
      </c>
      <c r="H1091" s="22"/>
    </row>
    <row r="1092" spans="1:8">
      <c r="A1092" s="21"/>
      <c r="B1092" s="28"/>
      <c r="C1092" s="22"/>
      <c r="D1092" s="28"/>
      <c r="E1092" s="23" t="str">
        <f>IF($D1092="","",IFERROR(VLOOKUP($D1092,'ACAH Consumables Tracker'!$A:$H,8,FALSE()),""))</f>
        <v/>
      </c>
      <c r="F1092" s="24"/>
      <c r="G1092" s="25" t="str">
        <f>IF($D1092="","",IFERROR(VLOOKUP($D1092,'ACAH Consumables Tracker'!$A:$D,4,FALSE()),""))</f>
        <v/>
      </c>
      <c r="H1092" s="22"/>
    </row>
    <row r="1093" spans="1:8">
      <c r="A1093" s="21"/>
      <c r="B1093" s="28"/>
      <c r="C1093" s="22"/>
      <c r="D1093" s="28"/>
      <c r="E1093" s="23" t="str">
        <f>IF($D1093="","",IFERROR(VLOOKUP($D1093,'ACAH Consumables Tracker'!$A:$H,8,FALSE()),""))</f>
        <v/>
      </c>
      <c r="F1093" s="24"/>
      <c r="G1093" s="25" t="str">
        <f>IF($D1093="","",IFERROR(VLOOKUP($D1093,'ACAH Consumables Tracker'!$A:$D,4,FALSE()),""))</f>
        <v/>
      </c>
      <c r="H1093" s="22"/>
    </row>
    <row r="1094" spans="1:8">
      <c r="A1094" s="21"/>
      <c r="B1094" s="28"/>
      <c r="C1094" s="22"/>
      <c r="D1094" s="28"/>
      <c r="E1094" s="23" t="str">
        <f>IF($D1094="","",IFERROR(VLOOKUP($D1094,'ACAH Consumables Tracker'!$A:$H,8,FALSE()),""))</f>
        <v/>
      </c>
      <c r="F1094" s="24"/>
      <c r="G1094" s="25" t="str">
        <f>IF($D1094="","",IFERROR(VLOOKUP($D1094,'ACAH Consumables Tracker'!$A:$D,4,FALSE()),""))</f>
        <v/>
      </c>
      <c r="H1094" s="22"/>
    </row>
    <row r="1095" spans="1:8">
      <c r="A1095" s="21"/>
      <c r="B1095" s="28"/>
      <c r="C1095" s="22"/>
      <c r="D1095" s="28"/>
      <c r="E1095" s="23" t="str">
        <f>IF($D1095="","",IFERROR(VLOOKUP($D1095,'ACAH Consumables Tracker'!$A:$H,8,FALSE()),""))</f>
        <v/>
      </c>
      <c r="F1095" s="24"/>
      <c r="G1095" s="25" t="str">
        <f>IF($D1095="","",IFERROR(VLOOKUP($D1095,'ACAH Consumables Tracker'!$A:$D,4,FALSE()),""))</f>
        <v/>
      </c>
      <c r="H1095" s="22"/>
    </row>
    <row r="1096" spans="1:8">
      <c r="A1096" s="21"/>
      <c r="B1096" s="28"/>
      <c r="C1096" s="22"/>
      <c r="D1096" s="28"/>
      <c r="E1096" s="23" t="str">
        <f>IF($D1096="","",IFERROR(VLOOKUP($D1096,'ACAH Consumables Tracker'!$A:$H,8,FALSE()),""))</f>
        <v/>
      </c>
      <c r="F1096" s="24"/>
      <c r="G1096" s="25" t="str">
        <f>IF($D1096="","",IFERROR(VLOOKUP($D1096,'ACAH Consumables Tracker'!$A:$D,4,FALSE()),""))</f>
        <v/>
      </c>
      <c r="H1096" s="22"/>
    </row>
    <row r="1097" spans="1:8">
      <c r="A1097" s="21"/>
      <c r="B1097" s="28"/>
      <c r="C1097" s="22"/>
      <c r="D1097" s="28"/>
      <c r="E1097" s="23" t="str">
        <f>IF($D1097="","",IFERROR(VLOOKUP($D1097,'ACAH Consumables Tracker'!$A:$H,8,FALSE()),""))</f>
        <v/>
      </c>
      <c r="F1097" s="24"/>
      <c r="G1097" s="25" t="str">
        <f>IF($D1097="","",IFERROR(VLOOKUP($D1097,'ACAH Consumables Tracker'!$A:$D,4,FALSE()),""))</f>
        <v/>
      </c>
      <c r="H1097" s="22"/>
    </row>
    <row r="1098" spans="1:8">
      <c r="A1098" s="21"/>
      <c r="B1098" s="28"/>
      <c r="C1098" s="22"/>
      <c r="D1098" s="28"/>
      <c r="E1098" s="23" t="str">
        <f>IF($D1098="","",IFERROR(VLOOKUP($D1098,'ACAH Consumables Tracker'!$A:$H,8,FALSE()),""))</f>
        <v/>
      </c>
      <c r="F1098" s="24"/>
      <c r="G1098" s="25" t="str">
        <f>IF($D1098="","",IFERROR(VLOOKUP($D1098,'ACAH Consumables Tracker'!$A:$D,4,FALSE()),""))</f>
        <v/>
      </c>
      <c r="H1098" s="22"/>
    </row>
    <row r="1099" spans="1:8">
      <c r="A1099" s="21"/>
      <c r="B1099" s="28"/>
      <c r="C1099" s="22"/>
      <c r="D1099" s="28"/>
      <c r="E1099" s="23" t="str">
        <f>IF($D1099="","",IFERROR(VLOOKUP($D1099,'ACAH Consumables Tracker'!$A:$H,8,FALSE()),""))</f>
        <v/>
      </c>
      <c r="F1099" s="24"/>
      <c r="G1099" s="25" t="str">
        <f>IF($D1099="","",IFERROR(VLOOKUP($D1099,'ACAH Consumables Tracker'!$A:$D,4,FALSE()),""))</f>
        <v/>
      </c>
      <c r="H1099" s="22"/>
    </row>
    <row r="1100" spans="1:8">
      <c r="A1100" s="21"/>
      <c r="B1100" s="28"/>
      <c r="C1100" s="22"/>
      <c r="D1100" s="28"/>
      <c r="E1100" s="23" t="str">
        <f>IF($D1100="","",IFERROR(VLOOKUP($D1100,'ACAH Consumables Tracker'!$A:$H,8,FALSE()),""))</f>
        <v/>
      </c>
      <c r="F1100" s="24"/>
      <c r="G1100" s="25" t="str">
        <f>IF($D1100="","",IFERROR(VLOOKUP($D1100,'ACAH Consumables Tracker'!$A:$D,4,FALSE()),""))</f>
        <v/>
      </c>
      <c r="H1100" s="22"/>
    </row>
    <row r="1101" spans="1:8">
      <c r="A1101" s="21"/>
      <c r="B1101" s="28"/>
      <c r="C1101" s="22"/>
      <c r="D1101" s="28"/>
      <c r="E1101" s="23" t="str">
        <f>IF($D1101="","",IFERROR(VLOOKUP($D1101,'ACAH Consumables Tracker'!$A:$H,8,FALSE()),""))</f>
        <v/>
      </c>
      <c r="F1101" s="24"/>
      <c r="G1101" s="25" t="str">
        <f>IF($D1101="","",IFERROR(VLOOKUP($D1101,'ACAH Consumables Tracker'!$A:$D,4,FALSE()),""))</f>
        <v/>
      </c>
      <c r="H1101" s="22"/>
    </row>
    <row r="1102" spans="1:8">
      <c r="A1102" s="21"/>
      <c r="B1102" s="28"/>
      <c r="C1102" s="22"/>
      <c r="D1102" s="28"/>
      <c r="E1102" s="23" t="str">
        <f>IF($D1102="","",IFERROR(VLOOKUP($D1102,'ACAH Consumables Tracker'!$A:$H,8,FALSE()),""))</f>
        <v/>
      </c>
      <c r="F1102" s="24"/>
      <c r="G1102" s="25" t="str">
        <f>IF($D1102="","",IFERROR(VLOOKUP($D1102,'ACAH Consumables Tracker'!$A:$D,4,FALSE()),""))</f>
        <v/>
      </c>
      <c r="H1102" s="22"/>
    </row>
    <row r="1103" spans="1:8">
      <c r="A1103" s="21"/>
      <c r="B1103" s="28"/>
      <c r="C1103" s="22"/>
      <c r="D1103" s="28"/>
      <c r="E1103" s="23" t="str">
        <f>IF($D1103="","",IFERROR(VLOOKUP($D1103,'ACAH Consumables Tracker'!$A:$H,8,FALSE()),""))</f>
        <v/>
      </c>
      <c r="F1103" s="24"/>
      <c r="G1103" s="25" t="str">
        <f>IF($D1103="","",IFERROR(VLOOKUP($D1103,'ACAH Consumables Tracker'!$A:$D,4,FALSE()),""))</f>
        <v/>
      </c>
      <c r="H1103" s="22"/>
    </row>
    <row r="1104" spans="1:8">
      <c r="A1104" s="21"/>
      <c r="B1104" s="28"/>
      <c r="C1104" s="22"/>
      <c r="D1104" s="28"/>
      <c r="E1104" s="23" t="str">
        <f>IF($D1104="","",IFERROR(VLOOKUP($D1104,'ACAH Consumables Tracker'!$A:$H,8,FALSE()),""))</f>
        <v/>
      </c>
      <c r="F1104" s="24"/>
      <c r="G1104" s="25" t="str">
        <f>IF($D1104="","",IFERROR(VLOOKUP($D1104,'ACAH Consumables Tracker'!$A:$D,4,FALSE()),""))</f>
        <v/>
      </c>
      <c r="H1104" s="22"/>
    </row>
    <row r="1105" spans="1:8">
      <c r="A1105" s="21"/>
      <c r="B1105" s="28"/>
      <c r="C1105" s="22"/>
      <c r="D1105" s="28"/>
      <c r="E1105" s="23" t="str">
        <f>IF($D1105="","",IFERROR(VLOOKUP($D1105,'ACAH Consumables Tracker'!$A:$H,8,FALSE()),""))</f>
        <v/>
      </c>
      <c r="F1105" s="24"/>
      <c r="G1105" s="25" t="str">
        <f>IF($D1105="","",IFERROR(VLOOKUP($D1105,'ACAH Consumables Tracker'!$A:$D,4,FALSE()),""))</f>
        <v/>
      </c>
      <c r="H1105" s="22"/>
    </row>
    <row r="1106" spans="1:8">
      <c r="A1106" s="21"/>
      <c r="B1106" s="28"/>
      <c r="C1106" s="22"/>
      <c r="D1106" s="28"/>
      <c r="E1106" s="23" t="str">
        <f>IF($D1106="","",IFERROR(VLOOKUP($D1106,'ACAH Consumables Tracker'!$A:$H,8,FALSE()),""))</f>
        <v/>
      </c>
      <c r="F1106" s="24"/>
      <c r="G1106" s="25" t="str">
        <f>IF($D1106="","",IFERROR(VLOOKUP($D1106,'ACAH Consumables Tracker'!$A:$D,4,FALSE()),""))</f>
        <v/>
      </c>
      <c r="H1106" s="22"/>
    </row>
    <row r="1107" spans="1:8">
      <c r="A1107" s="21"/>
      <c r="B1107" s="28"/>
      <c r="C1107" s="22"/>
      <c r="D1107" s="28"/>
      <c r="E1107" s="23" t="str">
        <f>IF($D1107="","",IFERROR(VLOOKUP($D1107,'ACAH Consumables Tracker'!$A:$H,8,FALSE()),""))</f>
        <v/>
      </c>
      <c r="F1107" s="24"/>
      <c r="G1107" s="25" t="str">
        <f>IF($D1107="","",IFERROR(VLOOKUP($D1107,'ACAH Consumables Tracker'!$A:$D,4,FALSE()),""))</f>
        <v/>
      </c>
      <c r="H1107" s="22"/>
    </row>
    <row r="1108" spans="1:8">
      <c r="A1108" s="21"/>
      <c r="B1108" s="28"/>
      <c r="C1108" s="22"/>
      <c r="D1108" s="28"/>
      <c r="E1108" s="23" t="str">
        <f>IF($D1108="","",IFERROR(VLOOKUP($D1108,'ACAH Consumables Tracker'!$A:$H,8,FALSE()),""))</f>
        <v/>
      </c>
      <c r="F1108" s="24"/>
      <c r="G1108" s="25" t="str">
        <f>IF($D1108="","",IFERROR(VLOOKUP($D1108,'ACAH Consumables Tracker'!$A:$D,4,FALSE()),""))</f>
        <v/>
      </c>
      <c r="H1108" s="22"/>
    </row>
    <row r="1109" spans="1:8">
      <c r="A1109" s="21"/>
      <c r="B1109" s="28"/>
      <c r="C1109" s="22"/>
      <c r="D1109" s="28"/>
      <c r="E1109" s="23" t="str">
        <f>IF($D1109="","",IFERROR(VLOOKUP($D1109,'ACAH Consumables Tracker'!$A:$H,8,FALSE()),""))</f>
        <v/>
      </c>
      <c r="F1109" s="24"/>
      <c r="G1109" s="25" t="str">
        <f>IF($D1109="","",IFERROR(VLOOKUP($D1109,'ACAH Consumables Tracker'!$A:$D,4,FALSE()),""))</f>
        <v/>
      </c>
      <c r="H1109" s="22"/>
    </row>
    <row r="1110" spans="1:8">
      <c r="A1110" s="21"/>
      <c r="B1110" s="28"/>
      <c r="C1110" s="22"/>
      <c r="D1110" s="28"/>
      <c r="E1110" s="23" t="str">
        <f>IF($D1110="","",IFERROR(VLOOKUP($D1110,'ACAH Consumables Tracker'!$A:$H,8,FALSE()),""))</f>
        <v/>
      </c>
      <c r="F1110" s="24"/>
      <c r="G1110" s="25" t="str">
        <f>IF($D1110="","",IFERROR(VLOOKUP($D1110,'ACAH Consumables Tracker'!$A:$D,4,FALSE()),""))</f>
        <v/>
      </c>
      <c r="H1110" s="22"/>
    </row>
    <row r="1111" spans="1:8">
      <c r="A1111" s="21"/>
      <c r="B1111" s="28"/>
      <c r="C1111" s="22"/>
      <c r="D1111" s="28"/>
      <c r="E1111" s="23" t="str">
        <f>IF($D1111="","",IFERROR(VLOOKUP($D1111,'ACAH Consumables Tracker'!$A:$H,8,FALSE()),""))</f>
        <v/>
      </c>
      <c r="F1111" s="24"/>
      <c r="G1111" s="25" t="str">
        <f>IF($D1111="","",IFERROR(VLOOKUP($D1111,'ACAH Consumables Tracker'!$A:$D,4,FALSE()),""))</f>
        <v/>
      </c>
      <c r="H1111" s="22"/>
    </row>
    <row r="1112" spans="1:8">
      <c r="A1112" s="21"/>
      <c r="B1112" s="28"/>
      <c r="C1112" s="22"/>
      <c r="D1112" s="28"/>
      <c r="E1112" s="23" t="str">
        <f>IF($D1112="","",IFERROR(VLOOKUP($D1112,'ACAH Consumables Tracker'!$A:$H,8,FALSE()),""))</f>
        <v/>
      </c>
      <c r="F1112" s="24"/>
      <c r="G1112" s="25" t="str">
        <f>IF($D1112="","",IFERROR(VLOOKUP($D1112,'ACAH Consumables Tracker'!$A:$D,4,FALSE()),""))</f>
        <v/>
      </c>
      <c r="H1112" s="22"/>
    </row>
    <row r="1113" spans="1:8">
      <c r="A1113" s="21"/>
      <c r="B1113" s="28"/>
      <c r="C1113" s="22"/>
      <c r="D1113" s="28"/>
      <c r="E1113" s="23" t="str">
        <f>IF($D1113="","",IFERROR(VLOOKUP($D1113,'ACAH Consumables Tracker'!$A:$H,8,FALSE()),""))</f>
        <v/>
      </c>
      <c r="F1113" s="24"/>
      <c r="G1113" s="25" t="str">
        <f>IF($D1113="","",IFERROR(VLOOKUP($D1113,'ACAH Consumables Tracker'!$A:$D,4,FALSE()),""))</f>
        <v/>
      </c>
      <c r="H1113" s="22"/>
    </row>
    <row r="1114" spans="1:8">
      <c r="A1114" s="21"/>
      <c r="B1114" s="28"/>
      <c r="C1114" s="22"/>
      <c r="D1114" s="28"/>
      <c r="E1114" s="23" t="str">
        <f>IF($D1114="","",IFERROR(VLOOKUP($D1114,'ACAH Consumables Tracker'!$A:$H,8,FALSE()),""))</f>
        <v/>
      </c>
      <c r="F1114" s="24"/>
      <c r="G1114" s="25" t="str">
        <f>IF($D1114="","",IFERROR(VLOOKUP($D1114,'ACAH Consumables Tracker'!$A:$D,4,FALSE()),""))</f>
        <v/>
      </c>
      <c r="H1114" s="22"/>
    </row>
    <row r="1115" spans="1:8">
      <c r="A1115" s="21"/>
      <c r="B1115" s="28"/>
      <c r="C1115" s="22"/>
      <c r="D1115" s="28"/>
      <c r="E1115" s="23" t="str">
        <f>IF($D1115="","",IFERROR(VLOOKUP($D1115,'ACAH Consumables Tracker'!$A:$H,8,FALSE()),""))</f>
        <v/>
      </c>
      <c r="F1115" s="24"/>
      <c r="G1115" s="25" t="str">
        <f>IF($D1115="","",IFERROR(VLOOKUP($D1115,'ACAH Consumables Tracker'!$A:$D,4,FALSE()),""))</f>
        <v/>
      </c>
      <c r="H1115" s="22"/>
    </row>
    <row r="1116" spans="1:8">
      <c r="A1116" s="21"/>
      <c r="B1116" s="28"/>
      <c r="C1116" s="22"/>
      <c r="D1116" s="28"/>
      <c r="E1116" s="23" t="str">
        <f>IF($D1116="","",IFERROR(VLOOKUP($D1116,'ACAH Consumables Tracker'!$A:$H,8,FALSE()),""))</f>
        <v/>
      </c>
      <c r="F1116" s="24"/>
      <c r="G1116" s="25" t="str">
        <f>IF($D1116="","",IFERROR(VLOOKUP($D1116,'ACAH Consumables Tracker'!$A:$D,4,FALSE()),""))</f>
        <v/>
      </c>
      <c r="H1116" s="22"/>
    </row>
    <row r="1117" spans="1:8">
      <c r="A1117" s="21"/>
      <c r="B1117" s="28"/>
      <c r="C1117" s="22"/>
      <c r="D1117" s="28"/>
      <c r="E1117" s="23" t="str">
        <f>IF($D1117="","",IFERROR(VLOOKUP($D1117,'ACAH Consumables Tracker'!$A:$H,8,FALSE()),""))</f>
        <v/>
      </c>
      <c r="F1117" s="24"/>
      <c r="G1117" s="25" t="str">
        <f>IF($D1117="","",IFERROR(VLOOKUP($D1117,'ACAH Consumables Tracker'!$A:$D,4,FALSE()),""))</f>
        <v/>
      </c>
      <c r="H1117" s="22"/>
    </row>
    <row r="1118" spans="1:8">
      <c r="A1118" s="21"/>
      <c r="B1118" s="28"/>
      <c r="C1118" s="22"/>
      <c r="D1118" s="28"/>
      <c r="E1118" s="23" t="str">
        <f>IF($D1118="","",IFERROR(VLOOKUP($D1118,'ACAH Consumables Tracker'!$A:$H,8,FALSE()),""))</f>
        <v/>
      </c>
      <c r="F1118" s="24"/>
      <c r="G1118" s="25" t="str">
        <f>IF($D1118="","",IFERROR(VLOOKUP($D1118,'ACAH Consumables Tracker'!$A:$D,4,FALSE()),""))</f>
        <v/>
      </c>
      <c r="H1118" s="22"/>
    </row>
    <row r="1119" spans="1:8">
      <c r="A1119" s="21"/>
      <c r="B1119" s="28"/>
      <c r="C1119" s="22"/>
      <c r="D1119" s="28"/>
      <c r="E1119" s="23" t="str">
        <f>IF($D1119="","",IFERROR(VLOOKUP($D1119,'ACAH Consumables Tracker'!$A:$H,8,FALSE()),""))</f>
        <v/>
      </c>
      <c r="F1119" s="24"/>
      <c r="G1119" s="25" t="str">
        <f>IF($D1119="","",IFERROR(VLOOKUP($D1119,'ACAH Consumables Tracker'!$A:$D,4,FALSE()),""))</f>
        <v/>
      </c>
      <c r="H1119" s="22"/>
    </row>
    <row r="1120" spans="1:8">
      <c r="A1120" s="21"/>
      <c r="B1120" s="28"/>
      <c r="C1120" s="22"/>
      <c r="D1120" s="28"/>
      <c r="E1120" s="23" t="str">
        <f>IF($D1120="","",IFERROR(VLOOKUP($D1120,'ACAH Consumables Tracker'!$A:$H,8,FALSE()),""))</f>
        <v/>
      </c>
      <c r="F1120" s="24"/>
      <c r="G1120" s="25" t="str">
        <f>IF($D1120="","",IFERROR(VLOOKUP($D1120,'ACAH Consumables Tracker'!$A:$D,4,FALSE()),""))</f>
        <v/>
      </c>
      <c r="H1120" s="22"/>
    </row>
    <row r="1121" spans="1:8">
      <c r="A1121" s="21"/>
      <c r="B1121" s="28"/>
      <c r="C1121" s="22"/>
      <c r="D1121" s="28"/>
      <c r="E1121" s="23" t="str">
        <f>IF($D1121="","",IFERROR(VLOOKUP($D1121,'ACAH Consumables Tracker'!$A:$H,8,FALSE()),""))</f>
        <v/>
      </c>
      <c r="F1121" s="24"/>
      <c r="G1121" s="25" t="str">
        <f>IF($D1121="","",IFERROR(VLOOKUP($D1121,'ACAH Consumables Tracker'!$A:$D,4,FALSE()),""))</f>
        <v/>
      </c>
      <c r="H1121" s="22"/>
    </row>
    <row r="1122" spans="1:8">
      <c r="A1122" s="21"/>
      <c r="B1122" s="28"/>
      <c r="C1122" s="22"/>
      <c r="D1122" s="28"/>
      <c r="E1122" s="23" t="str">
        <f>IF($D1122="","",IFERROR(VLOOKUP($D1122,'ACAH Consumables Tracker'!$A:$H,8,FALSE()),""))</f>
        <v/>
      </c>
      <c r="F1122" s="24"/>
      <c r="G1122" s="25" t="str">
        <f>IF($D1122="","",IFERROR(VLOOKUP($D1122,'ACAH Consumables Tracker'!$A:$D,4,FALSE()),""))</f>
        <v/>
      </c>
      <c r="H1122" s="22"/>
    </row>
    <row r="1123" spans="1:8">
      <c r="A1123" s="21"/>
      <c r="B1123" s="28"/>
      <c r="C1123" s="22"/>
      <c r="D1123" s="28"/>
      <c r="E1123" s="23" t="str">
        <f>IF($D1123="","",IFERROR(VLOOKUP($D1123,'ACAH Consumables Tracker'!$A:$H,8,FALSE()),""))</f>
        <v/>
      </c>
      <c r="F1123" s="24"/>
      <c r="G1123" s="25" t="str">
        <f>IF($D1123="","",IFERROR(VLOOKUP($D1123,'ACAH Consumables Tracker'!$A:$D,4,FALSE()),""))</f>
        <v/>
      </c>
      <c r="H1123" s="22"/>
    </row>
    <row r="1124" spans="1:8">
      <c r="A1124" s="21"/>
      <c r="B1124" s="28"/>
      <c r="C1124" s="22"/>
      <c r="D1124" s="28"/>
      <c r="E1124" s="23" t="str">
        <f>IF($D1124="","",IFERROR(VLOOKUP($D1124,'ACAH Consumables Tracker'!$A:$H,8,FALSE()),""))</f>
        <v/>
      </c>
      <c r="F1124" s="24"/>
      <c r="G1124" s="25" t="str">
        <f>IF($D1124="","",IFERROR(VLOOKUP($D1124,'ACAH Consumables Tracker'!$A:$D,4,FALSE()),""))</f>
        <v/>
      </c>
      <c r="H1124" s="22"/>
    </row>
    <row r="1125" spans="1:8">
      <c r="A1125" s="21"/>
      <c r="B1125" s="28"/>
      <c r="C1125" s="22"/>
      <c r="D1125" s="28"/>
      <c r="E1125" s="23" t="str">
        <f>IF($D1125="","",IFERROR(VLOOKUP($D1125,'ACAH Consumables Tracker'!$A:$H,8,FALSE()),""))</f>
        <v/>
      </c>
      <c r="F1125" s="24"/>
      <c r="G1125" s="25" t="str">
        <f>IF($D1125="","",IFERROR(VLOOKUP($D1125,'ACAH Consumables Tracker'!$A:$D,4,FALSE()),""))</f>
        <v/>
      </c>
      <c r="H1125" s="22"/>
    </row>
    <row r="1126" spans="1:8">
      <c r="A1126" s="21"/>
      <c r="B1126" s="28"/>
      <c r="C1126" s="22"/>
      <c r="D1126" s="28"/>
      <c r="E1126" s="23" t="str">
        <f>IF($D1126="","",IFERROR(VLOOKUP($D1126,'ACAH Consumables Tracker'!$A:$H,8,FALSE()),""))</f>
        <v/>
      </c>
      <c r="F1126" s="24"/>
      <c r="G1126" s="25" t="str">
        <f>IF($D1126="","",IFERROR(VLOOKUP($D1126,'ACAH Consumables Tracker'!$A:$D,4,FALSE()),""))</f>
        <v/>
      </c>
      <c r="H1126" s="22"/>
    </row>
    <row r="1127" spans="1:8">
      <c r="A1127" s="21"/>
      <c r="B1127" s="28"/>
      <c r="C1127" s="22"/>
      <c r="D1127" s="28"/>
      <c r="E1127" s="23" t="str">
        <f>IF($D1127="","",IFERROR(VLOOKUP($D1127,'ACAH Consumables Tracker'!$A:$H,8,FALSE()),""))</f>
        <v/>
      </c>
      <c r="F1127" s="24"/>
      <c r="G1127" s="25" t="str">
        <f>IF($D1127="","",IFERROR(VLOOKUP($D1127,'ACAH Consumables Tracker'!$A:$D,4,FALSE()),""))</f>
        <v/>
      </c>
      <c r="H1127" s="22"/>
    </row>
    <row r="1128" spans="1:8">
      <c r="A1128" s="21"/>
      <c r="B1128" s="28"/>
      <c r="C1128" s="22"/>
      <c r="D1128" s="28"/>
      <c r="E1128" s="23" t="str">
        <f>IF($D1128="","",IFERROR(VLOOKUP($D1128,'ACAH Consumables Tracker'!$A:$H,8,FALSE()),""))</f>
        <v/>
      </c>
      <c r="F1128" s="24"/>
      <c r="G1128" s="25" t="str">
        <f>IF($D1128="","",IFERROR(VLOOKUP($D1128,'ACAH Consumables Tracker'!$A:$D,4,FALSE()),""))</f>
        <v/>
      </c>
      <c r="H1128" s="22"/>
    </row>
    <row r="1129" spans="1:8">
      <c r="A1129" s="21"/>
      <c r="B1129" s="28"/>
      <c r="C1129" s="22"/>
      <c r="D1129" s="28"/>
      <c r="E1129" s="23" t="str">
        <f>IF($D1129="","",IFERROR(VLOOKUP($D1129,'ACAH Consumables Tracker'!$A:$H,8,FALSE()),""))</f>
        <v/>
      </c>
      <c r="F1129" s="24"/>
      <c r="G1129" s="25" t="str">
        <f>IF($D1129="","",IFERROR(VLOOKUP($D1129,'ACAH Consumables Tracker'!$A:$D,4,FALSE()),""))</f>
        <v/>
      </c>
      <c r="H1129" s="22"/>
    </row>
    <row r="1130" spans="1:8">
      <c r="A1130" s="21"/>
      <c r="B1130" s="28"/>
      <c r="C1130" s="22"/>
      <c r="D1130" s="28"/>
      <c r="E1130" s="23" t="str">
        <f>IF($D1130="","",IFERROR(VLOOKUP($D1130,'ACAH Consumables Tracker'!$A:$H,8,FALSE()),""))</f>
        <v/>
      </c>
      <c r="F1130" s="24"/>
      <c r="G1130" s="25" t="str">
        <f>IF($D1130="","",IFERROR(VLOOKUP($D1130,'ACAH Consumables Tracker'!$A:$D,4,FALSE()),""))</f>
        <v/>
      </c>
      <c r="H1130" s="22"/>
    </row>
    <row r="1131" spans="1:8">
      <c r="A1131" s="21"/>
      <c r="B1131" s="28"/>
      <c r="C1131" s="22"/>
      <c r="D1131" s="28"/>
      <c r="E1131" s="23" t="str">
        <f>IF($D1131="","",IFERROR(VLOOKUP($D1131,'ACAH Consumables Tracker'!$A:$H,8,FALSE()),""))</f>
        <v/>
      </c>
      <c r="F1131" s="24"/>
      <c r="G1131" s="25" t="str">
        <f>IF($D1131="","",IFERROR(VLOOKUP($D1131,'ACAH Consumables Tracker'!$A:$D,4,FALSE()),""))</f>
        <v/>
      </c>
      <c r="H1131" s="22"/>
    </row>
    <row r="1132" spans="1:8">
      <c r="A1132" s="21"/>
      <c r="B1132" s="28"/>
      <c r="C1132" s="22"/>
      <c r="D1132" s="28"/>
      <c r="E1132" s="23" t="str">
        <f>IF($D1132="","",IFERROR(VLOOKUP($D1132,'ACAH Consumables Tracker'!$A:$H,8,FALSE()),""))</f>
        <v/>
      </c>
      <c r="F1132" s="24"/>
      <c r="G1132" s="25" t="str">
        <f>IF($D1132="","",IFERROR(VLOOKUP($D1132,'ACAH Consumables Tracker'!$A:$D,4,FALSE()),""))</f>
        <v/>
      </c>
      <c r="H1132" s="22"/>
    </row>
    <row r="1133" spans="1:8">
      <c r="A1133" s="21"/>
      <c r="B1133" s="28"/>
      <c r="C1133" s="22"/>
      <c r="D1133" s="28"/>
      <c r="E1133" s="23" t="str">
        <f>IF($D1133="","",IFERROR(VLOOKUP($D1133,'ACAH Consumables Tracker'!$A:$H,8,FALSE()),""))</f>
        <v/>
      </c>
      <c r="F1133" s="24"/>
      <c r="G1133" s="25" t="str">
        <f>IF($D1133="","",IFERROR(VLOOKUP($D1133,'ACAH Consumables Tracker'!$A:$D,4,FALSE()),""))</f>
        <v/>
      </c>
      <c r="H1133" s="22"/>
    </row>
    <row r="1134" spans="1:8">
      <c r="A1134" s="21"/>
      <c r="B1134" s="28"/>
      <c r="C1134" s="22"/>
      <c r="D1134" s="28"/>
      <c r="E1134" s="23" t="str">
        <f>IF($D1134="","",IFERROR(VLOOKUP($D1134,'ACAH Consumables Tracker'!$A:$H,8,FALSE()),""))</f>
        <v/>
      </c>
      <c r="F1134" s="24"/>
      <c r="G1134" s="25" t="str">
        <f>IF($D1134="","",IFERROR(VLOOKUP($D1134,'ACAH Consumables Tracker'!$A:$D,4,FALSE()),""))</f>
        <v/>
      </c>
      <c r="H1134" s="22"/>
    </row>
    <row r="1135" spans="1:8">
      <c r="A1135" s="21"/>
      <c r="B1135" s="28"/>
      <c r="C1135" s="22"/>
      <c r="D1135" s="28"/>
      <c r="E1135" s="23" t="str">
        <f>IF($D1135="","",IFERROR(VLOOKUP($D1135,'ACAH Consumables Tracker'!$A:$H,8,FALSE()),""))</f>
        <v/>
      </c>
      <c r="F1135" s="24"/>
      <c r="G1135" s="25" t="str">
        <f>IF($D1135="","",IFERROR(VLOOKUP($D1135,'ACAH Consumables Tracker'!$A:$D,4,FALSE()),""))</f>
        <v/>
      </c>
      <c r="H1135" s="22"/>
    </row>
    <row r="1136" spans="1:8">
      <c r="A1136" s="21"/>
      <c r="B1136" s="28"/>
      <c r="C1136" s="22"/>
      <c r="D1136" s="28"/>
      <c r="E1136" s="23" t="str">
        <f>IF($D1136="","",IFERROR(VLOOKUP($D1136,'ACAH Consumables Tracker'!$A:$H,8,FALSE()),""))</f>
        <v/>
      </c>
      <c r="F1136" s="24"/>
      <c r="G1136" s="25" t="str">
        <f>IF($D1136="","",IFERROR(VLOOKUP($D1136,'ACAH Consumables Tracker'!$A:$D,4,FALSE()),""))</f>
        <v/>
      </c>
      <c r="H1136" s="22"/>
    </row>
    <row r="1137" spans="1:8">
      <c r="A1137" s="21"/>
      <c r="B1137" s="28"/>
      <c r="C1137" s="22"/>
      <c r="D1137" s="28"/>
      <c r="E1137" s="23" t="str">
        <f>IF($D1137="","",IFERROR(VLOOKUP($D1137,'ACAH Consumables Tracker'!$A:$H,8,FALSE()),""))</f>
        <v/>
      </c>
      <c r="F1137" s="24"/>
      <c r="G1137" s="25" t="str">
        <f>IF($D1137="","",IFERROR(VLOOKUP($D1137,'ACAH Consumables Tracker'!$A:$D,4,FALSE()),""))</f>
        <v/>
      </c>
      <c r="H1137" s="22"/>
    </row>
    <row r="1138" spans="1:8">
      <c r="A1138" s="21"/>
      <c r="B1138" s="28"/>
      <c r="C1138" s="22"/>
      <c r="D1138" s="28"/>
      <c r="E1138" s="23" t="str">
        <f>IF($D1138="","",IFERROR(VLOOKUP($D1138,'ACAH Consumables Tracker'!$A:$H,8,FALSE()),""))</f>
        <v/>
      </c>
      <c r="F1138" s="24"/>
      <c r="G1138" s="25" t="str">
        <f>IF($D1138="","",IFERROR(VLOOKUP($D1138,'ACAH Consumables Tracker'!$A:$D,4,FALSE()),""))</f>
        <v/>
      </c>
      <c r="H1138" s="22"/>
    </row>
    <row r="1139" spans="1:8">
      <c r="A1139" s="21"/>
      <c r="B1139" s="28"/>
      <c r="C1139" s="22"/>
      <c r="D1139" s="28"/>
      <c r="E1139" s="23" t="str">
        <f>IF($D1139="","",IFERROR(VLOOKUP($D1139,'ACAH Consumables Tracker'!$A:$H,8,FALSE()),""))</f>
        <v/>
      </c>
      <c r="F1139" s="24"/>
      <c r="G1139" s="25" t="str">
        <f>IF($D1139="","",IFERROR(VLOOKUP($D1139,'ACAH Consumables Tracker'!$A:$D,4,FALSE()),""))</f>
        <v/>
      </c>
      <c r="H1139" s="22"/>
    </row>
    <row r="1140" spans="1:8">
      <c r="A1140" s="21"/>
      <c r="B1140" s="28"/>
      <c r="C1140" s="22"/>
      <c r="D1140" s="28"/>
      <c r="E1140" s="23" t="str">
        <f>IF($D1140="","",IFERROR(VLOOKUP($D1140,'ACAH Consumables Tracker'!$A:$H,8,FALSE()),""))</f>
        <v/>
      </c>
      <c r="F1140" s="24"/>
      <c r="G1140" s="25" t="str">
        <f>IF($D1140="","",IFERROR(VLOOKUP($D1140,'ACAH Consumables Tracker'!$A:$D,4,FALSE()),""))</f>
        <v/>
      </c>
      <c r="H1140" s="22"/>
    </row>
    <row r="1141" spans="1:8">
      <c r="A1141" s="21"/>
      <c r="B1141" s="28"/>
      <c r="C1141" s="22"/>
      <c r="D1141" s="28"/>
      <c r="E1141" s="23" t="str">
        <f>IF($D1141="","",IFERROR(VLOOKUP($D1141,'ACAH Consumables Tracker'!$A:$H,8,FALSE()),""))</f>
        <v/>
      </c>
      <c r="F1141" s="24"/>
      <c r="G1141" s="25" t="str">
        <f>IF($D1141="","",IFERROR(VLOOKUP($D1141,'ACAH Consumables Tracker'!$A:$D,4,FALSE()),""))</f>
        <v/>
      </c>
      <c r="H1141" s="22"/>
    </row>
    <row r="1142" spans="1:8">
      <c r="A1142" s="21"/>
      <c r="B1142" s="28"/>
      <c r="C1142" s="22"/>
      <c r="D1142" s="28"/>
      <c r="E1142" s="23" t="str">
        <f>IF($D1142="","",IFERROR(VLOOKUP($D1142,'ACAH Consumables Tracker'!$A:$H,8,FALSE()),""))</f>
        <v/>
      </c>
      <c r="F1142" s="24"/>
      <c r="G1142" s="25" t="str">
        <f>IF($D1142="","",IFERROR(VLOOKUP($D1142,'ACAH Consumables Tracker'!$A:$D,4,FALSE()),""))</f>
        <v/>
      </c>
      <c r="H1142" s="22"/>
    </row>
    <row r="1143" spans="1:8">
      <c r="A1143" s="21"/>
      <c r="B1143" s="28"/>
      <c r="C1143" s="22"/>
      <c r="D1143" s="28"/>
      <c r="E1143" s="23" t="str">
        <f>IF($D1143="","",IFERROR(VLOOKUP($D1143,'ACAH Consumables Tracker'!$A:$H,8,FALSE()),""))</f>
        <v/>
      </c>
      <c r="F1143" s="24"/>
      <c r="G1143" s="25" t="str">
        <f>IF($D1143="","",IFERROR(VLOOKUP($D1143,'ACAH Consumables Tracker'!$A:$D,4,FALSE()),""))</f>
        <v/>
      </c>
      <c r="H1143" s="22"/>
    </row>
    <row r="1144" spans="1:8">
      <c r="A1144" s="21"/>
      <c r="B1144" s="28"/>
      <c r="C1144" s="22"/>
      <c r="D1144" s="28"/>
      <c r="E1144" s="23" t="str">
        <f>IF($D1144="","",IFERROR(VLOOKUP($D1144,'ACAH Consumables Tracker'!$A:$H,8,FALSE()),""))</f>
        <v/>
      </c>
      <c r="F1144" s="24"/>
      <c r="G1144" s="25" t="str">
        <f>IF($D1144="","",IFERROR(VLOOKUP($D1144,'ACAH Consumables Tracker'!$A:$D,4,FALSE()),""))</f>
        <v/>
      </c>
      <c r="H1144" s="22"/>
    </row>
    <row r="1145" spans="1:8">
      <c r="A1145" s="21"/>
      <c r="B1145" s="28"/>
      <c r="C1145" s="22"/>
      <c r="D1145" s="28"/>
      <c r="E1145" s="23" t="str">
        <f>IF($D1145="","",IFERROR(VLOOKUP($D1145,'ACAH Consumables Tracker'!$A:$H,8,FALSE()),""))</f>
        <v/>
      </c>
      <c r="F1145" s="24"/>
      <c r="G1145" s="25" t="str">
        <f>IF($D1145="","",IFERROR(VLOOKUP($D1145,'ACAH Consumables Tracker'!$A:$D,4,FALSE()),""))</f>
        <v/>
      </c>
      <c r="H1145" s="22"/>
    </row>
    <row r="1146" spans="1:8">
      <c r="A1146" s="21"/>
      <c r="B1146" s="28"/>
      <c r="C1146" s="22"/>
      <c r="D1146" s="28"/>
      <c r="E1146" s="23" t="str">
        <f>IF($D1146="","",IFERROR(VLOOKUP($D1146,'ACAH Consumables Tracker'!$A:$H,8,FALSE()),""))</f>
        <v/>
      </c>
      <c r="F1146" s="24"/>
      <c r="G1146" s="25" t="str">
        <f>IF($D1146="","",IFERROR(VLOOKUP($D1146,'ACAH Consumables Tracker'!$A:$D,4,FALSE()),""))</f>
        <v/>
      </c>
      <c r="H1146" s="22"/>
    </row>
    <row r="1147" spans="1:8">
      <c r="A1147" s="21"/>
      <c r="B1147" s="28"/>
      <c r="C1147" s="22"/>
      <c r="D1147" s="28"/>
      <c r="E1147" s="23" t="str">
        <f>IF($D1147="","",IFERROR(VLOOKUP($D1147,'ACAH Consumables Tracker'!$A:$H,8,FALSE()),""))</f>
        <v/>
      </c>
      <c r="F1147" s="24"/>
      <c r="G1147" s="25" t="str">
        <f>IF($D1147="","",IFERROR(VLOOKUP($D1147,'ACAH Consumables Tracker'!$A:$D,4,FALSE()),""))</f>
        <v/>
      </c>
      <c r="H1147" s="22"/>
    </row>
    <row r="1148" spans="1:8">
      <c r="A1148" s="21"/>
      <c r="B1148" s="28"/>
      <c r="C1148" s="22"/>
      <c r="D1148" s="28"/>
      <c r="E1148" s="23" t="str">
        <f>IF($D1148="","",IFERROR(VLOOKUP($D1148,'ACAH Consumables Tracker'!$A:$H,8,FALSE()),""))</f>
        <v/>
      </c>
      <c r="F1148" s="24"/>
      <c r="G1148" s="25" t="str">
        <f>IF($D1148="","",IFERROR(VLOOKUP($D1148,'ACAH Consumables Tracker'!$A:$D,4,FALSE()),""))</f>
        <v/>
      </c>
      <c r="H1148" s="22"/>
    </row>
    <row r="1149" spans="1:8">
      <c r="A1149" s="21"/>
      <c r="B1149" s="28"/>
      <c r="C1149" s="22"/>
      <c r="D1149" s="28"/>
      <c r="E1149" s="23" t="str">
        <f>IF($D1149="","",IFERROR(VLOOKUP($D1149,'ACAH Consumables Tracker'!$A:$H,8,FALSE()),""))</f>
        <v/>
      </c>
      <c r="F1149" s="24"/>
      <c r="G1149" s="25" t="str">
        <f>IF($D1149="","",IFERROR(VLOOKUP($D1149,'ACAH Consumables Tracker'!$A:$D,4,FALSE()),""))</f>
        <v/>
      </c>
      <c r="H1149" s="22"/>
    </row>
    <row r="1150" spans="1:8">
      <c r="A1150" s="21"/>
      <c r="B1150" s="28"/>
      <c r="C1150" s="22"/>
      <c r="D1150" s="28"/>
      <c r="E1150" s="23" t="str">
        <f>IF($D1150="","",IFERROR(VLOOKUP($D1150,'ACAH Consumables Tracker'!$A:$H,8,FALSE()),""))</f>
        <v/>
      </c>
      <c r="F1150" s="24"/>
      <c r="G1150" s="25" t="str">
        <f>IF($D1150="","",IFERROR(VLOOKUP($D1150,'ACAH Consumables Tracker'!$A:$D,4,FALSE()),""))</f>
        <v/>
      </c>
      <c r="H1150" s="22"/>
    </row>
    <row r="1151" spans="1:8">
      <c r="A1151" s="21"/>
      <c r="B1151" s="28"/>
      <c r="C1151" s="22"/>
      <c r="D1151" s="28"/>
      <c r="E1151" s="23" t="str">
        <f>IF($D1151="","",IFERROR(VLOOKUP($D1151,'ACAH Consumables Tracker'!$A:$H,8,FALSE()),""))</f>
        <v/>
      </c>
      <c r="F1151" s="24"/>
      <c r="G1151" s="25" t="str">
        <f>IF($D1151="","",IFERROR(VLOOKUP($D1151,'ACAH Consumables Tracker'!$A:$D,4,FALSE()),""))</f>
        <v/>
      </c>
      <c r="H1151" s="22"/>
    </row>
    <row r="1152" spans="1:8">
      <c r="A1152" s="21"/>
      <c r="B1152" s="28"/>
      <c r="C1152" s="22"/>
      <c r="D1152" s="28"/>
      <c r="E1152" s="23" t="str">
        <f>IF($D1152="","",IFERROR(VLOOKUP($D1152,'ACAH Consumables Tracker'!$A:$H,8,FALSE()),""))</f>
        <v/>
      </c>
      <c r="F1152" s="24"/>
      <c r="G1152" s="25" t="str">
        <f>IF($D1152="","",IFERROR(VLOOKUP($D1152,'ACAH Consumables Tracker'!$A:$D,4,FALSE()),""))</f>
        <v/>
      </c>
      <c r="H1152" s="22"/>
    </row>
    <row r="1153" spans="1:8">
      <c r="A1153" s="21"/>
      <c r="B1153" s="28"/>
      <c r="C1153" s="22"/>
      <c r="D1153" s="28"/>
      <c r="E1153" s="23" t="str">
        <f>IF($D1153="","",IFERROR(VLOOKUP($D1153,'ACAH Consumables Tracker'!$A:$H,8,FALSE()),""))</f>
        <v/>
      </c>
      <c r="F1153" s="24"/>
      <c r="G1153" s="25" t="str">
        <f>IF($D1153="","",IFERROR(VLOOKUP($D1153,'ACAH Consumables Tracker'!$A:$D,4,FALSE()),""))</f>
        <v/>
      </c>
      <c r="H1153" s="22"/>
    </row>
    <row r="1154" spans="1:8">
      <c r="A1154" s="21"/>
      <c r="B1154" s="28"/>
      <c r="C1154" s="22"/>
      <c r="D1154" s="28"/>
      <c r="E1154" s="23" t="str">
        <f>IF($D1154="","",IFERROR(VLOOKUP($D1154,'ACAH Consumables Tracker'!$A:$H,8,FALSE()),""))</f>
        <v/>
      </c>
      <c r="F1154" s="24"/>
      <c r="G1154" s="25" t="str">
        <f>IF($D1154="","",IFERROR(VLOOKUP($D1154,'ACAH Consumables Tracker'!$A:$D,4,FALSE()),""))</f>
        <v/>
      </c>
      <c r="H1154" s="22"/>
    </row>
    <row r="1155" spans="1:8">
      <c r="A1155" s="21"/>
      <c r="B1155" s="28"/>
      <c r="C1155" s="22"/>
      <c r="D1155" s="28"/>
      <c r="E1155" s="23" t="str">
        <f>IF($D1155="","",IFERROR(VLOOKUP($D1155,'ACAH Consumables Tracker'!$A:$H,8,FALSE()),""))</f>
        <v/>
      </c>
      <c r="F1155" s="24"/>
      <c r="G1155" s="25" t="str">
        <f>IF($D1155="","",IFERROR(VLOOKUP($D1155,'ACAH Consumables Tracker'!$A:$D,4,FALSE()),""))</f>
        <v/>
      </c>
      <c r="H1155" s="22"/>
    </row>
    <row r="1156" spans="1:8">
      <c r="A1156" s="21"/>
      <c r="B1156" s="28"/>
      <c r="C1156" s="22"/>
      <c r="D1156" s="28"/>
      <c r="E1156" s="23" t="str">
        <f>IF($D1156="","",IFERROR(VLOOKUP($D1156,'ACAH Consumables Tracker'!$A:$H,8,FALSE()),""))</f>
        <v/>
      </c>
      <c r="F1156" s="24"/>
      <c r="G1156" s="25" t="str">
        <f>IF($D1156="","",IFERROR(VLOOKUP($D1156,'ACAH Consumables Tracker'!$A:$D,4,FALSE()),""))</f>
        <v/>
      </c>
      <c r="H1156" s="22"/>
    </row>
    <row r="1157" spans="1:8">
      <c r="A1157" s="21"/>
      <c r="B1157" s="28"/>
      <c r="C1157" s="22"/>
      <c r="D1157" s="28"/>
      <c r="E1157" s="23" t="str">
        <f>IF($D1157="","",IFERROR(VLOOKUP($D1157,'ACAH Consumables Tracker'!$A:$H,8,FALSE()),""))</f>
        <v/>
      </c>
      <c r="F1157" s="24"/>
      <c r="G1157" s="25" t="str">
        <f>IF($D1157="","",IFERROR(VLOOKUP($D1157,'ACAH Consumables Tracker'!$A:$D,4,FALSE()),""))</f>
        <v/>
      </c>
      <c r="H1157" s="22"/>
    </row>
    <row r="1158" spans="1:8">
      <c r="A1158" s="21"/>
      <c r="B1158" s="28"/>
      <c r="C1158" s="22"/>
      <c r="D1158" s="28"/>
      <c r="E1158" s="23" t="str">
        <f>IF($D1158="","",IFERROR(VLOOKUP($D1158,'ACAH Consumables Tracker'!$A:$H,8,FALSE()),""))</f>
        <v/>
      </c>
      <c r="F1158" s="24"/>
      <c r="G1158" s="25" t="str">
        <f>IF($D1158="","",IFERROR(VLOOKUP($D1158,'ACAH Consumables Tracker'!$A:$D,4,FALSE()),""))</f>
        <v/>
      </c>
      <c r="H1158" s="22"/>
    </row>
    <row r="1159" spans="1:8">
      <c r="A1159" s="21"/>
      <c r="B1159" s="28"/>
      <c r="C1159" s="22"/>
      <c r="D1159" s="28"/>
      <c r="E1159" s="23" t="str">
        <f>IF($D1159="","",IFERROR(VLOOKUP($D1159,'ACAH Consumables Tracker'!$A:$H,8,FALSE()),""))</f>
        <v/>
      </c>
      <c r="F1159" s="24"/>
      <c r="G1159" s="25" t="str">
        <f>IF($D1159="","",IFERROR(VLOOKUP($D1159,'ACAH Consumables Tracker'!$A:$D,4,FALSE()),""))</f>
        <v/>
      </c>
      <c r="H1159" s="22"/>
    </row>
    <row r="1160" spans="1:8">
      <c r="A1160" s="21"/>
      <c r="B1160" s="28"/>
      <c r="C1160" s="22"/>
      <c r="D1160" s="28"/>
      <c r="E1160" s="23" t="str">
        <f>IF($D1160="","",IFERROR(VLOOKUP($D1160,'ACAH Consumables Tracker'!$A:$H,8,FALSE()),""))</f>
        <v/>
      </c>
      <c r="F1160" s="24"/>
      <c r="G1160" s="25" t="str">
        <f>IF($D1160="","",IFERROR(VLOOKUP($D1160,'ACAH Consumables Tracker'!$A:$D,4,FALSE()),""))</f>
        <v/>
      </c>
      <c r="H1160" s="22"/>
    </row>
    <row r="1161" spans="1:8">
      <c r="A1161" s="21"/>
      <c r="B1161" s="28"/>
      <c r="C1161" s="22"/>
      <c r="D1161" s="28"/>
      <c r="E1161" s="23" t="str">
        <f>IF($D1161="","",IFERROR(VLOOKUP($D1161,'ACAH Consumables Tracker'!$A:$H,8,FALSE()),""))</f>
        <v/>
      </c>
      <c r="F1161" s="24"/>
      <c r="G1161" s="25" t="str">
        <f>IF($D1161="","",IFERROR(VLOOKUP($D1161,'ACAH Consumables Tracker'!$A:$D,4,FALSE()),""))</f>
        <v/>
      </c>
      <c r="H1161" s="22"/>
    </row>
    <row r="1162" spans="1:8">
      <c r="A1162" s="21"/>
      <c r="B1162" s="28"/>
      <c r="C1162" s="22"/>
      <c r="D1162" s="28"/>
      <c r="E1162" s="23" t="str">
        <f>IF($D1162="","",IFERROR(VLOOKUP($D1162,'ACAH Consumables Tracker'!$A:$H,8,FALSE()),""))</f>
        <v/>
      </c>
      <c r="F1162" s="24"/>
      <c r="G1162" s="25" t="str">
        <f>IF($D1162="","",IFERROR(VLOOKUP($D1162,'ACAH Consumables Tracker'!$A:$D,4,FALSE()),""))</f>
        <v/>
      </c>
      <c r="H1162" s="22"/>
    </row>
    <row r="1163" spans="1:8">
      <c r="A1163" s="21"/>
      <c r="B1163" s="28"/>
      <c r="C1163" s="22"/>
      <c r="D1163" s="28"/>
      <c r="E1163" s="23" t="str">
        <f>IF($D1163="","",IFERROR(VLOOKUP($D1163,'ACAH Consumables Tracker'!$A:$H,8,FALSE()),""))</f>
        <v/>
      </c>
      <c r="F1163" s="24"/>
      <c r="G1163" s="25" t="str">
        <f>IF($D1163="","",IFERROR(VLOOKUP($D1163,'ACAH Consumables Tracker'!$A:$D,4,FALSE()),""))</f>
        <v/>
      </c>
      <c r="H1163" s="22"/>
    </row>
    <row r="1164" spans="1:8">
      <c r="A1164" s="21"/>
      <c r="B1164" s="28"/>
      <c r="C1164" s="22"/>
      <c r="D1164" s="28"/>
      <c r="E1164" s="23" t="str">
        <f>IF($D1164="","",IFERROR(VLOOKUP($D1164,'ACAH Consumables Tracker'!$A:$H,8,FALSE()),""))</f>
        <v/>
      </c>
      <c r="F1164" s="24"/>
      <c r="G1164" s="25" t="str">
        <f>IF($D1164="","",IFERROR(VLOOKUP($D1164,'ACAH Consumables Tracker'!$A:$D,4,FALSE()),""))</f>
        <v/>
      </c>
      <c r="H1164" s="22"/>
    </row>
    <row r="1165" spans="1:8">
      <c r="A1165" s="21"/>
      <c r="B1165" s="28"/>
      <c r="C1165" s="22"/>
      <c r="D1165" s="28"/>
      <c r="E1165" s="23" t="str">
        <f>IF($D1165="","",IFERROR(VLOOKUP($D1165,'ACAH Consumables Tracker'!$A:$H,8,FALSE()),""))</f>
        <v/>
      </c>
      <c r="F1165" s="24"/>
      <c r="G1165" s="25" t="str">
        <f>IF($D1165="","",IFERROR(VLOOKUP($D1165,'ACAH Consumables Tracker'!$A:$D,4,FALSE()),""))</f>
        <v/>
      </c>
      <c r="H1165" s="22"/>
    </row>
    <row r="1166" spans="1:8">
      <c r="A1166" s="21"/>
      <c r="B1166" s="28"/>
      <c r="C1166" s="22"/>
      <c r="D1166" s="28"/>
      <c r="E1166" s="23" t="str">
        <f>IF($D1166="","",IFERROR(VLOOKUP($D1166,'ACAH Consumables Tracker'!$A:$H,8,FALSE()),""))</f>
        <v/>
      </c>
      <c r="F1166" s="24"/>
      <c r="G1166" s="25" t="str">
        <f>IF($D1166="","",IFERROR(VLOOKUP($D1166,'ACAH Consumables Tracker'!$A:$D,4,FALSE()),""))</f>
        <v/>
      </c>
      <c r="H1166" s="22"/>
    </row>
    <row r="1167" spans="1:8">
      <c r="A1167" s="21"/>
      <c r="B1167" s="28"/>
      <c r="C1167" s="22"/>
      <c r="D1167" s="28"/>
      <c r="E1167" s="23" t="str">
        <f>IF($D1167="","",IFERROR(VLOOKUP($D1167,'ACAH Consumables Tracker'!$A:$H,8,FALSE()),""))</f>
        <v/>
      </c>
      <c r="F1167" s="24"/>
      <c r="G1167" s="25" t="str">
        <f>IF($D1167="","",IFERROR(VLOOKUP($D1167,'ACAH Consumables Tracker'!$A:$D,4,FALSE()),""))</f>
        <v/>
      </c>
      <c r="H1167" s="22"/>
    </row>
    <row r="1168" spans="1:8">
      <c r="A1168" s="21"/>
      <c r="B1168" s="28"/>
      <c r="C1168" s="22"/>
      <c r="D1168" s="28"/>
      <c r="E1168" s="23" t="str">
        <f>IF($D1168="","",IFERROR(VLOOKUP($D1168,'ACAH Consumables Tracker'!$A:$H,8,FALSE()),""))</f>
        <v/>
      </c>
      <c r="F1168" s="24"/>
      <c r="G1168" s="25" t="str">
        <f>IF($D1168="","",IFERROR(VLOOKUP($D1168,'ACAH Consumables Tracker'!$A:$D,4,FALSE()),""))</f>
        <v/>
      </c>
      <c r="H1168" s="22"/>
    </row>
    <row r="1169" spans="1:8">
      <c r="A1169" s="21"/>
      <c r="B1169" s="28"/>
      <c r="C1169" s="22"/>
      <c r="D1169" s="28"/>
      <c r="E1169" s="23" t="str">
        <f>IF($D1169="","",IFERROR(VLOOKUP($D1169,'ACAH Consumables Tracker'!$A:$H,8,FALSE()),""))</f>
        <v/>
      </c>
      <c r="F1169" s="24"/>
      <c r="G1169" s="25" t="str">
        <f>IF($D1169="","",IFERROR(VLOOKUP($D1169,'ACAH Consumables Tracker'!$A:$D,4,FALSE()),""))</f>
        <v/>
      </c>
      <c r="H1169" s="22"/>
    </row>
    <row r="1170" spans="1:8">
      <c r="A1170" s="21"/>
      <c r="B1170" s="28"/>
      <c r="C1170" s="22"/>
      <c r="D1170" s="28"/>
      <c r="E1170" s="23" t="str">
        <f>IF($D1170="","",IFERROR(VLOOKUP($D1170,'ACAH Consumables Tracker'!$A:$H,8,FALSE()),""))</f>
        <v/>
      </c>
      <c r="F1170" s="24"/>
      <c r="G1170" s="25" t="str">
        <f>IF($D1170="","",IFERROR(VLOOKUP($D1170,'ACAH Consumables Tracker'!$A:$D,4,FALSE()),""))</f>
        <v/>
      </c>
      <c r="H1170" s="22"/>
    </row>
    <row r="1171" spans="1:8">
      <c r="A1171" s="21"/>
      <c r="B1171" s="28"/>
      <c r="C1171" s="22"/>
      <c r="D1171" s="28"/>
      <c r="E1171" s="23" t="str">
        <f>IF($D1171="","",IFERROR(VLOOKUP($D1171,'ACAH Consumables Tracker'!$A:$H,8,FALSE()),""))</f>
        <v/>
      </c>
      <c r="F1171" s="24"/>
      <c r="G1171" s="25" t="str">
        <f>IF($D1171="","",IFERROR(VLOOKUP($D1171,'ACAH Consumables Tracker'!$A:$D,4,FALSE()),""))</f>
        <v/>
      </c>
      <c r="H1171" s="22"/>
    </row>
    <row r="1172" spans="1:8">
      <c r="A1172" s="21"/>
      <c r="B1172" s="28"/>
      <c r="C1172" s="22"/>
      <c r="D1172" s="28"/>
      <c r="E1172" s="23" t="str">
        <f>IF($D1172="","",IFERROR(VLOOKUP($D1172,'ACAH Consumables Tracker'!$A:$H,8,FALSE()),""))</f>
        <v/>
      </c>
      <c r="F1172" s="24"/>
      <c r="G1172" s="25" t="str">
        <f>IF($D1172="","",IFERROR(VLOOKUP($D1172,'ACAH Consumables Tracker'!$A:$D,4,FALSE()),""))</f>
        <v/>
      </c>
      <c r="H1172" s="22"/>
    </row>
    <row r="1173" spans="1:8">
      <c r="A1173" s="21"/>
      <c r="B1173" s="28"/>
      <c r="C1173" s="22"/>
      <c r="D1173" s="28"/>
      <c r="E1173" s="23" t="str">
        <f>IF($D1173="","",IFERROR(VLOOKUP($D1173,'ACAH Consumables Tracker'!$A:$H,8,FALSE()),""))</f>
        <v/>
      </c>
      <c r="F1173" s="24"/>
      <c r="G1173" s="25" t="str">
        <f>IF($D1173="","",IFERROR(VLOOKUP($D1173,'ACAH Consumables Tracker'!$A:$D,4,FALSE()),""))</f>
        <v/>
      </c>
      <c r="H1173" s="22"/>
    </row>
    <row r="1174" spans="1:8">
      <c r="A1174" s="21"/>
      <c r="B1174" s="28"/>
      <c r="C1174" s="22"/>
      <c r="D1174" s="28"/>
      <c r="E1174" s="23" t="str">
        <f>IF($D1174="","",IFERROR(VLOOKUP($D1174,'ACAH Consumables Tracker'!$A:$H,8,FALSE()),""))</f>
        <v/>
      </c>
      <c r="F1174" s="24"/>
      <c r="G1174" s="25" t="str">
        <f>IF($D1174="","",IFERROR(VLOOKUP($D1174,'ACAH Consumables Tracker'!$A:$D,4,FALSE()),""))</f>
        <v/>
      </c>
      <c r="H1174" s="22"/>
    </row>
    <row r="1175" spans="1:8">
      <c r="A1175" s="21"/>
      <c r="B1175" s="28"/>
      <c r="C1175" s="22"/>
      <c r="D1175" s="28"/>
      <c r="E1175" s="23" t="str">
        <f>IF($D1175="","",IFERROR(VLOOKUP($D1175,'ACAH Consumables Tracker'!$A:$H,8,FALSE()),""))</f>
        <v/>
      </c>
      <c r="F1175" s="24"/>
      <c r="G1175" s="25" t="str">
        <f>IF($D1175="","",IFERROR(VLOOKUP($D1175,'ACAH Consumables Tracker'!$A:$D,4,FALSE()),""))</f>
        <v/>
      </c>
      <c r="H1175" s="22"/>
    </row>
    <row r="1176" spans="1:8">
      <c r="A1176" s="21"/>
      <c r="B1176" s="28"/>
      <c r="C1176" s="22"/>
      <c r="D1176" s="28"/>
      <c r="E1176" s="23" t="str">
        <f>IF($D1176="","",IFERROR(VLOOKUP($D1176,'ACAH Consumables Tracker'!$A:$H,8,FALSE()),""))</f>
        <v/>
      </c>
      <c r="F1176" s="24"/>
      <c r="G1176" s="25" t="str">
        <f>IF($D1176="","",IFERROR(VLOOKUP($D1176,'ACAH Consumables Tracker'!$A:$D,4,FALSE()),""))</f>
        <v/>
      </c>
      <c r="H1176" s="22"/>
    </row>
    <row r="1177" spans="1:8">
      <c r="A1177" s="21"/>
      <c r="B1177" s="28"/>
      <c r="C1177" s="22"/>
      <c r="D1177" s="28"/>
      <c r="E1177" s="23" t="str">
        <f>IF($D1177="","",IFERROR(VLOOKUP($D1177,'ACAH Consumables Tracker'!$A:$H,8,FALSE()),""))</f>
        <v/>
      </c>
      <c r="F1177" s="24"/>
      <c r="G1177" s="25" t="str">
        <f>IF($D1177="","",IFERROR(VLOOKUP($D1177,'ACAH Consumables Tracker'!$A:$D,4,FALSE()),""))</f>
        <v/>
      </c>
      <c r="H1177" s="22"/>
    </row>
    <row r="1178" spans="1:8">
      <c r="A1178" s="21"/>
      <c r="B1178" s="28"/>
      <c r="C1178" s="22"/>
      <c r="D1178" s="28"/>
      <c r="E1178" s="23" t="str">
        <f>IF($D1178="","",IFERROR(VLOOKUP($D1178,'ACAH Consumables Tracker'!$A:$H,8,FALSE()),""))</f>
        <v/>
      </c>
      <c r="F1178" s="24"/>
      <c r="G1178" s="25" t="str">
        <f>IF($D1178="","",IFERROR(VLOOKUP($D1178,'ACAH Consumables Tracker'!$A:$D,4,FALSE()),""))</f>
        <v/>
      </c>
      <c r="H1178" s="22"/>
    </row>
    <row r="1179" spans="1:8">
      <c r="A1179" s="21"/>
      <c r="B1179" s="28"/>
      <c r="C1179" s="22"/>
      <c r="D1179" s="28"/>
      <c r="E1179" s="23" t="str">
        <f>IF($D1179="","",IFERROR(VLOOKUP($D1179,'ACAH Consumables Tracker'!$A:$H,8,FALSE()),""))</f>
        <v/>
      </c>
      <c r="F1179" s="24"/>
      <c r="G1179" s="25" t="str">
        <f>IF($D1179="","",IFERROR(VLOOKUP($D1179,'ACAH Consumables Tracker'!$A:$D,4,FALSE()),""))</f>
        <v/>
      </c>
      <c r="H1179" s="22"/>
    </row>
    <row r="1180" spans="1:8">
      <c r="A1180" s="21"/>
      <c r="B1180" s="28"/>
      <c r="C1180" s="22"/>
      <c r="D1180" s="28"/>
      <c r="E1180" s="23" t="str">
        <f>IF($D1180="","",IFERROR(VLOOKUP($D1180,'ACAH Consumables Tracker'!$A:$H,8,FALSE()),""))</f>
        <v/>
      </c>
      <c r="F1180" s="24"/>
      <c r="G1180" s="25" t="str">
        <f>IF($D1180="","",IFERROR(VLOOKUP($D1180,'ACAH Consumables Tracker'!$A:$D,4,FALSE()),""))</f>
        <v/>
      </c>
      <c r="H1180" s="22"/>
    </row>
    <row r="1181" spans="1:8">
      <c r="A1181" s="21"/>
      <c r="B1181" s="28"/>
      <c r="C1181" s="22"/>
      <c r="D1181" s="28"/>
      <c r="E1181" s="23" t="str">
        <f>IF($D1181="","",IFERROR(VLOOKUP($D1181,'ACAH Consumables Tracker'!$A:$H,8,FALSE()),""))</f>
        <v/>
      </c>
      <c r="F1181" s="24"/>
      <c r="G1181" s="25" t="str">
        <f>IF($D1181="","",IFERROR(VLOOKUP($D1181,'ACAH Consumables Tracker'!$A:$D,4,FALSE()),""))</f>
        <v/>
      </c>
      <c r="H1181" s="22"/>
    </row>
    <row r="1182" spans="1:8">
      <c r="A1182" s="21"/>
      <c r="B1182" s="28"/>
      <c r="C1182" s="22"/>
      <c r="D1182" s="28"/>
      <c r="E1182" s="23" t="str">
        <f>IF($D1182="","",IFERROR(VLOOKUP($D1182,'ACAH Consumables Tracker'!$A:$H,8,FALSE()),""))</f>
        <v/>
      </c>
      <c r="F1182" s="24"/>
      <c r="G1182" s="25" t="str">
        <f>IF($D1182="","",IFERROR(VLOOKUP($D1182,'ACAH Consumables Tracker'!$A:$D,4,FALSE()),""))</f>
        <v/>
      </c>
      <c r="H1182" s="22"/>
    </row>
    <row r="1183" spans="1:8">
      <c r="A1183" s="21"/>
      <c r="B1183" s="28"/>
      <c r="C1183" s="22"/>
      <c r="D1183" s="28"/>
      <c r="E1183" s="23" t="str">
        <f>IF($D1183="","",IFERROR(VLOOKUP($D1183,'ACAH Consumables Tracker'!$A:$H,8,FALSE()),""))</f>
        <v/>
      </c>
      <c r="F1183" s="24"/>
      <c r="G1183" s="25" t="str">
        <f>IF($D1183="","",IFERROR(VLOOKUP($D1183,'ACAH Consumables Tracker'!$A:$D,4,FALSE()),""))</f>
        <v/>
      </c>
      <c r="H1183" s="22"/>
    </row>
    <row r="1184" spans="1:8">
      <c r="A1184" s="21"/>
      <c r="B1184" s="28"/>
      <c r="C1184" s="22"/>
      <c r="D1184" s="28"/>
      <c r="E1184" s="23" t="str">
        <f>IF($D1184="","",IFERROR(VLOOKUP($D1184,'ACAH Consumables Tracker'!$A:$H,8,FALSE()),""))</f>
        <v/>
      </c>
      <c r="F1184" s="24"/>
      <c r="G1184" s="25" t="str">
        <f>IF($D1184="","",IFERROR(VLOOKUP($D1184,'ACAH Consumables Tracker'!$A:$D,4,FALSE()),""))</f>
        <v/>
      </c>
      <c r="H1184" s="22"/>
    </row>
    <row r="1185" spans="1:8">
      <c r="A1185" s="21"/>
      <c r="B1185" s="28"/>
      <c r="C1185" s="22"/>
      <c r="D1185" s="28"/>
      <c r="E1185" s="23" t="str">
        <f>IF($D1185="","",IFERROR(VLOOKUP($D1185,'ACAH Consumables Tracker'!$A:$H,8,FALSE()),""))</f>
        <v/>
      </c>
      <c r="F1185" s="24"/>
      <c r="G1185" s="25" t="str">
        <f>IF($D1185="","",IFERROR(VLOOKUP($D1185,'ACAH Consumables Tracker'!$A:$D,4,FALSE()),""))</f>
        <v/>
      </c>
      <c r="H1185" s="22"/>
    </row>
    <row r="1186" spans="1:8">
      <c r="A1186" s="21"/>
      <c r="B1186" s="28"/>
      <c r="C1186" s="22"/>
      <c r="D1186" s="28"/>
      <c r="E1186" s="23" t="str">
        <f>IF($D1186="","",IFERROR(VLOOKUP($D1186,'ACAH Consumables Tracker'!$A:$H,8,FALSE()),""))</f>
        <v/>
      </c>
      <c r="F1186" s="24"/>
      <c r="G1186" s="25" t="str">
        <f>IF($D1186="","",IFERROR(VLOOKUP($D1186,'ACAH Consumables Tracker'!$A:$D,4,FALSE()),""))</f>
        <v/>
      </c>
      <c r="H1186" s="22"/>
    </row>
    <row r="1187" spans="1:8">
      <c r="A1187" s="21"/>
      <c r="B1187" s="28"/>
      <c r="C1187" s="22"/>
      <c r="D1187" s="28"/>
      <c r="E1187" s="23" t="str">
        <f>IF($D1187="","",IFERROR(VLOOKUP($D1187,'ACAH Consumables Tracker'!$A:$H,8,FALSE()),""))</f>
        <v/>
      </c>
      <c r="F1187" s="24"/>
      <c r="G1187" s="25" t="str">
        <f>IF($D1187="","",IFERROR(VLOOKUP($D1187,'ACAH Consumables Tracker'!$A:$D,4,FALSE()),""))</f>
        <v/>
      </c>
      <c r="H1187" s="22"/>
    </row>
    <row r="1188" spans="1:8">
      <c r="A1188" s="21"/>
      <c r="B1188" s="28"/>
      <c r="C1188" s="22"/>
      <c r="D1188" s="28"/>
      <c r="E1188" s="23" t="str">
        <f>IF($D1188="","",IFERROR(VLOOKUP($D1188,'ACAH Consumables Tracker'!$A:$H,8,FALSE()),""))</f>
        <v/>
      </c>
      <c r="F1188" s="24"/>
      <c r="G1188" s="25" t="str">
        <f>IF($D1188="","",IFERROR(VLOOKUP($D1188,'ACAH Consumables Tracker'!$A:$D,4,FALSE()),""))</f>
        <v/>
      </c>
      <c r="H1188" s="22"/>
    </row>
    <row r="1189" spans="1:8">
      <c r="A1189" s="21"/>
      <c r="B1189" s="28"/>
      <c r="C1189" s="22"/>
      <c r="D1189" s="28"/>
      <c r="E1189" s="23" t="str">
        <f>IF($D1189="","",IFERROR(VLOOKUP($D1189,'ACAH Consumables Tracker'!$A:$H,8,FALSE()),""))</f>
        <v/>
      </c>
      <c r="F1189" s="24"/>
      <c r="G1189" s="25" t="str">
        <f>IF($D1189="","",IFERROR(VLOOKUP($D1189,'ACAH Consumables Tracker'!$A:$D,4,FALSE()),""))</f>
        <v/>
      </c>
      <c r="H1189" s="22"/>
    </row>
    <row r="1190" spans="1:8">
      <c r="A1190" s="21"/>
      <c r="B1190" s="28"/>
      <c r="C1190" s="22"/>
      <c r="D1190" s="28"/>
      <c r="E1190" s="23" t="str">
        <f>IF($D1190="","",IFERROR(VLOOKUP($D1190,'ACAH Consumables Tracker'!$A:$H,8,FALSE()),""))</f>
        <v/>
      </c>
      <c r="F1190" s="24"/>
      <c r="G1190" s="25" t="str">
        <f>IF($D1190="","",IFERROR(VLOOKUP($D1190,'ACAH Consumables Tracker'!$A:$D,4,FALSE()),""))</f>
        <v/>
      </c>
      <c r="H1190" s="22"/>
    </row>
    <row r="1191" spans="1:8">
      <c r="A1191" s="21"/>
      <c r="B1191" s="28"/>
      <c r="C1191" s="22"/>
      <c r="D1191" s="28"/>
      <c r="E1191" s="23" t="str">
        <f>IF($D1191="","",IFERROR(VLOOKUP($D1191,'ACAH Consumables Tracker'!$A:$H,8,FALSE()),""))</f>
        <v/>
      </c>
      <c r="F1191" s="24"/>
      <c r="G1191" s="25" t="str">
        <f>IF($D1191="","",IFERROR(VLOOKUP($D1191,'ACAH Consumables Tracker'!$A:$D,4,FALSE()),""))</f>
        <v/>
      </c>
      <c r="H1191" s="22"/>
    </row>
    <row r="1192" spans="1:8">
      <c r="A1192" s="21"/>
      <c r="B1192" s="28"/>
      <c r="C1192" s="22"/>
      <c r="D1192" s="28"/>
      <c r="E1192" s="23" t="str">
        <f>IF($D1192="","",IFERROR(VLOOKUP($D1192,'ACAH Consumables Tracker'!$A:$H,8,FALSE()),""))</f>
        <v/>
      </c>
      <c r="F1192" s="24"/>
      <c r="G1192" s="25" t="str">
        <f>IF($D1192="","",IFERROR(VLOOKUP($D1192,'ACAH Consumables Tracker'!$A:$D,4,FALSE()),""))</f>
        <v/>
      </c>
      <c r="H1192" s="22"/>
    </row>
    <row r="1193" spans="1:8">
      <c r="A1193" s="21"/>
      <c r="B1193" s="28"/>
      <c r="C1193" s="22"/>
      <c r="D1193" s="28"/>
      <c r="E1193" s="23" t="str">
        <f>IF($D1193="","",IFERROR(VLOOKUP($D1193,'ACAH Consumables Tracker'!$A:$H,8,FALSE()),""))</f>
        <v/>
      </c>
      <c r="F1193" s="24"/>
      <c r="G1193" s="25" t="str">
        <f>IF($D1193="","",IFERROR(VLOOKUP($D1193,'ACAH Consumables Tracker'!$A:$D,4,FALSE()),""))</f>
        <v/>
      </c>
      <c r="H1193" s="22"/>
    </row>
    <row r="1194" spans="1:8">
      <c r="A1194" s="21"/>
      <c r="B1194" s="28"/>
      <c r="C1194" s="22"/>
      <c r="D1194" s="28"/>
      <c r="E1194" s="23" t="str">
        <f>IF($D1194="","",IFERROR(VLOOKUP($D1194,'ACAH Consumables Tracker'!$A:$H,8,FALSE()),""))</f>
        <v/>
      </c>
      <c r="F1194" s="24"/>
      <c r="G1194" s="25" t="str">
        <f>IF($D1194="","",IFERROR(VLOOKUP($D1194,'ACAH Consumables Tracker'!$A:$D,4,FALSE()),""))</f>
        <v/>
      </c>
      <c r="H1194" s="22"/>
    </row>
    <row r="1195" spans="1:8">
      <c r="A1195" s="21"/>
      <c r="B1195" s="28"/>
      <c r="C1195" s="22"/>
      <c r="D1195" s="28"/>
      <c r="E1195" s="23" t="str">
        <f>IF($D1195="","",IFERROR(VLOOKUP($D1195,'ACAH Consumables Tracker'!$A:$H,8,FALSE()),""))</f>
        <v/>
      </c>
      <c r="F1195" s="24"/>
      <c r="G1195" s="25" t="str">
        <f>IF($D1195="","",IFERROR(VLOOKUP($D1195,'ACAH Consumables Tracker'!$A:$D,4,FALSE()),""))</f>
        <v/>
      </c>
      <c r="H1195" s="22"/>
    </row>
    <row r="1196" spans="1:8">
      <c r="A1196" s="21"/>
      <c r="B1196" s="28"/>
      <c r="C1196" s="22"/>
      <c r="D1196" s="28"/>
      <c r="E1196" s="23" t="str">
        <f>IF($D1196="","",IFERROR(VLOOKUP($D1196,'ACAH Consumables Tracker'!$A:$H,8,FALSE()),""))</f>
        <v/>
      </c>
      <c r="F1196" s="24"/>
      <c r="G1196" s="25" t="str">
        <f>IF($D1196="","",IFERROR(VLOOKUP($D1196,'ACAH Consumables Tracker'!$A:$D,4,FALSE()),""))</f>
        <v/>
      </c>
      <c r="H1196" s="22"/>
    </row>
    <row r="1197" spans="1:8">
      <c r="A1197" s="21"/>
      <c r="B1197" s="28"/>
      <c r="C1197" s="22"/>
      <c r="D1197" s="28"/>
      <c r="E1197" s="23" t="str">
        <f>IF($D1197="","",IFERROR(VLOOKUP($D1197,'ACAH Consumables Tracker'!$A:$H,8,FALSE()),""))</f>
        <v/>
      </c>
      <c r="F1197" s="24"/>
      <c r="G1197" s="25" t="str">
        <f>IF($D1197="","",IFERROR(VLOOKUP($D1197,'ACAH Consumables Tracker'!$A:$D,4,FALSE()),""))</f>
        <v/>
      </c>
      <c r="H1197" s="22"/>
    </row>
    <row r="1198" spans="1:8">
      <c r="A1198" s="21"/>
      <c r="B1198" s="28"/>
      <c r="C1198" s="22"/>
      <c r="D1198" s="28"/>
      <c r="E1198" s="23" t="str">
        <f>IF($D1198="","",IFERROR(VLOOKUP($D1198,'ACAH Consumables Tracker'!$A:$H,8,FALSE()),""))</f>
        <v/>
      </c>
      <c r="F1198" s="24"/>
      <c r="G1198" s="25" t="str">
        <f>IF($D1198="","",IFERROR(VLOOKUP($D1198,'ACAH Consumables Tracker'!$A:$D,4,FALSE()),""))</f>
        <v/>
      </c>
      <c r="H1198" s="22"/>
    </row>
    <row r="1199" spans="1:8">
      <c r="A1199" s="21"/>
      <c r="B1199" s="28"/>
      <c r="C1199" s="22"/>
      <c r="D1199" s="28"/>
      <c r="E1199" s="23" t="str">
        <f>IF($D1199="","",IFERROR(VLOOKUP($D1199,'ACAH Consumables Tracker'!$A:$H,8,FALSE()),""))</f>
        <v/>
      </c>
      <c r="F1199" s="24"/>
      <c r="G1199" s="25" t="str">
        <f>IF($D1199="","",IFERROR(VLOOKUP($D1199,'ACAH Consumables Tracker'!$A:$D,4,FALSE()),""))</f>
        <v/>
      </c>
      <c r="H1199" s="22"/>
    </row>
    <row r="1200" spans="1:8">
      <c r="A1200" s="21"/>
      <c r="B1200" s="28"/>
      <c r="C1200" s="22"/>
      <c r="D1200" s="28"/>
      <c r="E1200" s="23" t="str">
        <f>IF($D1200="","",IFERROR(VLOOKUP($D1200,'ACAH Consumables Tracker'!$A:$H,8,FALSE()),""))</f>
        <v/>
      </c>
      <c r="F1200" s="24"/>
      <c r="G1200" s="25" t="str">
        <f>IF($D1200="","",IFERROR(VLOOKUP($D1200,'ACAH Consumables Tracker'!$A:$D,4,FALSE()),""))</f>
        <v/>
      </c>
      <c r="H1200" s="22"/>
    </row>
    <row r="1201" spans="1:8">
      <c r="A1201" s="21"/>
      <c r="B1201" s="28"/>
      <c r="C1201" s="22"/>
      <c r="D1201" s="28"/>
      <c r="E1201" s="23" t="str">
        <f>IF($D1201="","",IFERROR(VLOOKUP($D1201,'ACAH Consumables Tracker'!$A:$H,8,FALSE()),""))</f>
        <v/>
      </c>
      <c r="F1201" s="24"/>
      <c r="G1201" s="25" t="str">
        <f>IF($D1201="","",IFERROR(VLOOKUP($D1201,'ACAH Consumables Tracker'!$A:$D,4,FALSE()),""))</f>
        <v/>
      </c>
      <c r="H1201" s="22"/>
    </row>
    <row r="1202" spans="1:8">
      <c r="A1202" s="21"/>
      <c r="B1202" s="28"/>
      <c r="C1202" s="22"/>
      <c r="D1202" s="28"/>
      <c r="E1202" s="23" t="str">
        <f>IF($D1202="","",IFERROR(VLOOKUP($D1202,'ACAH Consumables Tracker'!$A:$H,8,FALSE()),""))</f>
        <v/>
      </c>
      <c r="F1202" s="24"/>
      <c r="G1202" s="25" t="str">
        <f>IF($D1202="","",IFERROR(VLOOKUP($D1202,'ACAH Consumables Tracker'!$A:$D,4,FALSE()),""))</f>
        <v/>
      </c>
      <c r="H1202" s="22"/>
    </row>
    <row r="1203" spans="1:8">
      <c r="A1203" s="21"/>
      <c r="B1203" s="28"/>
      <c r="C1203" s="22"/>
      <c r="D1203" s="28"/>
      <c r="E1203" s="23" t="str">
        <f>IF($D1203="","",IFERROR(VLOOKUP($D1203,'ACAH Consumables Tracker'!$A:$H,8,FALSE()),""))</f>
        <v/>
      </c>
      <c r="F1203" s="24"/>
      <c r="G1203" s="25" t="str">
        <f>IF($D1203="","",IFERROR(VLOOKUP($D1203,'ACAH Consumables Tracker'!$A:$D,4,FALSE()),""))</f>
        <v/>
      </c>
      <c r="H1203" s="22"/>
    </row>
    <row r="1204" spans="1:8">
      <c r="A1204" s="21"/>
      <c r="B1204" s="28"/>
      <c r="C1204" s="22"/>
      <c r="D1204" s="28"/>
      <c r="E1204" s="23" t="str">
        <f>IF($D1204="","",IFERROR(VLOOKUP($D1204,'ACAH Consumables Tracker'!$A:$H,8,FALSE()),""))</f>
        <v/>
      </c>
      <c r="F1204" s="24"/>
      <c r="G1204" s="25" t="str">
        <f>IF($D1204="","",IFERROR(VLOOKUP($D1204,'ACAH Consumables Tracker'!$A:$D,4,FALSE()),""))</f>
        <v/>
      </c>
      <c r="H1204" s="22"/>
    </row>
    <row r="1205" spans="1:8">
      <c r="A1205" s="21"/>
      <c r="B1205" s="28"/>
      <c r="C1205" s="22"/>
      <c r="D1205" s="28"/>
      <c r="E1205" s="23" t="str">
        <f>IF($D1205="","",IFERROR(VLOOKUP($D1205,'ACAH Consumables Tracker'!$A:$H,8,FALSE()),""))</f>
        <v/>
      </c>
      <c r="F1205" s="24"/>
      <c r="G1205" s="25" t="str">
        <f>IF($D1205="","",IFERROR(VLOOKUP($D1205,'ACAH Consumables Tracker'!$A:$D,4,FALSE()),""))</f>
        <v/>
      </c>
      <c r="H1205" s="22"/>
    </row>
    <row r="1206" spans="1:8">
      <c r="A1206" s="21"/>
      <c r="B1206" s="28"/>
      <c r="C1206" s="22"/>
      <c r="D1206" s="28"/>
      <c r="E1206" s="23" t="str">
        <f>IF($D1206="","",IFERROR(VLOOKUP($D1206,'ACAH Consumables Tracker'!$A:$H,8,FALSE()),""))</f>
        <v/>
      </c>
      <c r="F1206" s="24"/>
      <c r="G1206" s="25" t="str">
        <f>IF($D1206="","",IFERROR(VLOOKUP($D1206,'ACAH Consumables Tracker'!$A:$D,4,FALSE()),""))</f>
        <v/>
      </c>
      <c r="H1206" s="22"/>
    </row>
    <row r="1207" spans="1:8">
      <c r="A1207" s="21"/>
      <c r="B1207" s="28"/>
      <c r="C1207" s="22"/>
      <c r="D1207" s="28"/>
      <c r="E1207" s="23" t="str">
        <f>IF($D1207="","",IFERROR(VLOOKUP($D1207,'ACAH Consumables Tracker'!$A:$H,8,FALSE()),""))</f>
        <v/>
      </c>
      <c r="F1207" s="24"/>
      <c r="G1207" s="25" t="str">
        <f>IF($D1207="","",IFERROR(VLOOKUP($D1207,'ACAH Consumables Tracker'!$A:$D,4,FALSE()),""))</f>
        <v/>
      </c>
      <c r="H1207" s="22"/>
    </row>
    <row r="1208" spans="1:8">
      <c r="A1208" s="21"/>
      <c r="B1208" s="28"/>
      <c r="C1208" s="22"/>
      <c r="D1208" s="28"/>
      <c r="E1208" s="23" t="str">
        <f>IF($D1208="","",IFERROR(VLOOKUP($D1208,'ACAH Consumables Tracker'!$A:$H,8,FALSE()),""))</f>
        <v/>
      </c>
      <c r="F1208" s="24"/>
      <c r="G1208" s="25" t="str">
        <f>IF($D1208="","",IFERROR(VLOOKUP($D1208,'ACAH Consumables Tracker'!$A:$D,4,FALSE()),""))</f>
        <v/>
      </c>
      <c r="H1208" s="22"/>
    </row>
    <row r="1209" spans="1:8">
      <c r="A1209" s="21"/>
      <c r="B1209" s="28"/>
      <c r="C1209" s="22"/>
      <c r="D1209" s="28"/>
      <c r="E1209" s="23" t="str">
        <f>IF($D1209="","",IFERROR(VLOOKUP($D1209,'ACAH Consumables Tracker'!$A:$H,8,FALSE()),""))</f>
        <v/>
      </c>
      <c r="F1209" s="24"/>
      <c r="G1209" s="25" t="str">
        <f>IF($D1209="","",IFERROR(VLOOKUP($D1209,'ACAH Consumables Tracker'!$A:$D,4,FALSE()),""))</f>
        <v/>
      </c>
      <c r="H1209" s="22"/>
    </row>
    <row r="1210" spans="1:8">
      <c r="A1210" s="21"/>
      <c r="B1210" s="28"/>
      <c r="C1210" s="22"/>
      <c r="D1210" s="28"/>
      <c r="E1210" s="23" t="str">
        <f>IF($D1210="","",IFERROR(VLOOKUP($D1210,'ACAH Consumables Tracker'!$A:$H,8,FALSE()),""))</f>
        <v/>
      </c>
      <c r="F1210" s="24"/>
      <c r="G1210" s="25" t="str">
        <f>IF($D1210="","",IFERROR(VLOOKUP($D1210,'ACAH Consumables Tracker'!$A:$D,4,FALSE()),""))</f>
        <v/>
      </c>
      <c r="H1210" s="22"/>
    </row>
    <row r="1211" spans="1:8">
      <c r="A1211" s="21"/>
      <c r="B1211" s="28"/>
      <c r="C1211" s="22"/>
      <c r="D1211" s="28"/>
      <c r="E1211" s="23" t="str">
        <f>IF($D1211="","",IFERROR(VLOOKUP($D1211,'ACAH Consumables Tracker'!$A:$H,8,FALSE()),""))</f>
        <v/>
      </c>
      <c r="F1211" s="24"/>
      <c r="G1211" s="25" t="str">
        <f>IF($D1211="","",IFERROR(VLOOKUP($D1211,'ACAH Consumables Tracker'!$A:$D,4,FALSE()),""))</f>
        <v/>
      </c>
      <c r="H1211" s="22"/>
    </row>
    <row r="1212" spans="1:8">
      <c r="A1212" s="21"/>
      <c r="B1212" s="28"/>
      <c r="C1212" s="22"/>
      <c r="D1212" s="28"/>
      <c r="E1212" s="23" t="str">
        <f>IF($D1212="","",IFERROR(VLOOKUP($D1212,'ACAH Consumables Tracker'!$A:$H,8,FALSE()),""))</f>
        <v/>
      </c>
      <c r="F1212" s="24"/>
      <c r="G1212" s="25" t="str">
        <f>IF($D1212="","",IFERROR(VLOOKUP($D1212,'ACAH Consumables Tracker'!$A:$D,4,FALSE()),""))</f>
        <v/>
      </c>
      <c r="H1212" s="22"/>
    </row>
    <row r="1213" spans="1:8">
      <c r="A1213" s="21"/>
      <c r="B1213" s="28"/>
      <c r="C1213" s="22"/>
      <c r="D1213" s="28"/>
      <c r="E1213" s="23" t="str">
        <f>IF($D1213="","",IFERROR(VLOOKUP($D1213,'ACAH Consumables Tracker'!$A:$H,8,FALSE()),""))</f>
        <v/>
      </c>
      <c r="F1213" s="24"/>
      <c r="G1213" s="25" t="str">
        <f>IF($D1213="","",IFERROR(VLOOKUP($D1213,'ACAH Consumables Tracker'!$A:$D,4,FALSE()),""))</f>
        <v/>
      </c>
      <c r="H1213" s="22"/>
    </row>
    <row r="1214" spans="1:8">
      <c r="A1214" s="21"/>
      <c r="B1214" s="28"/>
      <c r="C1214" s="22"/>
      <c r="D1214" s="28"/>
      <c r="E1214" s="23" t="str">
        <f>IF($D1214="","",IFERROR(VLOOKUP($D1214,'ACAH Consumables Tracker'!$A:$H,8,FALSE()),""))</f>
        <v/>
      </c>
      <c r="F1214" s="24"/>
      <c r="G1214" s="25" t="str">
        <f>IF($D1214="","",IFERROR(VLOOKUP($D1214,'ACAH Consumables Tracker'!$A:$D,4,FALSE()),""))</f>
        <v/>
      </c>
      <c r="H1214" s="22"/>
    </row>
    <row r="1215" spans="1:8">
      <c r="A1215" s="21"/>
      <c r="B1215" s="28"/>
      <c r="C1215" s="22"/>
      <c r="D1215" s="28"/>
      <c r="E1215" s="23" t="str">
        <f>IF($D1215="","",IFERROR(VLOOKUP($D1215,'ACAH Consumables Tracker'!$A:$H,8,FALSE()),""))</f>
        <v/>
      </c>
      <c r="F1215" s="24"/>
      <c r="G1215" s="25" t="str">
        <f>IF($D1215="","",IFERROR(VLOOKUP($D1215,'ACAH Consumables Tracker'!$A:$D,4,FALSE()),""))</f>
        <v/>
      </c>
      <c r="H1215" s="22"/>
    </row>
    <row r="1216" spans="1:8">
      <c r="A1216" s="21"/>
      <c r="B1216" s="28"/>
      <c r="C1216" s="22"/>
      <c r="D1216" s="28"/>
      <c r="E1216" s="23" t="str">
        <f>IF($D1216="","",IFERROR(VLOOKUP($D1216,'ACAH Consumables Tracker'!$A:$H,8,FALSE()),""))</f>
        <v/>
      </c>
      <c r="F1216" s="24"/>
      <c r="G1216" s="25" t="str">
        <f>IF($D1216="","",IFERROR(VLOOKUP($D1216,'ACAH Consumables Tracker'!$A:$D,4,FALSE()),""))</f>
        <v/>
      </c>
      <c r="H1216" s="22"/>
    </row>
    <row r="1217" spans="1:8">
      <c r="A1217" s="21"/>
      <c r="B1217" s="28"/>
      <c r="C1217" s="22"/>
      <c r="D1217" s="28"/>
      <c r="E1217" s="23" t="str">
        <f>IF($D1217="","",IFERROR(VLOOKUP($D1217,'ACAH Consumables Tracker'!$A:$H,8,FALSE()),""))</f>
        <v/>
      </c>
      <c r="F1217" s="24"/>
      <c r="G1217" s="25" t="str">
        <f>IF($D1217="","",IFERROR(VLOOKUP($D1217,'ACAH Consumables Tracker'!$A:$D,4,FALSE()),""))</f>
        <v/>
      </c>
      <c r="H1217" s="22"/>
    </row>
    <row r="1218" spans="1:8">
      <c r="A1218" s="21"/>
      <c r="B1218" s="28"/>
      <c r="C1218" s="22"/>
      <c r="D1218" s="28"/>
      <c r="E1218" s="23" t="str">
        <f>IF($D1218="","",IFERROR(VLOOKUP($D1218,'ACAH Consumables Tracker'!$A:$H,8,FALSE()),""))</f>
        <v/>
      </c>
      <c r="F1218" s="24"/>
      <c r="G1218" s="25" t="str">
        <f>IF($D1218="","",IFERROR(VLOOKUP($D1218,'ACAH Consumables Tracker'!$A:$D,4,FALSE()),""))</f>
        <v/>
      </c>
      <c r="H1218" s="22"/>
    </row>
    <row r="1219" spans="1:8">
      <c r="A1219" s="21"/>
      <c r="B1219" s="28"/>
      <c r="C1219" s="22"/>
      <c r="D1219" s="28"/>
      <c r="E1219" s="23" t="str">
        <f>IF($D1219="","",IFERROR(VLOOKUP($D1219,'ACAH Consumables Tracker'!$A:$H,8,FALSE()),""))</f>
        <v/>
      </c>
      <c r="F1219" s="24"/>
      <c r="G1219" s="25" t="str">
        <f>IF($D1219="","",IFERROR(VLOOKUP($D1219,'ACAH Consumables Tracker'!$A:$D,4,FALSE()),""))</f>
        <v/>
      </c>
      <c r="H1219" s="22"/>
    </row>
    <row r="1220" spans="1:8">
      <c r="A1220" s="21"/>
      <c r="B1220" s="28"/>
      <c r="C1220" s="22"/>
      <c r="D1220" s="28"/>
      <c r="E1220" s="23" t="str">
        <f>IF($D1220="","",IFERROR(VLOOKUP($D1220,'ACAH Consumables Tracker'!$A:$H,8,FALSE()),""))</f>
        <v/>
      </c>
      <c r="F1220" s="24"/>
      <c r="G1220" s="25" t="str">
        <f>IF($D1220="","",IFERROR(VLOOKUP($D1220,'ACAH Consumables Tracker'!$A:$D,4,FALSE()),""))</f>
        <v/>
      </c>
      <c r="H1220" s="22"/>
    </row>
    <row r="1221" spans="1:8">
      <c r="A1221" s="21"/>
      <c r="B1221" s="28"/>
      <c r="C1221" s="22"/>
      <c r="D1221" s="28"/>
      <c r="E1221" s="23" t="str">
        <f>IF($D1221="","",IFERROR(VLOOKUP($D1221,'ACAH Consumables Tracker'!$A:$H,8,FALSE()),""))</f>
        <v/>
      </c>
      <c r="F1221" s="24"/>
      <c r="G1221" s="25" t="str">
        <f>IF($D1221="","",IFERROR(VLOOKUP($D1221,'ACAH Consumables Tracker'!$A:$D,4,FALSE()),""))</f>
        <v/>
      </c>
      <c r="H1221" s="22"/>
    </row>
    <row r="1222" spans="1:8">
      <c r="A1222" s="21"/>
      <c r="B1222" s="28"/>
      <c r="C1222" s="22"/>
      <c r="D1222" s="28"/>
      <c r="E1222" s="23" t="str">
        <f>IF($D1222="","",IFERROR(VLOOKUP($D1222,'ACAH Consumables Tracker'!$A:$H,8,FALSE()),""))</f>
        <v/>
      </c>
      <c r="F1222" s="24"/>
      <c r="G1222" s="25" t="str">
        <f>IF($D1222="","",IFERROR(VLOOKUP($D1222,'ACAH Consumables Tracker'!$A:$D,4,FALSE()),""))</f>
        <v/>
      </c>
      <c r="H1222" s="22"/>
    </row>
    <row r="1223" spans="1:8">
      <c r="A1223" s="21"/>
      <c r="B1223" s="28"/>
      <c r="C1223" s="22"/>
      <c r="D1223" s="28"/>
      <c r="E1223" s="23" t="str">
        <f>IF($D1223="","",IFERROR(VLOOKUP($D1223,'ACAH Consumables Tracker'!$A:$H,8,FALSE()),""))</f>
        <v/>
      </c>
      <c r="F1223" s="24"/>
      <c r="G1223" s="25" t="str">
        <f>IF($D1223="","",IFERROR(VLOOKUP($D1223,'ACAH Consumables Tracker'!$A:$D,4,FALSE()),""))</f>
        <v/>
      </c>
      <c r="H1223" s="22"/>
    </row>
    <row r="1224" spans="1:8">
      <c r="A1224" s="21"/>
      <c r="B1224" s="28"/>
      <c r="C1224" s="22"/>
      <c r="D1224" s="28"/>
      <c r="E1224" s="23" t="str">
        <f>IF($D1224="","",IFERROR(VLOOKUP($D1224,'ACAH Consumables Tracker'!$A:$H,8,FALSE()),""))</f>
        <v/>
      </c>
      <c r="F1224" s="24"/>
      <c r="G1224" s="25" t="str">
        <f>IF($D1224="","",IFERROR(VLOOKUP($D1224,'ACAH Consumables Tracker'!$A:$D,4,FALSE()),""))</f>
        <v/>
      </c>
      <c r="H1224" s="22"/>
    </row>
    <row r="1225" spans="1:8">
      <c r="A1225" s="21"/>
      <c r="B1225" s="28"/>
      <c r="C1225" s="22"/>
      <c r="D1225" s="28"/>
      <c r="E1225" s="23" t="str">
        <f>IF($D1225="","",IFERROR(VLOOKUP($D1225,'ACAH Consumables Tracker'!$A:$H,8,FALSE()),""))</f>
        <v/>
      </c>
      <c r="F1225" s="24"/>
      <c r="G1225" s="25" t="str">
        <f>IF($D1225="","",IFERROR(VLOOKUP($D1225,'ACAH Consumables Tracker'!$A:$D,4,FALSE()),""))</f>
        <v/>
      </c>
      <c r="H1225" s="22"/>
    </row>
    <row r="1226" spans="1:8">
      <c r="A1226" s="21"/>
      <c r="B1226" s="28"/>
      <c r="C1226" s="22"/>
      <c r="D1226" s="28"/>
      <c r="E1226" s="23" t="str">
        <f>IF($D1226="","",IFERROR(VLOOKUP($D1226,'ACAH Consumables Tracker'!$A:$H,8,FALSE()),""))</f>
        <v/>
      </c>
      <c r="F1226" s="24"/>
      <c r="G1226" s="25" t="str">
        <f>IF($D1226="","",IFERROR(VLOOKUP($D1226,'ACAH Consumables Tracker'!$A:$D,4,FALSE()),""))</f>
        <v/>
      </c>
      <c r="H1226" s="22"/>
    </row>
    <row r="1227" spans="1:8">
      <c r="A1227" s="21"/>
      <c r="B1227" s="28"/>
      <c r="C1227" s="22"/>
      <c r="D1227" s="28"/>
      <c r="E1227" s="23" t="str">
        <f>IF($D1227="","",IFERROR(VLOOKUP($D1227,'ACAH Consumables Tracker'!$A:$H,8,FALSE()),""))</f>
        <v/>
      </c>
      <c r="F1227" s="24"/>
      <c r="G1227" s="25" t="str">
        <f>IF($D1227="","",IFERROR(VLOOKUP($D1227,'ACAH Consumables Tracker'!$A:$D,4,FALSE()),""))</f>
        <v/>
      </c>
      <c r="H1227" s="22"/>
    </row>
    <row r="1228" spans="1:8">
      <c r="A1228" s="21"/>
      <c r="B1228" s="28"/>
      <c r="C1228" s="22"/>
      <c r="D1228" s="28"/>
      <c r="E1228" s="23" t="str">
        <f>IF($D1228="","",IFERROR(VLOOKUP($D1228,'ACAH Consumables Tracker'!$A:$H,8,FALSE()),""))</f>
        <v/>
      </c>
      <c r="F1228" s="24"/>
      <c r="G1228" s="25" t="str">
        <f>IF($D1228="","",IFERROR(VLOOKUP($D1228,'ACAH Consumables Tracker'!$A:$D,4,FALSE()),""))</f>
        <v/>
      </c>
      <c r="H1228" s="22"/>
    </row>
    <row r="1229" spans="1:8">
      <c r="A1229" s="21"/>
      <c r="B1229" s="28"/>
      <c r="C1229" s="22"/>
      <c r="D1229" s="28"/>
      <c r="E1229" s="23" t="str">
        <f>IF($D1229="","",IFERROR(VLOOKUP($D1229,'ACAH Consumables Tracker'!$A:$H,8,FALSE()),""))</f>
        <v/>
      </c>
      <c r="F1229" s="24"/>
      <c r="G1229" s="25" t="str">
        <f>IF($D1229="","",IFERROR(VLOOKUP($D1229,'ACAH Consumables Tracker'!$A:$D,4,FALSE()),""))</f>
        <v/>
      </c>
      <c r="H1229" s="22"/>
    </row>
    <row r="1230" spans="1:8">
      <c r="A1230" s="21"/>
      <c r="B1230" s="28"/>
      <c r="C1230" s="22"/>
      <c r="D1230" s="28"/>
      <c r="E1230" s="23" t="str">
        <f>IF($D1230="","",IFERROR(VLOOKUP($D1230,'ACAH Consumables Tracker'!$A:$H,8,FALSE()),""))</f>
        <v/>
      </c>
      <c r="F1230" s="24"/>
      <c r="G1230" s="25" t="str">
        <f>IF($D1230="","",IFERROR(VLOOKUP($D1230,'ACAH Consumables Tracker'!$A:$D,4,FALSE()),""))</f>
        <v/>
      </c>
      <c r="H1230" s="22"/>
    </row>
    <row r="1231" spans="1:8">
      <c r="A1231" s="21"/>
      <c r="B1231" s="28"/>
      <c r="C1231" s="22"/>
      <c r="D1231" s="28"/>
      <c r="E1231" s="23" t="str">
        <f>IF($D1231="","",IFERROR(VLOOKUP($D1231,'ACAH Consumables Tracker'!$A:$H,8,FALSE()),""))</f>
        <v/>
      </c>
      <c r="F1231" s="24"/>
      <c r="G1231" s="25" t="str">
        <f>IF($D1231="","",IFERROR(VLOOKUP($D1231,'ACAH Consumables Tracker'!$A:$D,4,FALSE()),""))</f>
        <v/>
      </c>
      <c r="H1231" s="22"/>
    </row>
    <row r="1232" spans="1:8">
      <c r="A1232" s="21"/>
      <c r="B1232" s="28"/>
      <c r="C1232" s="22"/>
      <c r="D1232" s="28"/>
      <c r="E1232" s="23" t="str">
        <f>IF($D1232="","",IFERROR(VLOOKUP($D1232,'ACAH Consumables Tracker'!$A:$H,8,FALSE()),""))</f>
        <v/>
      </c>
      <c r="F1232" s="24"/>
      <c r="G1232" s="25" t="str">
        <f>IF($D1232="","",IFERROR(VLOOKUP($D1232,'ACAH Consumables Tracker'!$A:$D,4,FALSE()),""))</f>
        <v/>
      </c>
      <c r="H1232" s="22"/>
    </row>
    <row r="1233" spans="1:8">
      <c r="A1233" s="21"/>
      <c r="B1233" s="28"/>
      <c r="C1233" s="22"/>
      <c r="D1233" s="28"/>
      <c r="E1233" s="23" t="str">
        <f>IF($D1233="","",IFERROR(VLOOKUP($D1233,'ACAH Consumables Tracker'!$A:$H,8,FALSE()),""))</f>
        <v/>
      </c>
      <c r="F1233" s="24"/>
      <c r="G1233" s="25" t="str">
        <f>IF($D1233="","",IFERROR(VLOOKUP($D1233,'ACAH Consumables Tracker'!$A:$D,4,FALSE()),""))</f>
        <v/>
      </c>
      <c r="H1233" s="22"/>
    </row>
    <row r="1234" spans="1:8">
      <c r="A1234" s="21"/>
      <c r="B1234" s="28"/>
      <c r="C1234" s="22"/>
      <c r="D1234" s="28"/>
      <c r="E1234" s="23" t="str">
        <f>IF($D1234="","",IFERROR(VLOOKUP($D1234,'ACAH Consumables Tracker'!$A:$H,8,FALSE()),""))</f>
        <v/>
      </c>
      <c r="F1234" s="24"/>
      <c r="G1234" s="25" t="str">
        <f>IF($D1234="","",IFERROR(VLOOKUP($D1234,'ACAH Consumables Tracker'!$A:$D,4,FALSE()),""))</f>
        <v/>
      </c>
      <c r="H1234" s="22"/>
    </row>
    <row r="1235" spans="1:8">
      <c r="A1235" s="21"/>
      <c r="B1235" s="28"/>
      <c r="C1235" s="22"/>
      <c r="D1235" s="28"/>
      <c r="E1235" s="23" t="str">
        <f>IF($D1235="","",IFERROR(VLOOKUP($D1235,'ACAH Consumables Tracker'!$A:$H,8,FALSE()),""))</f>
        <v/>
      </c>
      <c r="F1235" s="24"/>
      <c r="G1235" s="25" t="str">
        <f>IF($D1235="","",IFERROR(VLOOKUP($D1235,'ACAH Consumables Tracker'!$A:$D,4,FALSE()),""))</f>
        <v/>
      </c>
      <c r="H1235" s="22"/>
    </row>
    <row r="1236" spans="1:8">
      <c r="A1236" s="21"/>
      <c r="B1236" s="28"/>
      <c r="C1236" s="22"/>
      <c r="D1236" s="28"/>
      <c r="E1236" s="23" t="str">
        <f>IF($D1236="","",IFERROR(VLOOKUP($D1236,'ACAH Consumables Tracker'!$A:$H,8,FALSE()),""))</f>
        <v/>
      </c>
      <c r="F1236" s="24"/>
      <c r="G1236" s="25" t="str">
        <f>IF($D1236="","",IFERROR(VLOOKUP($D1236,'ACAH Consumables Tracker'!$A:$D,4,FALSE()),""))</f>
        <v/>
      </c>
      <c r="H1236" s="22"/>
    </row>
    <row r="1237" spans="1:8">
      <c r="A1237" s="21"/>
      <c r="B1237" s="28"/>
      <c r="C1237" s="22"/>
      <c r="D1237" s="28"/>
      <c r="E1237" s="23" t="str">
        <f>IF($D1237="","",IFERROR(VLOOKUP($D1237,'ACAH Consumables Tracker'!$A:$H,8,FALSE()),""))</f>
        <v/>
      </c>
      <c r="F1237" s="24"/>
      <c r="G1237" s="25" t="str">
        <f>IF($D1237="","",IFERROR(VLOOKUP($D1237,'ACAH Consumables Tracker'!$A:$D,4,FALSE()),""))</f>
        <v/>
      </c>
      <c r="H1237" s="22"/>
    </row>
    <row r="1238" spans="1:8">
      <c r="A1238" s="21"/>
      <c r="B1238" s="28"/>
      <c r="C1238" s="22"/>
      <c r="D1238" s="28"/>
      <c r="E1238" s="23" t="str">
        <f>IF($D1238="","",IFERROR(VLOOKUP($D1238,'ACAH Consumables Tracker'!$A:$H,8,FALSE()),""))</f>
        <v/>
      </c>
      <c r="F1238" s="24"/>
      <c r="G1238" s="25" t="str">
        <f>IF($D1238="","",IFERROR(VLOOKUP($D1238,'ACAH Consumables Tracker'!$A:$D,4,FALSE()),""))</f>
        <v/>
      </c>
      <c r="H1238" s="22"/>
    </row>
    <row r="1239" spans="1:8">
      <c r="A1239" s="21"/>
      <c r="B1239" s="28"/>
      <c r="C1239" s="22"/>
      <c r="D1239" s="28"/>
      <c r="E1239" s="23" t="str">
        <f>IF($D1239="","",IFERROR(VLOOKUP($D1239,'ACAH Consumables Tracker'!$A:$H,8,FALSE()),""))</f>
        <v/>
      </c>
      <c r="F1239" s="24"/>
      <c r="G1239" s="25" t="str">
        <f>IF($D1239="","",IFERROR(VLOOKUP($D1239,'ACAH Consumables Tracker'!$A:$D,4,FALSE()),""))</f>
        <v/>
      </c>
      <c r="H1239" s="22"/>
    </row>
    <row r="1240" spans="1:8">
      <c r="A1240" s="21"/>
      <c r="B1240" s="28"/>
      <c r="C1240" s="22"/>
      <c r="D1240" s="28"/>
      <c r="E1240" s="23" t="str">
        <f>IF($D1240="","",IFERROR(VLOOKUP($D1240,'ACAH Consumables Tracker'!$A:$H,8,FALSE()),""))</f>
        <v/>
      </c>
      <c r="F1240" s="24"/>
      <c r="G1240" s="25" t="str">
        <f>IF($D1240="","",IFERROR(VLOOKUP($D1240,'ACAH Consumables Tracker'!$A:$D,4,FALSE()),""))</f>
        <v/>
      </c>
      <c r="H1240" s="22"/>
    </row>
    <row r="1241" spans="1:8">
      <c r="A1241" s="21"/>
      <c r="B1241" s="28"/>
      <c r="C1241" s="22"/>
      <c r="D1241" s="28"/>
      <c r="E1241" s="23" t="str">
        <f>IF($D1241="","",IFERROR(VLOOKUP($D1241,'ACAH Consumables Tracker'!$A:$H,8,FALSE()),""))</f>
        <v/>
      </c>
      <c r="F1241" s="24"/>
      <c r="G1241" s="25" t="str">
        <f>IF($D1241="","",IFERROR(VLOOKUP($D1241,'ACAH Consumables Tracker'!$A:$D,4,FALSE()),""))</f>
        <v/>
      </c>
      <c r="H1241" s="22"/>
    </row>
    <row r="1242" spans="1:8">
      <c r="A1242" s="21"/>
      <c r="B1242" s="28"/>
      <c r="C1242" s="22"/>
      <c r="D1242" s="28"/>
      <c r="E1242" s="23" t="str">
        <f>IF($D1242="","",IFERROR(VLOOKUP($D1242,'ACAH Consumables Tracker'!$A:$H,8,FALSE()),""))</f>
        <v/>
      </c>
      <c r="F1242" s="24"/>
      <c r="G1242" s="25" t="str">
        <f>IF($D1242="","",IFERROR(VLOOKUP($D1242,'ACAH Consumables Tracker'!$A:$D,4,FALSE()),""))</f>
        <v/>
      </c>
      <c r="H1242" s="22"/>
    </row>
    <row r="1243" spans="1:8">
      <c r="A1243" s="21"/>
      <c r="B1243" s="28"/>
      <c r="C1243" s="22"/>
      <c r="D1243" s="28"/>
      <c r="E1243" s="23" t="str">
        <f>IF($D1243="","",IFERROR(VLOOKUP($D1243,'ACAH Consumables Tracker'!$A:$H,8,FALSE()),""))</f>
        <v/>
      </c>
      <c r="F1243" s="24"/>
      <c r="G1243" s="25" t="str">
        <f>IF($D1243="","",IFERROR(VLOOKUP($D1243,'ACAH Consumables Tracker'!$A:$D,4,FALSE()),""))</f>
        <v/>
      </c>
      <c r="H1243" s="22"/>
    </row>
    <row r="1244" spans="1:8">
      <c r="A1244" s="21"/>
      <c r="B1244" s="28"/>
      <c r="C1244" s="22"/>
      <c r="D1244" s="28"/>
      <c r="E1244" s="23" t="str">
        <f>IF($D1244="","",IFERROR(VLOOKUP($D1244,'ACAH Consumables Tracker'!$A:$H,8,FALSE()),""))</f>
        <v/>
      </c>
      <c r="F1244" s="24"/>
      <c r="G1244" s="25" t="str">
        <f>IF($D1244="","",IFERROR(VLOOKUP($D1244,'ACAH Consumables Tracker'!$A:$D,4,FALSE()),""))</f>
        <v/>
      </c>
      <c r="H1244" s="22"/>
    </row>
    <row r="1245" spans="1:8">
      <c r="A1245" s="21"/>
      <c r="B1245" s="28"/>
      <c r="C1245" s="22"/>
      <c r="D1245" s="28"/>
      <c r="E1245" s="23" t="str">
        <f>IF($D1245="","",IFERROR(VLOOKUP($D1245,'ACAH Consumables Tracker'!$A:$H,8,FALSE()),""))</f>
        <v/>
      </c>
      <c r="F1245" s="24"/>
      <c r="G1245" s="25" t="str">
        <f>IF($D1245="","",IFERROR(VLOOKUP($D1245,'ACAH Consumables Tracker'!$A:$D,4,FALSE()),""))</f>
        <v/>
      </c>
      <c r="H1245" s="22"/>
    </row>
    <row r="1246" spans="1:8">
      <c r="A1246" s="21"/>
      <c r="B1246" s="28"/>
      <c r="C1246" s="22"/>
      <c r="D1246" s="28"/>
      <c r="E1246" s="23" t="str">
        <f>IF($D1246="","",IFERROR(VLOOKUP($D1246,'ACAH Consumables Tracker'!$A:$H,8,FALSE()),""))</f>
        <v/>
      </c>
      <c r="F1246" s="24"/>
      <c r="G1246" s="25" t="str">
        <f>IF($D1246="","",IFERROR(VLOOKUP($D1246,'ACAH Consumables Tracker'!$A:$D,4,FALSE()),""))</f>
        <v/>
      </c>
      <c r="H1246" s="22"/>
    </row>
    <row r="1247" spans="1:8">
      <c r="A1247" s="21"/>
      <c r="B1247" s="28"/>
      <c r="C1247" s="22"/>
      <c r="D1247" s="28"/>
      <c r="E1247" s="23" t="str">
        <f>IF($D1247="","",IFERROR(VLOOKUP($D1247,'ACAH Consumables Tracker'!$A:$H,8,FALSE()),""))</f>
        <v/>
      </c>
      <c r="F1247" s="24"/>
      <c r="G1247" s="25" t="str">
        <f>IF($D1247="","",IFERROR(VLOOKUP($D1247,'ACAH Consumables Tracker'!$A:$D,4,FALSE()),""))</f>
        <v/>
      </c>
      <c r="H1247" s="22"/>
    </row>
    <row r="1248" spans="1:8">
      <c r="A1248" s="21"/>
      <c r="B1248" s="28"/>
      <c r="C1248" s="22"/>
      <c r="D1248" s="28"/>
      <c r="E1248" s="23" t="str">
        <f>IF($D1248="","",IFERROR(VLOOKUP($D1248,'ACAH Consumables Tracker'!$A:$H,8,FALSE()),""))</f>
        <v/>
      </c>
      <c r="F1248" s="24"/>
      <c r="G1248" s="25" t="str">
        <f>IF($D1248="","",IFERROR(VLOOKUP($D1248,'ACAH Consumables Tracker'!$A:$D,4,FALSE()),""))</f>
        <v/>
      </c>
      <c r="H1248" s="22"/>
    </row>
    <row r="1249" spans="1:8">
      <c r="A1249" s="21"/>
      <c r="B1249" s="28"/>
      <c r="C1249" s="22"/>
      <c r="D1249" s="28"/>
      <c r="E1249" s="23" t="str">
        <f>IF($D1249="","",IFERROR(VLOOKUP($D1249,'ACAH Consumables Tracker'!$A:$H,8,FALSE()),""))</f>
        <v/>
      </c>
      <c r="F1249" s="24"/>
      <c r="G1249" s="25" t="str">
        <f>IF($D1249="","",IFERROR(VLOOKUP($D1249,'ACAH Consumables Tracker'!$A:$D,4,FALSE()),""))</f>
        <v/>
      </c>
      <c r="H1249" s="22"/>
    </row>
    <row r="1250" spans="1:8">
      <c r="A1250" s="21"/>
      <c r="B1250" s="28"/>
      <c r="C1250" s="22"/>
      <c r="D1250" s="28"/>
      <c r="E1250" s="23" t="str">
        <f>IF($D1250="","",IFERROR(VLOOKUP($D1250,'ACAH Consumables Tracker'!$A:$H,8,FALSE()),""))</f>
        <v/>
      </c>
      <c r="F1250" s="24"/>
      <c r="G1250" s="25" t="str">
        <f>IF($D1250="","",IFERROR(VLOOKUP($D1250,'ACAH Consumables Tracker'!$A:$D,4,FALSE()),""))</f>
        <v/>
      </c>
      <c r="H1250" s="22"/>
    </row>
    <row r="1251" spans="1:8">
      <c r="A1251" s="21"/>
      <c r="B1251" s="28"/>
      <c r="C1251" s="22"/>
      <c r="D1251" s="28"/>
      <c r="E1251" s="23" t="str">
        <f>IF($D1251="","",IFERROR(VLOOKUP($D1251,'ACAH Consumables Tracker'!$A:$H,8,FALSE()),""))</f>
        <v/>
      </c>
      <c r="F1251" s="24"/>
      <c r="G1251" s="25" t="str">
        <f>IF($D1251="","",IFERROR(VLOOKUP($D1251,'ACAH Consumables Tracker'!$A:$D,4,FALSE()),""))</f>
        <v/>
      </c>
      <c r="H1251" s="22"/>
    </row>
    <row r="1252" spans="1:8">
      <c r="A1252" s="21"/>
      <c r="B1252" s="28"/>
      <c r="C1252" s="22"/>
      <c r="D1252" s="28"/>
      <c r="E1252" s="23" t="str">
        <f>IF($D1252="","",IFERROR(VLOOKUP($D1252,'ACAH Consumables Tracker'!$A:$H,8,FALSE()),""))</f>
        <v/>
      </c>
      <c r="F1252" s="24"/>
      <c r="G1252" s="25" t="str">
        <f>IF($D1252="","",IFERROR(VLOOKUP($D1252,'ACAH Consumables Tracker'!$A:$D,4,FALSE()),""))</f>
        <v/>
      </c>
      <c r="H1252" s="22"/>
    </row>
    <row r="1253" spans="1:8">
      <c r="A1253" s="21"/>
      <c r="B1253" s="28"/>
      <c r="C1253" s="22"/>
      <c r="D1253" s="28"/>
      <c r="E1253" s="23" t="str">
        <f>IF($D1253="","",IFERROR(VLOOKUP($D1253,'ACAH Consumables Tracker'!$A:$H,8,FALSE()),""))</f>
        <v/>
      </c>
      <c r="F1253" s="24"/>
      <c r="G1253" s="25" t="str">
        <f>IF($D1253="","",IFERROR(VLOOKUP($D1253,'ACAH Consumables Tracker'!$A:$D,4,FALSE()),""))</f>
        <v/>
      </c>
      <c r="H1253" s="22"/>
    </row>
    <row r="1254" spans="1:8">
      <c r="A1254" s="21"/>
      <c r="B1254" s="28"/>
      <c r="C1254" s="22"/>
      <c r="D1254" s="28"/>
      <c r="E1254" s="23" t="str">
        <f>IF($D1254="","",IFERROR(VLOOKUP($D1254,'ACAH Consumables Tracker'!$A:$H,8,FALSE()),""))</f>
        <v/>
      </c>
      <c r="F1254" s="24"/>
      <c r="G1254" s="25" t="str">
        <f>IF($D1254="","",IFERROR(VLOOKUP($D1254,'ACAH Consumables Tracker'!$A:$D,4,FALSE()),""))</f>
        <v/>
      </c>
      <c r="H1254" s="22"/>
    </row>
    <row r="1255" spans="1:8">
      <c r="A1255" s="21"/>
      <c r="B1255" s="28"/>
      <c r="C1255" s="22"/>
      <c r="D1255" s="28"/>
      <c r="E1255" s="23" t="str">
        <f>IF($D1255="","",IFERROR(VLOOKUP($D1255,'ACAH Consumables Tracker'!$A:$H,8,FALSE()),""))</f>
        <v/>
      </c>
      <c r="F1255" s="24"/>
      <c r="G1255" s="25" t="str">
        <f>IF($D1255="","",IFERROR(VLOOKUP($D1255,'ACAH Consumables Tracker'!$A:$D,4,FALSE()),""))</f>
        <v/>
      </c>
      <c r="H1255" s="22"/>
    </row>
    <row r="1256" spans="1:8">
      <c r="A1256" s="21"/>
      <c r="B1256" s="28"/>
      <c r="C1256" s="22"/>
      <c r="D1256" s="28"/>
      <c r="E1256" s="23" t="str">
        <f>IF($D1256="","",IFERROR(VLOOKUP($D1256,'ACAH Consumables Tracker'!$A:$H,8,FALSE()),""))</f>
        <v/>
      </c>
      <c r="F1256" s="24"/>
      <c r="G1256" s="25" t="str">
        <f>IF($D1256="","",IFERROR(VLOOKUP($D1256,'ACAH Consumables Tracker'!$A:$D,4,FALSE()),""))</f>
        <v/>
      </c>
      <c r="H1256" s="22"/>
    </row>
    <row r="1257" spans="1:8">
      <c r="A1257" s="21"/>
      <c r="B1257" s="28"/>
      <c r="C1257" s="22"/>
      <c r="D1257" s="28"/>
      <c r="E1257" s="23" t="str">
        <f>IF($D1257="","",IFERROR(VLOOKUP($D1257,'ACAH Consumables Tracker'!$A:$H,8,FALSE()),""))</f>
        <v/>
      </c>
      <c r="F1257" s="24"/>
      <c r="G1257" s="25" t="str">
        <f>IF($D1257="","",IFERROR(VLOOKUP($D1257,'ACAH Consumables Tracker'!$A:$D,4,FALSE()),""))</f>
        <v/>
      </c>
      <c r="H1257" s="22"/>
    </row>
    <row r="1258" spans="1:8">
      <c r="A1258" s="21"/>
      <c r="B1258" s="28"/>
      <c r="C1258" s="22"/>
      <c r="D1258" s="28"/>
      <c r="E1258" s="23" t="str">
        <f>IF($D1258="","",IFERROR(VLOOKUP($D1258,'ACAH Consumables Tracker'!$A:$H,8,FALSE()),""))</f>
        <v/>
      </c>
      <c r="F1258" s="24"/>
      <c r="G1258" s="25" t="str">
        <f>IF($D1258="","",IFERROR(VLOOKUP($D1258,'ACAH Consumables Tracker'!$A:$D,4,FALSE()),""))</f>
        <v/>
      </c>
      <c r="H1258" s="22"/>
    </row>
    <row r="1259" spans="1:8">
      <c r="A1259" s="21"/>
      <c r="B1259" s="28"/>
      <c r="C1259" s="22"/>
      <c r="D1259" s="28"/>
      <c r="E1259" s="23" t="str">
        <f>IF($D1259="","",IFERROR(VLOOKUP($D1259,'ACAH Consumables Tracker'!$A:$H,8,FALSE()),""))</f>
        <v/>
      </c>
      <c r="F1259" s="24"/>
      <c r="G1259" s="25" t="str">
        <f>IF($D1259="","",IFERROR(VLOOKUP($D1259,'ACAH Consumables Tracker'!$A:$D,4,FALSE()),""))</f>
        <v/>
      </c>
      <c r="H1259" s="22"/>
    </row>
    <row r="1260" spans="1:8">
      <c r="A1260" s="21"/>
      <c r="B1260" s="28"/>
      <c r="C1260" s="22"/>
      <c r="D1260" s="28"/>
      <c r="E1260" s="23" t="str">
        <f>IF($D1260="","",IFERROR(VLOOKUP($D1260,'ACAH Consumables Tracker'!$A:$H,8,FALSE()),""))</f>
        <v/>
      </c>
      <c r="F1260" s="24"/>
      <c r="G1260" s="25" t="str">
        <f>IF($D1260="","",IFERROR(VLOOKUP($D1260,'ACAH Consumables Tracker'!$A:$D,4,FALSE()),""))</f>
        <v/>
      </c>
      <c r="H1260" s="22"/>
    </row>
    <row r="1261" spans="1:8">
      <c r="A1261" s="21"/>
      <c r="B1261" s="28"/>
      <c r="C1261" s="22"/>
      <c r="D1261" s="28"/>
      <c r="E1261" s="23" t="str">
        <f>IF($D1261="","",IFERROR(VLOOKUP($D1261,'ACAH Consumables Tracker'!$A:$H,8,FALSE()),""))</f>
        <v/>
      </c>
      <c r="F1261" s="24"/>
      <c r="G1261" s="25" t="str">
        <f>IF($D1261="","",IFERROR(VLOOKUP($D1261,'ACAH Consumables Tracker'!$A:$D,4,FALSE()),""))</f>
        <v/>
      </c>
      <c r="H1261" s="22"/>
    </row>
    <row r="1262" spans="1:8">
      <c r="A1262" s="21"/>
      <c r="B1262" s="28"/>
      <c r="C1262" s="22"/>
      <c r="D1262" s="28"/>
      <c r="E1262" s="23" t="str">
        <f>IF($D1262="","",IFERROR(VLOOKUP($D1262,'ACAH Consumables Tracker'!$A:$H,8,FALSE()),""))</f>
        <v/>
      </c>
      <c r="F1262" s="24"/>
      <c r="G1262" s="25" t="str">
        <f>IF($D1262="","",IFERROR(VLOOKUP($D1262,'ACAH Consumables Tracker'!$A:$D,4,FALSE()),""))</f>
        <v/>
      </c>
      <c r="H1262" s="22"/>
    </row>
    <row r="1263" spans="1:8">
      <c r="A1263" s="21"/>
      <c r="B1263" s="28"/>
      <c r="C1263" s="22"/>
      <c r="D1263" s="28"/>
      <c r="E1263" s="23" t="str">
        <f>IF($D1263="","",IFERROR(VLOOKUP($D1263,'ACAH Consumables Tracker'!$A:$H,8,FALSE()),""))</f>
        <v/>
      </c>
      <c r="F1263" s="24"/>
      <c r="G1263" s="25" t="str">
        <f>IF($D1263="","",IFERROR(VLOOKUP($D1263,'ACAH Consumables Tracker'!$A:$D,4,FALSE()),""))</f>
        <v/>
      </c>
      <c r="H1263" s="22"/>
    </row>
    <row r="1264" spans="1:8">
      <c r="A1264" s="21"/>
      <c r="B1264" s="28"/>
      <c r="C1264" s="22"/>
      <c r="D1264" s="28"/>
      <c r="E1264" s="23" t="str">
        <f>IF($D1264="","",IFERROR(VLOOKUP($D1264,'ACAH Consumables Tracker'!$A:$H,8,FALSE()),""))</f>
        <v/>
      </c>
      <c r="F1264" s="24"/>
      <c r="G1264" s="25" t="str">
        <f>IF($D1264="","",IFERROR(VLOOKUP($D1264,'ACAH Consumables Tracker'!$A:$D,4,FALSE()),""))</f>
        <v/>
      </c>
      <c r="H1264" s="22"/>
    </row>
    <row r="1265" spans="1:8">
      <c r="A1265" s="21"/>
      <c r="B1265" s="28"/>
      <c r="C1265" s="22"/>
      <c r="D1265" s="28"/>
      <c r="E1265" s="23" t="str">
        <f>IF($D1265="","",IFERROR(VLOOKUP($D1265,'ACAH Consumables Tracker'!$A:$H,8,FALSE()),""))</f>
        <v/>
      </c>
      <c r="F1265" s="24"/>
      <c r="G1265" s="25" t="str">
        <f>IF($D1265="","",IFERROR(VLOOKUP($D1265,'ACAH Consumables Tracker'!$A:$D,4,FALSE()),""))</f>
        <v/>
      </c>
      <c r="H1265" s="22"/>
    </row>
    <row r="1266" spans="1:8">
      <c r="A1266" s="21"/>
      <c r="B1266" s="28"/>
      <c r="C1266" s="22"/>
      <c r="D1266" s="28"/>
      <c r="E1266" s="23" t="str">
        <f>IF($D1266="","",IFERROR(VLOOKUP($D1266,'ACAH Consumables Tracker'!$A:$H,8,FALSE()),""))</f>
        <v/>
      </c>
      <c r="F1266" s="24"/>
      <c r="G1266" s="25" t="str">
        <f>IF($D1266="","",IFERROR(VLOOKUP($D1266,'ACAH Consumables Tracker'!$A:$D,4,FALSE()),""))</f>
        <v/>
      </c>
      <c r="H1266" s="22"/>
    </row>
    <row r="1267" spans="1:8">
      <c r="A1267" s="21"/>
      <c r="B1267" s="28"/>
      <c r="C1267" s="22"/>
      <c r="D1267" s="28"/>
      <c r="E1267" s="23" t="str">
        <f>IF($D1267="","",IFERROR(VLOOKUP($D1267,'ACAH Consumables Tracker'!$A:$H,8,FALSE()),""))</f>
        <v/>
      </c>
      <c r="F1267" s="24"/>
      <c r="G1267" s="25" t="str">
        <f>IF($D1267="","",IFERROR(VLOOKUP($D1267,'ACAH Consumables Tracker'!$A:$D,4,FALSE()),""))</f>
        <v/>
      </c>
      <c r="H1267" s="22"/>
    </row>
    <row r="1268" spans="1:8">
      <c r="A1268" s="21"/>
      <c r="B1268" s="28"/>
      <c r="C1268" s="22"/>
      <c r="D1268" s="28"/>
      <c r="E1268" s="23" t="str">
        <f>IF($D1268="","",IFERROR(VLOOKUP($D1268,'ACAH Consumables Tracker'!$A:$H,8,FALSE()),""))</f>
        <v/>
      </c>
      <c r="F1268" s="24"/>
      <c r="G1268" s="25" t="str">
        <f>IF($D1268="","",IFERROR(VLOOKUP($D1268,'ACAH Consumables Tracker'!$A:$D,4,FALSE()),""))</f>
        <v/>
      </c>
      <c r="H1268" s="22"/>
    </row>
    <row r="1269" spans="1:8">
      <c r="A1269" s="21"/>
      <c r="B1269" s="28"/>
      <c r="C1269" s="22"/>
      <c r="D1269" s="28"/>
      <c r="E1269" s="23" t="str">
        <f>IF($D1269="","",IFERROR(VLOOKUP($D1269,'ACAH Consumables Tracker'!$A:$H,8,FALSE()),""))</f>
        <v/>
      </c>
      <c r="F1269" s="24"/>
      <c r="G1269" s="25" t="str">
        <f>IF($D1269="","",IFERROR(VLOOKUP($D1269,'ACAH Consumables Tracker'!$A:$D,4,FALSE()),""))</f>
        <v/>
      </c>
      <c r="H1269" s="22"/>
    </row>
    <row r="1270" spans="1:8">
      <c r="A1270" s="21"/>
      <c r="B1270" s="28"/>
      <c r="C1270" s="22"/>
      <c r="D1270" s="28"/>
      <c r="E1270" s="23" t="str">
        <f>IF($D1270="","",IFERROR(VLOOKUP($D1270,'ACAH Consumables Tracker'!$A:$H,8,FALSE()),""))</f>
        <v/>
      </c>
      <c r="F1270" s="24"/>
      <c r="G1270" s="25" t="str">
        <f>IF($D1270="","",IFERROR(VLOOKUP($D1270,'ACAH Consumables Tracker'!$A:$D,4,FALSE()),""))</f>
        <v/>
      </c>
      <c r="H1270" s="22"/>
    </row>
    <row r="1271" spans="1:8">
      <c r="A1271" s="21"/>
      <c r="B1271" s="28"/>
      <c r="C1271" s="22"/>
      <c r="D1271" s="28"/>
      <c r="E1271" s="23" t="str">
        <f>IF($D1271="","",IFERROR(VLOOKUP($D1271,'ACAH Consumables Tracker'!$A:$H,8,FALSE()),""))</f>
        <v/>
      </c>
      <c r="F1271" s="24"/>
      <c r="G1271" s="25" t="str">
        <f>IF($D1271="","",IFERROR(VLOOKUP($D1271,'ACAH Consumables Tracker'!$A:$D,4,FALSE()),""))</f>
        <v/>
      </c>
      <c r="H1271" s="22"/>
    </row>
    <row r="1272" spans="1:8">
      <c r="A1272" s="21"/>
      <c r="B1272" s="28"/>
      <c r="C1272" s="22"/>
      <c r="D1272" s="28"/>
      <c r="E1272" s="23" t="str">
        <f>IF($D1272="","",IFERROR(VLOOKUP($D1272,'ACAH Consumables Tracker'!$A:$H,8,FALSE()),""))</f>
        <v/>
      </c>
      <c r="F1272" s="24"/>
      <c r="G1272" s="25" t="str">
        <f>IF($D1272="","",IFERROR(VLOOKUP($D1272,'ACAH Consumables Tracker'!$A:$D,4,FALSE()),""))</f>
        <v/>
      </c>
      <c r="H1272" s="22"/>
    </row>
    <row r="1273" spans="1:8">
      <c r="A1273" s="21"/>
      <c r="B1273" s="28"/>
      <c r="C1273" s="22"/>
      <c r="D1273" s="28"/>
      <c r="E1273" s="23" t="str">
        <f>IF($D1273="","",IFERROR(VLOOKUP($D1273,'ACAH Consumables Tracker'!$A:$H,8,FALSE()),""))</f>
        <v/>
      </c>
      <c r="F1273" s="24"/>
      <c r="G1273" s="25" t="str">
        <f>IF($D1273="","",IFERROR(VLOOKUP($D1273,'ACAH Consumables Tracker'!$A:$D,4,FALSE()),""))</f>
        <v/>
      </c>
      <c r="H1273" s="22"/>
    </row>
    <row r="1274" spans="1:8">
      <c r="A1274" s="21"/>
      <c r="B1274" s="28"/>
      <c r="C1274" s="22"/>
      <c r="D1274" s="28"/>
      <c r="E1274" s="23" t="str">
        <f>IF($D1274="","",IFERROR(VLOOKUP($D1274,'ACAH Consumables Tracker'!$A:$H,8,FALSE()),""))</f>
        <v/>
      </c>
      <c r="F1274" s="24"/>
      <c r="G1274" s="25" t="str">
        <f>IF($D1274="","",IFERROR(VLOOKUP($D1274,'ACAH Consumables Tracker'!$A:$D,4,FALSE()),""))</f>
        <v/>
      </c>
      <c r="H1274" s="22"/>
    </row>
    <row r="1275" spans="1:8">
      <c r="A1275" s="21"/>
      <c r="B1275" s="28"/>
      <c r="C1275" s="22"/>
      <c r="D1275" s="28"/>
      <c r="E1275" s="23" t="str">
        <f>IF($D1275="","",IFERROR(VLOOKUP($D1275,'ACAH Consumables Tracker'!$A:$H,8,FALSE()),""))</f>
        <v/>
      </c>
      <c r="F1275" s="24"/>
      <c r="G1275" s="25" t="str">
        <f>IF($D1275="","",IFERROR(VLOOKUP($D1275,'ACAH Consumables Tracker'!$A:$D,4,FALSE()),""))</f>
        <v/>
      </c>
      <c r="H1275" s="22"/>
    </row>
    <row r="1276" spans="1:8">
      <c r="A1276" s="21"/>
      <c r="B1276" s="28"/>
      <c r="C1276" s="22"/>
      <c r="D1276" s="28"/>
      <c r="E1276" s="23" t="str">
        <f>IF($D1276="","",IFERROR(VLOOKUP($D1276,'ACAH Consumables Tracker'!$A:$H,8,FALSE()),""))</f>
        <v/>
      </c>
      <c r="F1276" s="24"/>
      <c r="G1276" s="25" t="str">
        <f>IF($D1276="","",IFERROR(VLOOKUP($D1276,'ACAH Consumables Tracker'!$A:$D,4,FALSE()),""))</f>
        <v/>
      </c>
      <c r="H1276" s="22"/>
    </row>
    <row r="1277" spans="1:8">
      <c r="A1277" s="21"/>
      <c r="B1277" s="28"/>
      <c r="C1277" s="22"/>
      <c r="D1277" s="28"/>
      <c r="E1277" s="23" t="str">
        <f>IF($D1277="","",IFERROR(VLOOKUP($D1277,'ACAH Consumables Tracker'!$A:$H,8,FALSE()),""))</f>
        <v/>
      </c>
      <c r="F1277" s="24"/>
      <c r="G1277" s="25" t="str">
        <f>IF($D1277="","",IFERROR(VLOOKUP($D1277,'ACAH Consumables Tracker'!$A:$D,4,FALSE()),""))</f>
        <v/>
      </c>
      <c r="H1277" s="22"/>
    </row>
    <row r="1278" spans="1:8">
      <c r="A1278" s="21"/>
      <c r="B1278" s="28"/>
      <c r="C1278" s="22"/>
      <c r="D1278" s="28"/>
      <c r="E1278" s="23" t="str">
        <f>IF($D1278="","",IFERROR(VLOOKUP($D1278,'ACAH Consumables Tracker'!$A:$H,8,FALSE()),""))</f>
        <v/>
      </c>
      <c r="F1278" s="24"/>
      <c r="G1278" s="25" t="str">
        <f>IF($D1278="","",IFERROR(VLOOKUP($D1278,'ACAH Consumables Tracker'!$A:$D,4,FALSE()),""))</f>
        <v/>
      </c>
      <c r="H1278" s="22"/>
    </row>
    <row r="1279" spans="1:8">
      <c r="A1279" s="21"/>
      <c r="B1279" s="28"/>
      <c r="C1279" s="22"/>
      <c r="D1279" s="28"/>
      <c r="E1279" s="23" t="str">
        <f>IF($D1279="","",IFERROR(VLOOKUP($D1279,'ACAH Consumables Tracker'!$A:$H,8,FALSE()),""))</f>
        <v/>
      </c>
      <c r="F1279" s="24"/>
      <c r="G1279" s="25" t="str">
        <f>IF($D1279="","",IFERROR(VLOOKUP($D1279,'ACAH Consumables Tracker'!$A:$D,4,FALSE()),""))</f>
        <v/>
      </c>
      <c r="H1279" s="22"/>
    </row>
    <row r="1280" spans="1:8">
      <c r="A1280" s="21"/>
      <c r="B1280" s="28"/>
      <c r="C1280" s="22"/>
      <c r="D1280" s="28"/>
      <c r="E1280" s="23" t="str">
        <f>IF($D1280="","",IFERROR(VLOOKUP($D1280,'ACAH Consumables Tracker'!$A:$H,8,FALSE()),""))</f>
        <v/>
      </c>
      <c r="F1280" s="24"/>
      <c r="G1280" s="25" t="str">
        <f>IF($D1280="","",IFERROR(VLOOKUP($D1280,'ACAH Consumables Tracker'!$A:$D,4,FALSE()),""))</f>
        <v/>
      </c>
      <c r="H1280" s="22"/>
    </row>
    <row r="1281" spans="1:8">
      <c r="A1281" s="21"/>
      <c r="B1281" s="28"/>
      <c r="C1281" s="22"/>
      <c r="D1281" s="28"/>
      <c r="E1281" s="23" t="str">
        <f>IF($D1281="","",IFERROR(VLOOKUP($D1281,'ACAH Consumables Tracker'!$A:$H,8,FALSE()),""))</f>
        <v/>
      </c>
      <c r="F1281" s="24"/>
      <c r="G1281" s="25" t="str">
        <f>IF($D1281="","",IFERROR(VLOOKUP($D1281,'ACAH Consumables Tracker'!$A:$D,4,FALSE()),""))</f>
        <v/>
      </c>
      <c r="H1281" s="22"/>
    </row>
    <row r="1282" spans="1:8">
      <c r="A1282" s="21"/>
      <c r="B1282" s="28"/>
      <c r="C1282" s="22"/>
      <c r="D1282" s="28"/>
      <c r="E1282" s="23" t="str">
        <f>IF($D1282="","",IFERROR(VLOOKUP($D1282,'ACAH Consumables Tracker'!$A:$H,8,FALSE()),""))</f>
        <v/>
      </c>
      <c r="F1282" s="24"/>
      <c r="G1282" s="25" t="str">
        <f>IF($D1282="","",IFERROR(VLOOKUP($D1282,'ACAH Consumables Tracker'!$A:$D,4,FALSE()),""))</f>
        <v/>
      </c>
      <c r="H1282" s="22"/>
    </row>
    <row r="1283" spans="1:8">
      <c r="A1283" s="21"/>
      <c r="B1283" s="28"/>
      <c r="C1283" s="22"/>
      <c r="D1283" s="28"/>
      <c r="E1283" s="23" t="str">
        <f>IF($D1283="","",IFERROR(VLOOKUP($D1283,'ACAH Consumables Tracker'!$A:$H,8,FALSE()),""))</f>
        <v/>
      </c>
      <c r="F1283" s="24"/>
      <c r="G1283" s="25" t="str">
        <f>IF($D1283="","",IFERROR(VLOOKUP($D1283,'ACAH Consumables Tracker'!$A:$D,4,FALSE()),""))</f>
        <v/>
      </c>
      <c r="H1283" s="22"/>
    </row>
    <row r="1284" spans="1:8">
      <c r="A1284" s="21"/>
      <c r="B1284" s="28"/>
      <c r="C1284" s="22"/>
      <c r="D1284" s="28"/>
      <c r="E1284" s="23" t="str">
        <f>IF($D1284="","",IFERROR(VLOOKUP($D1284,'ACAH Consumables Tracker'!$A:$H,8,FALSE()),""))</f>
        <v/>
      </c>
      <c r="F1284" s="24"/>
      <c r="G1284" s="25" t="str">
        <f>IF($D1284="","",IFERROR(VLOOKUP($D1284,'ACAH Consumables Tracker'!$A:$D,4,FALSE()),""))</f>
        <v/>
      </c>
      <c r="H1284" s="22"/>
    </row>
    <row r="1285" spans="1:8">
      <c r="A1285" s="21"/>
      <c r="B1285" s="28"/>
      <c r="C1285" s="22"/>
      <c r="D1285" s="28"/>
      <c r="E1285" s="23" t="str">
        <f>IF($D1285="","",IFERROR(VLOOKUP($D1285,'ACAH Consumables Tracker'!$A:$H,8,FALSE()),""))</f>
        <v/>
      </c>
      <c r="F1285" s="24"/>
      <c r="G1285" s="25" t="str">
        <f>IF($D1285="","",IFERROR(VLOOKUP($D1285,'ACAH Consumables Tracker'!$A:$D,4,FALSE()),""))</f>
        <v/>
      </c>
      <c r="H1285" s="22"/>
    </row>
    <row r="1286" spans="1:8">
      <c r="A1286" s="21"/>
      <c r="B1286" s="28"/>
      <c r="C1286" s="22"/>
      <c r="D1286" s="28"/>
      <c r="E1286" s="23" t="str">
        <f>IF($D1286="","",IFERROR(VLOOKUP($D1286,'ACAH Consumables Tracker'!$A:$H,8,FALSE()),""))</f>
        <v/>
      </c>
      <c r="F1286" s="24"/>
      <c r="G1286" s="25" t="str">
        <f>IF($D1286="","",IFERROR(VLOOKUP($D1286,'ACAH Consumables Tracker'!$A:$D,4,FALSE()),""))</f>
        <v/>
      </c>
      <c r="H1286" s="22"/>
    </row>
    <row r="1287" spans="1:8">
      <c r="A1287" s="21"/>
      <c r="B1287" s="28"/>
      <c r="C1287" s="22"/>
      <c r="D1287" s="28"/>
      <c r="E1287" s="23" t="str">
        <f>IF($D1287="","",IFERROR(VLOOKUP($D1287,'ACAH Consumables Tracker'!$A:$H,8,FALSE()),""))</f>
        <v/>
      </c>
      <c r="F1287" s="24"/>
      <c r="G1287" s="25" t="str">
        <f>IF($D1287="","",IFERROR(VLOOKUP($D1287,'ACAH Consumables Tracker'!$A:$D,4,FALSE()),""))</f>
        <v/>
      </c>
      <c r="H1287" s="22"/>
    </row>
    <row r="1288" spans="1:8">
      <c r="A1288" s="21"/>
      <c r="B1288" s="28"/>
      <c r="C1288" s="22"/>
      <c r="D1288" s="28"/>
      <c r="E1288" s="23" t="str">
        <f>IF($D1288="","",IFERROR(VLOOKUP($D1288,'ACAH Consumables Tracker'!$A:$H,8,FALSE()),""))</f>
        <v/>
      </c>
      <c r="F1288" s="24"/>
      <c r="G1288" s="25" t="str">
        <f>IF($D1288="","",IFERROR(VLOOKUP($D1288,'ACAH Consumables Tracker'!$A:$D,4,FALSE()),""))</f>
        <v/>
      </c>
      <c r="H1288" s="22"/>
    </row>
    <row r="1289" spans="1:8">
      <c r="A1289" s="21"/>
      <c r="B1289" s="28"/>
      <c r="C1289" s="22"/>
      <c r="D1289" s="28"/>
      <c r="E1289" s="23" t="str">
        <f>IF($D1289="","",IFERROR(VLOOKUP($D1289,'ACAH Consumables Tracker'!$A:$H,8,FALSE()),""))</f>
        <v/>
      </c>
      <c r="F1289" s="24"/>
      <c r="G1289" s="25" t="str">
        <f>IF($D1289="","",IFERROR(VLOOKUP($D1289,'ACAH Consumables Tracker'!$A:$D,4,FALSE()),""))</f>
        <v/>
      </c>
      <c r="H1289" s="22"/>
    </row>
    <row r="1290" spans="1:8">
      <c r="A1290" s="21"/>
      <c r="B1290" s="28"/>
      <c r="C1290" s="22"/>
      <c r="D1290" s="28"/>
      <c r="E1290" s="23" t="str">
        <f>IF($D1290="","",IFERROR(VLOOKUP($D1290,'ACAH Consumables Tracker'!$A:$H,8,FALSE()),""))</f>
        <v/>
      </c>
      <c r="F1290" s="24"/>
      <c r="G1290" s="25" t="str">
        <f>IF($D1290="","",IFERROR(VLOOKUP($D1290,'ACAH Consumables Tracker'!$A:$D,4,FALSE()),""))</f>
        <v/>
      </c>
      <c r="H1290" s="22"/>
    </row>
    <row r="1291" spans="1:8">
      <c r="A1291" s="21"/>
      <c r="B1291" s="28"/>
      <c r="C1291" s="22"/>
      <c r="D1291" s="28"/>
      <c r="E1291" s="23" t="str">
        <f>IF($D1291="","",IFERROR(VLOOKUP($D1291,'ACAH Consumables Tracker'!$A:$H,8,FALSE()),""))</f>
        <v/>
      </c>
      <c r="F1291" s="24"/>
      <c r="G1291" s="25" t="str">
        <f>IF($D1291="","",IFERROR(VLOOKUP($D1291,'ACAH Consumables Tracker'!$A:$D,4,FALSE()),""))</f>
        <v/>
      </c>
      <c r="H1291" s="22"/>
    </row>
    <row r="1292" spans="1:8">
      <c r="A1292" s="21"/>
      <c r="B1292" s="28"/>
      <c r="C1292" s="22"/>
      <c r="D1292" s="28"/>
      <c r="E1292" s="23" t="str">
        <f>IF($D1292="","",IFERROR(VLOOKUP($D1292,'ACAH Consumables Tracker'!$A:$H,8,FALSE()),""))</f>
        <v/>
      </c>
      <c r="F1292" s="24"/>
      <c r="G1292" s="25" t="str">
        <f>IF($D1292="","",IFERROR(VLOOKUP($D1292,'ACAH Consumables Tracker'!$A:$D,4,FALSE()),""))</f>
        <v/>
      </c>
      <c r="H1292" s="22"/>
    </row>
    <row r="1293" spans="1:8">
      <c r="A1293" s="21"/>
      <c r="B1293" s="28"/>
      <c r="C1293" s="22"/>
      <c r="D1293" s="28"/>
      <c r="E1293" s="23" t="str">
        <f>IF($D1293="","",IFERROR(VLOOKUP($D1293,'ACAH Consumables Tracker'!$A:$H,8,FALSE()),""))</f>
        <v/>
      </c>
      <c r="F1293" s="24"/>
      <c r="G1293" s="25" t="str">
        <f>IF($D1293="","",IFERROR(VLOOKUP($D1293,'ACAH Consumables Tracker'!$A:$D,4,FALSE()),""))</f>
        <v/>
      </c>
      <c r="H1293" s="22"/>
    </row>
    <row r="1294" spans="1:8">
      <c r="A1294" s="21"/>
      <c r="B1294" s="28"/>
      <c r="C1294" s="22"/>
      <c r="D1294" s="28"/>
      <c r="E1294" s="23" t="str">
        <f>IF($D1294="","",IFERROR(VLOOKUP($D1294,'ACAH Consumables Tracker'!$A:$H,8,FALSE()),""))</f>
        <v/>
      </c>
      <c r="F1294" s="24"/>
      <c r="G1294" s="25" t="str">
        <f>IF($D1294="","",IFERROR(VLOOKUP($D1294,'ACAH Consumables Tracker'!$A:$D,4,FALSE()),""))</f>
        <v/>
      </c>
      <c r="H1294" s="22"/>
    </row>
    <row r="1295" spans="1:8">
      <c r="A1295" s="21"/>
      <c r="B1295" s="28"/>
      <c r="C1295" s="22"/>
      <c r="D1295" s="28"/>
      <c r="E1295" s="23" t="str">
        <f>IF($D1295="","",IFERROR(VLOOKUP($D1295,'ACAH Consumables Tracker'!$A:$H,8,FALSE()),""))</f>
        <v/>
      </c>
      <c r="F1295" s="24"/>
      <c r="G1295" s="25" t="str">
        <f>IF($D1295="","",IFERROR(VLOOKUP($D1295,'ACAH Consumables Tracker'!$A:$D,4,FALSE()),""))</f>
        <v/>
      </c>
      <c r="H1295" s="22"/>
    </row>
    <row r="1296" spans="1:8">
      <c r="A1296" s="21"/>
      <c r="B1296" s="28"/>
      <c r="C1296" s="22"/>
      <c r="D1296" s="28"/>
      <c r="E1296" s="23" t="str">
        <f>IF($D1296="","",IFERROR(VLOOKUP($D1296,'ACAH Consumables Tracker'!$A:$H,8,FALSE()),""))</f>
        <v/>
      </c>
      <c r="F1296" s="24"/>
      <c r="G1296" s="25" t="str">
        <f>IF($D1296="","",IFERROR(VLOOKUP($D1296,'ACAH Consumables Tracker'!$A:$D,4,FALSE()),""))</f>
        <v/>
      </c>
      <c r="H1296" s="22"/>
    </row>
    <row r="1297" spans="1:8">
      <c r="A1297" s="21"/>
      <c r="B1297" s="28"/>
      <c r="C1297" s="22"/>
      <c r="D1297" s="28"/>
      <c r="E1297" s="23" t="str">
        <f>IF($D1297="","",IFERROR(VLOOKUP($D1297,'ACAH Consumables Tracker'!$A:$H,8,FALSE()),""))</f>
        <v/>
      </c>
      <c r="F1297" s="24"/>
      <c r="G1297" s="25" t="str">
        <f>IF($D1297="","",IFERROR(VLOOKUP($D1297,'ACAH Consumables Tracker'!$A:$D,4,FALSE()),""))</f>
        <v/>
      </c>
      <c r="H1297" s="22"/>
    </row>
    <row r="1298" spans="1:8">
      <c r="A1298" s="21"/>
      <c r="B1298" s="28"/>
      <c r="C1298" s="22"/>
      <c r="D1298" s="28"/>
      <c r="E1298" s="23" t="str">
        <f>IF($D1298="","",IFERROR(VLOOKUP($D1298,'ACAH Consumables Tracker'!$A:$H,8,FALSE()),""))</f>
        <v/>
      </c>
      <c r="F1298" s="24"/>
      <c r="G1298" s="25" t="str">
        <f>IF($D1298="","",IFERROR(VLOOKUP($D1298,'ACAH Consumables Tracker'!$A:$D,4,FALSE()),""))</f>
        <v/>
      </c>
      <c r="H1298" s="22"/>
    </row>
    <row r="1299" spans="1:8">
      <c r="A1299" s="21"/>
      <c r="B1299" s="28"/>
      <c r="C1299" s="22"/>
      <c r="D1299" s="28"/>
      <c r="E1299" s="23" t="str">
        <f>IF($D1299="","",IFERROR(VLOOKUP($D1299,'ACAH Consumables Tracker'!$A:$H,8,FALSE()),""))</f>
        <v/>
      </c>
      <c r="F1299" s="24"/>
      <c r="G1299" s="25" t="str">
        <f>IF($D1299="","",IFERROR(VLOOKUP($D1299,'ACAH Consumables Tracker'!$A:$D,4,FALSE()),""))</f>
        <v/>
      </c>
      <c r="H1299" s="22"/>
    </row>
    <row r="1300" spans="1:8">
      <c r="A1300" s="21"/>
      <c r="B1300" s="28"/>
      <c r="C1300" s="22"/>
      <c r="D1300" s="28"/>
      <c r="E1300" s="23" t="str">
        <f>IF($D1300="","",IFERROR(VLOOKUP($D1300,'ACAH Consumables Tracker'!$A:$H,8,FALSE()),""))</f>
        <v/>
      </c>
      <c r="F1300" s="24"/>
      <c r="G1300" s="25" t="str">
        <f>IF($D1300="","",IFERROR(VLOOKUP($D1300,'ACAH Consumables Tracker'!$A:$D,4,FALSE()),""))</f>
        <v/>
      </c>
      <c r="H1300" s="22"/>
    </row>
    <row r="1301" spans="1:8">
      <c r="A1301" s="21"/>
      <c r="B1301" s="28"/>
      <c r="C1301" s="22"/>
      <c r="D1301" s="28"/>
      <c r="E1301" s="23" t="str">
        <f>IF($D1301="","",IFERROR(VLOOKUP($D1301,'ACAH Consumables Tracker'!$A:$H,8,FALSE()),""))</f>
        <v/>
      </c>
      <c r="F1301" s="24"/>
      <c r="G1301" s="25" t="str">
        <f>IF($D1301="","",IFERROR(VLOOKUP($D1301,'ACAH Consumables Tracker'!$A:$D,4,FALSE()),""))</f>
        <v/>
      </c>
      <c r="H1301" s="22"/>
    </row>
    <row r="1302" spans="1:8">
      <c r="A1302" s="21"/>
      <c r="B1302" s="28"/>
      <c r="C1302" s="22"/>
      <c r="D1302" s="28"/>
      <c r="E1302" s="23" t="str">
        <f>IF($D1302="","",IFERROR(VLOOKUP($D1302,'ACAH Consumables Tracker'!$A:$H,8,FALSE()),""))</f>
        <v/>
      </c>
      <c r="F1302" s="24"/>
      <c r="G1302" s="25" t="str">
        <f>IF($D1302="","",IFERROR(VLOOKUP($D1302,'ACAH Consumables Tracker'!$A:$D,4,FALSE()),""))</f>
        <v/>
      </c>
      <c r="H1302" s="22"/>
    </row>
    <row r="1303" spans="1:8">
      <c r="A1303" s="21"/>
      <c r="B1303" s="28"/>
      <c r="C1303" s="22"/>
      <c r="D1303" s="28"/>
      <c r="E1303" s="23" t="str">
        <f>IF($D1303="","",IFERROR(VLOOKUP($D1303,'ACAH Consumables Tracker'!$A:$H,8,FALSE()),""))</f>
        <v/>
      </c>
      <c r="F1303" s="24"/>
      <c r="G1303" s="25" t="str">
        <f>IF($D1303="","",IFERROR(VLOOKUP($D1303,'ACAH Consumables Tracker'!$A:$D,4,FALSE()),""))</f>
        <v/>
      </c>
      <c r="H1303" s="22"/>
    </row>
    <row r="1304" spans="1:8">
      <c r="A1304" s="21"/>
      <c r="B1304" s="28"/>
      <c r="C1304" s="22"/>
      <c r="D1304" s="28"/>
      <c r="E1304" s="23" t="str">
        <f>IF($D1304="","",IFERROR(VLOOKUP($D1304,'ACAH Consumables Tracker'!$A:$H,8,FALSE()),""))</f>
        <v/>
      </c>
      <c r="F1304" s="24"/>
      <c r="G1304" s="25" t="str">
        <f>IF($D1304="","",IFERROR(VLOOKUP($D1304,'ACAH Consumables Tracker'!$A:$D,4,FALSE()),""))</f>
        <v/>
      </c>
      <c r="H1304" s="22"/>
    </row>
    <row r="1305" spans="1:8">
      <c r="A1305" s="21"/>
      <c r="B1305" s="28"/>
      <c r="C1305" s="22"/>
      <c r="D1305" s="28"/>
      <c r="E1305" s="23" t="str">
        <f>IF($D1305="","",IFERROR(VLOOKUP($D1305,'ACAH Consumables Tracker'!$A:$H,8,FALSE()),""))</f>
        <v/>
      </c>
      <c r="F1305" s="24"/>
      <c r="G1305" s="25" t="str">
        <f>IF($D1305="","",IFERROR(VLOOKUP($D1305,'ACAH Consumables Tracker'!$A:$D,4,FALSE()),""))</f>
        <v/>
      </c>
      <c r="H1305" s="22"/>
    </row>
    <row r="1306" spans="1:8">
      <c r="A1306" s="21"/>
      <c r="B1306" s="28"/>
      <c r="C1306" s="22"/>
      <c r="D1306" s="28"/>
      <c r="E1306" s="23" t="str">
        <f>IF($D1306="","",IFERROR(VLOOKUP($D1306,'ACAH Consumables Tracker'!$A:$H,8,FALSE()),""))</f>
        <v/>
      </c>
      <c r="F1306" s="24"/>
      <c r="G1306" s="25" t="str">
        <f>IF($D1306="","",IFERROR(VLOOKUP($D1306,'ACAH Consumables Tracker'!$A:$D,4,FALSE()),""))</f>
        <v/>
      </c>
      <c r="H1306" s="22"/>
    </row>
    <row r="1307" spans="1:8">
      <c r="A1307" s="21"/>
      <c r="B1307" s="28"/>
      <c r="C1307" s="22"/>
      <c r="D1307" s="28"/>
      <c r="E1307" s="23" t="str">
        <f>IF($D1307="","",IFERROR(VLOOKUP($D1307,'ACAH Consumables Tracker'!$A:$H,8,FALSE()),""))</f>
        <v/>
      </c>
      <c r="F1307" s="24"/>
      <c r="G1307" s="25" t="str">
        <f>IF($D1307="","",IFERROR(VLOOKUP($D1307,'ACAH Consumables Tracker'!$A:$D,4,FALSE()),""))</f>
        <v/>
      </c>
      <c r="H1307" s="22"/>
    </row>
    <row r="1308" spans="1:8">
      <c r="A1308" s="21"/>
      <c r="B1308" s="28"/>
      <c r="C1308" s="22"/>
      <c r="D1308" s="28"/>
      <c r="E1308" s="23" t="str">
        <f>IF($D1308="","",IFERROR(VLOOKUP($D1308,'ACAH Consumables Tracker'!$A:$H,8,FALSE()),""))</f>
        <v/>
      </c>
      <c r="F1308" s="24"/>
      <c r="G1308" s="25" t="str">
        <f>IF($D1308="","",IFERROR(VLOOKUP($D1308,'ACAH Consumables Tracker'!$A:$D,4,FALSE()),""))</f>
        <v/>
      </c>
      <c r="H1308" s="22"/>
    </row>
    <row r="1309" spans="1:8">
      <c r="A1309" s="21"/>
      <c r="B1309" s="28"/>
      <c r="C1309" s="22"/>
      <c r="D1309" s="28"/>
      <c r="E1309" s="23" t="str">
        <f>IF($D1309="","",IFERROR(VLOOKUP($D1309,'ACAH Consumables Tracker'!$A:$H,8,FALSE()),""))</f>
        <v/>
      </c>
      <c r="F1309" s="24"/>
      <c r="G1309" s="25" t="str">
        <f>IF($D1309="","",IFERROR(VLOOKUP($D1309,'ACAH Consumables Tracker'!$A:$D,4,FALSE()),""))</f>
        <v/>
      </c>
      <c r="H1309" s="22"/>
    </row>
    <row r="1310" spans="1:8">
      <c r="A1310" s="21"/>
      <c r="B1310" s="28"/>
      <c r="C1310" s="22"/>
      <c r="D1310" s="28"/>
      <c r="E1310" s="23" t="str">
        <f>IF($D1310="","",IFERROR(VLOOKUP($D1310,'ACAH Consumables Tracker'!$A:$H,8,FALSE()),""))</f>
        <v/>
      </c>
      <c r="F1310" s="24"/>
      <c r="G1310" s="25" t="str">
        <f>IF($D1310="","",IFERROR(VLOOKUP($D1310,'ACAH Consumables Tracker'!$A:$D,4,FALSE()),""))</f>
        <v/>
      </c>
      <c r="H1310" s="22"/>
    </row>
    <row r="1311" spans="1:8">
      <c r="A1311" s="21"/>
      <c r="B1311" s="28"/>
      <c r="C1311" s="22"/>
      <c r="D1311" s="28"/>
      <c r="E1311" s="23" t="str">
        <f>IF($D1311="","",IFERROR(VLOOKUP($D1311,'ACAH Consumables Tracker'!$A:$H,8,FALSE()),""))</f>
        <v/>
      </c>
      <c r="F1311" s="24"/>
      <c r="G1311" s="25" t="str">
        <f>IF($D1311="","",IFERROR(VLOOKUP($D1311,'ACAH Consumables Tracker'!$A:$D,4,FALSE()),""))</f>
        <v/>
      </c>
      <c r="H1311" s="22"/>
    </row>
    <row r="1312" spans="1:8">
      <c r="A1312" s="21"/>
      <c r="B1312" s="28"/>
      <c r="C1312" s="22"/>
      <c r="D1312" s="28"/>
      <c r="E1312" s="23" t="str">
        <f>IF($D1312="","",IFERROR(VLOOKUP($D1312,'ACAH Consumables Tracker'!$A:$H,8,FALSE()),""))</f>
        <v/>
      </c>
      <c r="F1312" s="24"/>
      <c r="G1312" s="25" t="str">
        <f>IF($D1312="","",IFERROR(VLOOKUP($D1312,'ACAH Consumables Tracker'!$A:$D,4,FALSE()),""))</f>
        <v/>
      </c>
      <c r="H1312" s="22"/>
    </row>
    <row r="1313" spans="1:8">
      <c r="A1313" s="21"/>
      <c r="B1313" s="28"/>
      <c r="C1313" s="22"/>
      <c r="D1313" s="28"/>
      <c r="E1313" s="23" t="str">
        <f>IF($D1313="","",IFERROR(VLOOKUP($D1313,'ACAH Consumables Tracker'!$A:$H,8,FALSE()),""))</f>
        <v/>
      </c>
      <c r="F1313" s="24"/>
      <c r="G1313" s="25" t="str">
        <f>IF($D1313="","",IFERROR(VLOOKUP($D1313,'ACAH Consumables Tracker'!$A:$D,4,FALSE()),""))</f>
        <v/>
      </c>
      <c r="H1313" s="22"/>
    </row>
    <row r="1314" spans="1:8">
      <c r="A1314" s="21"/>
      <c r="B1314" s="28"/>
      <c r="C1314" s="22"/>
      <c r="D1314" s="28"/>
      <c r="E1314" s="23" t="str">
        <f>IF($D1314="","",IFERROR(VLOOKUP($D1314,'ACAH Consumables Tracker'!$A:$H,8,FALSE()),""))</f>
        <v/>
      </c>
      <c r="F1314" s="24"/>
      <c r="G1314" s="25" t="str">
        <f>IF($D1314="","",IFERROR(VLOOKUP($D1314,'ACAH Consumables Tracker'!$A:$D,4,FALSE()),""))</f>
        <v/>
      </c>
      <c r="H1314" s="22"/>
    </row>
    <row r="1315" spans="1:8">
      <c r="A1315" s="21"/>
      <c r="B1315" s="28"/>
      <c r="C1315" s="22"/>
      <c r="D1315" s="28"/>
      <c r="E1315" s="23" t="str">
        <f>IF($D1315="","",IFERROR(VLOOKUP($D1315,'ACAH Consumables Tracker'!$A:$H,8,FALSE()),""))</f>
        <v/>
      </c>
      <c r="F1315" s="24"/>
      <c r="G1315" s="25" t="str">
        <f>IF($D1315="","",IFERROR(VLOOKUP($D1315,'ACAH Consumables Tracker'!$A:$D,4,FALSE()),""))</f>
        <v/>
      </c>
      <c r="H1315" s="22"/>
    </row>
    <row r="1316" spans="1:8">
      <c r="A1316" s="21"/>
      <c r="B1316" s="28"/>
      <c r="C1316" s="22"/>
      <c r="D1316" s="28"/>
      <c r="E1316" s="23" t="str">
        <f>IF($D1316="","",IFERROR(VLOOKUP($D1316,'ACAH Consumables Tracker'!$A:$H,8,FALSE()),""))</f>
        <v/>
      </c>
      <c r="F1316" s="24"/>
      <c r="G1316" s="25" t="str">
        <f>IF($D1316="","",IFERROR(VLOOKUP($D1316,'ACAH Consumables Tracker'!$A:$D,4,FALSE()),""))</f>
        <v/>
      </c>
      <c r="H1316" s="22"/>
    </row>
    <row r="1317" spans="1:8">
      <c r="A1317" s="21"/>
      <c r="B1317" s="28"/>
      <c r="C1317" s="22"/>
      <c r="D1317" s="28"/>
      <c r="E1317" s="23" t="str">
        <f>IF($D1317="","",IFERROR(VLOOKUP($D1317,'ACAH Consumables Tracker'!$A:$H,8,FALSE()),""))</f>
        <v/>
      </c>
      <c r="F1317" s="24"/>
      <c r="G1317" s="25" t="str">
        <f>IF($D1317="","",IFERROR(VLOOKUP($D1317,'ACAH Consumables Tracker'!$A:$D,4,FALSE()),""))</f>
        <v/>
      </c>
      <c r="H1317" s="22"/>
    </row>
    <row r="1318" spans="1:8">
      <c r="A1318" s="21"/>
      <c r="B1318" s="28"/>
      <c r="C1318" s="22"/>
      <c r="D1318" s="28"/>
      <c r="E1318" s="23" t="str">
        <f>IF($D1318="","",IFERROR(VLOOKUP($D1318,'ACAH Consumables Tracker'!$A:$H,8,FALSE()),""))</f>
        <v/>
      </c>
      <c r="F1318" s="24"/>
      <c r="G1318" s="25" t="str">
        <f>IF($D1318="","",IFERROR(VLOOKUP($D1318,'ACAH Consumables Tracker'!$A:$D,4,FALSE()),""))</f>
        <v/>
      </c>
      <c r="H1318" s="22"/>
    </row>
    <row r="1319" spans="1:8">
      <c r="A1319" s="21"/>
      <c r="B1319" s="28"/>
      <c r="C1319" s="22"/>
      <c r="D1319" s="28"/>
      <c r="E1319" s="23" t="str">
        <f>IF($D1319="","",IFERROR(VLOOKUP($D1319,'ACAH Consumables Tracker'!$A:$H,8,FALSE()),""))</f>
        <v/>
      </c>
      <c r="F1319" s="24"/>
      <c r="G1319" s="25" t="str">
        <f>IF($D1319="","",IFERROR(VLOOKUP($D1319,'ACAH Consumables Tracker'!$A:$D,4,FALSE()),""))</f>
        <v/>
      </c>
      <c r="H1319" s="22"/>
    </row>
    <row r="1320" spans="1:8">
      <c r="A1320" s="21"/>
      <c r="B1320" s="28"/>
      <c r="C1320" s="22"/>
      <c r="D1320" s="28"/>
      <c r="E1320" s="23" t="str">
        <f>IF($D1320="","",IFERROR(VLOOKUP($D1320,'ACAH Consumables Tracker'!$A:$H,8,FALSE()),""))</f>
        <v/>
      </c>
      <c r="F1320" s="24"/>
      <c r="G1320" s="25" t="str">
        <f>IF($D1320="","",IFERROR(VLOOKUP($D1320,'ACAH Consumables Tracker'!$A:$D,4,FALSE()),""))</f>
        <v/>
      </c>
      <c r="H1320" s="22"/>
    </row>
    <row r="1321" spans="1:8">
      <c r="A1321" s="21"/>
      <c r="B1321" s="28"/>
      <c r="C1321" s="22"/>
      <c r="D1321" s="28"/>
      <c r="E1321" s="23" t="str">
        <f>IF($D1321="","",IFERROR(VLOOKUP($D1321,'ACAH Consumables Tracker'!$A:$H,8,FALSE()),""))</f>
        <v/>
      </c>
      <c r="F1321" s="24"/>
      <c r="G1321" s="25" t="str">
        <f>IF($D1321="","",IFERROR(VLOOKUP($D1321,'ACAH Consumables Tracker'!$A:$D,4,FALSE()),""))</f>
        <v/>
      </c>
      <c r="H1321" s="22"/>
    </row>
    <row r="1322" spans="1:8">
      <c r="A1322" s="21"/>
      <c r="B1322" s="28"/>
      <c r="C1322" s="22"/>
      <c r="D1322" s="28"/>
      <c r="E1322" s="23" t="str">
        <f>IF($D1322="","",IFERROR(VLOOKUP($D1322,'ACAH Consumables Tracker'!$A:$H,8,FALSE()),""))</f>
        <v/>
      </c>
      <c r="F1322" s="24"/>
      <c r="G1322" s="25" t="str">
        <f>IF($D1322="","",IFERROR(VLOOKUP($D1322,'ACAH Consumables Tracker'!$A:$D,4,FALSE()),""))</f>
        <v/>
      </c>
      <c r="H1322" s="22"/>
    </row>
    <row r="1323" spans="1:8">
      <c r="A1323" s="21"/>
      <c r="B1323" s="28"/>
      <c r="C1323" s="22"/>
      <c r="D1323" s="28"/>
      <c r="E1323" s="23" t="str">
        <f>IF($D1323="","",IFERROR(VLOOKUP($D1323,'ACAH Consumables Tracker'!$A:$H,8,FALSE()),""))</f>
        <v/>
      </c>
      <c r="F1323" s="24"/>
      <c r="G1323" s="25" t="str">
        <f>IF($D1323="","",IFERROR(VLOOKUP($D1323,'ACAH Consumables Tracker'!$A:$D,4,FALSE()),""))</f>
        <v/>
      </c>
      <c r="H1323" s="22"/>
    </row>
    <row r="1324" spans="1:8">
      <c r="A1324" s="21"/>
      <c r="B1324" s="28"/>
      <c r="C1324" s="22"/>
      <c r="D1324" s="28"/>
      <c r="E1324" s="23" t="str">
        <f>IF($D1324="","",IFERROR(VLOOKUP($D1324,'ACAH Consumables Tracker'!$A:$H,8,FALSE()),""))</f>
        <v/>
      </c>
      <c r="F1324" s="24"/>
      <c r="G1324" s="25" t="str">
        <f>IF($D1324="","",IFERROR(VLOOKUP($D1324,'ACAH Consumables Tracker'!$A:$D,4,FALSE()),""))</f>
        <v/>
      </c>
      <c r="H1324" s="22"/>
    </row>
    <row r="1325" spans="1:8">
      <c r="A1325" s="21"/>
      <c r="B1325" s="28"/>
      <c r="C1325" s="22"/>
      <c r="D1325" s="28"/>
      <c r="E1325" s="23" t="str">
        <f>IF($D1325="","",IFERROR(VLOOKUP($D1325,'ACAH Consumables Tracker'!$A:$H,8,FALSE()),""))</f>
        <v/>
      </c>
      <c r="F1325" s="24"/>
      <c r="G1325" s="25" t="str">
        <f>IF($D1325="","",IFERROR(VLOOKUP($D1325,'ACAH Consumables Tracker'!$A:$D,4,FALSE()),""))</f>
        <v/>
      </c>
      <c r="H1325" s="22"/>
    </row>
    <row r="1326" spans="1:8">
      <c r="A1326" s="21"/>
      <c r="B1326" s="28"/>
      <c r="C1326" s="22"/>
      <c r="D1326" s="28"/>
      <c r="E1326" s="23" t="str">
        <f>IF($D1326="","",IFERROR(VLOOKUP($D1326,'ACAH Consumables Tracker'!$A:$H,8,FALSE()),""))</f>
        <v/>
      </c>
      <c r="F1326" s="24"/>
      <c r="G1326" s="25" t="str">
        <f>IF($D1326="","",IFERROR(VLOOKUP($D1326,'ACAH Consumables Tracker'!$A:$D,4,FALSE()),""))</f>
        <v/>
      </c>
      <c r="H1326" s="22"/>
    </row>
    <row r="1327" spans="1:8">
      <c r="A1327" s="21"/>
      <c r="B1327" s="28"/>
      <c r="C1327" s="22"/>
      <c r="D1327" s="28"/>
      <c r="E1327" s="23" t="str">
        <f>IF($D1327="","",IFERROR(VLOOKUP($D1327,'ACAH Consumables Tracker'!$A:$H,8,FALSE()),""))</f>
        <v/>
      </c>
      <c r="F1327" s="24"/>
      <c r="G1327" s="25" t="str">
        <f>IF($D1327="","",IFERROR(VLOOKUP($D1327,'ACAH Consumables Tracker'!$A:$D,4,FALSE()),""))</f>
        <v/>
      </c>
      <c r="H1327" s="22"/>
    </row>
    <row r="1328" spans="1:8">
      <c r="A1328" s="21"/>
      <c r="B1328" s="28"/>
      <c r="C1328" s="22"/>
      <c r="D1328" s="28"/>
      <c r="E1328" s="23" t="str">
        <f>IF($D1328="","",IFERROR(VLOOKUP($D1328,'ACAH Consumables Tracker'!$A:$H,8,FALSE()),""))</f>
        <v/>
      </c>
      <c r="F1328" s="24"/>
      <c r="G1328" s="25" t="str">
        <f>IF($D1328="","",IFERROR(VLOOKUP($D1328,'ACAH Consumables Tracker'!$A:$D,4,FALSE()),""))</f>
        <v/>
      </c>
      <c r="H1328" s="22"/>
    </row>
    <row r="1329" spans="1:8">
      <c r="A1329" s="21"/>
      <c r="B1329" s="28"/>
      <c r="C1329" s="22"/>
      <c r="D1329" s="28"/>
      <c r="E1329" s="23" t="str">
        <f>IF($D1329="","",IFERROR(VLOOKUP($D1329,'ACAH Consumables Tracker'!$A:$H,8,FALSE()),""))</f>
        <v/>
      </c>
      <c r="F1329" s="24"/>
      <c r="G1329" s="25" t="str">
        <f>IF($D1329="","",IFERROR(VLOOKUP($D1329,'ACAH Consumables Tracker'!$A:$D,4,FALSE()),""))</f>
        <v/>
      </c>
      <c r="H1329" s="22"/>
    </row>
    <row r="1330" spans="1:8">
      <c r="A1330" s="21"/>
      <c r="B1330" s="28"/>
      <c r="C1330" s="22"/>
      <c r="D1330" s="28"/>
      <c r="E1330" s="23" t="str">
        <f>IF($D1330="","",IFERROR(VLOOKUP($D1330,'ACAH Consumables Tracker'!$A:$H,8,FALSE()),""))</f>
        <v/>
      </c>
      <c r="F1330" s="24"/>
      <c r="G1330" s="25" t="str">
        <f>IF($D1330="","",IFERROR(VLOOKUP($D1330,'ACAH Consumables Tracker'!$A:$D,4,FALSE()),""))</f>
        <v/>
      </c>
      <c r="H1330" s="22"/>
    </row>
    <row r="1331" spans="1:8">
      <c r="A1331" s="21"/>
      <c r="B1331" s="28"/>
      <c r="C1331" s="22"/>
      <c r="D1331" s="28"/>
      <c r="E1331" s="23" t="str">
        <f>IF($D1331="","",IFERROR(VLOOKUP($D1331,'ACAH Consumables Tracker'!$A:$H,8,FALSE()),""))</f>
        <v/>
      </c>
      <c r="F1331" s="24"/>
      <c r="G1331" s="25" t="str">
        <f>IF($D1331="","",IFERROR(VLOOKUP($D1331,'ACAH Consumables Tracker'!$A:$D,4,FALSE()),""))</f>
        <v/>
      </c>
      <c r="H1331" s="22"/>
    </row>
    <row r="1332" spans="1:8">
      <c r="A1332" s="21"/>
      <c r="B1332" s="28"/>
      <c r="C1332" s="22"/>
      <c r="D1332" s="28"/>
      <c r="E1332" s="23" t="str">
        <f>IF($D1332="","",IFERROR(VLOOKUP($D1332,'ACAH Consumables Tracker'!$A:$H,8,FALSE()),""))</f>
        <v/>
      </c>
      <c r="F1332" s="24"/>
      <c r="G1332" s="25" t="str">
        <f>IF($D1332="","",IFERROR(VLOOKUP($D1332,'ACAH Consumables Tracker'!$A:$D,4,FALSE()),""))</f>
        <v/>
      </c>
      <c r="H1332" s="22"/>
    </row>
    <row r="1333" spans="1:8">
      <c r="A1333" s="21"/>
      <c r="B1333" s="28"/>
      <c r="C1333" s="22"/>
      <c r="D1333" s="28"/>
      <c r="E1333" s="23" t="str">
        <f>IF($D1333="","",IFERROR(VLOOKUP($D1333,'ACAH Consumables Tracker'!$A:$H,8,FALSE()),""))</f>
        <v/>
      </c>
      <c r="F1333" s="24"/>
      <c r="G1333" s="25" t="str">
        <f>IF($D1333="","",IFERROR(VLOOKUP($D1333,'ACAH Consumables Tracker'!$A:$D,4,FALSE()),""))</f>
        <v/>
      </c>
      <c r="H1333" s="22"/>
    </row>
    <row r="1334" spans="1:8">
      <c r="A1334" s="21"/>
      <c r="B1334" s="28"/>
      <c r="C1334" s="22"/>
      <c r="D1334" s="28"/>
      <c r="E1334" s="23" t="str">
        <f>IF($D1334="","",IFERROR(VLOOKUP($D1334,'ACAH Consumables Tracker'!$A:$H,8,FALSE()),""))</f>
        <v/>
      </c>
      <c r="F1334" s="24"/>
      <c r="G1334" s="25" t="str">
        <f>IF($D1334="","",IFERROR(VLOOKUP($D1334,'ACAH Consumables Tracker'!$A:$D,4,FALSE()),""))</f>
        <v/>
      </c>
      <c r="H1334" s="22"/>
    </row>
    <row r="1335" spans="1:8">
      <c r="A1335" s="21"/>
      <c r="B1335" s="28"/>
      <c r="C1335" s="22"/>
      <c r="D1335" s="28"/>
      <c r="E1335" s="23" t="str">
        <f>IF($D1335="","",IFERROR(VLOOKUP($D1335,'ACAH Consumables Tracker'!$A:$H,8,FALSE()),""))</f>
        <v/>
      </c>
      <c r="F1335" s="24"/>
      <c r="G1335" s="25" t="str">
        <f>IF($D1335="","",IFERROR(VLOOKUP($D1335,'ACAH Consumables Tracker'!$A:$D,4,FALSE()),""))</f>
        <v/>
      </c>
      <c r="H1335" s="22"/>
    </row>
    <row r="1336" spans="1:8">
      <c r="A1336" s="21"/>
      <c r="B1336" s="28"/>
      <c r="C1336" s="22"/>
      <c r="D1336" s="28"/>
      <c r="E1336" s="23" t="str">
        <f>IF($D1336="","",IFERROR(VLOOKUP($D1336,'ACAH Consumables Tracker'!$A:$H,8,FALSE()),""))</f>
        <v/>
      </c>
      <c r="F1336" s="24"/>
      <c r="G1336" s="25" t="str">
        <f>IF($D1336="","",IFERROR(VLOOKUP($D1336,'ACAH Consumables Tracker'!$A:$D,4,FALSE()),""))</f>
        <v/>
      </c>
      <c r="H1336" s="22"/>
    </row>
    <row r="1337" spans="1:8">
      <c r="A1337" s="21"/>
      <c r="B1337" s="28"/>
      <c r="C1337" s="22"/>
      <c r="D1337" s="28"/>
      <c r="E1337" s="23" t="str">
        <f>IF($D1337="","",IFERROR(VLOOKUP($D1337,'ACAH Consumables Tracker'!$A:$H,8,FALSE()),""))</f>
        <v/>
      </c>
      <c r="F1337" s="24"/>
      <c r="G1337" s="25" t="str">
        <f>IF($D1337="","",IFERROR(VLOOKUP($D1337,'ACAH Consumables Tracker'!$A:$D,4,FALSE()),""))</f>
        <v/>
      </c>
      <c r="H1337" s="22"/>
    </row>
    <row r="1338" spans="1:8">
      <c r="A1338" s="21"/>
      <c r="B1338" s="28"/>
      <c r="C1338" s="22"/>
      <c r="D1338" s="28"/>
      <c r="E1338" s="23" t="str">
        <f>IF($D1338="","",IFERROR(VLOOKUP($D1338,'ACAH Consumables Tracker'!$A:$H,8,FALSE()),""))</f>
        <v/>
      </c>
      <c r="F1338" s="24"/>
      <c r="G1338" s="25" t="str">
        <f>IF($D1338="","",IFERROR(VLOOKUP($D1338,'ACAH Consumables Tracker'!$A:$D,4,FALSE()),""))</f>
        <v/>
      </c>
      <c r="H1338" s="22"/>
    </row>
    <row r="1339" spans="1:8">
      <c r="A1339" s="21"/>
      <c r="B1339" s="28"/>
      <c r="C1339" s="22"/>
      <c r="D1339" s="28"/>
      <c r="E1339" s="23" t="str">
        <f>IF($D1339="","",IFERROR(VLOOKUP($D1339,'ACAH Consumables Tracker'!$A:$H,8,FALSE()),""))</f>
        <v/>
      </c>
      <c r="F1339" s="24"/>
      <c r="G1339" s="25" t="str">
        <f>IF($D1339="","",IFERROR(VLOOKUP($D1339,'ACAH Consumables Tracker'!$A:$D,4,FALSE()),""))</f>
        <v/>
      </c>
      <c r="H1339" s="22"/>
    </row>
    <row r="1340" spans="1:8">
      <c r="A1340" s="21"/>
      <c r="B1340" s="28"/>
      <c r="C1340" s="22"/>
      <c r="D1340" s="28"/>
      <c r="E1340" s="23" t="str">
        <f>IF($D1340="","",IFERROR(VLOOKUP($D1340,'ACAH Consumables Tracker'!$A:$H,8,FALSE()),""))</f>
        <v/>
      </c>
      <c r="F1340" s="24"/>
      <c r="G1340" s="25" t="str">
        <f>IF($D1340="","",IFERROR(VLOOKUP($D1340,'ACAH Consumables Tracker'!$A:$D,4,FALSE()),""))</f>
        <v/>
      </c>
      <c r="H1340" s="22"/>
    </row>
    <row r="1341" spans="1:8">
      <c r="A1341" s="21"/>
      <c r="B1341" s="28"/>
      <c r="C1341" s="22"/>
      <c r="D1341" s="28"/>
      <c r="E1341" s="23" t="str">
        <f>IF($D1341="","",IFERROR(VLOOKUP($D1341,'ACAH Consumables Tracker'!$A:$H,8,FALSE()),""))</f>
        <v/>
      </c>
      <c r="F1341" s="24"/>
      <c r="G1341" s="25" t="str">
        <f>IF($D1341="","",IFERROR(VLOOKUP($D1341,'ACAH Consumables Tracker'!$A:$D,4,FALSE()),""))</f>
        <v/>
      </c>
      <c r="H1341" s="22"/>
    </row>
    <row r="1342" spans="1:8">
      <c r="A1342" s="21"/>
      <c r="B1342" s="28"/>
      <c r="C1342" s="22"/>
      <c r="D1342" s="28"/>
      <c r="E1342" s="23" t="str">
        <f>IF($D1342="","",IFERROR(VLOOKUP($D1342,'ACAH Consumables Tracker'!$A:$H,8,FALSE()),""))</f>
        <v/>
      </c>
      <c r="F1342" s="24"/>
      <c r="G1342" s="25" t="str">
        <f>IF($D1342="","",IFERROR(VLOOKUP($D1342,'ACAH Consumables Tracker'!$A:$D,4,FALSE()),""))</f>
        <v/>
      </c>
      <c r="H1342" s="22"/>
    </row>
    <row r="1343" spans="1:8">
      <c r="A1343" s="21"/>
      <c r="B1343" s="28"/>
      <c r="C1343" s="22"/>
      <c r="D1343" s="28"/>
      <c r="E1343" s="23" t="str">
        <f>IF($D1343="","",IFERROR(VLOOKUP($D1343,'ACAH Consumables Tracker'!$A:$H,8,FALSE()),""))</f>
        <v/>
      </c>
      <c r="F1343" s="24"/>
      <c r="G1343" s="25" t="str">
        <f>IF($D1343="","",IFERROR(VLOOKUP($D1343,'ACAH Consumables Tracker'!$A:$D,4,FALSE()),""))</f>
        <v/>
      </c>
      <c r="H1343" s="22"/>
    </row>
    <row r="1344" spans="1:8">
      <c r="A1344" s="21"/>
      <c r="B1344" s="28"/>
      <c r="C1344" s="22"/>
      <c r="D1344" s="28"/>
      <c r="E1344" s="23" t="str">
        <f>IF($D1344="","",IFERROR(VLOOKUP($D1344,'ACAH Consumables Tracker'!$A:$H,8,FALSE()),""))</f>
        <v/>
      </c>
      <c r="F1344" s="24"/>
      <c r="G1344" s="25" t="str">
        <f>IF($D1344="","",IFERROR(VLOOKUP($D1344,'ACAH Consumables Tracker'!$A:$D,4,FALSE()),""))</f>
        <v/>
      </c>
      <c r="H1344" s="22"/>
    </row>
    <row r="1345" spans="1:8">
      <c r="A1345" s="21"/>
      <c r="B1345" s="28"/>
      <c r="C1345" s="22"/>
      <c r="D1345" s="28"/>
      <c r="E1345" s="23" t="str">
        <f>IF($D1345="","",IFERROR(VLOOKUP($D1345,'ACAH Consumables Tracker'!$A:$H,8,FALSE()),""))</f>
        <v/>
      </c>
      <c r="F1345" s="24"/>
      <c r="G1345" s="25" t="str">
        <f>IF($D1345="","",IFERROR(VLOOKUP($D1345,'ACAH Consumables Tracker'!$A:$D,4,FALSE()),""))</f>
        <v/>
      </c>
      <c r="H1345" s="22"/>
    </row>
    <row r="1346" spans="1:8">
      <c r="A1346" s="21"/>
      <c r="B1346" s="28"/>
      <c r="C1346" s="22"/>
      <c r="D1346" s="28"/>
      <c r="E1346" s="23" t="str">
        <f>IF($D1346="","",IFERROR(VLOOKUP($D1346,'ACAH Consumables Tracker'!$A:$H,8,FALSE()),""))</f>
        <v/>
      </c>
      <c r="F1346" s="24"/>
      <c r="G1346" s="25" t="str">
        <f>IF($D1346="","",IFERROR(VLOOKUP($D1346,'ACAH Consumables Tracker'!$A:$D,4,FALSE()),""))</f>
        <v/>
      </c>
      <c r="H1346" s="22"/>
    </row>
    <row r="1347" spans="1:8">
      <c r="A1347" s="21"/>
      <c r="B1347" s="28"/>
      <c r="C1347" s="22"/>
      <c r="D1347" s="28"/>
      <c r="E1347" s="23" t="str">
        <f>IF($D1347="","",IFERROR(VLOOKUP($D1347,'ACAH Consumables Tracker'!$A:$H,8,FALSE()),""))</f>
        <v/>
      </c>
      <c r="F1347" s="24"/>
      <c r="G1347" s="25" t="str">
        <f>IF($D1347="","",IFERROR(VLOOKUP($D1347,'ACAH Consumables Tracker'!$A:$D,4,FALSE()),""))</f>
        <v/>
      </c>
      <c r="H1347" s="22"/>
    </row>
    <row r="1348" spans="1:8">
      <c r="A1348" s="21"/>
      <c r="B1348" s="28"/>
      <c r="C1348" s="22"/>
      <c r="D1348" s="28"/>
      <c r="E1348" s="23" t="str">
        <f>IF($D1348="","",IFERROR(VLOOKUP($D1348,'ACAH Consumables Tracker'!$A:$H,8,FALSE()),""))</f>
        <v/>
      </c>
      <c r="F1348" s="24"/>
      <c r="G1348" s="25" t="str">
        <f>IF($D1348="","",IFERROR(VLOOKUP($D1348,'ACAH Consumables Tracker'!$A:$D,4,FALSE()),""))</f>
        <v/>
      </c>
      <c r="H1348" s="22"/>
    </row>
    <row r="1349" spans="1:8">
      <c r="A1349" s="21"/>
      <c r="B1349" s="28"/>
      <c r="C1349" s="22"/>
      <c r="D1349" s="28"/>
      <c r="E1349" s="23" t="str">
        <f>IF($D1349="","",IFERROR(VLOOKUP($D1349,'ACAH Consumables Tracker'!$A:$H,8,FALSE()),""))</f>
        <v/>
      </c>
      <c r="F1349" s="24"/>
      <c r="G1349" s="25" t="str">
        <f>IF($D1349="","",IFERROR(VLOOKUP($D1349,'ACAH Consumables Tracker'!$A:$D,4,FALSE()),""))</f>
        <v/>
      </c>
      <c r="H1349" s="22"/>
    </row>
    <row r="1350" spans="1:8">
      <c r="A1350" s="21"/>
      <c r="B1350" s="28"/>
      <c r="C1350" s="22"/>
      <c r="D1350" s="28"/>
      <c r="E1350" s="23" t="str">
        <f>IF($D1350="","",IFERROR(VLOOKUP($D1350,'ACAH Consumables Tracker'!$A:$H,8,FALSE()),""))</f>
        <v/>
      </c>
      <c r="F1350" s="24"/>
      <c r="G1350" s="25" t="str">
        <f>IF($D1350="","",IFERROR(VLOOKUP($D1350,'ACAH Consumables Tracker'!$A:$D,4,FALSE()),""))</f>
        <v/>
      </c>
      <c r="H1350" s="22"/>
    </row>
    <row r="1351" spans="1:8">
      <c r="A1351" s="21"/>
      <c r="B1351" s="28"/>
      <c r="C1351" s="22"/>
      <c r="D1351" s="28"/>
      <c r="E1351" s="23" t="str">
        <f>IF($D1351="","",IFERROR(VLOOKUP($D1351,'ACAH Consumables Tracker'!$A:$H,8,FALSE()),""))</f>
        <v/>
      </c>
      <c r="F1351" s="24"/>
      <c r="G1351" s="25" t="str">
        <f>IF($D1351="","",IFERROR(VLOOKUP($D1351,'ACAH Consumables Tracker'!$A:$D,4,FALSE()),""))</f>
        <v/>
      </c>
      <c r="H1351" s="22"/>
    </row>
    <row r="1352" spans="1:8">
      <c r="A1352" s="21"/>
      <c r="B1352" s="28"/>
      <c r="C1352" s="22"/>
      <c r="D1352" s="28"/>
      <c r="E1352" s="23" t="str">
        <f>IF($D1352="","",IFERROR(VLOOKUP($D1352,'ACAH Consumables Tracker'!$A:$H,8,FALSE()),""))</f>
        <v/>
      </c>
      <c r="F1352" s="24"/>
      <c r="G1352" s="25" t="str">
        <f>IF($D1352="","",IFERROR(VLOOKUP($D1352,'ACAH Consumables Tracker'!$A:$D,4,FALSE()),""))</f>
        <v/>
      </c>
      <c r="H1352" s="22"/>
    </row>
    <row r="1353" spans="1:8">
      <c r="A1353" s="21"/>
      <c r="B1353" s="28"/>
      <c r="C1353" s="22"/>
      <c r="D1353" s="28"/>
      <c r="E1353" s="23" t="str">
        <f>IF($D1353="","",IFERROR(VLOOKUP($D1353,'ACAH Consumables Tracker'!$A:$H,8,FALSE()),""))</f>
        <v/>
      </c>
      <c r="F1353" s="24"/>
      <c r="G1353" s="25" t="str">
        <f>IF($D1353="","",IFERROR(VLOOKUP($D1353,'ACAH Consumables Tracker'!$A:$D,4,FALSE()),""))</f>
        <v/>
      </c>
      <c r="H1353" s="22"/>
    </row>
    <row r="1354" spans="1:8">
      <c r="A1354" s="21"/>
      <c r="B1354" s="28"/>
      <c r="C1354" s="22"/>
      <c r="D1354" s="28"/>
      <c r="E1354" s="23" t="str">
        <f>IF($D1354="","",IFERROR(VLOOKUP($D1354,'ACAH Consumables Tracker'!$A:$H,8,FALSE()),""))</f>
        <v/>
      </c>
      <c r="F1354" s="24"/>
      <c r="G1354" s="25" t="str">
        <f>IF($D1354="","",IFERROR(VLOOKUP($D1354,'ACAH Consumables Tracker'!$A:$D,4,FALSE()),""))</f>
        <v/>
      </c>
      <c r="H1354" s="22"/>
    </row>
    <row r="1355" spans="1:8">
      <c r="A1355" s="21"/>
      <c r="B1355" s="28"/>
      <c r="C1355" s="22"/>
      <c r="D1355" s="28"/>
      <c r="E1355" s="23" t="str">
        <f>IF($D1355="","",IFERROR(VLOOKUP($D1355,'ACAH Consumables Tracker'!$A:$H,8,FALSE()),""))</f>
        <v/>
      </c>
      <c r="F1355" s="24"/>
      <c r="G1355" s="25" t="str">
        <f>IF($D1355="","",IFERROR(VLOOKUP($D1355,'ACAH Consumables Tracker'!$A:$D,4,FALSE()),""))</f>
        <v/>
      </c>
      <c r="H1355" s="22"/>
    </row>
    <row r="1356" spans="1:8">
      <c r="A1356" s="21"/>
      <c r="B1356" s="28"/>
      <c r="C1356" s="22"/>
      <c r="D1356" s="28"/>
      <c r="E1356" s="23" t="str">
        <f>IF($D1356="","",IFERROR(VLOOKUP($D1356,'ACAH Consumables Tracker'!$A:$H,8,FALSE()),""))</f>
        <v/>
      </c>
      <c r="F1356" s="24"/>
      <c r="G1356" s="25" t="str">
        <f>IF($D1356="","",IFERROR(VLOOKUP($D1356,'ACAH Consumables Tracker'!$A:$D,4,FALSE()),""))</f>
        <v/>
      </c>
      <c r="H1356" s="22"/>
    </row>
    <row r="1357" spans="1:8">
      <c r="A1357" s="21"/>
      <c r="B1357" s="28"/>
      <c r="C1357" s="22"/>
      <c r="D1357" s="28"/>
      <c r="E1357" s="23" t="str">
        <f>IF($D1357="","",IFERROR(VLOOKUP($D1357,'ACAH Consumables Tracker'!$A:$H,8,FALSE()),""))</f>
        <v/>
      </c>
      <c r="F1357" s="24"/>
      <c r="G1357" s="25" t="str">
        <f>IF($D1357="","",IFERROR(VLOOKUP($D1357,'ACAH Consumables Tracker'!$A:$D,4,FALSE()),""))</f>
        <v/>
      </c>
      <c r="H1357" s="22"/>
    </row>
    <row r="1358" spans="1:8">
      <c r="A1358" s="21"/>
      <c r="B1358" s="28"/>
      <c r="C1358" s="22"/>
      <c r="D1358" s="28"/>
      <c r="E1358" s="23" t="str">
        <f>IF($D1358="","",IFERROR(VLOOKUP($D1358,'ACAH Consumables Tracker'!$A:$H,8,FALSE()),""))</f>
        <v/>
      </c>
      <c r="F1358" s="24"/>
      <c r="G1358" s="25" t="str">
        <f>IF($D1358="","",IFERROR(VLOOKUP($D1358,'ACAH Consumables Tracker'!$A:$D,4,FALSE()),""))</f>
        <v/>
      </c>
      <c r="H1358" s="22"/>
    </row>
    <row r="1359" spans="1:8">
      <c r="A1359" s="21"/>
      <c r="B1359" s="28"/>
      <c r="C1359" s="22"/>
      <c r="D1359" s="28"/>
      <c r="E1359" s="23" t="str">
        <f>IF($D1359="","",IFERROR(VLOOKUP($D1359,'ACAH Consumables Tracker'!$A:$H,8,FALSE()),""))</f>
        <v/>
      </c>
      <c r="F1359" s="24"/>
      <c r="G1359" s="25" t="str">
        <f>IF($D1359="","",IFERROR(VLOOKUP($D1359,'ACAH Consumables Tracker'!$A:$D,4,FALSE()),""))</f>
        <v/>
      </c>
      <c r="H1359" s="22"/>
    </row>
    <row r="1360" spans="1:8">
      <c r="A1360" s="21"/>
      <c r="B1360" s="28"/>
      <c r="C1360" s="22"/>
      <c r="D1360" s="28"/>
      <c r="E1360" s="23" t="str">
        <f>IF($D1360="","",IFERROR(VLOOKUP($D1360,'ACAH Consumables Tracker'!$A:$H,8,FALSE()),""))</f>
        <v/>
      </c>
      <c r="F1360" s="24"/>
      <c r="G1360" s="25" t="str">
        <f>IF($D1360="","",IFERROR(VLOOKUP($D1360,'ACAH Consumables Tracker'!$A:$D,4,FALSE()),""))</f>
        <v/>
      </c>
      <c r="H1360" s="22"/>
    </row>
    <row r="1361" spans="1:8">
      <c r="A1361" s="21"/>
      <c r="B1361" s="28"/>
      <c r="C1361" s="22"/>
      <c r="D1361" s="28"/>
      <c r="E1361" s="23" t="str">
        <f>IF($D1361="","",IFERROR(VLOOKUP($D1361,'ACAH Consumables Tracker'!$A:$H,8,FALSE()),""))</f>
        <v/>
      </c>
      <c r="F1361" s="24"/>
      <c r="G1361" s="25" t="str">
        <f>IF($D1361="","",IFERROR(VLOOKUP($D1361,'ACAH Consumables Tracker'!$A:$D,4,FALSE()),""))</f>
        <v/>
      </c>
      <c r="H1361" s="22"/>
    </row>
    <row r="1362" spans="1:8">
      <c r="A1362" s="21"/>
      <c r="B1362" s="28"/>
      <c r="C1362" s="22"/>
      <c r="D1362" s="28"/>
      <c r="E1362" s="23" t="str">
        <f>IF($D1362="","",IFERROR(VLOOKUP($D1362,'ACAH Consumables Tracker'!$A:$H,8,FALSE()),""))</f>
        <v/>
      </c>
      <c r="F1362" s="24"/>
      <c r="G1362" s="25" t="str">
        <f>IF($D1362="","",IFERROR(VLOOKUP($D1362,'ACAH Consumables Tracker'!$A:$D,4,FALSE()),""))</f>
        <v/>
      </c>
      <c r="H1362" s="22"/>
    </row>
    <row r="1363" spans="1:8">
      <c r="A1363" s="21"/>
      <c r="B1363" s="28"/>
      <c r="C1363" s="22"/>
      <c r="D1363" s="28"/>
      <c r="E1363" s="23" t="str">
        <f>IF($D1363="","",IFERROR(VLOOKUP($D1363,'ACAH Consumables Tracker'!$A:$H,8,FALSE()),""))</f>
        <v/>
      </c>
      <c r="F1363" s="24"/>
      <c r="G1363" s="25" t="str">
        <f>IF($D1363="","",IFERROR(VLOOKUP($D1363,'ACAH Consumables Tracker'!$A:$D,4,FALSE()),""))</f>
        <v/>
      </c>
      <c r="H1363" s="22"/>
    </row>
    <row r="1364" spans="1:8">
      <c r="A1364" s="21"/>
      <c r="B1364" s="28"/>
      <c r="C1364" s="22"/>
      <c r="D1364" s="28"/>
      <c r="E1364" s="23" t="str">
        <f>IF($D1364="","",IFERROR(VLOOKUP($D1364,'ACAH Consumables Tracker'!$A:$H,8,FALSE()),""))</f>
        <v/>
      </c>
      <c r="F1364" s="24"/>
      <c r="G1364" s="25" t="str">
        <f>IF($D1364="","",IFERROR(VLOOKUP($D1364,'ACAH Consumables Tracker'!$A:$D,4,FALSE()),""))</f>
        <v/>
      </c>
      <c r="H1364" s="22"/>
    </row>
    <row r="1365" spans="1:8">
      <c r="A1365" s="21"/>
      <c r="B1365" s="28"/>
      <c r="C1365" s="22"/>
      <c r="D1365" s="28"/>
      <c r="E1365" s="23" t="str">
        <f>IF($D1365="","",IFERROR(VLOOKUP($D1365,'ACAH Consumables Tracker'!$A:$H,8,FALSE()),""))</f>
        <v/>
      </c>
      <c r="F1365" s="24"/>
      <c r="G1365" s="25" t="str">
        <f>IF($D1365="","",IFERROR(VLOOKUP($D1365,'ACAH Consumables Tracker'!$A:$D,4,FALSE()),""))</f>
        <v/>
      </c>
      <c r="H1365" s="22"/>
    </row>
    <row r="1366" spans="1:8">
      <c r="A1366" s="21"/>
      <c r="B1366" s="28"/>
      <c r="C1366" s="22"/>
      <c r="D1366" s="28"/>
      <c r="E1366" s="23" t="str">
        <f>IF($D1366="","",IFERROR(VLOOKUP($D1366,'ACAH Consumables Tracker'!$A:$H,8,FALSE()),""))</f>
        <v/>
      </c>
      <c r="F1366" s="24"/>
      <c r="G1366" s="25" t="str">
        <f>IF($D1366="","",IFERROR(VLOOKUP($D1366,'ACAH Consumables Tracker'!$A:$D,4,FALSE()),""))</f>
        <v/>
      </c>
      <c r="H1366" s="22"/>
    </row>
    <row r="1367" spans="1:8">
      <c r="A1367" s="21"/>
      <c r="B1367" s="28"/>
      <c r="C1367" s="22"/>
      <c r="D1367" s="28"/>
      <c r="E1367" s="23" t="str">
        <f>IF($D1367="","",IFERROR(VLOOKUP($D1367,'ACAH Consumables Tracker'!$A:$H,8,FALSE()),""))</f>
        <v/>
      </c>
      <c r="F1367" s="24"/>
      <c r="G1367" s="25" t="str">
        <f>IF($D1367="","",IFERROR(VLOOKUP($D1367,'ACAH Consumables Tracker'!$A:$D,4,FALSE()),""))</f>
        <v/>
      </c>
      <c r="H1367" s="22"/>
    </row>
    <row r="1368" spans="1:8">
      <c r="A1368" s="21"/>
      <c r="B1368" s="28"/>
      <c r="C1368" s="22"/>
      <c r="D1368" s="28"/>
      <c r="E1368" s="23" t="str">
        <f>IF($D1368="","",IFERROR(VLOOKUP($D1368,'ACAH Consumables Tracker'!$A:$H,8,FALSE()),""))</f>
        <v/>
      </c>
      <c r="F1368" s="24"/>
      <c r="G1368" s="25" t="str">
        <f>IF($D1368="","",IFERROR(VLOOKUP($D1368,'ACAH Consumables Tracker'!$A:$D,4,FALSE()),""))</f>
        <v/>
      </c>
      <c r="H1368" s="22"/>
    </row>
    <row r="1369" spans="1:8">
      <c r="A1369" s="21"/>
      <c r="B1369" s="28"/>
      <c r="C1369" s="22"/>
      <c r="D1369" s="28"/>
      <c r="E1369" s="23" t="str">
        <f>IF($D1369="","",IFERROR(VLOOKUP($D1369,'ACAH Consumables Tracker'!$A:$H,8,FALSE()),""))</f>
        <v/>
      </c>
      <c r="F1369" s="24"/>
      <c r="G1369" s="25" t="str">
        <f>IF($D1369="","",IFERROR(VLOOKUP($D1369,'ACAH Consumables Tracker'!$A:$D,4,FALSE()),""))</f>
        <v/>
      </c>
      <c r="H1369" s="22"/>
    </row>
    <row r="1370" spans="1:8">
      <c r="A1370" s="21"/>
      <c r="B1370" s="28"/>
      <c r="C1370" s="22"/>
      <c r="D1370" s="28"/>
      <c r="E1370" s="23" t="str">
        <f>IF($D1370="","",IFERROR(VLOOKUP($D1370,'ACAH Consumables Tracker'!$A:$H,8,FALSE()),""))</f>
        <v/>
      </c>
      <c r="F1370" s="24"/>
      <c r="G1370" s="25" t="str">
        <f>IF($D1370="","",IFERROR(VLOOKUP($D1370,'ACAH Consumables Tracker'!$A:$D,4,FALSE()),""))</f>
        <v/>
      </c>
      <c r="H1370" s="22"/>
    </row>
    <row r="1371" spans="1:8">
      <c r="A1371" s="21"/>
      <c r="B1371" s="28"/>
      <c r="C1371" s="22"/>
      <c r="D1371" s="28"/>
      <c r="E1371" s="23" t="str">
        <f>IF($D1371="","",IFERROR(VLOOKUP($D1371,'ACAH Consumables Tracker'!$A:$H,8,FALSE()),""))</f>
        <v/>
      </c>
      <c r="F1371" s="24"/>
      <c r="G1371" s="25" t="str">
        <f>IF($D1371="","",IFERROR(VLOOKUP($D1371,'ACAH Consumables Tracker'!$A:$D,4,FALSE()),""))</f>
        <v/>
      </c>
      <c r="H1371" s="22"/>
    </row>
    <row r="1372" spans="1:8">
      <c r="A1372" s="21"/>
      <c r="B1372" s="28"/>
      <c r="C1372" s="22"/>
      <c r="D1372" s="28"/>
      <c r="E1372" s="23" t="str">
        <f>IF($D1372="","",IFERROR(VLOOKUP($D1372,'ACAH Consumables Tracker'!$A:$H,8,FALSE()),""))</f>
        <v/>
      </c>
      <c r="F1372" s="24"/>
      <c r="G1372" s="25" t="str">
        <f>IF($D1372="","",IFERROR(VLOOKUP($D1372,'ACAH Consumables Tracker'!$A:$D,4,FALSE()),""))</f>
        <v/>
      </c>
      <c r="H1372" s="22"/>
    </row>
    <row r="1373" spans="1:8">
      <c r="A1373" s="21"/>
      <c r="B1373" s="28"/>
      <c r="C1373" s="22"/>
      <c r="D1373" s="28"/>
      <c r="E1373" s="23" t="str">
        <f>IF($D1373="","",IFERROR(VLOOKUP($D1373,'ACAH Consumables Tracker'!$A:$H,8,FALSE()),""))</f>
        <v/>
      </c>
      <c r="F1373" s="24"/>
      <c r="G1373" s="25" t="str">
        <f>IF($D1373="","",IFERROR(VLOOKUP($D1373,'ACAH Consumables Tracker'!$A:$D,4,FALSE()),""))</f>
        <v/>
      </c>
      <c r="H1373" s="22"/>
    </row>
    <row r="1374" spans="1:8">
      <c r="A1374" s="21"/>
      <c r="B1374" s="28"/>
      <c r="C1374" s="22"/>
      <c r="D1374" s="28"/>
      <c r="E1374" s="23" t="str">
        <f>IF($D1374="","",IFERROR(VLOOKUP($D1374,'ACAH Consumables Tracker'!$A:$H,8,FALSE()),""))</f>
        <v/>
      </c>
      <c r="F1374" s="24"/>
      <c r="G1374" s="25" t="str">
        <f>IF($D1374="","",IFERROR(VLOOKUP($D1374,'ACAH Consumables Tracker'!$A:$D,4,FALSE()),""))</f>
        <v/>
      </c>
      <c r="H1374" s="22"/>
    </row>
    <row r="1375" spans="1:8">
      <c r="A1375" s="21"/>
      <c r="B1375" s="28"/>
      <c r="C1375" s="22"/>
      <c r="D1375" s="28"/>
      <c r="E1375" s="23" t="str">
        <f>IF($D1375="","",IFERROR(VLOOKUP($D1375,'ACAH Consumables Tracker'!$A:$H,8,FALSE()),""))</f>
        <v/>
      </c>
      <c r="F1375" s="24"/>
      <c r="G1375" s="25" t="str">
        <f>IF($D1375="","",IFERROR(VLOOKUP($D1375,'ACAH Consumables Tracker'!$A:$D,4,FALSE()),""))</f>
        <v/>
      </c>
      <c r="H1375" s="22"/>
    </row>
    <row r="1376" spans="1:8">
      <c r="A1376" s="21"/>
      <c r="B1376" s="28"/>
      <c r="C1376" s="22"/>
      <c r="D1376" s="28"/>
      <c r="E1376" s="23" t="str">
        <f>IF($D1376="","",IFERROR(VLOOKUP($D1376,'ACAH Consumables Tracker'!$A:$H,8,FALSE()),""))</f>
        <v/>
      </c>
      <c r="F1376" s="24"/>
      <c r="G1376" s="25" t="str">
        <f>IF($D1376="","",IFERROR(VLOOKUP($D1376,'ACAH Consumables Tracker'!$A:$D,4,FALSE()),""))</f>
        <v/>
      </c>
      <c r="H1376" s="22"/>
    </row>
    <row r="1377" spans="1:8">
      <c r="A1377" s="21"/>
      <c r="B1377" s="28"/>
      <c r="C1377" s="22"/>
      <c r="D1377" s="28"/>
      <c r="E1377" s="23" t="str">
        <f>IF($D1377="","",IFERROR(VLOOKUP($D1377,'ACAH Consumables Tracker'!$A:$H,8,FALSE()),""))</f>
        <v/>
      </c>
      <c r="F1377" s="24"/>
      <c r="G1377" s="25" t="str">
        <f>IF($D1377="","",IFERROR(VLOOKUP($D1377,'ACAH Consumables Tracker'!$A:$D,4,FALSE()),""))</f>
        <v/>
      </c>
      <c r="H1377" s="22"/>
    </row>
    <row r="1378" spans="1:8">
      <c r="A1378" s="21"/>
      <c r="B1378" s="28"/>
      <c r="C1378" s="22"/>
      <c r="D1378" s="28"/>
      <c r="E1378" s="23" t="str">
        <f>IF($D1378="","",IFERROR(VLOOKUP($D1378,'ACAH Consumables Tracker'!$A:$H,8,FALSE()),""))</f>
        <v/>
      </c>
      <c r="F1378" s="24"/>
      <c r="G1378" s="25" t="str">
        <f>IF($D1378="","",IFERROR(VLOOKUP($D1378,'ACAH Consumables Tracker'!$A:$D,4,FALSE()),""))</f>
        <v/>
      </c>
      <c r="H1378" s="22"/>
    </row>
    <row r="1379" spans="1:8">
      <c r="A1379" s="21"/>
      <c r="B1379" s="28"/>
      <c r="C1379" s="22"/>
      <c r="D1379" s="28"/>
      <c r="E1379" s="23" t="str">
        <f>IF($D1379="","",IFERROR(VLOOKUP($D1379,'ACAH Consumables Tracker'!$A:$H,8,FALSE()),""))</f>
        <v/>
      </c>
      <c r="F1379" s="24"/>
      <c r="G1379" s="25" t="str">
        <f>IF($D1379="","",IFERROR(VLOOKUP($D1379,'ACAH Consumables Tracker'!$A:$D,4,FALSE()),""))</f>
        <v/>
      </c>
      <c r="H1379" s="22"/>
    </row>
    <row r="1380" spans="1:8">
      <c r="A1380" s="21"/>
      <c r="B1380" s="28"/>
      <c r="C1380" s="22"/>
      <c r="D1380" s="28"/>
      <c r="E1380" s="23" t="str">
        <f>IF($D1380="","",IFERROR(VLOOKUP($D1380,'ACAH Consumables Tracker'!$A:$H,8,FALSE()),""))</f>
        <v/>
      </c>
      <c r="F1380" s="24"/>
      <c r="G1380" s="25" t="str">
        <f>IF($D1380="","",IFERROR(VLOOKUP($D1380,'ACAH Consumables Tracker'!$A:$D,4,FALSE()),""))</f>
        <v/>
      </c>
      <c r="H1380" s="22"/>
    </row>
    <row r="1381" spans="1:8">
      <c r="A1381" s="21"/>
      <c r="B1381" s="28"/>
      <c r="C1381" s="22"/>
      <c r="D1381" s="28"/>
      <c r="E1381" s="23" t="str">
        <f>IF($D1381="","",IFERROR(VLOOKUP($D1381,'ACAH Consumables Tracker'!$A:$H,8,FALSE()),""))</f>
        <v/>
      </c>
      <c r="F1381" s="24"/>
      <c r="G1381" s="25" t="str">
        <f>IF($D1381="","",IFERROR(VLOOKUP($D1381,'ACAH Consumables Tracker'!$A:$D,4,FALSE()),""))</f>
        <v/>
      </c>
      <c r="H1381" s="22"/>
    </row>
    <row r="1382" spans="1:8">
      <c r="A1382" s="21"/>
      <c r="B1382" s="28"/>
      <c r="C1382" s="22"/>
      <c r="D1382" s="28"/>
      <c r="E1382" s="23" t="str">
        <f>IF($D1382="","",IFERROR(VLOOKUP($D1382,'ACAH Consumables Tracker'!$A:$H,8,FALSE()),""))</f>
        <v/>
      </c>
      <c r="F1382" s="24"/>
      <c r="G1382" s="25" t="str">
        <f>IF($D1382="","",IFERROR(VLOOKUP($D1382,'ACAH Consumables Tracker'!$A:$D,4,FALSE()),""))</f>
        <v/>
      </c>
      <c r="H1382" s="22"/>
    </row>
    <row r="1383" spans="1:8">
      <c r="A1383" s="21"/>
      <c r="B1383" s="28"/>
      <c r="C1383" s="22"/>
      <c r="D1383" s="28"/>
      <c r="E1383" s="23" t="str">
        <f>IF($D1383="","",IFERROR(VLOOKUP($D1383,'ACAH Consumables Tracker'!$A:$H,8,FALSE()),""))</f>
        <v/>
      </c>
      <c r="F1383" s="24"/>
      <c r="G1383" s="25" t="str">
        <f>IF($D1383="","",IFERROR(VLOOKUP($D1383,'ACAH Consumables Tracker'!$A:$D,4,FALSE()),""))</f>
        <v/>
      </c>
      <c r="H1383" s="22"/>
    </row>
    <row r="1384" spans="1:8">
      <c r="A1384" s="21"/>
      <c r="B1384" s="28"/>
      <c r="C1384" s="22"/>
      <c r="D1384" s="28"/>
      <c r="E1384" s="23" t="str">
        <f>IF($D1384="","",IFERROR(VLOOKUP($D1384,'ACAH Consumables Tracker'!$A:$H,8,FALSE()),""))</f>
        <v/>
      </c>
      <c r="F1384" s="24"/>
      <c r="G1384" s="25" t="str">
        <f>IF($D1384="","",IFERROR(VLOOKUP($D1384,'ACAH Consumables Tracker'!$A:$D,4,FALSE()),""))</f>
        <v/>
      </c>
      <c r="H1384" s="22"/>
    </row>
    <row r="1385" spans="1:8">
      <c r="A1385" s="21"/>
      <c r="B1385" s="28"/>
      <c r="C1385" s="22"/>
      <c r="D1385" s="28"/>
      <c r="E1385" s="23" t="str">
        <f>IF($D1385="","",IFERROR(VLOOKUP($D1385,'ACAH Consumables Tracker'!$A:$H,8,FALSE()),""))</f>
        <v/>
      </c>
      <c r="F1385" s="24"/>
      <c r="G1385" s="25" t="str">
        <f>IF($D1385="","",IFERROR(VLOOKUP($D1385,'ACAH Consumables Tracker'!$A:$D,4,FALSE()),""))</f>
        <v/>
      </c>
      <c r="H1385" s="22"/>
    </row>
    <row r="1386" spans="1:8">
      <c r="A1386" s="21"/>
      <c r="B1386" s="28"/>
      <c r="C1386" s="22"/>
      <c r="D1386" s="28"/>
      <c r="E1386" s="23" t="str">
        <f>IF($D1386="","",IFERROR(VLOOKUP($D1386,'ACAH Consumables Tracker'!$A:$H,8,FALSE()),""))</f>
        <v/>
      </c>
      <c r="F1386" s="24"/>
      <c r="G1386" s="25" t="str">
        <f>IF($D1386="","",IFERROR(VLOOKUP($D1386,'ACAH Consumables Tracker'!$A:$D,4,FALSE()),""))</f>
        <v/>
      </c>
      <c r="H1386" s="22"/>
    </row>
    <row r="1387" spans="1:8">
      <c r="A1387" s="21"/>
      <c r="B1387" s="28"/>
      <c r="C1387" s="22"/>
      <c r="D1387" s="28"/>
      <c r="E1387" s="23" t="str">
        <f>IF($D1387="","",IFERROR(VLOOKUP($D1387,'ACAH Consumables Tracker'!$A:$H,8,FALSE()),""))</f>
        <v/>
      </c>
      <c r="F1387" s="24"/>
      <c r="G1387" s="25" t="str">
        <f>IF($D1387="","",IFERROR(VLOOKUP($D1387,'ACAH Consumables Tracker'!$A:$D,4,FALSE()),""))</f>
        <v/>
      </c>
      <c r="H1387" s="22"/>
    </row>
    <row r="1388" spans="1:8">
      <c r="A1388" s="21"/>
      <c r="B1388" s="28"/>
      <c r="C1388" s="22"/>
      <c r="D1388" s="28"/>
      <c r="E1388" s="23" t="str">
        <f>IF($D1388="","",IFERROR(VLOOKUP($D1388,'ACAH Consumables Tracker'!$A:$H,8,FALSE()),""))</f>
        <v/>
      </c>
      <c r="F1388" s="24"/>
      <c r="G1388" s="25" t="str">
        <f>IF($D1388="","",IFERROR(VLOOKUP($D1388,'ACAH Consumables Tracker'!$A:$D,4,FALSE()),""))</f>
        <v/>
      </c>
      <c r="H1388" s="22"/>
    </row>
    <row r="1389" spans="1:8">
      <c r="A1389" s="21"/>
      <c r="B1389" s="28"/>
      <c r="C1389" s="22"/>
      <c r="D1389" s="28"/>
      <c r="E1389" s="23" t="str">
        <f>IF($D1389="","",IFERROR(VLOOKUP($D1389,'ACAH Consumables Tracker'!$A:$H,8,FALSE()),""))</f>
        <v/>
      </c>
      <c r="F1389" s="24"/>
      <c r="G1389" s="25" t="str">
        <f>IF($D1389="","",IFERROR(VLOOKUP($D1389,'ACAH Consumables Tracker'!$A:$D,4,FALSE()),""))</f>
        <v/>
      </c>
      <c r="H1389" s="22"/>
    </row>
    <row r="1390" spans="1:8">
      <c r="A1390" s="21"/>
      <c r="B1390" s="28"/>
      <c r="C1390" s="22"/>
      <c r="D1390" s="28"/>
      <c r="E1390" s="23" t="str">
        <f>IF($D1390="","",IFERROR(VLOOKUP($D1390,'ACAH Consumables Tracker'!$A:$H,8,FALSE()),""))</f>
        <v/>
      </c>
      <c r="F1390" s="24"/>
      <c r="G1390" s="25" t="str">
        <f>IF($D1390="","",IFERROR(VLOOKUP($D1390,'ACAH Consumables Tracker'!$A:$D,4,FALSE()),""))</f>
        <v/>
      </c>
      <c r="H1390" s="22"/>
    </row>
    <row r="1391" spans="1:8">
      <c r="A1391" s="21"/>
      <c r="B1391" s="28"/>
      <c r="C1391" s="22"/>
      <c r="D1391" s="28"/>
      <c r="E1391" s="23" t="str">
        <f>IF($D1391="","",IFERROR(VLOOKUP($D1391,'ACAH Consumables Tracker'!$A:$H,8,FALSE()),""))</f>
        <v/>
      </c>
      <c r="F1391" s="24"/>
      <c r="G1391" s="25" t="str">
        <f>IF($D1391="","",IFERROR(VLOOKUP($D1391,'ACAH Consumables Tracker'!$A:$D,4,FALSE()),""))</f>
        <v/>
      </c>
      <c r="H1391" s="22"/>
    </row>
    <row r="1392" spans="1:8">
      <c r="A1392" s="21"/>
      <c r="B1392" s="28"/>
      <c r="C1392" s="22"/>
      <c r="D1392" s="28"/>
      <c r="E1392" s="23" t="str">
        <f>IF($D1392="","",IFERROR(VLOOKUP($D1392,'ACAH Consumables Tracker'!$A:$H,8,FALSE()),""))</f>
        <v/>
      </c>
      <c r="F1392" s="24"/>
      <c r="G1392" s="25" t="str">
        <f>IF($D1392="","",IFERROR(VLOOKUP($D1392,'ACAH Consumables Tracker'!$A:$D,4,FALSE()),""))</f>
        <v/>
      </c>
      <c r="H1392" s="22"/>
    </row>
    <row r="1393" spans="1:8">
      <c r="A1393" s="21"/>
      <c r="B1393" s="28"/>
      <c r="C1393" s="22"/>
      <c r="D1393" s="28"/>
      <c r="E1393" s="23" t="str">
        <f>IF($D1393="","",IFERROR(VLOOKUP($D1393,'ACAH Consumables Tracker'!$A:$H,8,FALSE()),""))</f>
        <v/>
      </c>
      <c r="F1393" s="24"/>
      <c r="G1393" s="25" t="str">
        <f>IF($D1393="","",IFERROR(VLOOKUP($D1393,'ACAH Consumables Tracker'!$A:$D,4,FALSE()),""))</f>
        <v/>
      </c>
      <c r="H1393" s="22"/>
    </row>
    <row r="1394" spans="1:8">
      <c r="A1394" s="21"/>
      <c r="B1394" s="28"/>
      <c r="C1394" s="22"/>
      <c r="D1394" s="28"/>
      <c r="E1394" s="23" t="str">
        <f>IF($D1394="","",IFERROR(VLOOKUP($D1394,'ACAH Consumables Tracker'!$A:$H,8,FALSE()),""))</f>
        <v/>
      </c>
      <c r="F1394" s="24"/>
      <c r="G1394" s="25" t="str">
        <f>IF($D1394="","",IFERROR(VLOOKUP($D1394,'ACAH Consumables Tracker'!$A:$D,4,FALSE()),""))</f>
        <v/>
      </c>
      <c r="H1394" s="22"/>
    </row>
    <row r="1395" spans="1:8">
      <c r="A1395" s="21"/>
      <c r="B1395" s="28"/>
      <c r="C1395" s="22"/>
      <c r="D1395" s="28"/>
      <c r="E1395" s="23" t="str">
        <f>IF($D1395="","",IFERROR(VLOOKUP($D1395,'ACAH Consumables Tracker'!$A:$H,8,FALSE()),""))</f>
        <v/>
      </c>
      <c r="F1395" s="24"/>
      <c r="G1395" s="25" t="str">
        <f>IF($D1395="","",IFERROR(VLOOKUP($D1395,'ACAH Consumables Tracker'!$A:$D,4,FALSE()),""))</f>
        <v/>
      </c>
      <c r="H1395" s="22"/>
    </row>
    <row r="1396" spans="1:8">
      <c r="A1396" s="21"/>
      <c r="B1396" s="28"/>
      <c r="C1396" s="22"/>
      <c r="D1396" s="28"/>
      <c r="E1396" s="23" t="str">
        <f>IF($D1396="","",IFERROR(VLOOKUP($D1396,'ACAH Consumables Tracker'!$A:$H,8,FALSE()),""))</f>
        <v/>
      </c>
      <c r="F1396" s="24"/>
      <c r="G1396" s="25" t="str">
        <f>IF($D1396="","",IFERROR(VLOOKUP($D1396,'ACAH Consumables Tracker'!$A:$D,4,FALSE()),""))</f>
        <v/>
      </c>
      <c r="H1396" s="22"/>
    </row>
    <row r="1397" spans="1:8">
      <c r="A1397" s="21"/>
      <c r="B1397" s="28"/>
      <c r="C1397" s="22"/>
      <c r="D1397" s="28"/>
      <c r="E1397" s="23" t="str">
        <f>IF($D1397="","",IFERROR(VLOOKUP($D1397,'ACAH Consumables Tracker'!$A:$H,8,FALSE()),""))</f>
        <v/>
      </c>
      <c r="F1397" s="24"/>
      <c r="G1397" s="25" t="str">
        <f>IF($D1397="","",IFERROR(VLOOKUP($D1397,'ACAH Consumables Tracker'!$A:$D,4,FALSE()),""))</f>
        <v/>
      </c>
      <c r="H1397" s="22"/>
    </row>
    <row r="1398" spans="1:8">
      <c r="A1398" s="21"/>
      <c r="B1398" s="28"/>
      <c r="C1398" s="22"/>
      <c r="D1398" s="28"/>
      <c r="E1398" s="23" t="str">
        <f>IF($D1398="","",IFERROR(VLOOKUP($D1398,'ACAH Consumables Tracker'!$A:$H,8,FALSE()),""))</f>
        <v/>
      </c>
      <c r="F1398" s="24"/>
      <c r="G1398" s="25" t="str">
        <f>IF($D1398="","",IFERROR(VLOOKUP($D1398,'ACAH Consumables Tracker'!$A:$D,4,FALSE()),""))</f>
        <v/>
      </c>
      <c r="H1398" s="22"/>
    </row>
    <row r="1399" spans="1:8">
      <c r="A1399" s="21"/>
      <c r="B1399" s="28"/>
      <c r="C1399" s="22"/>
      <c r="D1399" s="28"/>
      <c r="E1399" s="23" t="str">
        <f>IF($D1399="","",IFERROR(VLOOKUP($D1399,'ACAH Consumables Tracker'!$A:$H,8,FALSE()),""))</f>
        <v/>
      </c>
      <c r="F1399" s="24"/>
      <c r="G1399" s="25" t="str">
        <f>IF($D1399="","",IFERROR(VLOOKUP($D1399,'ACAH Consumables Tracker'!$A:$D,4,FALSE()),""))</f>
        <v/>
      </c>
      <c r="H1399" s="22"/>
    </row>
    <row r="1400" spans="1:8">
      <c r="A1400" s="21"/>
      <c r="B1400" s="28"/>
      <c r="C1400" s="22"/>
      <c r="D1400" s="28"/>
      <c r="E1400" s="23" t="str">
        <f>IF($D1400="","",IFERROR(VLOOKUP($D1400,'ACAH Consumables Tracker'!$A:$H,8,FALSE()),""))</f>
        <v/>
      </c>
      <c r="F1400" s="24"/>
      <c r="G1400" s="25" t="str">
        <f>IF($D1400="","",IFERROR(VLOOKUP($D1400,'ACAH Consumables Tracker'!$A:$D,4,FALSE()),""))</f>
        <v/>
      </c>
      <c r="H1400" s="22"/>
    </row>
    <row r="1401" spans="1:8">
      <c r="A1401" s="21"/>
      <c r="B1401" s="28"/>
      <c r="C1401" s="22"/>
      <c r="D1401" s="28"/>
      <c r="E1401" s="23" t="str">
        <f>IF($D1401="","",IFERROR(VLOOKUP($D1401,'ACAH Consumables Tracker'!$A:$H,8,FALSE()),""))</f>
        <v/>
      </c>
      <c r="F1401" s="24"/>
      <c r="G1401" s="25" t="str">
        <f>IF($D1401="","",IFERROR(VLOOKUP($D1401,'ACAH Consumables Tracker'!$A:$D,4,FALSE()),""))</f>
        <v/>
      </c>
      <c r="H1401" s="22"/>
    </row>
    <row r="1402" spans="1:8">
      <c r="A1402" s="21"/>
      <c r="B1402" s="28"/>
      <c r="C1402" s="22"/>
      <c r="D1402" s="28"/>
      <c r="E1402" s="23" t="str">
        <f>IF($D1402="","",IFERROR(VLOOKUP($D1402,'ACAH Consumables Tracker'!$A:$H,8,FALSE()),""))</f>
        <v/>
      </c>
      <c r="F1402" s="24"/>
      <c r="G1402" s="25" t="str">
        <f>IF($D1402="","",IFERROR(VLOOKUP($D1402,'ACAH Consumables Tracker'!$A:$D,4,FALSE()),""))</f>
        <v/>
      </c>
      <c r="H1402" s="22"/>
    </row>
    <row r="1403" spans="1:8">
      <c r="A1403" s="21"/>
      <c r="B1403" s="28"/>
      <c r="C1403" s="22"/>
      <c r="D1403" s="28"/>
      <c r="E1403" s="23" t="str">
        <f>IF($D1403="","",IFERROR(VLOOKUP($D1403,'ACAH Consumables Tracker'!$A:$H,8,FALSE()),""))</f>
        <v/>
      </c>
      <c r="F1403" s="24"/>
      <c r="G1403" s="25" t="str">
        <f>IF($D1403="","",IFERROR(VLOOKUP($D1403,'ACAH Consumables Tracker'!$A:$D,4,FALSE()),""))</f>
        <v/>
      </c>
      <c r="H1403" s="22"/>
    </row>
    <row r="1404" spans="1:8">
      <c r="A1404" s="21"/>
      <c r="B1404" s="28"/>
      <c r="C1404" s="22"/>
      <c r="D1404" s="28"/>
      <c r="E1404" s="23" t="str">
        <f>IF($D1404="","",IFERROR(VLOOKUP($D1404,'ACAH Consumables Tracker'!$A:$H,8,FALSE()),""))</f>
        <v/>
      </c>
      <c r="F1404" s="24"/>
      <c r="G1404" s="25" t="str">
        <f>IF($D1404="","",IFERROR(VLOOKUP($D1404,'ACAH Consumables Tracker'!$A:$D,4,FALSE()),""))</f>
        <v/>
      </c>
      <c r="H1404" s="22"/>
    </row>
    <row r="1405" spans="1:8">
      <c r="A1405" s="21"/>
      <c r="B1405" s="28"/>
      <c r="C1405" s="22"/>
      <c r="D1405" s="28"/>
      <c r="E1405" s="23" t="str">
        <f>IF($D1405="","",IFERROR(VLOOKUP($D1405,'ACAH Consumables Tracker'!$A:$H,8,FALSE()),""))</f>
        <v/>
      </c>
      <c r="F1405" s="24"/>
      <c r="G1405" s="25" t="str">
        <f>IF($D1405="","",IFERROR(VLOOKUP($D1405,'ACAH Consumables Tracker'!$A:$D,4,FALSE()),""))</f>
        <v/>
      </c>
      <c r="H1405" s="22"/>
    </row>
    <row r="1406" spans="1:8">
      <c r="A1406" s="21"/>
      <c r="B1406" s="28"/>
      <c r="C1406" s="22"/>
      <c r="D1406" s="28"/>
      <c r="E1406" s="23" t="str">
        <f>IF($D1406="","",IFERROR(VLOOKUP($D1406,'ACAH Consumables Tracker'!$A:$H,8,FALSE()),""))</f>
        <v/>
      </c>
      <c r="F1406" s="24"/>
      <c r="G1406" s="25" t="str">
        <f>IF($D1406="","",IFERROR(VLOOKUP($D1406,'ACAH Consumables Tracker'!$A:$D,4,FALSE()),""))</f>
        <v/>
      </c>
      <c r="H1406" s="22"/>
    </row>
    <row r="1407" spans="1:8">
      <c r="A1407" s="21"/>
      <c r="B1407" s="28"/>
      <c r="C1407" s="22"/>
      <c r="D1407" s="28"/>
      <c r="E1407" s="23" t="str">
        <f>IF($D1407="","",IFERROR(VLOOKUP($D1407,'ACAH Consumables Tracker'!$A:$H,8,FALSE()),""))</f>
        <v/>
      </c>
      <c r="F1407" s="24"/>
      <c r="G1407" s="25" t="str">
        <f>IF($D1407="","",IFERROR(VLOOKUP($D1407,'ACAH Consumables Tracker'!$A:$D,4,FALSE()),""))</f>
        <v/>
      </c>
      <c r="H1407" s="22"/>
    </row>
    <row r="1408" spans="1:8">
      <c r="A1408" s="21"/>
      <c r="B1408" s="28"/>
      <c r="C1408" s="22"/>
      <c r="D1408" s="28"/>
      <c r="E1408" s="23" t="str">
        <f>IF($D1408="","",IFERROR(VLOOKUP($D1408,'ACAH Consumables Tracker'!$A:$H,8,FALSE()),""))</f>
        <v/>
      </c>
      <c r="F1408" s="24"/>
      <c r="G1408" s="25" t="str">
        <f>IF($D1408="","",IFERROR(VLOOKUP($D1408,'ACAH Consumables Tracker'!$A:$D,4,FALSE()),""))</f>
        <v/>
      </c>
      <c r="H1408" s="22"/>
    </row>
    <row r="1409" spans="1:8">
      <c r="A1409" s="21"/>
      <c r="B1409" s="28"/>
      <c r="C1409" s="22"/>
      <c r="D1409" s="28"/>
      <c r="E1409" s="23" t="str">
        <f>IF($D1409="","",IFERROR(VLOOKUP($D1409,'ACAH Consumables Tracker'!$A:$H,8,FALSE()),""))</f>
        <v/>
      </c>
      <c r="F1409" s="24"/>
      <c r="G1409" s="25" t="str">
        <f>IF($D1409="","",IFERROR(VLOOKUP($D1409,'ACAH Consumables Tracker'!$A:$D,4,FALSE()),""))</f>
        <v/>
      </c>
      <c r="H1409" s="22"/>
    </row>
    <row r="1410" spans="1:8">
      <c r="A1410" s="21"/>
      <c r="B1410" s="28"/>
      <c r="C1410" s="22"/>
      <c r="D1410" s="28"/>
      <c r="E1410" s="23" t="str">
        <f>IF($D1410="","",IFERROR(VLOOKUP($D1410,'ACAH Consumables Tracker'!$A:$H,8,FALSE()),""))</f>
        <v/>
      </c>
      <c r="F1410" s="24"/>
      <c r="G1410" s="25" t="str">
        <f>IF($D1410="","",IFERROR(VLOOKUP($D1410,'ACAH Consumables Tracker'!$A:$D,4,FALSE()),""))</f>
        <v/>
      </c>
      <c r="H1410" s="22"/>
    </row>
    <row r="1411" spans="1:8">
      <c r="A1411" s="21"/>
      <c r="B1411" s="28"/>
      <c r="C1411" s="22"/>
      <c r="D1411" s="28"/>
      <c r="E1411" s="23" t="str">
        <f>IF($D1411="","",IFERROR(VLOOKUP($D1411,'ACAH Consumables Tracker'!$A:$H,8,FALSE()),""))</f>
        <v/>
      </c>
      <c r="F1411" s="24"/>
      <c r="G1411" s="25" t="str">
        <f>IF($D1411="","",IFERROR(VLOOKUP($D1411,'ACAH Consumables Tracker'!$A:$D,4,FALSE()),""))</f>
        <v/>
      </c>
      <c r="H1411" s="22"/>
    </row>
    <row r="1412" spans="1:8">
      <c r="A1412" s="21"/>
      <c r="B1412" s="28"/>
      <c r="C1412" s="22"/>
      <c r="D1412" s="28"/>
      <c r="E1412" s="23" t="str">
        <f>IF($D1412="","",IFERROR(VLOOKUP($D1412,'ACAH Consumables Tracker'!$A:$H,8,FALSE()),""))</f>
        <v/>
      </c>
      <c r="F1412" s="24"/>
      <c r="G1412" s="25" t="str">
        <f>IF($D1412="","",IFERROR(VLOOKUP($D1412,'ACAH Consumables Tracker'!$A:$D,4,FALSE()),""))</f>
        <v/>
      </c>
      <c r="H1412" s="22"/>
    </row>
    <row r="1413" spans="1:8">
      <c r="A1413" s="21"/>
      <c r="B1413" s="28"/>
      <c r="C1413" s="22"/>
      <c r="D1413" s="28"/>
      <c r="E1413" s="23" t="str">
        <f>IF($D1413="","",IFERROR(VLOOKUP($D1413,'ACAH Consumables Tracker'!$A:$H,8,FALSE()),""))</f>
        <v/>
      </c>
      <c r="F1413" s="24"/>
      <c r="G1413" s="25" t="str">
        <f>IF($D1413="","",IFERROR(VLOOKUP($D1413,'ACAH Consumables Tracker'!$A:$D,4,FALSE()),""))</f>
        <v/>
      </c>
      <c r="H1413" s="22"/>
    </row>
    <row r="1414" spans="1:8">
      <c r="A1414" s="21"/>
      <c r="B1414" s="28"/>
      <c r="C1414" s="22"/>
      <c r="D1414" s="28"/>
      <c r="E1414" s="23" t="str">
        <f>IF($D1414="","",IFERROR(VLOOKUP($D1414,'ACAH Consumables Tracker'!$A:$H,8,FALSE()),""))</f>
        <v/>
      </c>
      <c r="F1414" s="24"/>
      <c r="G1414" s="25" t="str">
        <f>IF($D1414="","",IFERROR(VLOOKUP($D1414,'ACAH Consumables Tracker'!$A:$D,4,FALSE()),""))</f>
        <v/>
      </c>
      <c r="H1414" s="22"/>
    </row>
    <row r="1415" spans="1:8">
      <c r="A1415" s="21"/>
      <c r="B1415" s="28"/>
      <c r="C1415" s="22"/>
      <c r="D1415" s="28"/>
      <c r="E1415" s="23" t="str">
        <f>IF($D1415="","",IFERROR(VLOOKUP($D1415,'ACAH Consumables Tracker'!$A:$H,8,FALSE()),""))</f>
        <v/>
      </c>
      <c r="F1415" s="24"/>
      <c r="G1415" s="25" t="str">
        <f>IF($D1415="","",IFERROR(VLOOKUP($D1415,'ACAH Consumables Tracker'!$A:$D,4,FALSE()),""))</f>
        <v/>
      </c>
      <c r="H1415" s="22"/>
    </row>
    <row r="1416" spans="1:8">
      <c r="A1416" s="21"/>
      <c r="B1416" s="28"/>
      <c r="C1416" s="22"/>
      <c r="D1416" s="28"/>
      <c r="E1416" s="23" t="str">
        <f>IF($D1416="","",IFERROR(VLOOKUP($D1416,'ACAH Consumables Tracker'!$A:$H,8,FALSE()),""))</f>
        <v/>
      </c>
      <c r="F1416" s="24"/>
      <c r="G1416" s="25" t="str">
        <f>IF($D1416="","",IFERROR(VLOOKUP($D1416,'ACAH Consumables Tracker'!$A:$D,4,FALSE()),""))</f>
        <v/>
      </c>
      <c r="H1416" s="22"/>
    </row>
    <row r="1417" spans="1:8">
      <c r="A1417" s="21"/>
      <c r="B1417" s="28"/>
      <c r="C1417" s="22"/>
      <c r="D1417" s="28"/>
      <c r="E1417" s="23" t="str">
        <f>IF($D1417="","",IFERROR(VLOOKUP($D1417,'ACAH Consumables Tracker'!$A:$H,8,FALSE()),""))</f>
        <v/>
      </c>
      <c r="F1417" s="24"/>
      <c r="G1417" s="25" t="str">
        <f>IF($D1417="","",IFERROR(VLOOKUP($D1417,'ACAH Consumables Tracker'!$A:$D,4,FALSE()),""))</f>
        <v/>
      </c>
      <c r="H1417" s="22"/>
    </row>
    <row r="1418" spans="1:8">
      <c r="A1418" s="21"/>
      <c r="B1418" s="28"/>
      <c r="C1418" s="22"/>
      <c r="D1418" s="28"/>
      <c r="E1418" s="23" t="str">
        <f>IF($D1418="","",IFERROR(VLOOKUP($D1418,'ACAH Consumables Tracker'!$A:$H,8,FALSE()),""))</f>
        <v/>
      </c>
      <c r="F1418" s="24"/>
      <c r="G1418" s="25" t="str">
        <f>IF($D1418="","",IFERROR(VLOOKUP($D1418,'ACAH Consumables Tracker'!$A:$D,4,FALSE()),""))</f>
        <v/>
      </c>
      <c r="H1418" s="22"/>
    </row>
    <row r="1419" spans="1:8">
      <c r="A1419" s="21"/>
      <c r="B1419" s="28"/>
      <c r="C1419" s="22"/>
      <c r="D1419" s="28"/>
      <c r="E1419" s="23" t="str">
        <f>IF($D1419="","",IFERROR(VLOOKUP($D1419,'ACAH Consumables Tracker'!$A:$H,8,FALSE()),""))</f>
        <v/>
      </c>
      <c r="F1419" s="24"/>
      <c r="G1419" s="25" t="str">
        <f>IF($D1419="","",IFERROR(VLOOKUP($D1419,'ACAH Consumables Tracker'!$A:$D,4,FALSE()),""))</f>
        <v/>
      </c>
      <c r="H1419" s="22"/>
    </row>
    <row r="1420" spans="1:8">
      <c r="A1420" s="21"/>
      <c r="B1420" s="28"/>
      <c r="C1420" s="22"/>
      <c r="D1420" s="28"/>
      <c r="E1420" s="23" t="str">
        <f>IF($D1420="","",IFERROR(VLOOKUP($D1420,'ACAH Consumables Tracker'!$A:$H,8,FALSE()),""))</f>
        <v/>
      </c>
      <c r="F1420" s="24"/>
      <c r="G1420" s="25" t="str">
        <f>IF($D1420="","",IFERROR(VLOOKUP($D1420,'ACAH Consumables Tracker'!$A:$D,4,FALSE()),""))</f>
        <v/>
      </c>
      <c r="H1420" s="22"/>
    </row>
    <row r="1421" spans="1:8">
      <c r="A1421" s="21"/>
      <c r="B1421" s="28"/>
      <c r="C1421" s="22"/>
      <c r="D1421" s="28"/>
      <c r="E1421" s="23" t="str">
        <f>IF($D1421="","",IFERROR(VLOOKUP($D1421,'ACAH Consumables Tracker'!$A:$H,8,FALSE()),""))</f>
        <v/>
      </c>
      <c r="F1421" s="24"/>
      <c r="G1421" s="25" t="str">
        <f>IF($D1421="","",IFERROR(VLOOKUP($D1421,'ACAH Consumables Tracker'!$A:$D,4,FALSE()),""))</f>
        <v/>
      </c>
      <c r="H1421" s="22"/>
    </row>
    <row r="1422" spans="1:8">
      <c r="A1422" s="21"/>
      <c r="B1422" s="28"/>
      <c r="C1422" s="22"/>
      <c r="D1422" s="28"/>
      <c r="E1422" s="23" t="str">
        <f>IF($D1422="","",IFERROR(VLOOKUP($D1422,'ACAH Consumables Tracker'!$A:$H,8,FALSE()),""))</f>
        <v/>
      </c>
      <c r="F1422" s="24"/>
      <c r="G1422" s="25" t="str">
        <f>IF($D1422="","",IFERROR(VLOOKUP($D1422,'ACAH Consumables Tracker'!$A:$D,4,FALSE()),""))</f>
        <v/>
      </c>
      <c r="H1422" s="22"/>
    </row>
    <row r="1423" spans="1:8">
      <c r="A1423" s="21"/>
      <c r="B1423" s="28"/>
      <c r="C1423" s="22"/>
      <c r="D1423" s="28"/>
      <c r="E1423" s="23" t="str">
        <f>IF($D1423="","",IFERROR(VLOOKUP($D1423,'ACAH Consumables Tracker'!$A:$H,8,FALSE()),""))</f>
        <v/>
      </c>
      <c r="F1423" s="24"/>
      <c r="G1423" s="25" t="str">
        <f>IF($D1423="","",IFERROR(VLOOKUP($D1423,'ACAH Consumables Tracker'!$A:$D,4,FALSE()),""))</f>
        <v/>
      </c>
      <c r="H1423" s="22"/>
    </row>
    <row r="1424" spans="1:8">
      <c r="A1424" s="21"/>
      <c r="B1424" s="28"/>
      <c r="C1424" s="22"/>
      <c r="D1424" s="28"/>
      <c r="E1424" s="23" t="str">
        <f>IF($D1424="","",IFERROR(VLOOKUP($D1424,'ACAH Consumables Tracker'!$A:$H,8,FALSE()),""))</f>
        <v/>
      </c>
      <c r="F1424" s="24"/>
      <c r="G1424" s="25" t="str">
        <f>IF($D1424="","",IFERROR(VLOOKUP($D1424,'ACAH Consumables Tracker'!$A:$D,4,FALSE()),""))</f>
        <v/>
      </c>
      <c r="H1424" s="22"/>
    </row>
    <row r="1425" spans="1:8">
      <c r="A1425" s="21"/>
      <c r="B1425" s="28"/>
      <c r="C1425" s="22"/>
      <c r="D1425" s="28"/>
      <c r="E1425" s="23" t="str">
        <f>IF($D1425="","",IFERROR(VLOOKUP($D1425,'ACAH Consumables Tracker'!$A:$H,8,FALSE()),""))</f>
        <v/>
      </c>
      <c r="F1425" s="24"/>
      <c r="G1425" s="25" t="str">
        <f>IF($D1425="","",IFERROR(VLOOKUP($D1425,'ACAH Consumables Tracker'!$A:$D,4,FALSE()),""))</f>
        <v/>
      </c>
      <c r="H1425" s="22"/>
    </row>
    <row r="1426" spans="1:8">
      <c r="A1426" s="21"/>
      <c r="B1426" s="28"/>
      <c r="C1426" s="22"/>
      <c r="D1426" s="28"/>
      <c r="E1426" s="23" t="str">
        <f>IF($D1426="","",IFERROR(VLOOKUP($D1426,'ACAH Consumables Tracker'!$A:$H,8,FALSE()),""))</f>
        <v/>
      </c>
      <c r="F1426" s="24"/>
      <c r="G1426" s="25" t="str">
        <f>IF($D1426="","",IFERROR(VLOOKUP($D1426,'ACAH Consumables Tracker'!$A:$D,4,FALSE()),""))</f>
        <v/>
      </c>
      <c r="H1426" s="22"/>
    </row>
    <row r="1427" spans="1:8">
      <c r="A1427" s="21"/>
      <c r="B1427" s="28"/>
      <c r="C1427" s="22"/>
      <c r="D1427" s="28"/>
      <c r="E1427" s="23" t="str">
        <f>IF($D1427="","",IFERROR(VLOOKUP($D1427,'ACAH Consumables Tracker'!$A:$H,8,FALSE()),""))</f>
        <v/>
      </c>
      <c r="F1427" s="24"/>
      <c r="G1427" s="25" t="str">
        <f>IF($D1427="","",IFERROR(VLOOKUP($D1427,'ACAH Consumables Tracker'!$A:$D,4,FALSE()),""))</f>
        <v/>
      </c>
      <c r="H1427" s="22"/>
    </row>
    <row r="1428" spans="1:8">
      <c r="A1428" s="21"/>
      <c r="B1428" s="28"/>
      <c r="C1428" s="22"/>
      <c r="D1428" s="28"/>
      <c r="E1428" s="23" t="str">
        <f>IF($D1428="","",IFERROR(VLOOKUP($D1428,'ACAH Consumables Tracker'!$A:$H,8,FALSE()),""))</f>
        <v/>
      </c>
      <c r="F1428" s="24"/>
      <c r="G1428" s="25" t="str">
        <f>IF($D1428="","",IFERROR(VLOOKUP($D1428,'ACAH Consumables Tracker'!$A:$D,4,FALSE()),""))</f>
        <v/>
      </c>
      <c r="H1428" s="22"/>
    </row>
    <row r="1429" spans="1:8">
      <c r="A1429" s="21"/>
      <c r="B1429" s="28"/>
      <c r="C1429" s="22"/>
      <c r="D1429" s="28"/>
      <c r="E1429" s="23" t="str">
        <f>IF($D1429="","",IFERROR(VLOOKUP($D1429,'ACAH Consumables Tracker'!$A:$H,8,FALSE()),""))</f>
        <v/>
      </c>
      <c r="F1429" s="24"/>
      <c r="G1429" s="25" t="str">
        <f>IF($D1429="","",IFERROR(VLOOKUP($D1429,'ACAH Consumables Tracker'!$A:$D,4,FALSE()),""))</f>
        <v/>
      </c>
      <c r="H1429" s="22"/>
    </row>
    <row r="1430" spans="1:8">
      <c r="A1430" s="21"/>
      <c r="B1430" s="28"/>
      <c r="C1430" s="22"/>
      <c r="D1430" s="28"/>
      <c r="E1430" s="23" t="str">
        <f>IF($D1430="","",IFERROR(VLOOKUP($D1430,'ACAH Consumables Tracker'!$A:$H,8,FALSE()),""))</f>
        <v/>
      </c>
      <c r="F1430" s="24"/>
      <c r="G1430" s="25" t="str">
        <f>IF($D1430="","",IFERROR(VLOOKUP($D1430,'ACAH Consumables Tracker'!$A:$D,4,FALSE()),""))</f>
        <v/>
      </c>
      <c r="H1430" s="22"/>
    </row>
    <row r="1431" spans="1:8">
      <c r="A1431" s="21"/>
      <c r="B1431" s="28"/>
      <c r="C1431" s="22"/>
      <c r="D1431" s="28"/>
      <c r="E1431" s="23" t="str">
        <f>IF($D1431="","",IFERROR(VLOOKUP($D1431,'ACAH Consumables Tracker'!$A:$H,8,FALSE()),""))</f>
        <v/>
      </c>
      <c r="F1431" s="24"/>
      <c r="G1431" s="25" t="str">
        <f>IF($D1431="","",IFERROR(VLOOKUP($D1431,'ACAH Consumables Tracker'!$A:$D,4,FALSE()),""))</f>
        <v/>
      </c>
      <c r="H1431" s="22"/>
    </row>
    <row r="1432" spans="1:8">
      <c r="A1432" s="21"/>
      <c r="B1432" s="28"/>
      <c r="C1432" s="22"/>
      <c r="D1432" s="28"/>
      <c r="E1432" s="23" t="str">
        <f>IF($D1432="","",IFERROR(VLOOKUP($D1432,'ACAH Consumables Tracker'!$A:$H,8,FALSE()),""))</f>
        <v/>
      </c>
      <c r="F1432" s="24"/>
      <c r="G1432" s="25" t="str">
        <f>IF($D1432="","",IFERROR(VLOOKUP($D1432,'ACAH Consumables Tracker'!$A:$D,4,FALSE()),""))</f>
        <v/>
      </c>
      <c r="H1432" s="22"/>
    </row>
    <row r="1433" spans="1:8">
      <c r="A1433" s="21"/>
      <c r="B1433" s="28"/>
      <c r="C1433" s="22"/>
      <c r="D1433" s="28"/>
      <c r="E1433" s="23" t="str">
        <f>IF($D1433="","",IFERROR(VLOOKUP($D1433,'ACAH Consumables Tracker'!$A:$H,8,FALSE()),""))</f>
        <v/>
      </c>
      <c r="F1433" s="24"/>
      <c r="G1433" s="25" t="str">
        <f>IF($D1433="","",IFERROR(VLOOKUP($D1433,'ACAH Consumables Tracker'!$A:$D,4,FALSE()),""))</f>
        <v/>
      </c>
      <c r="H1433" s="22"/>
    </row>
    <row r="1434" spans="1:8">
      <c r="A1434" s="21"/>
      <c r="B1434" s="28"/>
      <c r="C1434" s="22"/>
      <c r="D1434" s="28"/>
      <c r="E1434" s="23" t="str">
        <f>IF($D1434="","",IFERROR(VLOOKUP($D1434,'ACAH Consumables Tracker'!$A:$H,8,FALSE()),""))</f>
        <v/>
      </c>
      <c r="F1434" s="24"/>
      <c r="G1434" s="25" t="str">
        <f>IF($D1434="","",IFERROR(VLOOKUP($D1434,'ACAH Consumables Tracker'!$A:$D,4,FALSE()),""))</f>
        <v/>
      </c>
      <c r="H1434" s="22"/>
    </row>
    <row r="1435" spans="1:8">
      <c r="A1435" s="21"/>
      <c r="B1435" s="28"/>
      <c r="C1435" s="22"/>
      <c r="D1435" s="28"/>
      <c r="E1435" s="23" t="str">
        <f>IF($D1435="","",IFERROR(VLOOKUP($D1435,'ACAH Consumables Tracker'!$A:$H,8,FALSE()),""))</f>
        <v/>
      </c>
      <c r="F1435" s="24"/>
      <c r="G1435" s="25" t="str">
        <f>IF($D1435="","",IFERROR(VLOOKUP($D1435,'ACAH Consumables Tracker'!$A:$D,4,FALSE()),""))</f>
        <v/>
      </c>
      <c r="H1435" s="22"/>
    </row>
    <row r="1436" spans="1:8">
      <c r="A1436" s="21"/>
      <c r="B1436" s="28"/>
      <c r="C1436" s="22"/>
      <c r="D1436" s="28"/>
      <c r="E1436" s="23" t="str">
        <f>IF($D1436="","",IFERROR(VLOOKUP($D1436,'ACAH Consumables Tracker'!$A:$H,8,FALSE()),""))</f>
        <v/>
      </c>
      <c r="F1436" s="24"/>
      <c r="G1436" s="25" t="str">
        <f>IF($D1436="","",IFERROR(VLOOKUP($D1436,'ACAH Consumables Tracker'!$A:$D,4,FALSE()),""))</f>
        <v/>
      </c>
      <c r="H1436" s="22"/>
    </row>
    <row r="1437" spans="1:8">
      <c r="A1437" s="21"/>
      <c r="B1437" s="28"/>
      <c r="C1437" s="22"/>
      <c r="D1437" s="28"/>
      <c r="E1437" s="23" t="str">
        <f>IF($D1437="","",IFERROR(VLOOKUP($D1437,'ACAH Consumables Tracker'!$A:$H,8,FALSE()),""))</f>
        <v/>
      </c>
      <c r="F1437" s="24"/>
      <c r="G1437" s="25" t="str">
        <f>IF($D1437="","",IFERROR(VLOOKUP($D1437,'ACAH Consumables Tracker'!$A:$D,4,FALSE()),""))</f>
        <v/>
      </c>
      <c r="H1437" s="22"/>
    </row>
    <row r="1438" spans="1:8">
      <c r="A1438" s="21"/>
      <c r="B1438" s="28"/>
      <c r="C1438" s="22"/>
      <c r="D1438" s="28"/>
      <c r="E1438" s="23" t="str">
        <f>IF($D1438="","",IFERROR(VLOOKUP($D1438,'ACAH Consumables Tracker'!$A:$H,8,FALSE()),""))</f>
        <v/>
      </c>
      <c r="F1438" s="24"/>
      <c r="G1438" s="25" t="str">
        <f>IF($D1438="","",IFERROR(VLOOKUP($D1438,'ACAH Consumables Tracker'!$A:$D,4,FALSE()),""))</f>
        <v/>
      </c>
      <c r="H1438" s="22"/>
    </row>
    <row r="1439" spans="1:8">
      <c r="A1439" s="21"/>
      <c r="B1439" s="28"/>
      <c r="C1439" s="22"/>
      <c r="D1439" s="28"/>
      <c r="E1439" s="23" t="str">
        <f>IF($D1439="","",IFERROR(VLOOKUP($D1439,'ACAH Consumables Tracker'!$A:$H,8,FALSE()),""))</f>
        <v/>
      </c>
      <c r="F1439" s="24"/>
      <c r="G1439" s="25" t="str">
        <f>IF($D1439="","",IFERROR(VLOOKUP($D1439,'ACAH Consumables Tracker'!$A:$D,4,FALSE()),""))</f>
        <v/>
      </c>
      <c r="H1439" s="22"/>
    </row>
    <row r="1440" spans="1:8">
      <c r="A1440" s="21"/>
      <c r="B1440" s="28"/>
      <c r="C1440" s="22"/>
      <c r="D1440" s="28"/>
      <c r="E1440" s="23" t="str">
        <f>IF($D1440="","",IFERROR(VLOOKUP($D1440,'ACAH Consumables Tracker'!$A:$H,8,FALSE()),""))</f>
        <v/>
      </c>
      <c r="F1440" s="24"/>
      <c r="G1440" s="25" t="str">
        <f>IF($D1440="","",IFERROR(VLOOKUP($D1440,'ACAH Consumables Tracker'!$A:$D,4,FALSE()),""))</f>
        <v/>
      </c>
      <c r="H1440" s="22"/>
    </row>
    <row r="1441" spans="1:8">
      <c r="A1441" s="21"/>
      <c r="B1441" s="28"/>
      <c r="C1441" s="22"/>
      <c r="D1441" s="28"/>
      <c r="E1441" s="23" t="str">
        <f>IF($D1441="","",IFERROR(VLOOKUP($D1441,'ACAH Consumables Tracker'!$A:$H,8,FALSE()),""))</f>
        <v/>
      </c>
      <c r="F1441" s="24"/>
      <c r="G1441" s="25" t="str">
        <f>IF($D1441="","",IFERROR(VLOOKUP($D1441,'ACAH Consumables Tracker'!$A:$D,4,FALSE()),""))</f>
        <v/>
      </c>
      <c r="H1441" s="22"/>
    </row>
    <row r="1442" spans="1:8">
      <c r="A1442" s="21"/>
      <c r="B1442" s="28"/>
      <c r="C1442" s="22"/>
      <c r="D1442" s="28"/>
      <c r="E1442" s="23" t="str">
        <f>IF($D1442="","",IFERROR(VLOOKUP($D1442,'ACAH Consumables Tracker'!$A:$H,8,FALSE()),""))</f>
        <v/>
      </c>
      <c r="F1442" s="24"/>
      <c r="G1442" s="25" t="str">
        <f>IF($D1442="","",IFERROR(VLOOKUP($D1442,'ACAH Consumables Tracker'!$A:$D,4,FALSE()),""))</f>
        <v/>
      </c>
      <c r="H1442" s="22"/>
    </row>
    <row r="1443" spans="1:8">
      <c r="A1443" s="21"/>
      <c r="B1443" s="28"/>
      <c r="C1443" s="22"/>
      <c r="D1443" s="28"/>
      <c r="E1443" s="23" t="str">
        <f>IF($D1443="","",IFERROR(VLOOKUP($D1443,'ACAH Consumables Tracker'!$A:$H,8,FALSE()),""))</f>
        <v/>
      </c>
      <c r="F1443" s="24"/>
      <c r="G1443" s="25" t="str">
        <f>IF($D1443="","",IFERROR(VLOOKUP($D1443,'ACAH Consumables Tracker'!$A:$D,4,FALSE()),""))</f>
        <v/>
      </c>
      <c r="H1443" s="22"/>
    </row>
    <row r="1444" spans="1:8">
      <c r="A1444" s="21"/>
      <c r="B1444" s="28"/>
      <c r="C1444" s="22"/>
      <c r="D1444" s="28"/>
      <c r="E1444" s="23" t="str">
        <f>IF($D1444="","",IFERROR(VLOOKUP($D1444,'ACAH Consumables Tracker'!$A:$H,8,FALSE()),""))</f>
        <v/>
      </c>
      <c r="F1444" s="24"/>
      <c r="G1444" s="25" t="str">
        <f>IF($D1444="","",IFERROR(VLOOKUP($D1444,'ACAH Consumables Tracker'!$A:$D,4,FALSE()),""))</f>
        <v/>
      </c>
      <c r="H1444" s="22"/>
    </row>
    <row r="1445" spans="1:8">
      <c r="A1445" s="21"/>
      <c r="B1445" s="28"/>
      <c r="C1445" s="22"/>
      <c r="D1445" s="28"/>
      <c r="E1445" s="23" t="str">
        <f>IF($D1445="","",IFERROR(VLOOKUP($D1445,'ACAH Consumables Tracker'!$A:$H,8,FALSE()),""))</f>
        <v/>
      </c>
      <c r="F1445" s="24"/>
      <c r="G1445" s="25" t="str">
        <f>IF($D1445="","",IFERROR(VLOOKUP($D1445,'ACAH Consumables Tracker'!$A:$D,4,FALSE()),""))</f>
        <v/>
      </c>
      <c r="H1445" s="22"/>
    </row>
    <row r="1446" spans="1:8">
      <c r="A1446" s="21"/>
      <c r="B1446" s="28"/>
      <c r="C1446" s="22"/>
      <c r="D1446" s="28"/>
      <c r="E1446" s="23" t="str">
        <f>IF($D1446="","",IFERROR(VLOOKUP($D1446,'ACAH Consumables Tracker'!$A:$H,8,FALSE()),""))</f>
        <v/>
      </c>
      <c r="F1446" s="24"/>
      <c r="G1446" s="25" t="str">
        <f>IF($D1446="","",IFERROR(VLOOKUP($D1446,'ACAH Consumables Tracker'!$A:$D,4,FALSE()),""))</f>
        <v/>
      </c>
      <c r="H1446" s="22"/>
    </row>
    <row r="1447" spans="1:8">
      <c r="A1447" s="21"/>
      <c r="B1447" s="28"/>
      <c r="C1447" s="22"/>
      <c r="D1447" s="28"/>
      <c r="E1447" s="23" t="str">
        <f>IF($D1447="","",IFERROR(VLOOKUP($D1447,'ACAH Consumables Tracker'!$A:$H,8,FALSE()),""))</f>
        <v/>
      </c>
      <c r="F1447" s="24"/>
      <c r="G1447" s="25" t="str">
        <f>IF($D1447="","",IFERROR(VLOOKUP($D1447,'ACAH Consumables Tracker'!$A:$D,4,FALSE()),""))</f>
        <v/>
      </c>
      <c r="H1447" s="22"/>
    </row>
    <row r="1448" spans="1:8">
      <c r="A1448" s="21"/>
      <c r="B1448" s="28"/>
      <c r="C1448" s="22"/>
      <c r="D1448" s="28"/>
      <c r="E1448" s="23" t="str">
        <f>IF($D1448="","",IFERROR(VLOOKUP($D1448,'ACAH Consumables Tracker'!$A:$H,8,FALSE()),""))</f>
        <v/>
      </c>
      <c r="F1448" s="24"/>
      <c r="G1448" s="25" t="str">
        <f>IF($D1448="","",IFERROR(VLOOKUP($D1448,'ACAH Consumables Tracker'!$A:$D,4,FALSE()),""))</f>
        <v/>
      </c>
      <c r="H1448" s="22"/>
    </row>
    <row r="1449" spans="1:8">
      <c r="A1449" s="21"/>
      <c r="B1449" s="28"/>
      <c r="C1449" s="22"/>
      <c r="D1449" s="28"/>
      <c r="E1449" s="23" t="str">
        <f>IF($D1449="","",IFERROR(VLOOKUP($D1449,'ACAH Consumables Tracker'!$A:$H,8,FALSE()),""))</f>
        <v/>
      </c>
      <c r="F1449" s="24"/>
      <c r="G1449" s="25" t="str">
        <f>IF($D1449="","",IFERROR(VLOOKUP($D1449,'ACAH Consumables Tracker'!$A:$D,4,FALSE()),""))</f>
        <v/>
      </c>
      <c r="H1449" s="22"/>
    </row>
    <row r="1450" spans="1:8">
      <c r="A1450" s="21"/>
      <c r="B1450" s="28"/>
      <c r="C1450" s="22"/>
      <c r="D1450" s="28"/>
      <c r="E1450" s="23" t="str">
        <f>IF($D1450="","",IFERROR(VLOOKUP($D1450,'ACAH Consumables Tracker'!$A:$H,8,FALSE()),""))</f>
        <v/>
      </c>
      <c r="F1450" s="24"/>
      <c r="G1450" s="25" t="str">
        <f>IF($D1450="","",IFERROR(VLOOKUP($D1450,'ACAH Consumables Tracker'!$A:$D,4,FALSE()),""))</f>
        <v/>
      </c>
      <c r="H1450" s="22"/>
    </row>
    <row r="1451" spans="1:8">
      <c r="A1451" s="21"/>
      <c r="B1451" s="28"/>
      <c r="C1451" s="22"/>
      <c r="D1451" s="28"/>
      <c r="E1451" s="23" t="str">
        <f>IF($D1451="","",IFERROR(VLOOKUP($D1451,'ACAH Consumables Tracker'!$A:$H,8,FALSE()),""))</f>
        <v/>
      </c>
      <c r="F1451" s="24"/>
      <c r="G1451" s="25" t="str">
        <f>IF($D1451="","",IFERROR(VLOOKUP($D1451,'ACAH Consumables Tracker'!$A:$D,4,FALSE()),""))</f>
        <v/>
      </c>
      <c r="H1451" s="22"/>
    </row>
    <row r="1452" spans="1:8">
      <c r="A1452" s="21"/>
      <c r="B1452" s="28"/>
      <c r="C1452" s="22"/>
      <c r="D1452" s="28"/>
      <c r="E1452" s="23" t="str">
        <f>IF($D1452="","",IFERROR(VLOOKUP($D1452,'ACAH Consumables Tracker'!$A:$H,8,FALSE()),""))</f>
        <v/>
      </c>
      <c r="F1452" s="24"/>
      <c r="G1452" s="25" t="str">
        <f>IF($D1452="","",IFERROR(VLOOKUP($D1452,'ACAH Consumables Tracker'!$A:$D,4,FALSE()),""))</f>
        <v/>
      </c>
      <c r="H1452" s="22"/>
    </row>
    <row r="1453" spans="1:8">
      <c r="A1453" s="21"/>
      <c r="B1453" s="28"/>
      <c r="C1453" s="22"/>
      <c r="D1453" s="28"/>
      <c r="E1453" s="23" t="str">
        <f>IF($D1453="","",IFERROR(VLOOKUP($D1453,'ACAH Consumables Tracker'!$A:$H,8,FALSE()),""))</f>
        <v/>
      </c>
      <c r="F1453" s="24"/>
      <c r="G1453" s="25" t="str">
        <f>IF($D1453="","",IFERROR(VLOOKUP($D1453,'ACAH Consumables Tracker'!$A:$D,4,FALSE()),""))</f>
        <v/>
      </c>
      <c r="H1453" s="22"/>
    </row>
    <row r="1454" spans="1:8">
      <c r="A1454" s="21"/>
      <c r="B1454" s="28"/>
      <c r="C1454" s="22"/>
      <c r="D1454" s="28"/>
      <c r="E1454" s="23" t="str">
        <f>IF($D1454="","",IFERROR(VLOOKUP($D1454,'ACAH Consumables Tracker'!$A:$H,8,FALSE()),""))</f>
        <v/>
      </c>
      <c r="F1454" s="24"/>
      <c r="G1454" s="25" t="str">
        <f>IF($D1454="","",IFERROR(VLOOKUP($D1454,'ACAH Consumables Tracker'!$A:$D,4,FALSE()),""))</f>
        <v/>
      </c>
      <c r="H1454" s="22"/>
    </row>
    <row r="1455" spans="1:8">
      <c r="A1455" s="21"/>
      <c r="B1455" s="28"/>
      <c r="C1455" s="22"/>
      <c r="D1455" s="28"/>
      <c r="E1455" s="23" t="str">
        <f>IF($D1455="","",IFERROR(VLOOKUP($D1455,'ACAH Consumables Tracker'!$A:$H,8,FALSE()),""))</f>
        <v/>
      </c>
      <c r="F1455" s="24"/>
      <c r="G1455" s="25" t="str">
        <f>IF($D1455="","",IFERROR(VLOOKUP($D1455,'ACAH Consumables Tracker'!$A:$D,4,FALSE()),""))</f>
        <v/>
      </c>
      <c r="H1455" s="22"/>
    </row>
    <row r="1456" spans="1:8">
      <c r="A1456" s="21"/>
      <c r="B1456" s="28"/>
      <c r="C1456" s="22"/>
      <c r="D1456" s="28"/>
      <c r="E1456" s="23" t="str">
        <f>IF($D1456="","",IFERROR(VLOOKUP($D1456,'ACAH Consumables Tracker'!$A:$H,8,FALSE()),""))</f>
        <v/>
      </c>
      <c r="F1456" s="24"/>
      <c r="G1456" s="25" t="str">
        <f>IF($D1456="","",IFERROR(VLOOKUP($D1456,'ACAH Consumables Tracker'!$A:$D,4,FALSE()),""))</f>
        <v/>
      </c>
      <c r="H1456" s="22"/>
    </row>
    <row r="1457" spans="1:8">
      <c r="A1457" s="21"/>
      <c r="B1457" s="28"/>
      <c r="C1457" s="22"/>
      <c r="D1457" s="28"/>
      <c r="E1457" s="23" t="str">
        <f>IF($D1457="","",IFERROR(VLOOKUP($D1457,'ACAH Consumables Tracker'!$A:$H,8,FALSE()),""))</f>
        <v/>
      </c>
      <c r="F1457" s="24"/>
      <c r="G1457" s="25" t="str">
        <f>IF($D1457="","",IFERROR(VLOOKUP($D1457,'ACAH Consumables Tracker'!$A:$D,4,FALSE()),""))</f>
        <v/>
      </c>
      <c r="H1457" s="22"/>
    </row>
    <row r="1458" spans="1:8">
      <c r="A1458" s="21"/>
      <c r="B1458" s="28"/>
      <c r="C1458" s="22"/>
      <c r="D1458" s="28"/>
      <c r="E1458" s="23" t="str">
        <f>IF($D1458="","",IFERROR(VLOOKUP($D1458,'ACAH Consumables Tracker'!$A:$H,8,FALSE()),""))</f>
        <v/>
      </c>
      <c r="F1458" s="24"/>
      <c r="G1458" s="25" t="str">
        <f>IF($D1458="","",IFERROR(VLOOKUP($D1458,'ACAH Consumables Tracker'!$A:$D,4,FALSE()),""))</f>
        <v/>
      </c>
      <c r="H1458" s="22"/>
    </row>
    <row r="1459" spans="1:8">
      <c r="A1459" s="21"/>
      <c r="B1459" s="28"/>
      <c r="C1459" s="22"/>
      <c r="D1459" s="28"/>
      <c r="E1459" s="23" t="str">
        <f>IF($D1459="","",IFERROR(VLOOKUP($D1459,'ACAH Consumables Tracker'!$A:$H,8,FALSE()),""))</f>
        <v/>
      </c>
      <c r="F1459" s="24"/>
      <c r="G1459" s="25" t="str">
        <f>IF($D1459="","",IFERROR(VLOOKUP($D1459,'ACAH Consumables Tracker'!$A:$D,4,FALSE()),""))</f>
        <v/>
      </c>
      <c r="H1459" s="22"/>
    </row>
    <row r="1460" spans="1:8">
      <c r="A1460" s="21"/>
      <c r="B1460" s="28"/>
      <c r="C1460" s="22"/>
      <c r="D1460" s="28"/>
      <c r="E1460" s="23" t="str">
        <f>IF($D1460="","",IFERROR(VLOOKUP($D1460,'ACAH Consumables Tracker'!$A:$H,8,FALSE()),""))</f>
        <v/>
      </c>
      <c r="F1460" s="24"/>
      <c r="G1460" s="25" t="str">
        <f>IF($D1460="","",IFERROR(VLOOKUP($D1460,'ACAH Consumables Tracker'!$A:$D,4,FALSE()),""))</f>
        <v/>
      </c>
      <c r="H1460" s="22"/>
    </row>
    <row r="1461" spans="1:8">
      <c r="A1461" s="21"/>
      <c r="B1461" s="28"/>
      <c r="C1461" s="22"/>
      <c r="D1461" s="28"/>
      <c r="E1461" s="23" t="str">
        <f>IF($D1461="","",IFERROR(VLOOKUP($D1461,'ACAH Consumables Tracker'!$A:$H,8,FALSE()),""))</f>
        <v/>
      </c>
      <c r="F1461" s="24"/>
      <c r="G1461" s="25" t="str">
        <f>IF($D1461="","",IFERROR(VLOOKUP($D1461,'ACAH Consumables Tracker'!$A:$D,4,FALSE()),""))</f>
        <v/>
      </c>
      <c r="H1461" s="22"/>
    </row>
    <row r="1462" spans="1:8">
      <c r="A1462" s="21"/>
      <c r="B1462" s="28"/>
      <c r="C1462" s="22"/>
      <c r="D1462" s="28"/>
      <c r="E1462" s="23" t="str">
        <f>IF($D1462="","",IFERROR(VLOOKUP($D1462,'ACAH Consumables Tracker'!$A:$H,8,FALSE()),""))</f>
        <v/>
      </c>
      <c r="F1462" s="24"/>
      <c r="G1462" s="25" t="str">
        <f>IF($D1462="","",IFERROR(VLOOKUP($D1462,'ACAH Consumables Tracker'!$A:$D,4,FALSE()),""))</f>
        <v/>
      </c>
      <c r="H1462" s="22"/>
    </row>
    <row r="1463" spans="1:8">
      <c r="A1463" s="21"/>
      <c r="B1463" s="28"/>
      <c r="C1463" s="22"/>
      <c r="D1463" s="28"/>
      <c r="E1463" s="23" t="str">
        <f>IF($D1463="","",IFERROR(VLOOKUP($D1463,'ACAH Consumables Tracker'!$A:$H,8,FALSE()),""))</f>
        <v/>
      </c>
      <c r="F1463" s="24"/>
      <c r="G1463" s="25" t="str">
        <f>IF($D1463="","",IFERROR(VLOOKUP($D1463,'ACAH Consumables Tracker'!$A:$D,4,FALSE()),""))</f>
        <v/>
      </c>
      <c r="H1463" s="22"/>
    </row>
    <row r="1464" spans="1:8">
      <c r="A1464" s="21"/>
      <c r="B1464" s="28"/>
      <c r="C1464" s="22"/>
      <c r="D1464" s="28"/>
      <c r="E1464" s="23" t="str">
        <f>IF($D1464="","",IFERROR(VLOOKUP($D1464,'ACAH Consumables Tracker'!$A:$H,8,FALSE()),""))</f>
        <v/>
      </c>
      <c r="F1464" s="24"/>
      <c r="G1464" s="25" t="str">
        <f>IF($D1464="","",IFERROR(VLOOKUP($D1464,'ACAH Consumables Tracker'!$A:$D,4,FALSE()),""))</f>
        <v/>
      </c>
      <c r="H1464" s="22"/>
    </row>
    <row r="1465" spans="1:8">
      <c r="A1465" s="21"/>
      <c r="B1465" s="28"/>
      <c r="C1465" s="22"/>
      <c r="D1465" s="28"/>
      <c r="E1465" s="23" t="str">
        <f>IF($D1465="","",IFERROR(VLOOKUP($D1465,'ACAH Consumables Tracker'!$A:$H,8,FALSE()),""))</f>
        <v/>
      </c>
      <c r="F1465" s="24"/>
      <c r="G1465" s="25" t="str">
        <f>IF($D1465="","",IFERROR(VLOOKUP($D1465,'ACAH Consumables Tracker'!$A:$D,4,FALSE()),""))</f>
        <v/>
      </c>
      <c r="H1465" s="22"/>
    </row>
    <row r="1466" spans="1:8">
      <c r="A1466" s="21"/>
      <c r="B1466" s="28"/>
      <c r="C1466" s="22"/>
      <c r="D1466" s="28"/>
      <c r="E1466" s="23" t="str">
        <f>IF($D1466="","",IFERROR(VLOOKUP($D1466,'ACAH Consumables Tracker'!$A:$H,8,FALSE()),""))</f>
        <v/>
      </c>
      <c r="F1466" s="24"/>
      <c r="G1466" s="25" t="str">
        <f>IF($D1466="","",IFERROR(VLOOKUP($D1466,'ACAH Consumables Tracker'!$A:$D,4,FALSE()),""))</f>
        <v/>
      </c>
      <c r="H1466" s="22"/>
    </row>
    <row r="1467" spans="1:8">
      <c r="A1467" s="21"/>
      <c r="B1467" s="28"/>
      <c r="C1467" s="22"/>
      <c r="D1467" s="28"/>
      <c r="E1467" s="23" t="str">
        <f>IF($D1467="","",IFERROR(VLOOKUP($D1467,'ACAH Consumables Tracker'!$A:$H,8,FALSE()),""))</f>
        <v/>
      </c>
      <c r="F1467" s="24"/>
      <c r="G1467" s="25" t="str">
        <f>IF($D1467="","",IFERROR(VLOOKUP($D1467,'ACAH Consumables Tracker'!$A:$D,4,FALSE()),""))</f>
        <v/>
      </c>
      <c r="H1467" s="22"/>
    </row>
    <row r="1468" spans="1:8">
      <c r="A1468" s="21"/>
      <c r="B1468" s="28"/>
      <c r="C1468" s="22"/>
      <c r="D1468" s="28"/>
      <c r="E1468" s="23" t="str">
        <f>IF($D1468="","",IFERROR(VLOOKUP($D1468,'ACAH Consumables Tracker'!$A:$H,8,FALSE()),""))</f>
        <v/>
      </c>
      <c r="F1468" s="24"/>
      <c r="G1468" s="25" t="str">
        <f>IF($D1468="","",IFERROR(VLOOKUP($D1468,'ACAH Consumables Tracker'!$A:$D,4,FALSE()),""))</f>
        <v/>
      </c>
      <c r="H1468" s="22"/>
    </row>
    <row r="1469" spans="1:8">
      <c r="A1469" s="21"/>
      <c r="B1469" s="28"/>
      <c r="C1469" s="22"/>
      <c r="D1469" s="28"/>
      <c r="E1469" s="23" t="str">
        <f>IF($D1469="","",IFERROR(VLOOKUP($D1469,'ACAH Consumables Tracker'!$A:$H,8,FALSE()),""))</f>
        <v/>
      </c>
      <c r="F1469" s="24"/>
      <c r="G1469" s="25" t="str">
        <f>IF($D1469="","",IFERROR(VLOOKUP($D1469,'ACAH Consumables Tracker'!$A:$D,4,FALSE()),""))</f>
        <v/>
      </c>
      <c r="H1469" s="22"/>
    </row>
    <row r="1470" spans="1:8">
      <c r="A1470" s="21"/>
      <c r="B1470" s="28"/>
      <c r="C1470" s="22"/>
      <c r="D1470" s="28"/>
      <c r="E1470" s="23" t="str">
        <f>IF($D1470="","",IFERROR(VLOOKUP($D1470,'ACAH Consumables Tracker'!$A:$H,8,FALSE()),""))</f>
        <v/>
      </c>
      <c r="F1470" s="24"/>
      <c r="G1470" s="25" t="str">
        <f>IF($D1470="","",IFERROR(VLOOKUP($D1470,'ACAH Consumables Tracker'!$A:$D,4,FALSE()),""))</f>
        <v/>
      </c>
      <c r="H1470" s="22"/>
    </row>
    <row r="1471" spans="1:8">
      <c r="A1471" s="21"/>
      <c r="B1471" s="28"/>
      <c r="C1471" s="22"/>
      <c r="D1471" s="28"/>
      <c r="E1471" s="23" t="str">
        <f>IF($D1471="","",IFERROR(VLOOKUP($D1471,'ACAH Consumables Tracker'!$A:$H,8,FALSE()),""))</f>
        <v/>
      </c>
      <c r="F1471" s="24"/>
      <c r="G1471" s="25" t="str">
        <f>IF($D1471="","",IFERROR(VLOOKUP($D1471,'ACAH Consumables Tracker'!$A:$D,4,FALSE()),""))</f>
        <v/>
      </c>
      <c r="H1471" s="22"/>
    </row>
    <row r="1472" spans="1:8">
      <c r="A1472" s="21"/>
      <c r="B1472" s="28"/>
      <c r="C1472" s="22"/>
      <c r="D1472" s="28"/>
      <c r="E1472" s="23" t="str">
        <f>IF($D1472="","",IFERROR(VLOOKUP($D1472,'ACAH Consumables Tracker'!$A:$H,8,FALSE()),""))</f>
        <v/>
      </c>
      <c r="F1472" s="24"/>
      <c r="G1472" s="25" t="str">
        <f>IF($D1472="","",IFERROR(VLOOKUP($D1472,'ACAH Consumables Tracker'!$A:$D,4,FALSE()),""))</f>
        <v/>
      </c>
      <c r="H1472" s="22"/>
    </row>
    <row r="1473" spans="1:8">
      <c r="A1473" s="21"/>
      <c r="B1473" s="28"/>
      <c r="C1473" s="22"/>
      <c r="D1473" s="28"/>
      <c r="E1473" s="23" t="str">
        <f>IF($D1473="","",IFERROR(VLOOKUP($D1473,'ACAH Consumables Tracker'!$A:$H,8,FALSE()),""))</f>
        <v/>
      </c>
      <c r="F1473" s="24"/>
      <c r="G1473" s="25" t="str">
        <f>IF($D1473="","",IFERROR(VLOOKUP($D1473,'ACAH Consumables Tracker'!$A:$D,4,FALSE()),""))</f>
        <v/>
      </c>
      <c r="H1473" s="22"/>
    </row>
    <row r="1474" spans="1:8">
      <c r="A1474" s="21"/>
      <c r="B1474" s="28"/>
      <c r="C1474" s="22"/>
      <c r="D1474" s="28"/>
      <c r="E1474" s="23" t="str">
        <f>IF($D1474="","",IFERROR(VLOOKUP($D1474,'ACAH Consumables Tracker'!$A:$H,8,FALSE()),""))</f>
        <v/>
      </c>
      <c r="F1474" s="24"/>
      <c r="G1474" s="25" t="str">
        <f>IF($D1474="","",IFERROR(VLOOKUP($D1474,'ACAH Consumables Tracker'!$A:$D,4,FALSE()),""))</f>
        <v/>
      </c>
      <c r="H1474" s="22"/>
    </row>
    <row r="1475" spans="1:8">
      <c r="A1475" s="21"/>
      <c r="B1475" s="28"/>
      <c r="C1475" s="22"/>
      <c r="D1475" s="28"/>
      <c r="E1475" s="23" t="str">
        <f>IF($D1475="","",IFERROR(VLOOKUP($D1475,'ACAH Consumables Tracker'!$A:$H,8,FALSE()),""))</f>
        <v/>
      </c>
      <c r="F1475" s="24"/>
      <c r="G1475" s="25" t="str">
        <f>IF($D1475="","",IFERROR(VLOOKUP($D1475,'ACAH Consumables Tracker'!$A:$D,4,FALSE()),""))</f>
        <v/>
      </c>
      <c r="H1475" s="22"/>
    </row>
    <row r="1476" spans="1:8">
      <c r="A1476" s="21"/>
      <c r="B1476" s="28"/>
      <c r="C1476" s="22"/>
      <c r="D1476" s="28"/>
      <c r="E1476" s="23" t="str">
        <f>IF($D1476="","",IFERROR(VLOOKUP($D1476,'ACAH Consumables Tracker'!$A:$H,8,FALSE()),""))</f>
        <v/>
      </c>
      <c r="F1476" s="24"/>
      <c r="G1476" s="25" t="str">
        <f>IF($D1476="","",IFERROR(VLOOKUP($D1476,'ACAH Consumables Tracker'!$A:$D,4,FALSE()),""))</f>
        <v/>
      </c>
      <c r="H1476" s="22"/>
    </row>
    <row r="1477" spans="1:8">
      <c r="A1477" s="21"/>
      <c r="B1477" s="28"/>
      <c r="C1477" s="22"/>
      <c r="D1477" s="28"/>
      <c r="E1477" s="23" t="str">
        <f>IF($D1477="","",IFERROR(VLOOKUP($D1477,'ACAH Consumables Tracker'!$A:$H,8,FALSE()),""))</f>
        <v/>
      </c>
      <c r="F1477" s="24"/>
      <c r="G1477" s="25" t="str">
        <f>IF($D1477="","",IFERROR(VLOOKUP($D1477,'ACAH Consumables Tracker'!$A:$D,4,FALSE()),""))</f>
        <v/>
      </c>
      <c r="H1477" s="22"/>
    </row>
    <row r="1478" spans="1:8">
      <c r="A1478" s="21"/>
      <c r="B1478" s="28"/>
      <c r="C1478" s="22"/>
      <c r="D1478" s="28"/>
      <c r="E1478" s="23" t="str">
        <f>IF($D1478="","",IFERROR(VLOOKUP($D1478,'ACAH Consumables Tracker'!$A:$H,8,FALSE()),""))</f>
        <v/>
      </c>
      <c r="F1478" s="24"/>
      <c r="G1478" s="25" t="str">
        <f>IF($D1478="","",IFERROR(VLOOKUP($D1478,'ACAH Consumables Tracker'!$A:$D,4,FALSE()),""))</f>
        <v/>
      </c>
      <c r="H1478" s="22"/>
    </row>
    <row r="1479" spans="1:8">
      <c r="A1479" s="21"/>
      <c r="B1479" s="28"/>
      <c r="C1479" s="22"/>
      <c r="D1479" s="28"/>
      <c r="E1479" s="23" t="str">
        <f>IF($D1479="","",IFERROR(VLOOKUP($D1479,'ACAH Consumables Tracker'!$A:$H,8,FALSE()),""))</f>
        <v/>
      </c>
      <c r="F1479" s="24"/>
      <c r="G1479" s="25" t="str">
        <f>IF($D1479="","",IFERROR(VLOOKUP($D1479,'ACAH Consumables Tracker'!$A:$D,4,FALSE()),""))</f>
        <v/>
      </c>
      <c r="H1479" s="22"/>
    </row>
    <row r="1480" spans="1:8">
      <c r="A1480" s="21"/>
      <c r="B1480" s="28"/>
      <c r="C1480" s="22"/>
      <c r="D1480" s="28"/>
      <c r="E1480" s="23" t="str">
        <f>IF($D1480="","",IFERROR(VLOOKUP($D1480,'ACAH Consumables Tracker'!$A:$H,8,FALSE()),""))</f>
        <v/>
      </c>
      <c r="F1480" s="24"/>
      <c r="G1480" s="25" t="str">
        <f>IF($D1480="","",IFERROR(VLOOKUP($D1480,'ACAH Consumables Tracker'!$A:$D,4,FALSE()),""))</f>
        <v/>
      </c>
      <c r="H1480" s="22"/>
    </row>
    <row r="1481" spans="1:8">
      <c r="A1481" s="21"/>
      <c r="B1481" s="28"/>
      <c r="C1481" s="22"/>
      <c r="D1481" s="28"/>
      <c r="E1481" s="23" t="str">
        <f>IF($D1481="","",IFERROR(VLOOKUP($D1481,'ACAH Consumables Tracker'!$A:$H,8,FALSE()),""))</f>
        <v/>
      </c>
      <c r="F1481" s="24"/>
      <c r="G1481" s="25" t="str">
        <f>IF($D1481="","",IFERROR(VLOOKUP($D1481,'ACAH Consumables Tracker'!$A:$D,4,FALSE()),""))</f>
        <v/>
      </c>
      <c r="H1481" s="22"/>
    </row>
    <row r="1482" spans="1:8">
      <c r="A1482" s="21"/>
      <c r="B1482" s="28"/>
      <c r="C1482" s="22"/>
      <c r="D1482" s="28"/>
      <c r="E1482" s="23" t="str">
        <f>IF($D1482="","",IFERROR(VLOOKUP($D1482,'ACAH Consumables Tracker'!$A:$H,8,FALSE()),""))</f>
        <v/>
      </c>
      <c r="F1482" s="24"/>
      <c r="G1482" s="25" t="str">
        <f>IF($D1482="","",IFERROR(VLOOKUP($D1482,'ACAH Consumables Tracker'!$A:$D,4,FALSE()),""))</f>
        <v/>
      </c>
      <c r="H1482" s="22"/>
    </row>
    <row r="1483" spans="1:8">
      <c r="A1483" s="21"/>
      <c r="B1483" s="28"/>
      <c r="C1483" s="22"/>
      <c r="D1483" s="28"/>
      <c r="E1483" s="23" t="str">
        <f>IF($D1483="","",IFERROR(VLOOKUP($D1483,'ACAH Consumables Tracker'!$A:$H,8,FALSE()),""))</f>
        <v/>
      </c>
      <c r="F1483" s="24"/>
      <c r="G1483" s="25" t="str">
        <f>IF($D1483="","",IFERROR(VLOOKUP($D1483,'ACAH Consumables Tracker'!$A:$D,4,FALSE()),""))</f>
        <v/>
      </c>
      <c r="H1483" s="22"/>
    </row>
    <row r="1484" spans="1:8">
      <c r="A1484" s="21"/>
      <c r="B1484" s="28"/>
      <c r="C1484" s="22"/>
      <c r="D1484" s="28"/>
      <c r="E1484" s="23" t="str">
        <f>IF($D1484="","",IFERROR(VLOOKUP($D1484,'ACAH Consumables Tracker'!$A:$H,8,FALSE()),""))</f>
        <v/>
      </c>
      <c r="F1484" s="24"/>
      <c r="G1484" s="25" t="str">
        <f>IF($D1484="","",IFERROR(VLOOKUP($D1484,'ACAH Consumables Tracker'!$A:$D,4,FALSE()),""))</f>
        <v/>
      </c>
      <c r="H1484" s="22"/>
    </row>
    <row r="1485" spans="1:8">
      <c r="A1485" s="21"/>
      <c r="B1485" s="28"/>
      <c r="C1485" s="22"/>
      <c r="D1485" s="28"/>
      <c r="E1485" s="23" t="str">
        <f>IF($D1485="","",IFERROR(VLOOKUP($D1485,'ACAH Consumables Tracker'!$A:$H,8,FALSE()),""))</f>
        <v/>
      </c>
      <c r="F1485" s="24"/>
      <c r="G1485" s="25" t="str">
        <f>IF($D1485="","",IFERROR(VLOOKUP($D1485,'ACAH Consumables Tracker'!$A:$D,4,FALSE()),""))</f>
        <v/>
      </c>
      <c r="H1485" s="22"/>
    </row>
    <row r="1486" spans="1:8">
      <c r="A1486" s="21"/>
      <c r="B1486" s="28"/>
      <c r="C1486" s="22"/>
      <c r="D1486" s="28"/>
      <c r="E1486" s="23" t="str">
        <f>IF($D1486="","",IFERROR(VLOOKUP($D1486,'ACAH Consumables Tracker'!$A:$H,8,FALSE()),""))</f>
        <v/>
      </c>
      <c r="F1486" s="24"/>
      <c r="G1486" s="25" t="str">
        <f>IF($D1486="","",IFERROR(VLOOKUP($D1486,'ACAH Consumables Tracker'!$A:$D,4,FALSE()),""))</f>
        <v/>
      </c>
      <c r="H1486" s="22"/>
    </row>
    <row r="1487" spans="1:8">
      <c r="A1487" s="21"/>
      <c r="B1487" s="28"/>
      <c r="C1487" s="22"/>
      <c r="D1487" s="28"/>
      <c r="E1487" s="23" t="str">
        <f>IF($D1487="","",IFERROR(VLOOKUP($D1487,'ACAH Consumables Tracker'!$A:$H,8,FALSE()),""))</f>
        <v/>
      </c>
      <c r="F1487" s="24"/>
      <c r="G1487" s="25" t="str">
        <f>IF($D1487="","",IFERROR(VLOOKUP($D1487,'ACAH Consumables Tracker'!$A:$D,4,FALSE()),""))</f>
        <v/>
      </c>
      <c r="H1487" s="22"/>
    </row>
    <row r="1488" spans="1:8">
      <c r="A1488" s="21"/>
      <c r="B1488" s="28"/>
      <c r="C1488" s="22"/>
      <c r="D1488" s="28"/>
      <c r="E1488" s="23" t="str">
        <f>IF($D1488="","",IFERROR(VLOOKUP($D1488,'ACAH Consumables Tracker'!$A:$H,8,FALSE()),""))</f>
        <v/>
      </c>
      <c r="F1488" s="24"/>
      <c r="G1488" s="25" t="str">
        <f>IF($D1488="","",IFERROR(VLOOKUP($D1488,'ACAH Consumables Tracker'!$A:$D,4,FALSE()),""))</f>
        <v/>
      </c>
      <c r="H1488" s="22"/>
    </row>
    <row r="1489" spans="1:8">
      <c r="A1489" s="21"/>
      <c r="B1489" s="28"/>
      <c r="C1489" s="22"/>
      <c r="D1489" s="28"/>
      <c r="E1489" s="23" t="str">
        <f>IF($D1489="","",IFERROR(VLOOKUP($D1489,'ACAH Consumables Tracker'!$A:$H,8,FALSE()),""))</f>
        <v/>
      </c>
      <c r="F1489" s="24"/>
      <c r="G1489" s="25" t="str">
        <f>IF($D1489="","",IFERROR(VLOOKUP($D1489,'ACAH Consumables Tracker'!$A:$D,4,FALSE()),""))</f>
        <v/>
      </c>
      <c r="H1489" s="22"/>
    </row>
    <row r="1490" spans="1:8">
      <c r="A1490" s="21"/>
      <c r="B1490" s="28"/>
      <c r="C1490" s="22"/>
      <c r="D1490" s="28"/>
      <c r="E1490" s="23" t="str">
        <f>IF($D1490="","",IFERROR(VLOOKUP($D1490,'ACAH Consumables Tracker'!$A:$H,8,FALSE()),""))</f>
        <v/>
      </c>
      <c r="F1490" s="24"/>
      <c r="G1490" s="25" t="str">
        <f>IF($D1490="","",IFERROR(VLOOKUP($D1490,'ACAH Consumables Tracker'!$A:$D,4,FALSE()),""))</f>
        <v/>
      </c>
      <c r="H1490" s="22"/>
    </row>
    <row r="1491" spans="1:8">
      <c r="A1491" s="21"/>
      <c r="B1491" s="28"/>
      <c r="C1491" s="22"/>
      <c r="D1491" s="28"/>
      <c r="E1491" s="23" t="str">
        <f>IF($D1491="","",IFERROR(VLOOKUP($D1491,'ACAH Consumables Tracker'!$A:$H,8,FALSE()),""))</f>
        <v/>
      </c>
      <c r="F1491" s="24"/>
      <c r="G1491" s="25" t="str">
        <f>IF($D1491="","",IFERROR(VLOOKUP($D1491,'ACAH Consumables Tracker'!$A:$D,4,FALSE()),""))</f>
        <v/>
      </c>
      <c r="H1491" s="22"/>
    </row>
    <row r="1492" spans="1:8">
      <c r="A1492" s="21"/>
      <c r="B1492" s="28"/>
      <c r="C1492" s="22"/>
      <c r="D1492" s="28"/>
      <c r="E1492" s="23" t="str">
        <f>IF($D1492="","",IFERROR(VLOOKUP($D1492,'ACAH Consumables Tracker'!$A:$H,8,FALSE()),""))</f>
        <v/>
      </c>
      <c r="F1492" s="24"/>
      <c r="G1492" s="25" t="str">
        <f>IF($D1492="","",IFERROR(VLOOKUP($D1492,'ACAH Consumables Tracker'!$A:$D,4,FALSE()),""))</f>
        <v/>
      </c>
      <c r="H1492" s="22"/>
    </row>
    <row r="1493" spans="1:8">
      <c r="A1493" s="21"/>
      <c r="B1493" s="28"/>
      <c r="C1493" s="22"/>
      <c r="D1493" s="28"/>
      <c r="E1493" s="23" t="str">
        <f>IF($D1493="","",IFERROR(VLOOKUP($D1493,'ACAH Consumables Tracker'!$A:$H,8,FALSE()),""))</f>
        <v/>
      </c>
      <c r="F1493" s="24"/>
      <c r="G1493" s="25" t="str">
        <f>IF($D1493="","",IFERROR(VLOOKUP($D1493,'ACAH Consumables Tracker'!$A:$D,4,FALSE()),""))</f>
        <v/>
      </c>
      <c r="H1493" s="22"/>
    </row>
    <row r="1494" spans="1:8">
      <c r="A1494" s="21"/>
      <c r="B1494" s="28"/>
      <c r="C1494" s="22"/>
      <c r="D1494" s="28"/>
      <c r="E1494" s="23" t="str">
        <f>IF($D1494="","",IFERROR(VLOOKUP($D1494,'ACAH Consumables Tracker'!$A:$H,8,FALSE()),""))</f>
        <v/>
      </c>
      <c r="F1494" s="24"/>
      <c r="G1494" s="25" t="str">
        <f>IF($D1494="","",IFERROR(VLOOKUP($D1494,'ACAH Consumables Tracker'!$A:$D,4,FALSE()),""))</f>
        <v/>
      </c>
      <c r="H1494" s="22"/>
    </row>
    <row r="1495" spans="1:8">
      <c r="A1495" s="21"/>
      <c r="B1495" s="28"/>
      <c r="C1495" s="22"/>
      <c r="D1495" s="28"/>
      <c r="E1495" s="23" t="str">
        <f>IF($D1495="","",IFERROR(VLOOKUP($D1495,'ACAH Consumables Tracker'!$A:$H,8,FALSE()),""))</f>
        <v/>
      </c>
      <c r="F1495" s="24"/>
      <c r="G1495" s="25" t="str">
        <f>IF($D1495="","",IFERROR(VLOOKUP($D1495,'ACAH Consumables Tracker'!$A:$D,4,FALSE()),""))</f>
        <v/>
      </c>
      <c r="H1495" s="22"/>
    </row>
    <row r="1496" spans="1:8">
      <c r="A1496" s="21"/>
      <c r="B1496" s="28"/>
      <c r="C1496" s="22"/>
      <c r="D1496" s="28"/>
      <c r="E1496" s="23" t="str">
        <f>IF($D1496="","",IFERROR(VLOOKUP($D1496,'ACAH Consumables Tracker'!$A:$H,8,FALSE()),""))</f>
        <v/>
      </c>
      <c r="F1496" s="24"/>
      <c r="G1496" s="25" t="str">
        <f>IF($D1496="","",IFERROR(VLOOKUP($D1496,'ACAH Consumables Tracker'!$A:$D,4,FALSE()),""))</f>
        <v/>
      </c>
      <c r="H1496" s="22"/>
    </row>
    <row r="1497" spans="1:8">
      <c r="A1497" s="21"/>
      <c r="B1497" s="28"/>
      <c r="C1497" s="22"/>
      <c r="D1497" s="28"/>
      <c r="E1497" s="23" t="str">
        <f>IF($D1497="","",IFERROR(VLOOKUP($D1497,'ACAH Consumables Tracker'!$A:$H,8,FALSE()),""))</f>
        <v/>
      </c>
      <c r="F1497" s="24"/>
      <c r="G1497" s="25" t="str">
        <f>IF($D1497="","",IFERROR(VLOOKUP($D1497,'ACAH Consumables Tracker'!$A:$D,4,FALSE()),""))</f>
        <v/>
      </c>
      <c r="H1497" s="22"/>
    </row>
    <row r="1498" spans="1:8">
      <c r="A1498" s="21"/>
      <c r="B1498" s="28"/>
      <c r="C1498" s="22"/>
      <c r="D1498" s="28"/>
      <c r="E1498" s="23" t="str">
        <f>IF($D1498="","",IFERROR(VLOOKUP($D1498,'ACAH Consumables Tracker'!$A:$H,8,FALSE()),""))</f>
        <v/>
      </c>
      <c r="F1498" s="24"/>
      <c r="G1498" s="25" t="str">
        <f>IF($D1498="","",IFERROR(VLOOKUP($D1498,'ACAH Consumables Tracker'!$A:$D,4,FALSE()),""))</f>
        <v/>
      </c>
      <c r="H1498" s="22"/>
    </row>
    <row r="1499" spans="1:8">
      <c r="A1499" s="21"/>
      <c r="B1499" s="28"/>
      <c r="C1499" s="22"/>
      <c r="D1499" s="28"/>
      <c r="E1499" s="23" t="str">
        <f>IF($D1499="","",IFERROR(VLOOKUP($D1499,'ACAH Consumables Tracker'!$A:$H,8,FALSE()),""))</f>
        <v/>
      </c>
      <c r="F1499" s="24"/>
      <c r="G1499" s="25" t="str">
        <f>IF($D1499="","",IFERROR(VLOOKUP($D1499,'ACAH Consumables Tracker'!$A:$D,4,FALSE()),""))</f>
        <v/>
      </c>
      <c r="H1499" s="22"/>
    </row>
    <row r="1500" spans="1:8">
      <c r="A1500" s="21"/>
      <c r="B1500" s="28"/>
      <c r="C1500" s="22"/>
      <c r="D1500" s="28"/>
      <c r="E1500" s="23" t="str">
        <f>IF($D1500="","",IFERROR(VLOOKUP($D1500,'ACAH Consumables Tracker'!$A:$H,8,FALSE()),""))</f>
        <v/>
      </c>
      <c r="F1500" s="24"/>
      <c r="G1500" s="25" t="str">
        <f>IF($D1500="","",IFERROR(VLOOKUP($D1500,'ACAH Consumables Tracker'!$A:$D,4,FALSE()),""))</f>
        <v/>
      </c>
      <c r="H1500" s="22"/>
    </row>
    <row r="1501" spans="1:8">
      <c r="A1501" s="21"/>
      <c r="B1501" s="28"/>
      <c r="C1501" s="22"/>
      <c r="D1501" s="28"/>
      <c r="E1501" s="23" t="str">
        <f>IF($D1501="","",IFERROR(VLOOKUP($D1501,'ACAH Consumables Tracker'!$A:$H,8,FALSE()),""))</f>
        <v/>
      </c>
      <c r="F1501" s="24"/>
      <c r="G1501" s="25" t="str">
        <f>IF($D1501="","",IFERROR(VLOOKUP($D1501,'ACAH Consumables Tracker'!$A:$D,4,FALSE()),""))</f>
        <v/>
      </c>
      <c r="H1501" s="22"/>
    </row>
    <row r="1502" spans="1:8">
      <c r="A1502" s="21"/>
      <c r="B1502" s="28"/>
      <c r="C1502" s="22"/>
      <c r="D1502" s="28"/>
      <c r="E1502" s="23" t="str">
        <f>IF($D1502="","",IFERROR(VLOOKUP($D1502,'ACAH Consumables Tracker'!$A:$H,8,FALSE()),""))</f>
        <v/>
      </c>
      <c r="F1502" s="24"/>
      <c r="G1502" s="25" t="str">
        <f>IF($D1502="","",IFERROR(VLOOKUP($D1502,'ACAH Consumables Tracker'!$A:$D,4,FALSE()),""))</f>
        <v/>
      </c>
      <c r="H1502" s="22"/>
    </row>
    <row r="1503" spans="1:8">
      <c r="A1503" s="21"/>
      <c r="B1503" s="28"/>
      <c r="C1503" s="22"/>
      <c r="D1503" s="28"/>
      <c r="E1503" s="23" t="str">
        <f>IF($D1503="","",IFERROR(VLOOKUP($D1503,'ACAH Consumables Tracker'!$A:$H,8,FALSE()),""))</f>
        <v/>
      </c>
      <c r="F1503" s="24"/>
      <c r="G1503" s="25" t="str">
        <f>IF($D1503="","",IFERROR(VLOOKUP($D1503,'ACAH Consumables Tracker'!$A:$D,4,FALSE()),""))</f>
        <v/>
      </c>
      <c r="H1503" s="22"/>
    </row>
    <row r="1504" spans="1:8">
      <c r="A1504" s="21"/>
      <c r="B1504" s="28"/>
      <c r="C1504" s="22"/>
      <c r="D1504" s="28"/>
      <c r="E1504" s="23" t="str">
        <f>IF($D1504="","",IFERROR(VLOOKUP($D1504,'ACAH Consumables Tracker'!$A:$H,8,FALSE()),""))</f>
        <v/>
      </c>
      <c r="F1504" s="24"/>
      <c r="G1504" s="25" t="str">
        <f>IF($D1504="","",IFERROR(VLOOKUP($D1504,'ACAH Consumables Tracker'!$A:$D,4,FALSE()),""))</f>
        <v/>
      </c>
      <c r="H1504" s="22"/>
    </row>
    <row r="1505" spans="1:8">
      <c r="A1505" s="21"/>
      <c r="B1505" s="28"/>
      <c r="C1505" s="22"/>
      <c r="D1505" s="28"/>
      <c r="E1505" s="23" t="str">
        <f>IF($D1505="","",IFERROR(VLOOKUP($D1505,'ACAH Consumables Tracker'!$A:$H,8,FALSE()),""))</f>
        <v/>
      </c>
      <c r="F1505" s="24"/>
      <c r="G1505" s="25" t="str">
        <f>IF($D1505="","",IFERROR(VLOOKUP($D1505,'ACAH Consumables Tracker'!$A:$D,4,FALSE()),""))</f>
        <v/>
      </c>
      <c r="H1505" s="22"/>
    </row>
    <row r="1506" spans="1:8">
      <c r="A1506" s="21"/>
      <c r="B1506" s="28"/>
      <c r="C1506" s="22"/>
      <c r="D1506" s="28"/>
      <c r="E1506" s="23" t="str">
        <f>IF($D1506="","",IFERROR(VLOOKUP($D1506,'ACAH Consumables Tracker'!$A:$H,8,FALSE()),""))</f>
        <v/>
      </c>
      <c r="F1506" s="24"/>
      <c r="G1506" s="25" t="str">
        <f>IF($D1506="","",IFERROR(VLOOKUP($D1506,'ACAH Consumables Tracker'!$A:$D,4,FALSE()),""))</f>
        <v/>
      </c>
      <c r="H1506" s="22"/>
    </row>
    <row r="1507" spans="1:8">
      <c r="A1507" s="21"/>
      <c r="B1507" s="28"/>
      <c r="C1507" s="22"/>
      <c r="D1507" s="28"/>
      <c r="E1507" s="23" t="str">
        <f>IF($D1507="","",IFERROR(VLOOKUP($D1507,'ACAH Consumables Tracker'!$A:$H,8,FALSE()),""))</f>
        <v/>
      </c>
      <c r="F1507" s="24"/>
      <c r="G1507" s="25" t="str">
        <f>IF($D1507="","",IFERROR(VLOOKUP($D1507,'ACAH Consumables Tracker'!$A:$D,4,FALSE()),""))</f>
        <v/>
      </c>
      <c r="H1507" s="22"/>
    </row>
    <row r="1508" spans="1:8">
      <c r="A1508" s="21"/>
      <c r="B1508" s="28"/>
      <c r="C1508" s="22"/>
      <c r="D1508" s="28"/>
      <c r="E1508" s="23" t="str">
        <f>IF($D1508="","",IFERROR(VLOOKUP($D1508,'ACAH Consumables Tracker'!$A:$H,8,FALSE()),""))</f>
        <v/>
      </c>
      <c r="F1508" s="24"/>
      <c r="G1508" s="25" t="str">
        <f>IF($D1508="","",IFERROR(VLOOKUP($D1508,'ACAH Consumables Tracker'!$A:$D,4,FALSE()),""))</f>
        <v/>
      </c>
      <c r="H1508" s="22"/>
    </row>
    <row r="1509" spans="1:8">
      <c r="A1509" s="21"/>
      <c r="B1509" s="28"/>
      <c r="C1509" s="22"/>
      <c r="D1509" s="28"/>
      <c r="E1509" s="23" t="str">
        <f>IF($D1509="","",IFERROR(VLOOKUP($D1509,'ACAH Consumables Tracker'!$A:$H,8,FALSE()),""))</f>
        <v/>
      </c>
      <c r="F1509" s="24"/>
      <c r="G1509" s="25" t="str">
        <f>IF($D1509="","",IFERROR(VLOOKUP($D1509,'ACAH Consumables Tracker'!$A:$D,4,FALSE()),""))</f>
        <v/>
      </c>
      <c r="H1509" s="22"/>
    </row>
    <row r="1510" spans="1:8">
      <c r="A1510" s="21"/>
      <c r="B1510" s="28"/>
      <c r="C1510" s="22"/>
      <c r="D1510" s="28"/>
      <c r="E1510" s="23" t="str">
        <f>IF($D1510="","",IFERROR(VLOOKUP($D1510,'ACAH Consumables Tracker'!$A:$H,8,FALSE()),""))</f>
        <v/>
      </c>
      <c r="F1510" s="24"/>
      <c r="G1510" s="25" t="str">
        <f>IF($D1510="","",IFERROR(VLOOKUP($D1510,'ACAH Consumables Tracker'!$A:$D,4,FALSE()),""))</f>
        <v/>
      </c>
      <c r="H1510" s="22"/>
    </row>
    <row r="1511" spans="1:8">
      <c r="A1511" s="21"/>
      <c r="B1511" s="28"/>
      <c r="C1511" s="22"/>
      <c r="D1511" s="28"/>
      <c r="E1511" s="23" t="str">
        <f>IF($D1511="","",IFERROR(VLOOKUP($D1511,'ACAH Consumables Tracker'!$A:$H,8,FALSE()),""))</f>
        <v/>
      </c>
      <c r="F1511" s="24"/>
      <c r="G1511" s="25" t="str">
        <f>IF($D1511="","",IFERROR(VLOOKUP($D1511,'ACAH Consumables Tracker'!$A:$D,4,FALSE()),""))</f>
        <v/>
      </c>
      <c r="H1511" s="22"/>
    </row>
    <row r="1512" spans="1:8">
      <c r="A1512" s="21"/>
      <c r="B1512" s="28"/>
      <c r="C1512" s="22"/>
      <c r="D1512" s="28"/>
      <c r="E1512" s="23" t="str">
        <f>IF($D1512="","",IFERROR(VLOOKUP($D1512,'ACAH Consumables Tracker'!$A:$H,8,FALSE()),""))</f>
        <v/>
      </c>
      <c r="F1512" s="24"/>
      <c r="G1512" s="25" t="str">
        <f>IF($D1512="","",IFERROR(VLOOKUP($D1512,'ACAH Consumables Tracker'!$A:$D,4,FALSE()),""))</f>
        <v/>
      </c>
      <c r="H1512" s="22"/>
    </row>
    <row r="1513" spans="1:8">
      <c r="A1513" s="21"/>
      <c r="B1513" s="28"/>
      <c r="C1513" s="22"/>
      <c r="D1513" s="28"/>
      <c r="E1513" s="23" t="str">
        <f>IF($D1513="","",IFERROR(VLOOKUP($D1513,'ACAH Consumables Tracker'!$A:$H,8,FALSE()),""))</f>
        <v/>
      </c>
      <c r="F1513" s="24"/>
      <c r="G1513" s="25" t="str">
        <f>IF($D1513="","",IFERROR(VLOOKUP($D1513,'ACAH Consumables Tracker'!$A:$D,4,FALSE()),""))</f>
        <v/>
      </c>
      <c r="H1513" s="22"/>
    </row>
    <row r="1514" spans="1:8">
      <c r="A1514" s="21"/>
      <c r="B1514" s="28"/>
      <c r="C1514" s="22"/>
      <c r="D1514" s="28"/>
      <c r="E1514" s="23" t="str">
        <f>IF($D1514="","",IFERROR(VLOOKUP($D1514,'ACAH Consumables Tracker'!$A:$H,8,FALSE()),""))</f>
        <v/>
      </c>
      <c r="F1514" s="24"/>
      <c r="G1514" s="25" t="str">
        <f>IF($D1514="","",IFERROR(VLOOKUP($D1514,'ACAH Consumables Tracker'!$A:$D,4,FALSE()),""))</f>
        <v/>
      </c>
      <c r="H1514" s="22"/>
    </row>
    <row r="1515" spans="1:8">
      <c r="A1515" s="21"/>
      <c r="B1515" s="28"/>
      <c r="C1515" s="22"/>
      <c r="D1515" s="28"/>
      <c r="E1515" s="23" t="str">
        <f>IF($D1515="","",IFERROR(VLOOKUP($D1515,'ACAH Consumables Tracker'!$A:$H,8,FALSE()),""))</f>
        <v/>
      </c>
      <c r="F1515" s="24"/>
      <c r="G1515" s="25" t="str">
        <f>IF($D1515="","",IFERROR(VLOOKUP($D1515,'ACAH Consumables Tracker'!$A:$D,4,FALSE()),""))</f>
        <v/>
      </c>
      <c r="H1515" s="22"/>
    </row>
    <row r="1516" spans="1:8">
      <c r="A1516" s="21"/>
      <c r="B1516" s="28"/>
      <c r="C1516" s="22"/>
      <c r="D1516" s="28"/>
      <c r="E1516" s="23" t="str">
        <f>IF($D1516="","",IFERROR(VLOOKUP($D1516,'ACAH Consumables Tracker'!$A:$H,8,FALSE()),""))</f>
        <v/>
      </c>
      <c r="F1516" s="24"/>
      <c r="G1516" s="25" t="str">
        <f>IF($D1516="","",IFERROR(VLOOKUP($D1516,'ACAH Consumables Tracker'!$A:$D,4,FALSE()),""))</f>
        <v/>
      </c>
      <c r="H1516" s="22"/>
    </row>
    <row r="1517" spans="1:8">
      <c r="A1517" s="21"/>
      <c r="B1517" s="28"/>
      <c r="C1517" s="22"/>
      <c r="D1517" s="28"/>
      <c r="E1517" s="23" t="str">
        <f>IF($D1517="","",IFERROR(VLOOKUP($D1517,'ACAH Consumables Tracker'!$A:$H,8,FALSE()),""))</f>
        <v/>
      </c>
      <c r="F1517" s="24"/>
      <c r="G1517" s="25" t="str">
        <f>IF($D1517="","",IFERROR(VLOOKUP($D1517,'ACAH Consumables Tracker'!$A:$D,4,FALSE()),""))</f>
        <v/>
      </c>
      <c r="H1517" s="22"/>
    </row>
    <row r="1518" spans="1:8">
      <c r="A1518" s="21"/>
      <c r="B1518" s="28"/>
      <c r="C1518" s="22"/>
      <c r="D1518" s="28"/>
      <c r="E1518" s="23" t="str">
        <f>IF($D1518="","",IFERROR(VLOOKUP($D1518,'ACAH Consumables Tracker'!$A:$H,8,FALSE()),""))</f>
        <v/>
      </c>
      <c r="F1518" s="24"/>
      <c r="G1518" s="25" t="str">
        <f>IF($D1518="","",IFERROR(VLOOKUP($D1518,'ACAH Consumables Tracker'!$A:$D,4,FALSE()),""))</f>
        <v/>
      </c>
      <c r="H1518" s="22"/>
    </row>
    <row r="1519" spans="1:8">
      <c r="A1519" s="21"/>
      <c r="B1519" s="28"/>
      <c r="C1519" s="22"/>
      <c r="D1519" s="28"/>
      <c r="E1519" s="23" t="str">
        <f>IF($D1519="","",IFERROR(VLOOKUP($D1519,'ACAH Consumables Tracker'!$A:$H,8,FALSE()),""))</f>
        <v/>
      </c>
      <c r="F1519" s="24"/>
      <c r="G1519" s="25" t="str">
        <f>IF($D1519="","",IFERROR(VLOOKUP($D1519,'ACAH Consumables Tracker'!$A:$D,4,FALSE()),""))</f>
        <v/>
      </c>
      <c r="H1519" s="22"/>
    </row>
    <row r="1520" spans="1:8">
      <c r="A1520" s="21"/>
      <c r="B1520" s="28"/>
      <c r="C1520" s="22"/>
      <c r="D1520" s="28"/>
      <c r="E1520" s="23" t="str">
        <f>IF($D1520="","",IFERROR(VLOOKUP($D1520,'ACAH Consumables Tracker'!$A:$H,8,FALSE()),""))</f>
        <v/>
      </c>
      <c r="F1520" s="24"/>
      <c r="G1520" s="25" t="str">
        <f>IF($D1520="","",IFERROR(VLOOKUP($D1520,'ACAH Consumables Tracker'!$A:$D,4,FALSE()),""))</f>
        <v/>
      </c>
      <c r="H1520" s="22"/>
    </row>
    <row r="1521" spans="1:8">
      <c r="A1521" s="21"/>
      <c r="B1521" s="28"/>
      <c r="C1521" s="22"/>
      <c r="D1521" s="28"/>
      <c r="E1521" s="23" t="str">
        <f>IF($D1521="","",IFERROR(VLOOKUP($D1521,'ACAH Consumables Tracker'!$A:$H,8,FALSE()),""))</f>
        <v/>
      </c>
      <c r="F1521" s="24"/>
      <c r="G1521" s="25" t="str">
        <f>IF($D1521="","",IFERROR(VLOOKUP($D1521,'ACAH Consumables Tracker'!$A:$D,4,FALSE()),""))</f>
        <v/>
      </c>
      <c r="H1521" s="22"/>
    </row>
    <row r="1522" spans="1:8">
      <c r="A1522" s="21"/>
      <c r="B1522" s="28"/>
      <c r="C1522" s="22"/>
      <c r="D1522" s="28"/>
      <c r="E1522" s="23" t="str">
        <f>IF($D1522="","",IFERROR(VLOOKUP($D1522,'ACAH Consumables Tracker'!$A:$H,8,FALSE()),""))</f>
        <v/>
      </c>
      <c r="F1522" s="24"/>
      <c r="G1522" s="25" t="str">
        <f>IF($D1522="","",IFERROR(VLOOKUP($D1522,'ACAH Consumables Tracker'!$A:$D,4,FALSE()),""))</f>
        <v/>
      </c>
      <c r="H1522" s="22"/>
    </row>
    <row r="1523" spans="1:8">
      <c r="A1523" s="21"/>
      <c r="B1523" s="28"/>
      <c r="C1523" s="22"/>
      <c r="D1523" s="28"/>
      <c r="E1523" s="23" t="str">
        <f>IF($D1523="","",IFERROR(VLOOKUP($D1523,'ACAH Consumables Tracker'!$A:$H,8,FALSE()),""))</f>
        <v/>
      </c>
      <c r="F1523" s="24"/>
      <c r="G1523" s="25" t="str">
        <f>IF($D1523="","",IFERROR(VLOOKUP($D1523,'ACAH Consumables Tracker'!$A:$D,4,FALSE()),""))</f>
        <v/>
      </c>
      <c r="H1523" s="22"/>
    </row>
    <row r="1524" spans="1:8">
      <c r="A1524" s="21"/>
      <c r="B1524" s="28"/>
      <c r="C1524" s="22"/>
      <c r="D1524" s="28"/>
      <c r="E1524" s="23" t="str">
        <f>IF($D1524="","",IFERROR(VLOOKUP($D1524,'ACAH Consumables Tracker'!$A:$H,8,FALSE()),""))</f>
        <v/>
      </c>
      <c r="F1524" s="24"/>
      <c r="G1524" s="25" t="str">
        <f>IF($D1524="","",IFERROR(VLOOKUP($D1524,'ACAH Consumables Tracker'!$A:$D,4,FALSE()),""))</f>
        <v/>
      </c>
      <c r="H1524" s="22"/>
    </row>
    <row r="1525" spans="1:8">
      <c r="A1525" s="21"/>
      <c r="B1525" s="28"/>
      <c r="C1525" s="22"/>
      <c r="D1525" s="28"/>
      <c r="E1525" s="23" t="str">
        <f>IF($D1525="","",IFERROR(VLOOKUP($D1525,'ACAH Consumables Tracker'!$A:$H,8,FALSE()),""))</f>
        <v/>
      </c>
      <c r="F1525" s="24"/>
      <c r="G1525" s="25" t="str">
        <f>IF($D1525="","",IFERROR(VLOOKUP($D1525,'ACAH Consumables Tracker'!$A:$D,4,FALSE()),""))</f>
        <v/>
      </c>
      <c r="H1525" s="22"/>
    </row>
    <row r="1526" spans="1:8">
      <c r="A1526" s="21"/>
      <c r="B1526" s="28"/>
      <c r="C1526" s="22"/>
      <c r="D1526" s="28"/>
      <c r="E1526" s="23" t="str">
        <f>IF($D1526="","",IFERROR(VLOOKUP($D1526,'ACAH Consumables Tracker'!$A:$H,8,FALSE()),""))</f>
        <v/>
      </c>
      <c r="F1526" s="24"/>
      <c r="G1526" s="25" t="str">
        <f>IF($D1526="","",IFERROR(VLOOKUP($D1526,'ACAH Consumables Tracker'!$A:$D,4,FALSE()),""))</f>
        <v/>
      </c>
      <c r="H1526" s="22"/>
    </row>
    <row r="1527" spans="1:8">
      <c r="A1527" s="21"/>
      <c r="B1527" s="28"/>
      <c r="C1527" s="22"/>
      <c r="D1527" s="28"/>
      <c r="E1527" s="23" t="str">
        <f>IF($D1527="","",IFERROR(VLOOKUP($D1527,'ACAH Consumables Tracker'!$A:$H,8,FALSE()),""))</f>
        <v/>
      </c>
      <c r="F1527" s="24"/>
      <c r="G1527" s="25" t="str">
        <f>IF($D1527="","",IFERROR(VLOOKUP($D1527,'ACAH Consumables Tracker'!$A:$D,4,FALSE()),""))</f>
        <v/>
      </c>
      <c r="H1527" s="22"/>
    </row>
    <row r="1528" spans="1:8">
      <c r="A1528" s="21"/>
      <c r="B1528" s="28"/>
      <c r="C1528" s="22"/>
      <c r="D1528" s="28"/>
      <c r="E1528" s="23" t="str">
        <f>IF($D1528="","",IFERROR(VLOOKUP($D1528,'ACAH Consumables Tracker'!$A:$H,8,FALSE()),""))</f>
        <v/>
      </c>
      <c r="F1528" s="24"/>
      <c r="G1528" s="25" t="str">
        <f>IF($D1528="","",IFERROR(VLOOKUP($D1528,'ACAH Consumables Tracker'!$A:$D,4,FALSE()),""))</f>
        <v/>
      </c>
      <c r="H1528" s="22"/>
    </row>
    <row r="1529" spans="1:8">
      <c r="A1529" s="21"/>
      <c r="B1529" s="28"/>
      <c r="C1529" s="22"/>
      <c r="D1529" s="28"/>
      <c r="E1529" s="23" t="str">
        <f>IF($D1529="","",IFERROR(VLOOKUP($D1529,'ACAH Consumables Tracker'!$A:$H,8,FALSE()),""))</f>
        <v/>
      </c>
      <c r="F1529" s="24"/>
      <c r="G1529" s="25" t="str">
        <f>IF($D1529="","",IFERROR(VLOOKUP($D1529,'ACAH Consumables Tracker'!$A:$D,4,FALSE()),""))</f>
        <v/>
      </c>
      <c r="H1529" s="22"/>
    </row>
    <row r="1530" spans="1:8">
      <c r="A1530" s="21"/>
      <c r="B1530" s="28"/>
      <c r="C1530" s="22"/>
      <c r="D1530" s="28"/>
      <c r="E1530" s="23" t="str">
        <f>IF($D1530="","",IFERROR(VLOOKUP($D1530,'ACAH Consumables Tracker'!$A:$H,8,FALSE()),""))</f>
        <v/>
      </c>
      <c r="F1530" s="24"/>
      <c r="G1530" s="25" t="str">
        <f>IF($D1530="","",IFERROR(VLOOKUP($D1530,'ACAH Consumables Tracker'!$A:$D,4,FALSE()),""))</f>
        <v/>
      </c>
      <c r="H1530" s="22"/>
    </row>
    <row r="1531" spans="1:8">
      <c r="A1531" s="21"/>
      <c r="B1531" s="28"/>
      <c r="C1531" s="22"/>
      <c r="D1531" s="28"/>
      <c r="E1531" s="23" t="str">
        <f>IF($D1531="","",IFERROR(VLOOKUP($D1531,'ACAH Consumables Tracker'!$A:$H,8,FALSE()),""))</f>
        <v/>
      </c>
      <c r="F1531" s="24"/>
      <c r="G1531" s="25" t="str">
        <f>IF($D1531="","",IFERROR(VLOOKUP($D1531,'ACAH Consumables Tracker'!$A:$D,4,FALSE()),""))</f>
        <v/>
      </c>
      <c r="H1531" s="22"/>
    </row>
    <row r="1532" spans="1:8">
      <c r="A1532" s="21"/>
      <c r="B1532" s="28"/>
      <c r="C1532" s="22"/>
      <c r="D1532" s="28"/>
      <c r="E1532" s="23" t="str">
        <f>IF($D1532="","",IFERROR(VLOOKUP($D1532,'ACAH Consumables Tracker'!$A:$H,8,FALSE()),""))</f>
        <v/>
      </c>
      <c r="F1532" s="24"/>
      <c r="G1532" s="25" t="str">
        <f>IF($D1532="","",IFERROR(VLOOKUP($D1532,'ACAH Consumables Tracker'!$A:$D,4,FALSE()),""))</f>
        <v/>
      </c>
      <c r="H1532" s="22"/>
    </row>
    <row r="1533" spans="1:8">
      <c r="A1533" s="21"/>
      <c r="B1533" s="28"/>
      <c r="C1533" s="22"/>
      <c r="D1533" s="28"/>
      <c r="E1533" s="23" t="str">
        <f>IF($D1533="","",IFERROR(VLOOKUP($D1533,'ACAH Consumables Tracker'!$A:$H,8,FALSE()),""))</f>
        <v/>
      </c>
      <c r="F1533" s="24"/>
      <c r="G1533" s="25" t="str">
        <f>IF($D1533="","",IFERROR(VLOOKUP($D1533,'ACAH Consumables Tracker'!$A:$D,4,FALSE()),""))</f>
        <v/>
      </c>
      <c r="H1533" s="22"/>
    </row>
    <row r="1534" spans="1:8">
      <c r="A1534" s="21"/>
      <c r="B1534" s="28"/>
      <c r="C1534" s="22"/>
      <c r="D1534" s="28"/>
      <c r="E1534" s="23" t="str">
        <f>IF($D1534="","",IFERROR(VLOOKUP($D1534,'ACAH Consumables Tracker'!$A:$H,8,FALSE()),""))</f>
        <v/>
      </c>
      <c r="F1534" s="24"/>
      <c r="G1534" s="25" t="str">
        <f>IF($D1534="","",IFERROR(VLOOKUP($D1534,'ACAH Consumables Tracker'!$A:$D,4,FALSE()),""))</f>
        <v/>
      </c>
      <c r="H1534" s="22"/>
    </row>
    <row r="1535" spans="1:8">
      <c r="A1535" s="21"/>
      <c r="B1535" s="28"/>
      <c r="C1535" s="22"/>
      <c r="D1535" s="28"/>
      <c r="E1535" s="23" t="str">
        <f>IF($D1535="","",IFERROR(VLOOKUP($D1535,'ACAH Consumables Tracker'!$A:$H,8,FALSE()),""))</f>
        <v/>
      </c>
      <c r="F1535" s="24"/>
      <c r="G1535" s="25" t="str">
        <f>IF($D1535="","",IFERROR(VLOOKUP($D1535,'ACAH Consumables Tracker'!$A:$D,4,FALSE()),""))</f>
        <v/>
      </c>
      <c r="H1535" s="22"/>
    </row>
    <row r="1536" spans="1:8">
      <c r="A1536" s="21"/>
      <c r="B1536" s="28"/>
      <c r="C1536" s="22"/>
      <c r="D1536" s="28"/>
      <c r="E1536" s="23" t="str">
        <f>IF($D1536="","",IFERROR(VLOOKUP($D1536,'ACAH Consumables Tracker'!$A:$H,8,FALSE()),""))</f>
        <v/>
      </c>
      <c r="F1536" s="24"/>
      <c r="G1536" s="25" t="str">
        <f>IF($D1536="","",IFERROR(VLOOKUP($D1536,'ACAH Consumables Tracker'!$A:$D,4,FALSE()),""))</f>
        <v/>
      </c>
      <c r="H1536" s="22"/>
    </row>
    <row r="1537" spans="1:8">
      <c r="A1537" s="21"/>
      <c r="B1537" s="28"/>
      <c r="C1537" s="22"/>
      <c r="D1537" s="28"/>
      <c r="E1537" s="23" t="str">
        <f>IF($D1537="","",IFERROR(VLOOKUP($D1537,'ACAH Consumables Tracker'!$A:$H,8,FALSE()),""))</f>
        <v/>
      </c>
      <c r="F1537" s="24"/>
      <c r="G1537" s="25" t="str">
        <f>IF($D1537="","",IFERROR(VLOOKUP($D1537,'ACAH Consumables Tracker'!$A:$D,4,FALSE()),""))</f>
        <v/>
      </c>
      <c r="H1537" s="22"/>
    </row>
    <row r="1538" spans="1:8">
      <c r="A1538" s="21"/>
      <c r="B1538" s="28"/>
      <c r="C1538" s="22"/>
      <c r="D1538" s="28"/>
      <c r="E1538" s="23" t="str">
        <f>IF($D1538="","",IFERROR(VLOOKUP($D1538,'ACAH Consumables Tracker'!$A:$H,8,FALSE()),""))</f>
        <v/>
      </c>
      <c r="F1538" s="24"/>
      <c r="G1538" s="25" t="str">
        <f>IF($D1538="","",IFERROR(VLOOKUP($D1538,'ACAH Consumables Tracker'!$A:$D,4,FALSE()),""))</f>
        <v/>
      </c>
      <c r="H1538" s="22"/>
    </row>
    <row r="1539" spans="1:8">
      <c r="A1539" s="21"/>
      <c r="B1539" s="28"/>
      <c r="C1539" s="22"/>
      <c r="D1539" s="28"/>
      <c r="E1539" s="23" t="str">
        <f>IF($D1539="","",IFERROR(VLOOKUP($D1539,'ACAH Consumables Tracker'!$A:$H,8,FALSE()),""))</f>
        <v/>
      </c>
      <c r="F1539" s="24"/>
      <c r="G1539" s="25" t="str">
        <f>IF($D1539="","",IFERROR(VLOOKUP($D1539,'ACAH Consumables Tracker'!$A:$D,4,FALSE()),""))</f>
        <v/>
      </c>
      <c r="H1539" s="22"/>
    </row>
    <row r="1540" spans="1:8">
      <c r="A1540" s="21"/>
      <c r="B1540" s="28"/>
      <c r="C1540" s="22"/>
      <c r="D1540" s="28"/>
      <c r="E1540" s="23" t="str">
        <f>IF($D1540="","",IFERROR(VLOOKUP($D1540,'ACAH Consumables Tracker'!$A:$H,8,FALSE()),""))</f>
        <v/>
      </c>
      <c r="F1540" s="24"/>
      <c r="G1540" s="25" t="str">
        <f>IF($D1540="","",IFERROR(VLOOKUP($D1540,'ACAH Consumables Tracker'!$A:$D,4,FALSE()),""))</f>
        <v/>
      </c>
      <c r="H1540" s="22"/>
    </row>
    <row r="1541" spans="1:8">
      <c r="A1541" s="21"/>
      <c r="B1541" s="28"/>
      <c r="C1541" s="22"/>
      <c r="D1541" s="28"/>
      <c r="E1541" s="23" t="str">
        <f>IF($D1541="","",IFERROR(VLOOKUP($D1541,'ACAH Consumables Tracker'!$A:$H,8,FALSE()),""))</f>
        <v/>
      </c>
      <c r="F1541" s="24"/>
      <c r="G1541" s="25" t="str">
        <f>IF($D1541="","",IFERROR(VLOOKUP($D1541,'ACAH Consumables Tracker'!$A:$D,4,FALSE()),""))</f>
        <v/>
      </c>
      <c r="H1541" s="22"/>
    </row>
    <row r="1542" spans="1:8">
      <c r="A1542" s="21"/>
      <c r="B1542" s="28"/>
      <c r="C1542" s="22"/>
      <c r="D1542" s="28"/>
      <c r="E1542" s="23" t="str">
        <f>IF($D1542="","",IFERROR(VLOOKUP($D1542,'ACAH Consumables Tracker'!$A:$H,8,FALSE()),""))</f>
        <v/>
      </c>
      <c r="F1542" s="24"/>
      <c r="G1542" s="25" t="str">
        <f>IF($D1542="","",IFERROR(VLOOKUP($D1542,'ACAH Consumables Tracker'!$A:$D,4,FALSE()),""))</f>
        <v/>
      </c>
      <c r="H1542" s="22"/>
    </row>
    <row r="1543" spans="1:8">
      <c r="A1543" s="21"/>
      <c r="B1543" s="28"/>
      <c r="C1543" s="22"/>
      <c r="D1543" s="28"/>
      <c r="E1543" s="23" t="str">
        <f>IF($D1543="","",IFERROR(VLOOKUP($D1543,'ACAH Consumables Tracker'!$A:$H,8,FALSE()),""))</f>
        <v/>
      </c>
      <c r="F1543" s="24"/>
      <c r="G1543" s="25" t="str">
        <f>IF($D1543="","",IFERROR(VLOOKUP($D1543,'ACAH Consumables Tracker'!$A:$D,4,FALSE()),""))</f>
        <v/>
      </c>
      <c r="H1543" s="22"/>
    </row>
    <row r="1544" spans="1:8">
      <c r="A1544" s="21"/>
      <c r="B1544" s="28"/>
      <c r="C1544" s="22"/>
      <c r="D1544" s="28"/>
      <c r="E1544" s="23" t="str">
        <f>IF($D1544="","",IFERROR(VLOOKUP($D1544,'ACAH Consumables Tracker'!$A:$H,8,FALSE()),""))</f>
        <v/>
      </c>
      <c r="F1544" s="24"/>
      <c r="G1544" s="25" t="str">
        <f>IF($D1544="","",IFERROR(VLOOKUP($D1544,'ACAH Consumables Tracker'!$A:$D,4,FALSE()),""))</f>
        <v/>
      </c>
      <c r="H1544" s="22"/>
    </row>
    <row r="1545" spans="1:8">
      <c r="A1545" s="21"/>
      <c r="B1545" s="28"/>
      <c r="C1545" s="22"/>
      <c r="D1545" s="28"/>
      <c r="E1545" s="23" t="str">
        <f>IF($D1545="","",IFERROR(VLOOKUP($D1545,'ACAH Consumables Tracker'!$A:$H,8,FALSE()),""))</f>
        <v/>
      </c>
      <c r="F1545" s="24"/>
      <c r="G1545" s="25" t="str">
        <f>IF($D1545="","",IFERROR(VLOOKUP($D1545,'ACAH Consumables Tracker'!$A:$D,4,FALSE()),""))</f>
        <v/>
      </c>
      <c r="H1545" s="22"/>
    </row>
    <row r="1546" spans="1:8">
      <c r="A1546" s="21"/>
      <c r="B1546" s="28"/>
      <c r="C1546" s="22"/>
      <c r="D1546" s="28"/>
      <c r="E1546" s="23" t="str">
        <f>IF($D1546="","",IFERROR(VLOOKUP($D1546,'ACAH Consumables Tracker'!$A:$H,8,FALSE()),""))</f>
        <v/>
      </c>
      <c r="F1546" s="24"/>
      <c r="G1546" s="25" t="str">
        <f>IF($D1546="","",IFERROR(VLOOKUP($D1546,'ACAH Consumables Tracker'!$A:$D,4,FALSE()),""))</f>
        <v/>
      </c>
      <c r="H1546" s="22"/>
    </row>
    <row r="1547" spans="1:8">
      <c r="A1547" s="21"/>
      <c r="B1547" s="28"/>
      <c r="C1547" s="22"/>
      <c r="D1547" s="28"/>
      <c r="E1547" s="23" t="str">
        <f>IF($D1547="","",IFERROR(VLOOKUP($D1547,'ACAH Consumables Tracker'!$A:$H,8,FALSE()),""))</f>
        <v/>
      </c>
      <c r="F1547" s="24"/>
      <c r="G1547" s="25" t="str">
        <f>IF($D1547="","",IFERROR(VLOOKUP($D1547,'ACAH Consumables Tracker'!$A:$D,4,FALSE()),""))</f>
        <v/>
      </c>
      <c r="H1547" s="22"/>
    </row>
    <row r="1548" spans="1:8">
      <c r="A1548" s="21"/>
      <c r="B1548" s="28"/>
      <c r="C1548" s="22"/>
      <c r="D1548" s="28"/>
      <c r="E1548" s="23" t="str">
        <f>IF($D1548="","",IFERROR(VLOOKUP($D1548,'ACAH Consumables Tracker'!$A:$H,8,FALSE()),""))</f>
        <v/>
      </c>
      <c r="F1548" s="24"/>
      <c r="G1548" s="25" t="str">
        <f>IF($D1548="","",IFERROR(VLOOKUP($D1548,'ACAH Consumables Tracker'!$A:$D,4,FALSE()),""))</f>
        <v/>
      </c>
      <c r="H1548" s="22"/>
    </row>
    <row r="1549" spans="1:8">
      <c r="A1549" s="21"/>
      <c r="B1549" s="28"/>
      <c r="C1549" s="22"/>
      <c r="D1549" s="28"/>
      <c r="E1549" s="23" t="str">
        <f>IF($D1549="","",IFERROR(VLOOKUP($D1549,'ACAH Consumables Tracker'!$A:$H,8,FALSE()),""))</f>
        <v/>
      </c>
      <c r="F1549" s="24"/>
      <c r="G1549" s="25" t="str">
        <f>IF($D1549="","",IFERROR(VLOOKUP($D1549,'ACAH Consumables Tracker'!$A:$D,4,FALSE()),""))</f>
        <v/>
      </c>
      <c r="H1549" s="22"/>
    </row>
    <row r="1550" spans="1:8">
      <c r="A1550" s="21"/>
      <c r="B1550" s="28"/>
      <c r="C1550" s="22"/>
      <c r="D1550" s="28"/>
      <c r="E1550" s="23" t="str">
        <f>IF($D1550="","",IFERROR(VLOOKUP($D1550,'ACAH Consumables Tracker'!$A:$H,8,FALSE()),""))</f>
        <v/>
      </c>
      <c r="F1550" s="24"/>
      <c r="G1550" s="25" t="str">
        <f>IF($D1550="","",IFERROR(VLOOKUP($D1550,'ACAH Consumables Tracker'!$A:$D,4,FALSE()),""))</f>
        <v/>
      </c>
      <c r="H1550" s="22"/>
    </row>
    <row r="1551" spans="1:8">
      <c r="A1551" s="21"/>
      <c r="B1551" s="28"/>
      <c r="C1551" s="22"/>
      <c r="D1551" s="28"/>
      <c r="E1551" s="23" t="str">
        <f>IF($D1551="","",IFERROR(VLOOKUP($D1551,'ACAH Consumables Tracker'!$A:$H,8,FALSE()),""))</f>
        <v/>
      </c>
      <c r="F1551" s="24"/>
      <c r="G1551" s="25" t="str">
        <f>IF($D1551="","",IFERROR(VLOOKUP($D1551,'ACAH Consumables Tracker'!$A:$D,4,FALSE()),""))</f>
        <v/>
      </c>
      <c r="H1551" s="22"/>
    </row>
    <row r="1552" spans="1:8">
      <c r="A1552" s="21"/>
      <c r="B1552" s="28"/>
      <c r="C1552" s="22"/>
      <c r="D1552" s="28"/>
      <c r="E1552" s="23" t="str">
        <f>IF($D1552="","",IFERROR(VLOOKUP($D1552,'ACAH Consumables Tracker'!$A:$H,8,FALSE()),""))</f>
        <v/>
      </c>
      <c r="F1552" s="24"/>
      <c r="G1552" s="25" t="str">
        <f>IF($D1552="","",IFERROR(VLOOKUP($D1552,'ACAH Consumables Tracker'!$A:$D,4,FALSE()),""))</f>
        <v/>
      </c>
      <c r="H1552" s="22"/>
    </row>
    <row r="1553" spans="1:8">
      <c r="A1553" s="21"/>
      <c r="B1553" s="28"/>
      <c r="C1553" s="22"/>
      <c r="D1553" s="28"/>
      <c r="E1553" s="23" t="str">
        <f>IF($D1553="","",IFERROR(VLOOKUP($D1553,'ACAH Consumables Tracker'!$A:$H,8,FALSE()),""))</f>
        <v/>
      </c>
      <c r="F1553" s="24"/>
      <c r="G1553" s="25" t="str">
        <f>IF($D1553="","",IFERROR(VLOOKUP($D1553,'ACAH Consumables Tracker'!$A:$D,4,FALSE()),""))</f>
        <v/>
      </c>
      <c r="H1553" s="22"/>
    </row>
    <row r="1554" spans="1:8">
      <c r="A1554" s="21"/>
      <c r="B1554" s="28"/>
      <c r="C1554" s="22"/>
      <c r="D1554" s="28"/>
      <c r="E1554" s="23" t="str">
        <f>IF($D1554="","",IFERROR(VLOOKUP($D1554,'ACAH Consumables Tracker'!$A:$H,8,FALSE()),""))</f>
        <v/>
      </c>
      <c r="F1554" s="24"/>
      <c r="G1554" s="25" t="str">
        <f>IF($D1554="","",IFERROR(VLOOKUP($D1554,'ACAH Consumables Tracker'!$A:$D,4,FALSE()),""))</f>
        <v/>
      </c>
      <c r="H1554" s="22"/>
    </row>
    <row r="1555" spans="1:8">
      <c r="A1555" s="21"/>
      <c r="B1555" s="28"/>
      <c r="C1555" s="22"/>
      <c r="D1555" s="28"/>
      <c r="E1555" s="23" t="str">
        <f>IF($D1555="","",IFERROR(VLOOKUP($D1555,'ACAH Consumables Tracker'!$A:$H,8,FALSE()),""))</f>
        <v/>
      </c>
      <c r="F1555" s="24"/>
      <c r="G1555" s="25" t="str">
        <f>IF($D1555="","",IFERROR(VLOOKUP($D1555,'ACAH Consumables Tracker'!$A:$D,4,FALSE()),""))</f>
        <v/>
      </c>
      <c r="H1555" s="22"/>
    </row>
    <row r="1556" spans="1:8">
      <c r="A1556" s="21"/>
      <c r="B1556" s="28"/>
      <c r="C1556" s="22"/>
      <c r="D1556" s="28"/>
      <c r="E1556" s="23" t="str">
        <f>IF($D1556="","",IFERROR(VLOOKUP($D1556,'ACAH Consumables Tracker'!$A:$H,8,FALSE()),""))</f>
        <v/>
      </c>
      <c r="F1556" s="24"/>
      <c r="G1556" s="25" t="str">
        <f>IF($D1556="","",IFERROR(VLOOKUP($D1556,'ACAH Consumables Tracker'!$A:$D,4,FALSE()),""))</f>
        <v/>
      </c>
      <c r="H1556" s="22"/>
    </row>
    <row r="1557" spans="1:8">
      <c r="A1557" s="21"/>
      <c r="B1557" s="28"/>
      <c r="C1557" s="22"/>
      <c r="D1557" s="28"/>
      <c r="E1557" s="23" t="str">
        <f>IF($D1557="","",IFERROR(VLOOKUP($D1557,'ACAH Consumables Tracker'!$A:$H,8,FALSE()),""))</f>
        <v/>
      </c>
      <c r="F1557" s="24"/>
      <c r="G1557" s="25" t="str">
        <f>IF($D1557="","",IFERROR(VLOOKUP($D1557,'ACAH Consumables Tracker'!$A:$D,4,FALSE()),""))</f>
        <v/>
      </c>
      <c r="H1557" s="22"/>
    </row>
    <row r="1558" spans="1:8">
      <c r="A1558" s="21"/>
      <c r="B1558" s="28"/>
      <c r="C1558" s="22"/>
      <c r="D1558" s="28"/>
      <c r="E1558" s="23" t="str">
        <f>IF($D1558="","",IFERROR(VLOOKUP($D1558,'ACAH Consumables Tracker'!$A:$H,8,FALSE()),""))</f>
        <v/>
      </c>
      <c r="F1558" s="24"/>
      <c r="G1558" s="25" t="str">
        <f>IF($D1558="","",IFERROR(VLOOKUP($D1558,'ACAH Consumables Tracker'!$A:$D,4,FALSE()),""))</f>
        <v/>
      </c>
      <c r="H1558" s="22"/>
    </row>
    <row r="1559" spans="1:8">
      <c r="A1559" s="21"/>
      <c r="B1559" s="28"/>
      <c r="C1559" s="22"/>
      <c r="D1559" s="28"/>
      <c r="E1559" s="23" t="str">
        <f>IF($D1559="","",IFERROR(VLOOKUP($D1559,'ACAH Consumables Tracker'!$A:$H,8,FALSE()),""))</f>
        <v/>
      </c>
      <c r="F1559" s="24"/>
      <c r="G1559" s="25" t="str">
        <f>IF($D1559="","",IFERROR(VLOOKUP($D1559,'ACAH Consumables Tracker'!$A:$D,4,FALSE()),""))</f>
        <v/>
      </c>
      <c r="H1559" s="22"/>
    </row>
    <row r="1560" spans="1:8">
      <c r="A1560" s="21"/>
      <c r="B1560" s="28"/>
      <c r="C1560" s="22"/>
      <c r="D1560" s="28"/>
      <c r="E1560" s="23" t="str">
        <f>IF($D1560="","",IFERROR(VLOOKUP($D1560,'ACAH Consumables Tracker'!$A:$H,8,FALSE()),""))</f>
        <v/>
      </c>
      <c r="F1560" s="24"/>
      <c r="G1560" s="25" t="str">
        <f>IF($D1560="","",IFERROR(VLOOKUP($D1560,'ACAH Consumables Tracker'!$A:$D,4,FALSE()),""))</f>
        <v/>
      </c>
      <c r="H1560" s="22"/>
    </row>
    <row r="1561" spans="1:8">
      <c r="A1561" s="21"/>
      <c r="B1561" s="28"/>
      <c r="C1561" s="22"/>
      <c r="D1561" s="28"/>
      <c r="E1561" s="23" t="str">
        <f>IF($D1561="","",IFERROR(VLOOKUP($D1561,'ACAH Consumables Tracker'!$A:$H,8,FALSE()),""))</f>
        <v/>
      </c>
      <c r="F1561" s="24"/>
      <c r="G1561" s="25" t="str">
        <f>IF($D1561="","",IFERROR(VLOOKUP($D1561,'ACAH Consumables Tracker'!$A:$D,4,FALSE()),""))</f>
        <v/>
      </c>
      <c r="H1561" s="22"/>
    </row>
    <row r="1562" spans="1:8">
      <c r="A1562" s="21"/>
      <c r="B1562" s="28"/>
      <c r="C1562" s="22"/>
      <c r="D1562" s="28"/>
      <c r="E1562" s="23" t="str">
        <f>IF($D1562="","",IFERROR(VLOOKUP($D1562,'ACAH Consumables Tracker'!$A:$H,8,FALSE()),""))</f>
        <v/>
      </c>
      <c r="F1562" s="24"/>
      <c r="G1562" s="25" t="str">
        <f>IF($D1562="","",IFERROR(VLOOKUP($D1562,'ACAH Consumables Tracker'!$A:$D,4,FALSE()),""))</f>
        <v/>
      </c>
      <c r="H1562" s="22"/>
    </row>
    <row r="1563" spans="1:8">
      <c r="A1563" s="21"/>
      <c r="B1563" s="28"/>
      <c r="C1563" s="22"/>
      <c r="D1563" s="28"/>
      <c r="E1563" s="23" t="str">
        <f>IF($D1563="","",IFERROR(VLOOKUP($D1563,'ACAH Consumables Tracker'!$A:$H,8,FALSE()),""))</f>
        <v/>
      </c>
      <c r="F1563" s="24"/>
      <c r="G1563" s="25" t="str">
        <f>IF($D1563="","",IFERROR(VLOOKUP($D1563,'ACAH Consumables Tracker'!$A:$D,4,FALSE()),""))</f>
        <v/>
      </c>
      <c r="H1563" s="22"/>
    </row>
    <row r="1564" spans="1:8">
      <c r="A1564" s="21"/>
      <c r="B1564" s="28"/>
      <c r="C1564" s="22"/>
      <c r="D1564" s="28"/>
      <c r="E1564" s="23" t="str">
        <f>IF($D1564="","",IFERROR(VLOOKUP($D1564,'ACAH Consumables Tracker'!$A:$H,8,FALSE()),""))</f>
        <v/>
      </c>
      <c r="F1564" s="24"/>
      <c r="G1564" s="25" t="str">
        <f>IF($D1564="","",IFERROR(VLOOKUP($D1564,'ACAH Consumables Tracker'!$A:$D,4,FALSE()),""))</f>
        <v/>
      </c>
      <c r="H1564" s="22"/>
    </row>
    <row r="1565" spans="1:8">
      <c r="A1565" s="21"/>
      <c r="B1565" s="28"/>
      <c r="C1565" s="22"/>
      <c r="D1565" s="28"/>
      <c r="E1565" s="23" t="str">
        <f>IF($D1565="","",IFERROR(VLOOKUP($D1565,'ACAH Consumables Tracker'!$A:$H,8,FALSE()),""))</f>
        <v/>
      </c>
      <c r="F1565" s="24"/>
      <c r="G1565" s="25" t="str">
        <f>IF($D1565="","",IFERROR(VLOOKUP($D1565,'ACAH Consumables Tracker'!$A:$D,4,FALSE()),""))</f>
        <v/>
      </c>
      <c r="H1565" s="22"/>
    </row>
    <row r="1566" spans="1:8">
      <c r="A1566" s="21"/>
      <c r="B1566" s="28"/>
      <c r="C1566" s="22"/>
      <c r="D1566" s="28"/>
      <c r="E1566" s="23" t="str">
        <f>IF($D1566="","",IFERROR(VLOOKUP($D1566,'ACAH Consumables Tracker'!$A:$H,8,FALSE()),""))</f>
        <v/>
      </c>
      <c r="F1566" s="24"/>
      <c r="G1566" s="25" t="str">
        <f>IF($D1566="","",IFERROR(VLOOKUP($D1566,'ACAH Consumables Tracker'!$A:$D,4,FALSE()),""))</f>
        <v/>
      </c>
      <c r="H1566" s="22"/>
    </row>
    <row r="1567" spans="1:8">
      <c r="A1567" s="21"/>
      <c r="B1567" s="28"/>
      <c r="C1567" s="22"/>
      <c r="D1567" s="28"/>
      <c r="E1567" s="23" t="str">
        <f>IF($D1567="","",IFERROR(VLOOKUP($D1567,'ACAH Consumables Tracker'!$A:$H,8,FALSE()),""))</f>
        <v/>
      </c>
      <c r="F1567" s="24"/>
      <c r="G1567" s="25" t="str">
        <f>IF($D1567="","",IFERROR(VLOOKUP($D1567,'ACAH Consumables Tracker'!$A:$D,4,FALSE()),""))</f>
        <v/>
      </c>
      <c r="H1567" s="22"/>
    </row>
    <row r="1568" spans="1:8">
      <c r="A1568" s="21"/>
      <c r="B1568" s="28"/>
      <c r="C1568" s="22"/>
      <c r="D1568" s="28"/>
      <c r="E1568" s="23" t="str">
        <f>IF($D1568="","",IFERROR(VLOOKUP($D1568,'ACAH Consumables Tracker'!$A:$H,8,FALSE()),""))</f>
        <v/>
      </c>
      <c r="F1568" s="24"/>
      <c r="G1568" s="25" t="str">
        <f>IF($D1568="","",IFERROR(VLOOKUP($D1568,'ACAH Consumables Tracker'!$A:$D,4,FALSE()),""))</f>
        <v/>
      </c>
      <c r="H1568" s="22"/>
    </row>
    <row r="1569" spans="1:8">
      <c r="A1569" s="21"/>
      <c r="B1569" s="28"/>
      <c r="C1569" s="22"/>
      <c r="D1569" s="28"/>
      <c r="E1569" s="23" t="str">
        <f>IF($D1569="","",IFERROR(VLOOKUP($D1569,'ACAH Consumables Tracker'!$A:$H,8,FALSE()),""))</f>
        <v/>
      </c>
      <c r="F1569" s="24"/>
      <c r="G1569" s="25" t="str">
        <f>IF($D1569="","",IFERROR(VLOOKUP($D1569,'ACAH Consumables Tracker'!$A:$D,4,FALSE()),""))</f>
        <v/>
      </c>
      <c r="H1569" s="22"/>
    </row>
    <row r="1570" spans="1:8">
      <c r="A1570" s="21"/>
      <c r="B1570" s="28"/>
      <c r="C1570" s="22"/>
      <c r="D1570" s="28"/>
      <c r="E1570" s="23" t="str">
        <f>IF($D1570="","",IFERROR(VLOOKUP($D1570,'ACAH Consumables Tracker'!$A:$H,8,FALSE()),""))</f>
        <v/>
      </c>
      <c r="F1570" s="24"/>
      <c r="G1570" s="25" t="str">
        <f>IF($D1570="","",IFERROR(VLOOKUP($D1570,'ACAH Consumables Tracker'!$A:$D,4,FALSE()),""))</f>
        <v/>
      </c>
      <c r="H1570" s="22"/>
    </row>
    <row r="1571" spans="1:8">
      <c r="A1571" s="21"/>
      <c r="B1571" s="28"/>
      <c r="C1571" s="22"/>
      <c r="D1571" s="28"/>
      <c r="E1571" s="23" t="str">
        <f>IF($D1571="","",IFERROR(VLOOKUP($D1571,'ACAH Consumables Tracker'!$A:$H,8,FALSE()),""))</f>
        <v/>
      </c>
      <c r="F1571" s="24"/>
      <c r="G1571" s="25" t="str">
        <f>IF($D1571="","",IFERROR(VLOOKUP($D1571,'ACAH Consumables Tracker'!$A:$D,4,FALSE()),""))</f>
        <v/>
      </c>
      <c r="H1571" s="22"/>
    </row>
    <row r="1572" spans="1:8">
      <c r="A1572" s="21"/>
      <c r="B1572" s="28"/>
      <c r="C1572" s="22"/>
      <c r="D1572" s="28"/>
      <c r="E1572" s="23" t="str">
        <f>IF($D1572="","",IFERROR(VLOOKUP($D1572,'ACAH Consumables Tracker'!$A:$H,8,FALSE()),""))</f>
        <v/>
      </c>
      <c r="F1572" s="24"/>
      <c r="G1572" s="25" t="str">
        <f>IF($D1572="","",IFERROR(VLOOKUP($D1572,'ACAH Consumables Tracker'!$A:$D,4,FALSE()),""))</f>
        <v/>
      </c>
      <c r="H1572" s="22"/>
    </row>
    <row r="1573" spans="1:8">
      <c r="A1573" s="21"/>
      <c r="B1573" s="28"/>
      <c r="C1573" s="22"/>
      <c r="D1573" s="28"/>
      <c r="E1573" s="23" t="str">
        <f>IF($D1573="","",IFERROR(VLOOKUP($D1573,'ACAH Consumables Tracker'!$A:$H,8,FALSE()),""))</f>
        <v/>
      </c>
      <c r="F1573" s="24"/>
      <c r="G1573" s="25" t="str">
        <f>IF($D1573="","",IFERROR(VLOOKUP($D1573,'ACAH Consumables Tracker'!$A:$D,4,FALSE()),""))</f>
        <v/>
      </c>
      <c r="H1573" s="22"/>
    </row>
    <row r="1574" spans="1:8">
      <c r="A1574" s="21"/>
      <c r="B1574" s="28"/>
      <c r="C1574" s="22"/>
      <c r="D1574" s="28"/>
      <c r="E1574" s="23" t="str">
        <f>IF($D1574="","",IFERROR(VLOOKUP($D1574,'ACAH Consumables Tracker'!$A:$H,8,FALSE()),""))</f>
        <v/>
      </c>
      <c r="F1574" s="24"/>
      <c r="G1574" s="25" t="str">
        <f>IF($D1574="","",IFERROR(VLOOKUP($D1574,'ACAH Consumables Tracker'!$A:$D,4,FALSE()),""))</f>
        <v/>
      </c>
      <c r="H1574" s="22"/>
    </row>
    <row r="1575" spans="1:8">
      <c r="A1575" s="21"/>
      <c r="B1575" s="28"/>
      <c r="C1575" s="22"/>
      <c r="D1575" s="28"/>
      <c r="E1575" s="23" t="str">
        <f>IF($D1575="","",IFERROR(VLOOKUP($D1575,'ACAH Consumables Tracker'!$A:$H,8,FALSE()),""))</f>
        <v/>
      </c>
      <c r="F1575" s="24"/>
      <c r="G1575" s="25" t="str">
        <f>IF($D1575="","",IFERROR(VLOOKUP($D1575,'ACAH Consumables Tracker'!$A:$D,4,FALSE()),""))</f>
        <v/>
      </c>
      <c r="H1575" s="22"/>
    </row>
    <row r="1576" spans="1:8">
      <c r="A1576" s="21"/>
      <c r="B1576" s="28"/>
      <c r="C1576" s="22"/>
      <c r="D1576" s="28"/>
      <c r="E1576" s="23" t="str">
        <f>IF($D1576="","",IFERROR(VLOOKUP($D1576,'ACAH Consumables Tracker'!$A:$H,8,FALSE()),""))</f>
        <v/>
      </c>
      <c r="F1576" s="24"/>
      <c r="G1576" s="25" t="str">
        <f>IF($D1576="","",IFERROR(VLOOKUP($D1576,'ACAH Consumables Tracker'!$A:$D,4,FALSE()),""))</f>
        <v/>
      </c>
      <c r="H1576" s="22"/>
    </row>
    <row r="1577" spans="1:8">
      <c r="A1577" s="21"/>
      <c r="B1577" s="28"/>
      <c r="C1577" s="22"/>
      <c r="D1577" s="28"/>
      <c r="E1577" s="23" t="str">
        <f>IF($D1577="","",IFERROR(VLOOKUP($D1577,'ACAH Consumables Tracker'!$A:$H,8,FALSE()),""))</f>
        <v/>
      </c>
      <c r="F1577" s="24"/>
      <c r="G1577" s="25" t="str">
        <f>IF($D1577="","",IFERROR(VLOOKUP($D1577,'ACAH Consumables Tracker'!$A:$D,4,FALSE()),""))</f>
        <v/>
      </c>
      <c r="H1577" s="22"/>
    </row>
    <row r="1578" spans="1:8">
      <c r="A1578" s="21"/>
      <c r="B1578" s="28"/>
      <c r="C1578" s="22"/>
      <c r="D1578" s="28"/>
      <c r="E1578" s="23" t="str">
        <f>IF($D1578="","",IFERROR(VLOOKUP($D1578,'ACAH Consumables Tracker'!$A:$H,8,FALSE()),""))</f>
        <v/>
      </c>
      <c r="F1578" s="24"/>
      <c r="G1578" s="25" t="str">
        <f>IF($D1578="","",IFERROR(VLOOKUP($D1578,'ACAH Consumables Tracker'!$A:$D,4,FALSE()),""))</f>
        <v/>
      </c>
      <c r="H1578" s="22"/>
    </row>
    <row r="1579" spans="1:8">
      <c r="A1579" s="21"/>
      <c r="B1579" s="28"/>
      <c r="C1579" s="22"/>
      <c r="D1579" s="28"/>
      <c r="E1579" s="23" t="str">
        <f>IF($D1579="","",IFERROR(VLOOKUP($D1579,'ACAH Consumables Tracker'!$A:$H,8,FALSE()),""))</f>
        <v/>
      </c>
      <c r="F1579" s="24"/>
      <c r="G1579" s="25" t="str">
        <f>IF($D1579="","",IFERROR(VLOOKUP($D1579,'ACAH Consumables Tracker'!$A:$D,4,FALSE()),""))</f>
        <v/>
      </c>
      <c r="H1579" s="22"/>
    </row>
    <row r="1580" spans="1:8">
      <c r="A1580" s="21"/>
      <c r="B1580" s="28"/>
      <c r="C1580" s="22"/>
      <c r="D1580" s="28"/>
      <c r="E1580" s="23" t="str">
        <f>IF($D1580="","",IFERROR(VLOOKUP($D1580,'ACAH Consumables Tracker'!$A:$H,8,FALSE()),""))</f>
        <v/>
      </c>
      <c r="F1580" s="24"/>
      <c r="G1580" s="25" t="str">
        <f>IF($D1580="","",IFERROR(VLOOKUP($D1580,'ACAH Consumables Tracker'!$A:$D,4,FALSE()),""))</f>
        <v/>
      </c>
      <c r="H1580" s="22"/>
    </row>
    <row r="1581" spans="1:8">
      <c r="A1581" s="21"/>
      <c r="B1581" s="28"/>
      <c r="C1581" s="22"/>
      <c r="D1581" s="28"/>
      <c r="E1581" s="23" t="str">
        <f>IF($D1581="","",IFERROR(VLOOKUP($D1581,'ACAH Consumables Tracker'!$A:$H,8,FALSE()),""))</f>
        <v/>
      </c>
      <c r="F1581" s="24"/>
      <c r="G1581" s="25" t="str">
        <f>IF($D1581="","",IFERROR(VLOOKUP($D1581,'ACAH Consumables Tracker'!$A:$D,4,FALSE()),""))</f>
        <v/>
      </c>
      <c r="H1581" s="22"/>
    </row>
    <row r="1582" spans="1:8">
      <c r="A1582" s="21"/>
      <c r="B1582" s="28"/>
      <c r="C1582" s="22"/>
      <c r="D1582" s="28"/>
      <c r="E1582" s="23" t="str">
        <f>IF($D1582="","",IFERROR(VLOOKUP($D1582,'ACAH Consumables Tracker'!$A:$H,8,FALSE()),""))</f>
        <v/>
      </c>
      <c r="F1582" s="24"/>
      <c r="G1582" s="25" t="str">
        <f>IF($D1582="","",IFERROR(VLOOKUP($D1582,'ACAH Consumables Tracker'!$A:$D,4,FALSE()),""))</f>
        <v/>
      </c>
      <c r="H1582" s="22"/>
    </row>
    <row r="1583" spans="1:8">
      <c r="A1583" s="21"/>
      <c r="B1583" s="28"/>
      <c r="C1583" s="22"/>
      <c r="D1583" s="28"/>
      <c r="E1583" s="23" t="str">
        <f>IF($D1583="","",IFERROR(VLOOKUP($D1583,'ACAH Consumables Tracker'!$A:$H,8,FALSE()),""))</f>
        <v/>
      </c>
      <c r="F1583" s="24"/>
      <c r="G1583" s="25" t="str">
        <f>IF($D1583="","",IFERROR(VLOOKUP($D1583,'ACAH Consumables Tracker'!$A:$D,4,FALSE()),""))</f>
        <v/>
      </c>
      <c r="H1583" s="22"/>
    </row>
    <row r="1584" spans="1:8">
      <c r="A1584" s="21"/>
      <c r="B1584" s="28"/>
      <c r="C1584" s="22"/>
      <c r="D1584" s="28"/>
      <c r="E1584" s="23" t="str">
        <f>IF($D1584="","",IFERROR(VLOOKUP($D1584,'ACAH Consumables Tracker'!$A:$H,8,FALSE()),""))</f>
        <v/>
      </c>
      <c r="F1584" s="24"/>
      <c r="G1584" s="25" t="str">
        <f>IF($D1584="","",IFERROR(VLOOKUP($D1584,'ACAH Consumables Tracker'!$A:$D,4,FALSE()),""))</f>
        <v/>
      </c>
      <c r="H1584" s="22"/>
    </row>
    <row r="1585" spans="1:8">
      <c r="A1585" s="21"/>
      <c r="B1585" s="28"/>
      <c r="C1585" s="22"/>
      <c r="D1585" s="28"/>
      <c r="E1585" s="23" t="str">
        <f>IF($D1585="","",IFERROR(VLOOKUP($D1585,'ACAH Consumables Tracker'!$A:$H,8,FALSE()),""))</f>
        <v/>
      </c>
      <c r="F1585" s="24"/>
      <c r="G1585" s="25" t="str">
        <f>IF($D1585="","",IFERROR(VLOOKUP($D1585,'ACAH Consumables Tracker'!$A:$D,4,FALSE()),""))</f>
        <v/>
      </c>
      <c r="H1585" s="22"/>
    </row>
    <row r="1586" spans="1:8">
      <c r="A1586" s="21"/>
      <c r="B1586" s="28"/>
      <c r="C1586" s="22"/>
      <c r="D1586" s="28"/>
      <c r="E1586" s="23" t="str">
        <f>IF($D1586="","",IFERROR(VLOOKUP($D1586,'ACAH Consumables Tracker'!$A:$H,8,FALSE()),""))</f>
        <v/>
      </c>
      <c r="F1586" s="24"/>
      <c r="G1586" s="25" t="str">
        <f>IF($D1586="","",IFERROR(VLOOKUP($D1586,'ACAH Consumables Tracker'!$A:$D,4,FALSE()),""))</f>
        <v/>
      </c>
      <c r="H1586" s="22"/>
    </row>
    <row r="1587" spans="1:8">
      <c r="A1587" s="21"/>
      <c r="B1587" s="28"/>
      <c r="C1587" s="22"/>
      <c r="D1587" s="28"/>
      <c r="E1587" s="23" t="str">
        <f>IF($D1587="","",IFERROR(VLOOKUP($D1587,'ACAH Consumables Tracker'!$A:$H,8,FALSE()),""))</f>
        <v/>
      </c>
      <c r="F1587" s="24"/>
      <c r="G1587" s="25" t="str">
        <f>IF($D1587="","",IFERROR(VLOOKUP($D1587,'ACAH Consumables Tracker'!$A:$D,4,FALSE()),""))</f>
        <v/>
      </c>
      <c r="H1587" s="22"/>
    </row>
    <row r="1588" spans="1:8">
      <c r="A1588" s="21"/>
      <c r="B1588" s="28"/>
      <c r="C1588" s="22"/>
      <c r="D1588" s="28"/>
      <c r="E1588" s="23" t="str">
        <f>IF($D1588="","",IFERROR(VLOOKUP($D1588,'ACAH Consumables Tracker'!$A:$H,8,FALSE()),""))</f>
        <v/>
      </c>
      <c r="F1588" s="24"/>
      <c r="G1588" s="25" t="str">
        <f>IF($D1588="","",IFERROR(VLOOKUP($D1588,'ACAH Consumables Tracker'!$A:$D,4,FALSE()),""))</f>
        <v/>
      </c>
      <c r="H1588" s="22"/>
    </row>
    <row r="1589" spans="1:8">
      <c r="A1589" s="21"/>
      <c r="B1589" s="28"/>
      <c r="C1589" s="22"/>
      <c r="D1589" s="28"/>
      <c r="E1589" s="23" t="str">
        <f>IF($D1589="","",IFERROR(VLOOKUP($D1589,'ACAH Consumables Tracker'!$A:$H,8,FALSE()),""))</f>
        <v/>
      </c>
      <c r="F1589" s="24"/>
      <c r="G1589" s="25" t="str">
        <f>IF($D1589="","",IFERROR(VLOOKUP($D1589,'ACAH Consumables Tracker'!$A:$D,4,FALSE()),""))</f>
        <v/>
      </c>
      <c r="H1589" s="22"/>
    </row>
    <row r="1590" spans="1:8">
      <c r="A1590" s="21"/>
      <c r="B1590" s="28"/>
      <c r="C1590" s="22"/>
      <c r="D1590" s="28"/>
      <c r="E1590" s="23" t="str">
        <f>IF($D1590="","",IFERROR(VLOOKUP($D1590,'ACAH Consumables Tracker'!$A:$H,8,FALSE()),""))</f>
        <v/>
      </c>
      <c r="F1590" s="24"/>
      <c r="G1590" s="25" t="str">
        <f>IF($D1590="","",IFERROR(VLOOKUP($D1590,'ACAH Consumables Tracker'!$A:$D,4,FALSE()),""))</f>
        <v/>
      </c>
      <c r="H1590" s="22"/>
    </row>
    <row r="1591" spans="1:8">
      <c r="A1591" s="21"/>
      <c r="B1591" s="28"/>
      <c r="C1591" s="22"/>
      <c r="D1591" s="28"/>
      <c r="E1591" s="23" t="str">
        <f>IF($D1591="","",IFERROR(VLOOKUP($D1591,'ACAH Consumables Tracker'!$A:$H,8,FALSE()),""))</f>
        <v/>
      </c>
      <c r="F1591" s="24"/>
      <c r="G1591" s="25" t="str">
        <f>IF($D1591="","",IFERROR(VLOOKUP($D1591,'ACAH Consumables Tracker'!$A:$D,4,FALSE()),""))</f>
        <v/>
      </c>
      <c r="H1591" s="22"/>
    </row>
    <row r="1592" spans="1:8">
      <c r="A1592" s="21"/>
      <c r="B1592" s="28"/>
      <c r="C1592" s="22"/>
      <c r="D1592" s="28"/>
      <c r="E1592" s="23" t="str">
        <f>IF($D1592="","",IFERROR(VLOOKUP($D1592,'ACAH Consumables Tracker'!$A:$H,8,FALSE()),""))</f>
        <v/>
      </c>
      <c r="F1592" s="24"/>
      <c r="G1592" s="25" t="str">
        <f>IF($D1592="","",IFERROR(VLOOKUP($D1592,'ACAH Consumables Tracker'!$A:$D,4,FALSE()),""))</f>
        <v/>
      </c>
      <c r="H1592" s="22"/>
    </row>
    <row r="1593" spans="1:8">
      <c r="A1593" s="21"/>
      <c r="B1593" s="28"/>
      <c r="C1593" s="22"/>
      <c r="D1593" s="28"/>
      <c r="E1593" s="23" t="str">
        <f>IF($D1593="","",IFERROR(VLOOKUP($D1593,'ACAH Consumables Tracker'!$A:$H,8,FALSE()),""))</f>
        <v/>
      </c>
      <c r="F1593" s="24"/>
      <c r="G1593" s="25" t="str">
        <f>IF($D1593="","",IFERROR(VLOOKUP($D1593,'ACAH Consumables Tracker'!$A:$D,4,FALSE()),""))</f>
        <v/>
      </c>
      <c r="H1593" s="22"/>
    </row>
    <row r="1594" spans="1:8">
      <c r="A1594" s="21"/>
      <c r="B1594" s="28"/>
      <c r="C1594" s="22"/>
      <c r="D1594" s="28"/>
      <c r="E1594" s="23" t="str">
        <f>IF($D1594="","",IFERROR(VLOOKUP($D1594,'ACAH Consumables Tracker'!$A:$H,8,FALSE()),""))</f>
        <v/>
      </c>
      <c r="F1594" s="24"/>
      <c r="G1594" s="25" t="str">
        <f>IF($D1594="","",IFERROR(VLOOKUP($D1594,'ACAH Consumables Tracker'!$A:$D,4,FALSE()),""))</f>
        <v/>
      </c>
      <c r="H1594" s="22"/>
    </row>
    <row r="1595" spans="1:8">
      <c r="A1595" s="21"/>
      <c r="B1595" s="28"/>
      <c r="C1595" s="22"/>
      <c r="D1595" s="28"/>
      <c r="E1595" s="23" t="str">
        <f>IF($D1595="","",IFERROR(VLOOKUP($D1595,'ACAH Consumables Tracker'!$A:$H,8,FALSE()),""))</f>
        <v/>
      </c>
      <c r="F1595" s="24"/>
      <c r="G1595" s="25" t="str">
        <f>IF($D1595="","",IFERROR(VLOOKUP($D1595,'ACAH Consumables Tracker'!$A:$D,4,FALSE()),""))</f>
        <v/>
      </c>
      <c r="H1595" s="22"/>
    </row>
    <row r="1596" spans="1:8">
      <c r="A1596" s="21"/>
      <c r="B1596" s="28"/>
      <c r="C1596" s="22"/>
      <c r="D1596" s="28"/>
      <c r="E1596" s="23" t="str">
        <f>IF($D1596="","",IFERROR(VLOOKUP($D1596,'ACAH Consumables Tracker'!$A:$H,8,FALSE()),""))</f>
        <v/>
      </c>
      <c r="F1596" s="24"/>
      <c r="G1596" s="25" t="str">
        <f>IF($D1596="","",IFERROR(VLOOKUP($D1596,'ACAH Consumables Tracker'!$A:$D,4,FALSE()),""))</f>
        <v/>
      </c>
      <c r="H1596" s="22"/>
    </row>
    <row r="1597" spans="1:8">
      <c r="A1597" s="21"/>
      <c r="B1597" s="28"/>
      <c r="C1597" s="22"/>
      <c r="D1597" s="28"/>
      <c r="E1597" s="23" t="str">
        <f>IF($D1597="","",IFERROR(VLOOKUP($D1597,'ACAH Consumables Tracker'!$A:$H,8,FALSE()),""))</f>
        <v/>
      </c>
      <c r="F1597" s="24"/>
      <c r="G1597" s="25" t="str">
        <f>IF($D1597="","",IFERROR(VLOOKUP($D1597,'ACAH Consumables Tracker'!$A:$D,4,FALSE()),""))</f>
        <v/>
      </c>
      <c r="H1597" s="22"/>
    </row>
    <row r="1598" spans="1:8">
      <c r="A1598" s="21"/>
      <c r="B1598" s="28"/>
      <c r="C1598" s="22"/>
      <c r="D1598" s="28"/>
      <c r="E1598" s="23" t="str">
        <f>IF($D1598="","",IFERROR(VLOOKUP($D1598,'ACAH Consumables Tracker'!$A:$H,8,FALSE()),""))</f>
        <v/>
      </c>
      <c r="F1598" s="24"/>
      <c r="G1598" s="25" t="str">
        <f>IF($D1598="","",IFERROR(VLOOKUP($D1598,'ACAH Consumables Tracker'!$A:$D,4,FALSE()),""))</f>
        <v/>
      </c>
      <c r="H1598" s="22"/>
    </row>
    <row r="1599" spans="1:8">
      <c r="A1599" s="21"/>
      <c r="B1599" s="28"/>
      <c r="C1599" s="22"/>
      <c r="D1599" s="28"/>
      <c r="E1599" s="23" t="str">
        <f>IF($D1599="","",IFERROR(VLOOKUP($D1599,'ACAH Consumables Tracker'!$A:$H,8,FALSE()),""))</f>
        <v/>
      </c>
      <c r="F1599" s="24"/>
      <c r="G1599" s="25" t="str">
        <f>IF($D1599="","",IFERROR(VLOOKUP($D1599,'ACAH Consumables Tracker'!$A:$D,4,FALSE()),""))</f>
        <v/>
      </c>
      <c r="H1599" s="22"/>
    </row>
    <row r="1600" spans="1:8">
      <c r="A1600" s="21"/>
      <c r="B1600" s="28"/>
      <c r="C1600" s="22"/>
      <c r="D1600" s="28"/>
      <c r="E1600" s="23" t="str">
        <f>IF($D1600="","",IFERROR(VLOOKUP($D1600,'ACAH Consumables Tracker'!$A:$H,8,FALSE()),""))</f>
        <v/>
      </c>
      <c r="F1600" s="24"/>
      <c r="G1600" s="25" t="str">
        <f>IF($D1600="","",IFERROR(VLOOKUP($D1600,'ACAH Consumables Tracker'!$A:$D,4,FALSE()),""))</f>
        <v/>
      </c>
      <c r="H1600" s="22"/>
    </row>
    <row r="1601" spans="1:8">
      <c r="A1601" s="21"/>
      <c r="B1601" s="28"/>
      <c r="C1601" s="22"/>
      <c r="D1601" s="28"/>
      <c r="E1601" s="23" t="str">
        <f>IF($D1601="","",IFERROR(VLOOKUP($D1601,'ACAH Consumables Tracker'!$A:$H,8,FALSE()),""))</f>
        <v/>
      </c>
      <c r="F1601" s="24"/>
      <c r="G1601" s="25" t="str">
        <f>IF($D1601="","",IFERROR(VLOOKUP($D1601,'ACAH Consumables Tracker'!$A:$D,4,FALSE()),""))</f>
        <v/>
      </c>
      <c r="H1601" s="22"/>
    </row>
    <row r="1602" spans="1:8">
      <c r="A1602" s="21"/>
      <c r="B1602" s="28"/>
      <c r="C1602" s="22"/>
      <c r="D1602" s="28"/>
      <c r="E1602" s="23" t="str">
        <f>IF($D1602="","",IFERROR(VLOOKUP($D1602,'ACAH Consumables Tracker'!$A:$H,8,FALSE()),""))</f>
        <v/>
      </c>
      <c r="F1602" s="24"/>
      <c r="G1602" s="25" t="str">
        <f>IF($D1602="","",IFERROR(VLOOKUP($D1602,'ACAH Consumables Tracker'!$A:$D,4,FALSE()),""))</f>
        <v/>
      </c>
      <c r="H1602" s="22"/>
    </row>
    <row r="1603" spans="1:8">
      <c r="A1603" s="21"/>
      <c r="B1603" s="28"/>
      <c r="C1603" s="22"/>
      <c r="D1603" s="28"/>
      <c r="E1603" s="23" t="str">
        <f>IF($D1603="","",IFERROR(VLOOKUP($D1603,'ACAH Consumables Tracker'!$A:$H,8,FALSE()),""))</f>
        <v/>
      </c>
      <c r="F1603" s="24"/>
      <c r="G1603" s="25" t="str">
        <f>IF($D1603="","",IFERROR(VLOOKUP($D1603,'ACAH Consumables Tracker'!$A:$D,4,FALSE()),""))</f>
        <v/>
      </c>
      <c r="H1603" s="22"/>
    </row>
    <row r="1604" spans="1:8">
      <c r="A1604" s="21"/>
      <c r="B1604" s="28"/>
      <c r="C1604" s="22"/>
      <c r="D1604" s="28"/>
      <c r="E1604" s="23" t="str">
        <f>IF($D1604="","",IFERROR(VLOOKUP($D1604,'ACAH Consumables Tracker'!$A:$H,8,FALSE()),""))</f>
        <v/>
      </c>
      <c r="F1604" s="24"/>
      <c r="G1604" s="25" t="str">
        <f>IF($D1604="","",IFERROR(VLOOKUP($D1604,'ACAH Consumables Tracker'!$A:$D,4,FALSE()),""))</f>
        <v/>
      </c>
      <c r="H1604" s="22"/>
    </row>
    <row r="1605" spans="1:8">
      <c r="A1605" s="21"/>
      <c r="B1605" s="28"/>
      <c r="C1605" s="22"/>
      <c r="D1605" s="28"/>
      <c r="E1605" s="23" t="str">
        <f>IF($D1605="","",IFERROR(VLOOKUP($D1605,'ACAH Consumables Tracker'!$A:$H,8,FALSE()),""))</f>
        <v/>
      </c>
      <c r="F1605" s="24"/>
      <c r="G1605" s="25" t="str">
        <f>IF($D1605="","",IFERROR(VLOOKUP($D1605,'ACAH Consumables Tracker'!$A:$D,4,FALSE()),""))</f>
        <v/>
      </c>
      <c r="H1605" s="22"/>
    </row>
    <row r="1606" spans="1:8">
      <c r="A1606" s="21"/>
      <c r="B1606" s="28"/>
      <c r="C1606" s="22"/>
      <c r="D1606" s="28"/>
      <c r="E1606" s="23" t="str">
        <f>IF($D1606="","",IFERROR(VLOOKUP($D1606,'ACAH Consumables Tracker'!$A:$H,8,FALSE()),""))</f>
        <v/>
      </c>
      <c r="F1606" s="24"/>
      <c r="G1606" s="25" t="str">
        <f>IF($D1606="","",IFERROR(VLOOKUP($D1606,'ACAH Consumables Tracker'!$A:$D,4,FALSE()),""))</f>
        <v/>
      </c>
      <c r="H1606" s="22"/>
    </row>
    <row r="1607" spans="1:8">
      <c r="A1607" s="21"/>
      <c r="B1607" s="28"/>
      <c r="C1607" s="22"/>
      <c r="D1607" s="28"/>
      <c r="E1607" s="23" t="str">
        <f>IF($D1607="","",IFERROR(VLOOKUP($D1607,'ACAH Consumables Tracker'!$A:$H,8,FALSE()),""))</f>
        <v/>
      </c>
      <c r="F1607" s="24"/>
      <c r="G1607" s="25" t="str">
        <f>IF($D1607="","",IFERROR(VLOOKUP($D1607,'ACAH Consumables Tracker'!$A:$D,4,FALSE()),""))</f>
        <v/>
      </c>
      <c r="H1607" s="22"/>
    </row>
    <row r="1608" spans="1:8">
      <c r="A1608" s="21"/>
      <c r="B1608" s="28"/>
      <c r="C1608" s="22"/>
      <c r="D1608" s="28"/>
      <c r="E1608" s="23" t="str">
        <f>IF($D1608="","",IFERROR(VLOOKUP($D1608,'ACAH Consumables Tracker'!$A:$H,8,FALSE()),""))</f>
        <v/>
      </c>
      <c r="F1608" s="24"/>
      <c r="G1608" s="25" t="str">
        <f>IF($D1608="","",IFERROR(VLOOKUP($D1608,'ACAH Consumables Tracker'!$A:$D,4,FALSE()),""))</f>
        <v/>
      </c>
      <c r="H1608" s="22"/>
    </row>
    <row r="1609" spans="1:8">
      <c r="A1609" s="21"/>
      <c r="B1609" s="28"/>
      <c r="C1609" s="22"/>
      <c r="D1609" s="28"/>
      <c r="E1609" s="23" t="str">
        <f>IF($D1609="","",IFERROR(VLOOKUP($D1609,'ACAH Consumables Tracker'!$A:$H,8,FALSE()),""))</f>
        <v/>
      </c>
      <c r="F1609" s="24"/>
      <c r="G1609" s="25" t="str">
        <f>IF($D1609="","",IFERROR(VLOOKUP($D1609,'ACAH Consumables Tracker'!$A:$D,4,FALSE()),""))</f>
        <v/>
      </c>
      <c r="H1609" s="22"/>
    </row>
    <row r="1610" spans="1:8">
      <c r="A1610" s="21"/>
      <c r="B1610" s="28"/>
      <c r="C1610" s="22"/>
      <c r="D1610" s="28"/>
      <c r="E1610" s="23" t="str">
        <f>IF($D1610="","",IFERROR(VLOOKUP($D1610,'ACAH Consumables Tracker'!$A:$H,8,FALSE()),""))</f>
        <v/>
      </c>
      <c r="F1610" s="24"/>
      <c r="G1610" s="25" t="str">
        <f>IF($D1610="","",IFERROR(VLOOKUP($D1610,'ACAH Consumables Tracker'!$A:$D,4,FALSE()),""))</f>
        <v/>
      </c>
      <c r="H1610" s="22"/>
    </row>
    <row r="1611" spans="1:8">
      <c r="A1611" s="21"/>
      <c r="B1611" s="28"/>
      <c r="C1611" s="22"/>
      <c r="D1611" s="28"/>
      <c r="E1611" s="23" t="str">
        <f>IF($D1611="","",IFERROR(VLOOKUP($D1611,'ACAH Consumables Tracker'!$A:$H,8,FALSE()),""))</f>
        <v/>
      </c>
      <c r="F1611" s="24"/>
      <c r="G1611" s="25" t="str">
        <f>IF($D1611="","",IFERROR(VLOOKUP($D1611,'ACAH Consumables Tracker'!$A:$D,4,FALSE()),""))</f>
        <v/>
      </c>
      <c r="H1611" s="22"/>
    </row>
    <row r="1612" spans="1:8">
      <c r="A1612" s="21"/>
      <c r="B1612" s="28"/>
      <c r="C1612" s="22"/>
      <c r="D1612" s="28"/>
      <c r="E1612" s="23" t="str">
        <f>IF($D1612="","",IFERROR(VLOOKUP($D1612,'ACAH Consumables Tracker'!$A:$H,8,FALSE()),""))</f>
        <v/>
      </c>
      <c r="F1612" s="24"/>
      <c r="G1612" s="25" t="str">
        <f>IF($D1612="","",IFERROR(VLOOKUP($D1612,'ACAH Consumables Tracker'!$A:$D,4,FALSE()),""))</f>
        <v/>
      </c>
      <c r="H1612" s="22"/>
    </row>
    <row r="1613" spans="1:8">
      <c r="A1613" s="21"/>
      <c r="B1613" s="28"/>
      <c r="C1613" s="22"/>
      <c r="D1613" s="28"/>
      <c r="E1613" s="23" t="str">
        <f>IF($D1613="","",IFERROR(VLOOKUP($D1613,'ACAH Consumables Tracker'!$A:$H,8,FALSE()),""))</f>
        <v/>
      </c>
      <c r="F1613" s="24"/>
      <c r="G1613" s="25" t="str">
        <f>IF($D1613="","",IFERROR(VLOOKUP($D1613,'ACAH Consumables Tracker'!$A:$D,4,FALSE()),""))</f>
        <v/>
      </c>
      <c r="H1613" s="22"/>
    </row>
    <row r="1614" spans="1:8">
      <c r="A1614" s="21"/>
      <c r="B1614" s="28"/>
      <c r="C1614" s="22"/>
      <c r="D1614" s="28"/>
      <c r="E1614" s="23" t="str">
        <f>IF($D1614="","",IFERROR(VLOOKUP($D1614,'ACAH Consumables Tracker'!$A:$H,8,FALSE()),""))</f>
        <v/>
      </c>
      <c r="F1614" s="24"/>
      <c r="G1614" s="25" t="str">
        <f>IF($D1614="","",IFERROR(VLOOKUP($D1614,'ACAH Consumables Tracker'!$A:$D,4,FALSE()),""))</f>
        <v/>
      </c>
      <c r="H1614" s="22"/>
    </row>
    <row r="1615" spans="1:8">
      <c r="A1615" s="21"/>
      <c r="B1615" s="28"/>
      <c r="C1615" s="22"/>
      <c r="D1615" s="28"/>
      <c r="E1615" s="23" t="str">
        <f>IF($D1615="","",IFERROR(VLOOKUP($D1615,'ACAH Consumables Tracker'!$A:$H,8,FALSE()),""))</f>
        <v/>
      </c>
      <c r="F1615" s="24"/>
      <c r="G1615" s="25" t="str">
        <f>IF($D1615="","",IFERROR(VLOOKUP($D1615,'ACAH Consumables Tracker'!$A:$D,4,FALSE()),""))</f>
        <v/>
      </c>
      <c r="H1615" s="22"/>
    </row>
    <row r="1616" spans="1:8">
      <c r="A1616" s="21"/>
      <c r="B1616" s="28"/>
      <c r="C1616" s="22"/>
      <c r="D1616" s="28"/>
      <c r="E1616" s="23" t="str">
        <f>IF($D1616="","",IFERROR(VLOOKUP($D1616,'ACAH Consumables Tracker'!$A:$H,8,FALSE()),""))</f>
        <v/>
      </c>
      <c r="F1616" s="24"/>
      <c r="G1616" s="25" t="str">
        <f>IF($D1616="","",IFERROR(VLOOKUP($D1616,'ACAH Consumables Tracker'!$A:$D,4,FALSE()),""))</f>
        <v/>
      </c>
      <c r="H1616" s="22"/>
    </row>
    <row r="1617" spans="1:8">
      <c r="A1617" s="21"/>
      <c r="B1617" s="28"/>
      <c r="C1617" s="22"/>
      <c r="D1617" s="28"/>
      <c r="E1617" s="23" t="str">
        <f>IF($D1617="","",IFERROR(VLOOKUP($D1617,'ACAH Consumables Tracker'!$A:$H,8,FALSE()),""))</f>
        <v/>
      </c>
      <c r="F1617" s="24"/>
      <c r="G1617" s="25" t="str">
        <f>IF($D1617="","",IFERROR(VLOOKUP($D1617,'ACAH Consumables Tracker'!$A:$D,4,FALSE()),""))</f>
        <v/>
      </c>
      <c r="H1617" s="22"/>
    </row>
    <row r="1618" spans="1:8">
      <c r="A1618" s="21"/>
      <c r="B1618" s="28"/>
      <c r="C1618" s="22"/>
      <c r="D1618" s="28"/>
      <c r="E1618" s="23" t="str">
        <f>IF($D1618="","",IFERROR(VLOOKUP($D1618,'ACAH Consumables Tracker'!$A:$H,8,FALSE()),""))</f>
        <v/>
      </c>
      <c r="F1618" s="24"/>
      <c r="G1618" s="25" t="str">
        <f>IF($D1618="","",IFERROR(VLOOKUP($D1618,'ACAH Consumables Tracker'!$A:$D,4,FALSE()),""))</f>
        <v/>
      </c>
      <c r="H1618" s="22"/>
    </row>
    <row r="1619" spans="1:8">
      <c r="A1619" s="21"/>
      <c r="B1619" s="28"/>
      <c r="C1619" s="22"/>
      <c r="D1619" s="28"/>
      <c r="E1619" s="23" t="str">
        <f>IF($D1619="","",IFERROR(VLOOKUP($D1619,'ACAH Consumables Tracker'!$A:$H,8,FALSE()),""))</f>
        <v/>
      </c>
      <c r="F1619" s="24"/>
      <c r="G1619" s="25" t="str">
        <f>IF($D1619="","",IFERROR(VLOOKUP($D1619,'ACAH Consumables Tracker'!$A:$D,4,FALSE()),""))</f>
        <v/>
      </c>
      <c r="H1619" s="22"/>
    </row>
    <row r="1620" spans="1:8">
      <c r="A1620" s="21"/>
      <c r="B1620" s="28"/>
      <c r="C1620" s="22"/>
      <c r="D1620" s="28"/>
      <c r="E1620" s="23" t="str">
        <f>IF($D1620="","",IFERROR(VLOOKUP($D1620,'ACAH Consumables Tracker'!$A:$H,8,FALSE()),""))</f>
        <v/>
      </c>
      <c r="F1620" s="24"/>
      <c r="G1620" s="25" t="str">
        <f>IF($D1620="","",IFERROR(VLOOKUP($D1620,'ACAH Consumables Tracker'!$A:$D,4,FALSE()),""))</f>
        <v/>
      </c>
      <c r="H1620" s="22"/>
    </row>
    <row r="1621" spans="1:8">
      <c r="A1621" s="21"/>
      <c r="B1621" s="28"/>
      <c r="C1621" s="22"/>
      <c r="D1621" s="28"/>
      <c r="E1621" s="23" t="str">
        <f>IF($D1621="","",IFERROR(VLOOKUP($D1621,'ACAH Consumables Tracker'!$A:$H,8,FALSE()),""))</f>
        <v/>
      </c>
      <c r="F1621" s="24"/>
      <c r="G1621" s="25" t="str">
        <f>IF($D1621="","",IFERROR(VLOOKUP($D1621,'ACAH Consumables Tracker'!$A:$D,4,FALSE()),""))</f>
        <v/>
      </c>
      <c r="H1621" s="22"/>
    </row>
    <row r="1622" spans="1:8">
      <c r="A1622" s="21"/>
      <c r="B1622" s="28"/>
      <c r="C1622" s="22"/>
      <c r="D1622" s="28"/>
      <c r="E1622" s="23" t="str">
        <f>IF($D1622="","",IFERROR(VLOOKUP($D1622,'ACAH Consumables Tracker'!$A:$H,8,FALSE()),""))</f>
        <v/>
      </c>
      <c r="F1622" s="24"/>
      <c r="G1622" s="25" t="str">
        <f>IF($D1622="","",IFERROR(VLOOKUP($D1622,'ACAH Consumables Tracker'!$A:$D,4,FALSE()),""))</f>
        <v/>
      </c>
      <c r="H1622" s="22"/>
    </row>
    <row r="1623" spans="1:8">
      <c r="A1623" s="21"/>
      <c r="B1623" s="28"/>
      <c r="C1623" s="22"/>
      <c r="D1623" s="28"/>
      <c r="E1623" s="23" t="str">
        <f>IF($D1623="","",IFERROR(VLOOKUP($D1623,'ACAH Consumables Tracker'!$A:$H,8,FALSE()),""))</f>
        <v/>
      </c>
      <c r="F1623" s="24"/>
      <c r="G1623" s="25" t="str">
        <f>IF($D1623="","",IFERROR(VLOOKUP($D1623,'ACAH Consumables Tracker'!$A:$D,4,FALSE()),""))</f>
        <v/>
      </c>
      <c r="H1623" s="22"/>
    </row>
    <row r="1624" spans="1:8">
      <c r="A1624" s="21"/>
      <c r="B1624" s="28"/>
      <c r="C1624" s="22"/>
      <c r="D1624" s="28"/>
      <c r="E1624" s="23" t="str">
        <f>IF($D1624="","",IFERROR(VLOOKUP($D1624,'ACAH Consumables Tracker'!$A:$H,8,FALSE()),""))</f>
        <v/>
      </c>
      <c r="F1624" s="24"/>
      <c r="G1624" s="25" t="str">
        <f>IF($D1624="","",IFERROR(VLOOKUP($D1624,'ACAH Consumables Tracker'!$A:$D,4,FALSE()),""))</f>
        <v/>
      </c>
      <c r="H1624" s="22"/>
    </row>
    <row r="1625" spans="1:8">
      <c r="A1625" s="21"/>
      <c r="B1625" s="28"/>
      <c r="C1625" s="22"/>
      <c r="D1625" s="28"/>
      <c r="E1625" s="23" t="str">
        <f>IF($D1625="","",IFERROR(VLOOKUP($D1625,'ACAH Consumables Tracker'!$A:$H,8,FALSE()),""))</f>
        <v/>
      </c>
      <c r="F1625" s="24"/>
      <c r="G1625" s="25" t="str">
        <f>IF($D1625="","",IFERROR(VLOOKUP($D1625,'ACAH Consumables Tracker'!$A:$D,4,FALSE()),""))</f>
        <v/>
      </c>
      <c r="H1625" s="22"/>
    </row>
    <row r="1626" spans="1:8">
      <c r="A1626" s="21"/>
      <c r="B1626" s="28"/>
      <c r="C1626" s="22"/>
      <c r="D1626" s="28"/>
      <c r="E1626" s="23" t="str">
        <f>IF($D1626="","",IFERROR(VLOOKUP($D1626,'ACAH Consumables Tracker'!$A:$H,8,FALSE()),""))</f>
        <v/>
      </c>
      <c r="F1626" s="24"/>
      <c r="G1626" s="25" t="str">
        <f>IF($D1626="","",IFERROR(VLOOKUP($D1626,'ACAH Consumables Tracker'!$A:$D,4,FALSE()),""))</f>
        <v/>
      </c>
      <c r="H1626" s="22"/>
    </row>
    <row r="1627" spans="1:8">
      <c r="A1627" s="21"/>
      <c r="B1627" s="28"/>
      <c r="C1627" s="22"/>
      <c r="D1627" s="28"/>
      <c r="E1627" s="23" t="str">
        <f>IF($D1627="","",IFERROR(VLOOKUP($D1627,'ACAH Consumables Tracker'!$A:$H,8,FALSE()),""))</f>
        <v/>
      </c>
      <c r="F1627" s="24"/>
      <c r="G1627" s="25" t="str">
        <f>IF($D1627="","",IFERROR(VLOOKUP($D1627,'ACAH Consumables Tracker'!$A:$D,4,FALSE()),""))</f>
        <v/>
      </c>
      <c r="H1627" s="22"/>
    </row>
    <row r="1628" spans="1:8">
      <c r="A1628" s="21"/>
      <c r="B1628" s="28"/>
      <c r="C1628" s="22"/>
      <c r="D1628" s="28"/>
      <c r="E1628" s="23" t="str">
        <f>IF($D1628="","",IFERROR(VLOOKUP($D1628,'ACAH Consumables Tracker'!$A:$H,8,FALSE()),""))</f>
        <v/>
      </c>
      <c r="F1628" s="24"/>
      <c r="G1628" s="25" t="str">
        <f>IF($D1628="","",IFERROR(VLOOKUP($D1628,'ACAH Consumables Tracker'!$A:$D,4,FALSE()),""))</f>
        <v/>
      </c>
      <c r="H1628" s="22"/>
    </row>
    <row r="1629" spans="1:8">
      <c r="A1629" s="21"/>
      <c r="B1629" s="28"/>
      <c r="C1629" s="22"/>
      <c r="D1629" s="28"/>
      <c r="E1629" s="23" t="str">
        <f>IF($D1629="","",IFERROR(VLOOKUP($D1629,'ACAH Consumables Tracker'!$A:$H,8,FALSE()),""))</f>
        <v/>
      </c>
      <c r="F1629" s="24"/>
      <c r="G1629" s="25" t="str">
        <f>IF($D1629="","",IFERROR(VLOOKUP($D1629,'ACAH Consumables Tracker'!$A:$D,4,FALSE()),""))</f>
        <v/>
      </c>
      <c r="H1629" s="22"/>
    </row>
    <row r="1630" spans="1:8">
      <c r="A1630" s="21"/>
      <c r="B1630" s="28"/>
      <c r="C1630" s="22"/>
      <c r="D1630" s="28"/>
      <c r="E1630" s="23" t="str">
        <f>IF($D1630="","",IFERROR(VLOOKUP($D1630,'ACAH Consumables Tracker'!$A:$H,8,FALSE()),""))</f>
        <v/>
      </c>
      <c r="F1630" s="24"/>
      <c r="G1630" s="25" t="str">
        <f>IF($D1630="","",IFERROR(VLOOKUP($D1630,'ACAH Consumables Tracker'!$A:$D,4,FALSE()),""))</f>
        <v/>
      </c>
      <c r="H1630" s="22"/>
    </row>
    <row r="1631" spans="1:8">
      <c r="A1631" s="21"/>
      <c r="B1631" s="28"/>
      <c r="C1631" s="22"/>
      <c r="D1631" s="28"/>
      <c r="E1631" s="23" t="str">
        <f>IF($D1631="","",IFERROR(VLOOKUP($D1631,'ACAH Consumables Tracker'!$A:$H,8,FALSE()),""))</f>
        <v/>
      </c>
      <c r="F1631" s="24"/>
      <c r="G1631" s="25" t="str">
        <f>IF($D1631="","",IFERROR(VLOOKUP($D1631,'ACAH Consumables Tracker'!$A:$D,4,FALSE()),""))</f>
        <v/>
      </c>
      <c r="H1631" s="22"/>
    </row>
    <row r="1632" spans="1:8">
      <c r="A1632" s="21"/>
      <c r="B1632" s="28"/>
      <c r="C1632" s="22"/>
      <c r="D1632" s="28"/>
      <c r="E1632" s="23" t="str">
        <f>IF($D1632="","",IFERROR(VLOOKUP($D1632,'ACAH Consumables Tracker'!$A:$H,8,FALSE()),""))</f>
        <v/>
      </c>
      <c r="F1632" s="24"/>
      <c r="G1632" s="25" t="str">
        <f>IF($D1632="","",IFERROR(VLOOKUP($D1632,'ACAH Consumables Tracker'!$A:$D,4,FALSE()),""))</f>
        <v/>
      </c>
      <c r="H1632" s="22"/>
    </row>
    <row r="1633" spans="1:8">
      <c r="A1633" s="21"/>
      <c r="B1633" s="28"/>
      <c r="C1633" s="22"/>
      <c r="D1633" s="28"/>
      <c r="E1633" s="23" t="str">
        <f>IF($D1633="","",IFERROR(VLOOKUP($D1633,'ACAH Consumables Tracker'!$A:$H,8,FALSE()),""))</f>
        <v/>
      </c>
      <c r="F1633" s="24"/>
      <c r="G1633" s="25" t="str">
        <f>IF($D1633="","",IFERROR(VLOOKUP($D1633,'ACAH Consumables Tracker'!$A:$D,4,FALSE()),""))</f>
        <v/>
      </c>
      <c r="H1633" s="22"/>
    </row>
    <row r="1634" spans="1:8">
      <c r="A1634" s="21"/>
      <c r="B1634" s="28"/>
      <c r="C1634" s="22"/>
      <c r="D1634" s="28"/>
      <c r="E1634" s="23" t="str">
        <f>IF($D1634="","",IFERROR(VLOOKUP($D1634,'ACAH Consumables Tracker'!$A:$H,8,FALSE()),""))</f>
        <v/>
      </c>
      <c r="F1634" s="24"/>
      <c r="G1634" s="25" t="str">
        <f>IF($D1634="","",IFERROR(VLOOKUP($D1634,'ACAH Consumables Tracker'!$A:$D,4,FALSE()),""))</f>
        <v/>
      </c>
      <c r="H1634" s="22"/>
    </row>
    <row r="1635" spans="1:8">
      <c r="A1635" s="21"/>
      <c r="B1635" s="28"/>
      <c r="C1635" s="22"/>
      <c r="D1635" s="28"/>
      <c r="E1635" s="23" t="str">
        <f>IF($D1635="","",IFERROR(VLOOKUP($D1635,'ACAH Consumables Tracker'!$A:$H,8,FALSE()),""))</f>
        <v/>
      </c>
      <c r="F1635" s="24"/>
      <c r="G1635" s="25" t="str">
        <f>IF($D1635="","",IFERROR(VLOOKUP($D1635,'ACAH Consumables Tracker'!$A:$D,4,FALSE()),""))</f>
        <v/>
      </c>
      <c r="H1635" s="22"/>
    </row>
    <row r="1636" spans="1:8">
      <c r="A1636" s="21"/>
      <c r="B1636" s="28"/>
      <c r="C1636" s="22"/>
      <c r="D1636" s="28"/>
      <c r="E1636" s="23" t="str">
        <f>IF($D1636="","",IFERROR(VLOOKUP($D1636,'ACAH Consumables Tracker'!$A:$H,8,FALSE()),""))</f>
        <v/>
      </c>
      <c r="F1636" s="24"/>
      <c r="G1636" s="25" t="str">
        <f>IF($D1636="","",IFERROR(VLOOKUP($D1636,'ACAH Consumables Tracker'!$A:$D,4,FALSE()),""))</f>
        <v/>
      </c>
      <c r="H1636" s="22"/>
    </row>
    <row r="1637" spans="1:8">
      <c r="A1637" s="21"/>
      <c r="B1637" s="28"/>
      <c r="C1637" s="22"/>
      <c r="D1637" s="28"/>
      <c r="E1637" s="23" t="str">
        <f>IF($D1637="","",IFERROR(VLOOKUP($D1637,'ACAH Consumables Tracker'!$A:$H,8,FALSE()),""))</f>
        <v/>
      </c>
      <c r="F1637" s="24"/>
      <c r="G1637" s="25" t="str">
        <f>IF($D1637="","",IFERROR(VLOOKUP($D1637,'ACAH Consumables Tracker'!$A:$D,4,FALSE()),""))</f>
        <v/>
      </c>
      <c r="H1637" s="22"/>
    </row>
    <row r="1638" spans="1:8">
      <c r="A1638" s="21"/>
      <c r="B1638" s="28"/>
      <c r="C1638" s="22"/>
      <c r="D1638" s="28"/>
      <c r="E1638" s="23" t="str">
        <f>IF($D1638="","",IFERROR(VLOOKUP($D1638,'ACAH Consumables Tracker'!$A:$H,8,FALSE()),""))</f>
        <v/>
      </c>
      <c r="F1638" s="24"/>
      <c r="G1638" s="25" t="str">
        <f>IF($D1638="","",IFERROR(VLOOKUP($D1638,'ACAH Consumables Tracker'!$A:$D,4,FALSE()),""))</f>
        <v/>
      </c>
      <c r="H1638" s="22"/>
    </row>
    <row r="1639" spans="1:8">
      <c r="A1639" s="21"/>
      <c r="B1639" s="28"/>
      <c r="C1639" s="22"/>
      <c r="D1639" s="28"/>
      <c r="E1639" s="23" t="str">
        <f>IF($D1639="","",IFERROR(VLOOKUP($D1639,'ACAH Consumables Tracker'!$A:$H,8,FALSE()),""))</f>
        <v/>
      </c>
      <c r="F1639" s="24"/>
      <c r="G1639" s="25" t="str">
        <f>IF($D1639="","",IFERROR(VLOOKUP($D1639,'ACAH Consumables Tracker'!$A:$D,4,FALSE()),""))</f>
        <v/>
      </c>
      <c r="H1639" s="22"/>
    </row>
    <row r="1640" spans="1:8">
      <c r="A1640" s="21"/>
      <c r="B1640" s="28"/>
      <c r="C1640" s="22"/>
      <c r="D1640" s="28"/>
      <c r="E1640" s="23" t="str">
        <f>IF($D1640="","",IFERROR(VLOOKUP($D1640,'ACAH Consumables Tracker'!$A:$H,8,FALSE()),""))</f>
        <v/>
      </c>
      <c r="F1640" s="24"/>
      <c r="G1640" s="25" t="str">
        <f>IF($D1640="","",IFERROR(VLOOKUP($D1640,'ACAH Consumables Tracker'!$A:$D,4,FALSE()),""))</f>
        <v/>
      </c>
      <c r="H1640" s="22"/>
    </row>
    <row r="1641" spans="1:8">
      <c r="A1641" s="21"/>
      <c r="B1641" s="28"/>
      <c r="C1641" s="22"/>
      <c r="D1641" s="28"/>
      <c r="E1641" s="23" t="str">
        <f>IF($D1641="","",IFERROR(VLOOKUP($D1641,'ACAH Consumables Tracker'!$A:$H,8,FALSE()),""))</f>
        <v/>
      </c>
      <c r="F1641" s="24"/>
      <c r="G1641" s="25" t="str">
        <f>IF($D1641="","",IFERROR(VLOOKUP($D1641,'ACAH Consumables Tracker'!$A:$D,4,FALSE()),""))</f>
        <v/>
      </c>
      <c r="H1641" s="22"/>
    </row>
    <row r="1642" spans="1:8">
      <c r="A1642" s="21"/>
      <c r="B1642" s="28"/>
      <c r="C1642" s="22"/>
      <c r="D1642" s="28"/>
      <c r="E1642" s="23" t="str">
        <f>IF($D1642="","",IFERROR(VLOOKUP($D1642,'ACAH Consumables Tracker'!$A:$H,8,FALSE()),""))</f>
        <v/>
      </c>
      <c r="F1642" s="24"/>
      <c r="G1642" s="25" t="str">
        <f>IF($D1642="","",IFERROR(VLOOKUP($D1642,'ACAH Consumables Tracker'!$A:$D,4,FALSE()),""))</f>
        <v/>
      </c>
      <c r="H1642" s="22"/>
    </row>
    <row r="1643" spans="1:8">
      <c r="A1643" s="21"/>
      <c r="B1643" s="28"/>
      <c r="C1643" s="22"/>
      <c r="D1643" s="28"/>
      <c r="E1643" s="23" t="str">
        <f>IF($D1643="","",IFERROR(VLOOKUP($D1643,'ACAH Consumables Tracker'!$A:$H,8,FALSE()),""))</f>
        <v/>
      </c>
      <c r="F1643" s="24"/>
      <c r="G1643" s="25" t="str">
        <f>IF($D1643="","",IFERROR(VLOOKUP($D1643,'ACAH Consumables Tracker'!$A:$D,4,FALSE()),""))</f>
        <v/>
      </c>
      <c r="H1643" s="22"/>
    </row>
    <row r="1644" spans="1:8">
      <c r="A1644" s="21"/>
      <c r="B1644" s="28"/>
      <c r="C1644" s="22"/>
      <c r="D1644" s="28"/>
      <c r="E1644" s="23" t="str">
        <f>IF($D1644="","",IFERROR(VLOOKUP($D1644,'ACAH Consumables Tracker'!$A:$H,8,FALSE()),""))</f>
        <v/>
      </c>
      <c r="F1644" s="24"/>
      <c r="G1644" s="25" t="str">
        <f>IF($D1644="","",IFERROR(VLOOKUP($D1644,'ACAH Consumables Tracker'!$A:$D,4,FALSE()),""))</f>
        <v/>
      </c>
      <c r="H1644" s="22"/>
    </row>
    <row r="1645" spans="1:8">
      <c r="A1645" s="21"/>
      <c r="B1645" s="28"/>
      <c r="C1645" s="22"/>
      <c r="D1645" s="28"/>
      <c r="E1645" s="23" t="str">
        <f>IF($D1645="","",IFERROR(VLOOKUP($D1645,'ACAH Consumables Tracker'!$A:$H,8,FALSE()),""))</f>
        <v/>
      </c>
      <c r="F1645" s="24"/>
      <c r="G1645" s="25" t="str">
        <f>IF($D1645="","",IFERROR(VLOOKUP($D1645,'ACAH Consumables Tracker'!$A:$D,4,FALSE()),""))</f>
        <v/>
      </c>
      <c r="H1645" s="22"/>
    </row>
    <row r="1646" spans="1:8">
      <c r="A1646" s="21"/>
      <c r="B1646" s="28"/>
      <c r="C1646" s="22"/>
      <c r="D1646" s="28"/>
      <c r="E1646" s="23" t="str">
        <f>IF($D1646="","",IFERROR(VLOOKUP($D1646,'ACAH Consumables Tracker'!$A:$H,8,FALSE()),""))</f>
        <v/>
      </c>
      <c r="F1646" s="24"/>
      <c r="G1646" s="25" t="str">
        <f>IF($D1646="","",IFERROR(VLOOKUP($D1646,'ACAH Consumables Tracker'!$A:$D,4,FALSE()),""))</f>
        <v/>
      </c>
      <c r="H1646" s="22"/>
    </row>
    <row r="1647" spans="1:8">
      <c r="A1647" s="21"/>
      <c r="B1647" s="28"/>
      <c r="C1647" s="22"/>
      <c r="D1647" s="28"/>
      <c r="E1647" s="23" t="str">
        <f>IF($D1647="","",IFERROR(VLOOKUP($D1647,'ACAH Consumables Tracker'!$A:$H,8,FALSE()),""))</f>
        <v/>
      </c>
      <c r="F1647" s="24"/>
      <c r="G1647" s="25" t="str">
        <f>IF($D1647="","",IFERROR(VLOOKUP($D1647,'ACAH Consumables Tracker'!$A:$D,4,FALSE()),""))</f>
        <v/>
      </c>
      <c r="H1647" s="22"/>
    </row>
    <row r="1648" spans="1:8">
      <c r="A1648" s="21"/>
      <c r="B1648" s="28"/>
      <c r="C1648" s="22"/>
      <c r="D1648" s="28"/>
      <c r="E1648" s="23" t="str">
        <f>IF($D1648="","",IFERROR(VLOOKUP($D1648,'ACAH Consumables Tracker'!$A:$H,8,FALSE()),""))</f>
        <v/>
      </c>
      <c r="F1648" s="24"/>
      <c r="G1648" s="25" t="str">
        <f>IF($D1648="","",IFERROR(VLOOKUP($D1648,'ACAH Consumables Tracker'!$A:$D,4,FALSE()),""))</f>
        <v/>
      </c>
      <c r="H1648" s="22"/>
    </row>
    <row r="1649" spans="1:8">
      <c r="A1649" s="21"/>
      <c r="B1649" s="28"/>
      <c r="C1649" s="22"/>
      <c r="D1649" s="28"/>
      <c r="E1649" s="23" t="str">
        <f>IF($D1649="","",IFERROR(VLOOKUP($D1649,'ACAH Consumables Tracker'!$A:$H,8,FALSE()),""))</f>
        <v/>
      </c>
      <c r="F1649" s="24"/>
      <c r="G1649" s="25" t="str">
        <f>IF($D1649="","",IFERROR(VLOOKUP($D1649,'ACAH Consumables Tracker'!$A:$D,4,FALSE()),""))</f>
        <v/>
      </c>
      <c r="H1649" s="22"/>
    </row>
    <row r="1650" spans="1:8">
      <c r="A1650" s="21"/>
      <c r="B1650" s="28"/>
      <c r="C1650" s="22"/>
      <c r="D1650" s="28"/>
      <c r="E1650" s="23" t="str">
        <f>IF($D1650="","",IFERROR(VLOOKUP($D1650,'ACAH Consumables Tracker'!$A:$H,8,FALSE()),""))</f>
        <v/>
      </c>
      <c r="F1650" s="24"/>
      <c r="G1650" s="25" t="str">
        <f>IF($D1650="","",IFERROR(VLOOKUP($D1650,'ACAH Consumables Tracker'!$A:$D,4,FALSE()),""))</f>
        <v/>
      </c>
      <c r="H1650" s="22"/>
    </row>
    <row r="1651" spans="1:8">
      <c r="A1651" s="21"/>
      <c r="B1651" s="28"/>
      <c r="C1651" s="22"/>
      <c r="D1651" s="28"/>
      <c r="E1651" s="23" t="str">
        <f>IF($D1651="","",IFERROR(VLOOKUP($D1651,'ACAH Consumables Tracker'!$A:$H,8,FALSE()),""))</f>
        <v/>
      </c>
      <c r="F1651" s="24"/>
      <c r="G1651" s="25" t="str">
        <f>IF($D1651="","",IFERROR(VLOOKUP($D1651,'ACAH Consumables Tracker'!$A:$D,4,FALSE()),""))</f>
        <v/>
      </c>
      <c r="H1651" s="22"/>
    </row>
    <row r="1652" spans="1:8">
      <c r="A1652" s="21"/>
      <c r="B1652" s="28"/>
      <c r="C1652" s="22"/>
      <c r="D1652" s="28"/>
      <c r="E1652" s="23" t="str">
        <f>IF($D1652="","",IFERROR(VLOOKUP($D1652,'ACAH Consumables Tracker'!$A:$H,8,FALSE()),""))</f>
        <v/>
      </c>
      <c r="F1652" s="24"/>
      <c r="G1652" s="25" t="str">
        <f>IF($D1652="","",IFERROR(VLOOKUP($D1652,'ACAH Consumables Tracker'!$A:$D,4,FALSE()),""))</f>
        <v/>
      </c>
      <c r="H1652" s="22"/>
    </row>
    <row r="1653" spans="1:8">
      <c r="A1653" s="21"/>
      <c r="B1653" s="28"/>
      <c r="C1653" s="22"/>
      <c r="D1653" s="28"/>
      <c r="E1653" s="23" t="str">
        <f>IF($D1653="","",IFERROR(VLOOKUP($D1653,'ACAH Consumables Tracker'!$A:$H,8,FALSE()),""))</f>
        <v/>
      </c>
      <c r="F1653" s="24"/>
      <c r="G1653" s="25" t="str">
        <f>IF($D1653="","",IFERROR(VLOOKUP($D1653,'ACAH Consumables Tracker'!$A:$D,4,FALSE()),""))</f>
        <v/>
      </c>
      <c r="H1653" s="22"/>
    </row>
    <row r="1654" spans="1:8">
      <c r="A1654" s="21"/>
      <c r="B1654" s="28"/>
      <c r="C1654" s="22"/>
      <c r="D1654" s="28"/>
      <c r="E1654" s="23" t="str">
        <f>IF($D1654="","",IFERROR(VLOOKUP($D1654,'ACAH Consumables Tracker'!$A:$H,8,FALSE()),""))</f>
        <v/>
      </c>
      <c r="F1654" s="24"/>
      <c r="G1654" s="25" t="str">
        <f>IF($D1654="","",IFERROR(VLOOKUP($D1654,'ACAH Consumables Tracker'!$A:$D,4,FALSE()),""))</f>
        <v/>
      </c>
      <c r="H1654" s="22"/>
    </row>
    <row r="1655" spans="1:8">
      <c r="A1655" s="21"/>
      <c r="B1655" s="28"/>
      <c r="C1655" s="22"/>
      <c r="D1655" s="28"/>
      <c r="E1655" s="23" t="str">
        <f>IF($D1655="","",IFERROR(VLOOKUP($D1655,'ACAH Consumables Tracker'!$A:$H,8,FALSE()),""))</f>
        <v/>
      </c>
      <c r="F1655" s="24"/>
      <c r="G1655" s="25" t="str">
        <f>IF($D1655="","",IFERROR(VLOOKUP($D1655,'ACAH Consumables Tracker'!$A:$D,4,FALSE()),""))</f>
        <v/>
      </c>
      <c r="H1655" s="22"/>
    </row>
    <row r="1656" spans="1:8">
      <c r="A1656" s="21"/>
      <c r="B1656" s="28"/>
      <c r="C1656" s="22"/>
      <c r="D1656" s="28"/>
      <c r="E1656" s="23" t="str">
        <f>IF($D1656="","",IFERROR(VLOOKUP($D1656,'ACAH Consumables Tracker'!$A:$H,8,FALSE()),""))</f>
        <v/>
      </c>
      <c r="F1656" s="24"/>
      <c r="G1656" s="25" t="str">
        <f>IF($D1656="","",IFERROR(VLOOKUP($D1656,'ACAH Consumables Tracker'!$A:$D,4,FALSE()),""))</f>
        <v/>
      </c>
      <c r="H1656" s="22"/>
    </row>
    <row r="1657" spans="1:8">
      <c r="A1657" s="21"/>
      <c r="B1657" s="28"/>
      <c r="C1657" s="22"/>
      <c r="D1657" s="28"/>
      <c r="E1657" s="23" t="str">
        <f>IF($D1657="","",IFERROR(VLOOKUP($D1657,'ACAH Consumables Tracker'!$A:$H,8,FALSE()),""))</f>
        <v/>
      </c>
      <c r="F1657" s="24"/>
      <c r="G1657" s="25" t="str">
        <f>IF($D1657="","",IFERROR(VLOOKUP($D1657,'ACAH Consumables Tracker'!$A:$D,4,FALSE()),""))</f>
        <v/>
      </c>
      <c r="H1657" s="22"/>
    </row>
    <row r="1658" spans="1:8">
      <c r="A1658" s="21"/>
      <c r="B1658" s="28"/>
      <c r="C1658" s="22"/>
      <c r="D1658" s="28"/>
      <c r="E1658" s="23" t="str">
        <f>IF($D1658="","",IFERROR(VLOOKUP($D1658,'ACAH Consumables Tracker'!$A:$H,8,FALSE()),""))</f>
        <v/>
      </c>
      <c r="F1658" s="24"/>
      <c r="G1658" s="25" t="str">
        <f>IF($D1658="","",IFERROR(VLOOKUP($D1658,'ACAH Consumables Tracker'!$A:$D,4,FALSE()),""))</f>
        <v/>
      </c>
      <c r="H1658" s="22"/>
    </row>
    <row r="1659" spans="1:8">
      <c r="A1659" s="21"/>
      <c r="B1659" s="28"/>
      <c r="C1659" s="22"/>
      <c r="D1659" s="28"/>
      <c r="E1659" s="23" t="str">
        <f>IF($D1659="","",IFERROR(VLOOKUP($D1659,'ACAH Consumables Tracker'!$A:$H,8,FALSE()),""))</f>
        <v/>
      </c>
      <c r="F1659" s="24"/>
      <c r="G1659" s="25" t="str">
        <f>IF($D1659="","",IFERROR(VLOOKUP($D1659,'ACAH Consumables Tracker'!$A:$D,4,FALSE()),""))</f>
        <v/>
      </c>
      <c r="H1659" s="22"/>
    </row>
    <row r="1660" spans="1:8">
      <c r="A1660" s="21"/>
      <c r="B1660" s="28"/>
      <c r="C1660" s="22"/>
      <c r="D1660" s="28"/>
      <c r="E1660" s="23" t="str">
        <f>IF($D1660="","",IFERROR(VLOOKUP($D1660,'ACAH Consumables Tracker'!$A:$H,8,FALSE()),""))</f>
        <v/>
      </c>
      <c r="F1660" s="24"/>
      <c r="G1660" s="25" t="str">
        <f>IF($D1660="","",IFERROR(VLOOKUP($D1660,'ACAH Consumables Tracker'!$A:$D,4,FALSE()),""))</f>
        <v/>
      </c>
      <c r="H1660" s="22"/>
    </row>
    <row r="1661" spans="1:8">
      <c r="A1661" s="21"/>
      <c r="B1661" s="28"/>
      <c r="C1661" s="22"/>
      <c r="D1661" s="28"/>
      <c r="E1661" s="23" t="str">
        <f>IF($D1661="","",IFERROR(VLOOKUP($D1661,'ACAH Consumables Tracker'!$A:$H,8,FALSE()),""))</f>
        <v/>
      </c>
      <c r="F1661" s="24"/>
      <c r="G1661" s="25" t="str">
        <f>IF($D1661="","",IFERROR(VLOOKUP($D1661,'ACAH Consumables Tracker'!$A:$D,4,FALSE()),""))</f>
        <v/>
      </c>
      <c r="H1661" s="22"/>
    </row>
    <row r="1662" spans="1:8">
      <c r="A1662" s="21"/>
      <c r="B1662" s="28"/>
      <c r="C1662" s="22"/>
      <c r="D1662" s="28"/>
      <c r="E1662" s="23" t="str">
        <f>IF($D1662="","",IFERROR(VLOOKUP($D1662,'ACAH Consumables Tracker'!$A:$H,8,FALSE()),""))</f>
        <v/>
      </c>
      <c r="F1662" s="24"/>
      <c r="G1662" s="25" t="str">
        <f>IF($D1662="","",IFERROR(VLOOKUP($D1662,'ACAH Consumables Tracker'!$A:$D,4,FALSE()),""))</f>
        <v/>
      </c>
      <c r="H1662" s="22"/>
    </row>
    <row r="1663" spans="1:8">
      <c r="A1663" s="21"/>
      <c r="B1663" s="28"/>
      <c r="C1663" s="22"/>
      <c r="D1663" s="28"/>
      <c r="E1663" s="23" t="str">
        <f>IF($D1663="","",IFERROR(VLOOKUP($D1663,'ACAH Consumables Tracker'!$A:$H,8,FALSE()),""))</f>
        <v/>
      </c>
      <c r="F1663" s="24"/>
      <c r="G1663" s="25" t="str">
        <f>IF($D1663="","",IFERROR(VLOOKUP($D1663,'ACAH Consumables Tracker'!$A:$D,4,FALSE()),""))</f>
        <v/>
      </c>
      <c r="H1663" s="22"/>
    </row>
    <row r="1664" spans="1:8">
      <c r="A1664" s="21"/>
      <c r="B1664" s="28"/>
      <c r="C1664" s="22"/>
      <c r="D1664" s="28"/>
      <c r="E1664" s="23" t="str">
        <f>IF($D1664="","",IFERROR(VLOOKUP($D1664,'ACAH Consumables Tracker'!$A:$H,8,FALSE()),""))</f>
        <v/>
      </c>
      <c r="F1664" s="24"/>
      <c r="G1664" s="25" t="str">
        <f>IF($D1664="","",IFERROR(VLOOKUP($D1664,'ACAH Consumables Tracker'!$A:$D,4,FALSE()),""))</f>
        <v/>
      </c>
      <c r="H1664" s="22"/>
    </row>
    <row r="1665" spans="1:8">
      <c r="A1665" s="21"/>
      <c r="B1665" s="28"/>
      <c r="C1665" s="22"/>
      <c r="D1665" s="28"/>
      <c r="E1665" s="23" t="str">
        <f>IF($D1665="","",IFERROR(VLOOKUP($D1665,'ACAH Consumables Tracker'!$A:$H,8,FALSE()),""))</f>
        <v/>
      </c>
      <c r="F1665" s="24"/>
      <c r="G1665" s="25" t="str">
        <f>IF($D1665="","",IFERROR(VLOOKUP($D1665,'ACAH Consumables Tracker'!$A:$D,4,FALSE()),""))</f>
        <v/>
      </c>
      <c r="H1665" s="22"/>
    </row>
    <row r="1666" spans="1:8">
      <c r="A1666" s="21"/>
      <c r="B1666" s="28"/>
      <c r="C1666" s="22"/>
      <c r="D1666" s="28"/>
      <c r="E1666" s="23" t="str">
        <f>IF($D1666="","",IFERROR(VLOOKUP($D1666,'ACAH Consumables Tracker'!$A:$H,8,FALSE()),""))</f>
        <v/>
      </c>
      <c r="F1666" s="24"/>
      <c r="G1666" s="25" t="str">
        <f>IF($D1666="","",IFERROR(VLOOKUP($D1666,'ACAH Consumables Tracker'!$A:$D,4,FALSE()),""))</f>
        <v/>
      </c>
      <c r="H1666" s="22"/>
    </row>
    <row r="1667" spans="1:8">
      <c r="A1667" s="21"/>
      <c r="B1667" s="28"/>
      <c r="C1667" s="22"/>
      <c r="D1667" s="28"/>
      <c r="E1667" s="23" t="str">
        <f>IF($D1667="","",IFERROR(VLOOKUP($D1667,'ACAH Consumables Tracker'!$A:$H,8,FALSE()),""))</f>
        <v/>
      </c>
      <c r="F1667" s="24"/>
      <c r="G1667" s="25" t="str">
        <f>IF($D1667="","",IFERROR(VLOOKUP($D1667,'ACAH Consumables Tracker'!$A:$D,4,FALSE()),""))</f>
        <v/>
      </c>
      <c r="H1667" s="22"/>
    </row>
    <row r="1668" spans="1:8">
      <c r="A1668" s="21"/>
      <c r="B1668" s="28"/>
      <c r="C1668" s="22"/>
      <c r="D1668" s="28"/>
      <c r="E1668" s="23" t="str">
        <f>IF($D1668="","",IFERROR(VLOOKUP($D1668,'ACAH Consumables Tracker'!$A:$H,8,FALSE()),""))</f>
        <v/>
      </c>
      <c r="F1668" s="24"/>
      <c r="G1668" s="25" t="str">
        <f>IF($D1668="","",IFERROR(VLOOKUP($D1668,'ACAH Consumables Tracker'!$A:$D,4,FALSE()),""))</f>
        <v/>
      </c>
      <c r="H1668" s="22"/>
    </row>
    <row r="1669" spans="1:8">
      <c r="A1669" s="21"/>
      <c r="B1669" s="28"/>
      <c r="C1669" s="22"/>
      <c r="D1669" s="28"/>
      <c r="E1669" s="23" t="str">
        <f>IF($D1669="","",IFERROR(VLOOKUP($D1669,'ACAH Consumables Tracker'!$A:$H,8,FALSE()),""))</f>
        <v/>
      </c>
      <c r="F1669" s="24"/>
      <c r="G1669" s="25" t="str">
        <f>IF($D1669="","",IFERROR(VLOOKUP($D1669,'ACAH Consumables Tracker'!$A:$D,4,FALSE()),""))</f>
        <v/>
      </c>
      <c r="H1669" s="22"/>
    </row>
    <row r="1670" spans="1:8">
      <c r="A1670" s="21"/>
      <c r="B1670" s="28"/>
      <c r="C1670" s="22"/>
      <c r="D1670" s="28"/>
      <c r="E1670" s="23" t="str">
        <f>IF($D1670="","",IFERROR(VLOOKUP($D1670,'ACAH Consumables Tracker'!$A:$H,8,FALSE()),""))</f>
        <v/>
      </c>
      <c r="F1670" s="24"/>
      <c r="G1670" s="25" t="str">
        <f>IF($D1670="","",IFERROR(VLOOKUP($D1670,'ACAH Consumables Tracker'!$A:$D,4,FALSE()),""))</f>
        <v/>
      </c>
      <c r="H1670" s="22"/>
    </row>
    <row r="1671" spans="1:8">
      <c r="A1671" s="21"/>
      <c r="B1671" s="28"/>
      <c r="C1671" s="22"/>
      <c r="D1671" s="28"/>
      <c r="E1671" s="23" t="str">
        <f>IF($D1671="","",IFERROR(VLOOKUP($D1671,'ACAH Consumables Tracker'!$A:$H,8,FALSE()),""))</f>
        <v/>
      </c>
      <c r="F1671" s="24"/>
      <c r="G1671" s="25" t="str">
        <f>IF($D1671="","",IFERROR(VLOOKUP($D1671,'ACAH Consumables Tracker'!$A:$D,4,FALSE()),""))</f>
        <v/>
      </c>
      <c r="H1671" s="22"/>
    </row>
    <row r="1672" spans="1:8">
      <c r="A1672" s="21"/>
      <c r="B1672" s="28"/>
      <c r="C1672" s="22"/>
      <c r="D1672" s="28"/>
      <c r="E1672" s="23" t="str">
        <f>IF($D1672="","",IFERROR(VLOOKUP($D1672,'ACAH Consumables Tracker'!$A:$H,8,FALSE()),""))</f>
        <v/>
      </c>
      <c r="F1672" s="24"/>
      <c r="G1672" s="25" t="str">
        <f>IF($D1672="","",IFERROR(VLOOKUP($D1672,'ACAH Consumables Tracker'!$A:$D,4,FALSE()),""))</f>
        <v/>
      </c>
      <c r="H1672" s="22"/>
    </row>
    <row r="1673" spans="1:8">
      <c r="A1673" s="21"/>
      <c r="B1673" s="28"/>
      <c r="C1673" s="22"/>
      <c r="D1673" s="28"/>
      <c r="E1673" s="23" t="str">
        <f>IF($D1673="","",IFERROR(VLOOKUP($D1673,'ACAH Consumables Tracker'!$A:$H,8,FALSE()),""))</f>
        <v/>
      </c>
      <c r="F1673" s="24"/>
      <c r="G1673" s="25" t="str">
        <f>IF($D1673="","",IFERROR(VLOOKUP($D1673,'ACAH Consumables Tracker'!$A:$D,4,FALSE()),""))</f>
        <v/>
      </c>
      <c r="H1673" s="22"/>
    </row>
    <row r="1674" spans="1:8">
      <c r="A1674" s="21"/>
      <c r="B1674" s="28"/>
      <c r="C1674" s="22"/>
      <c r="D1674" s="28"/>
      <c r="E1674" s="23" t="str">
        <f>IF($D1674="","",IFERROR(VLOOKUP($D1674,'ACAH Consumables Tracker'!$A:$H,8,FALSE()),""))</f>
        <v/>
      </c>
      <c r="F1674" s="24"/>
      <c r="G1674" s="25" t="str">
        <f>IF($D1674="","",IFERROR(VLOOKUP($D1674,'ACAH Consumables Tracker'!$A:$D,4,FALSE()),""))</f>
        <v/>
      </c>
      <c r="H1674" s="22"/>
    </row>
    <row r="1675" spans="1:8">
      <c r="A1675" s="21"/>
      <c r="B1675" s="28"/>
      <c r="C1675" s="22"/>
      <c r="D1675" s="28"/>
      <c r="E1675" s="23" t="str">
        <f>IF($D1675="","",IFERROR(VLOOKUP($D1675,'ACAH Consumables Tracker'!$A:$H,8,FALSE()),""))</f>
        <v/>
      </c>
      <c r="F1675" s="24"/>
      <c r="G1675" s="25" t="str">
        <f>IF($D1675="","",IFERROR(VLOOKUP($D1675,'ACAH Consumables Tracker'!$A:$D,4,FALSE()),""))</f>
        <v/>
      </c>
      <c r="H1675" s="22"/>
    </row>
    <row r="1676" spans="1:8">
      <c r="A1676" s="21"/>
      <c r="B1676" s="28"/>
      <c r="C1676" s="22"/>
      <c r="D1676" s="28"/>
      <c r="E1676" s="23" t="str">
        <f>IF($D1676="","",IFERROR(VLOOKUP($D1676,'ACAH Consumables Tracker'!$A:$H,8,FALSE()),""))</f>
        <v/>
      </c>
      <c r="F1676" s="24"/>
      <c r="G1676" s="25" t="str">
        <f>IF($D1676="","",IFERROR(VLOOKUP($D1676,'ACAH Consumables Tracker'!$A:$D,4,FALSE()),""))</f>
        <v/>
      </c>
      <c r="H1676" s="22"/>
    </row>
    <row r="1677" spans="1:8">
      <c r="A1677" s="21"/>
      <c r="B1677" s="28"/>
      <c r="C1677" s="22"/>
      <c r="D1677" s="28"/>
      <c r="E1677" s="23" t="str">
        <f>IF($D1677="","",IFERROR(VLOOKUP($D1677,'ACAH Consumables Tracker'!$A:$H,8,FALSE()),""))</f>
        <v/>
      </c>
      <c r="F1677" s="24"/>
      <c r="G1677" s="25" t="str">
        <f>IF($D1677="","",IFERROR(VLOOKUP($D1677,'ACAH Consumables Tracker'!$A:$D,4,FALSE()),""))</f>
        <v/>
      </c>
      <c r="H1677" s="22"/>
    </row>
    <row r="1678" spans="1:8">
      <c r="A1678" s="21"/>
      <c r="B1678" s="28"/>
      <c r="C1678" s="22"/>
      <c r="D1678" s="28"/>
      <c r="E1678" s="23" t="str">
        <f>IF($D1678="","",IFERROR(VLOOKUP($D1678,'ACAH Consumables Tracker'!$A:$H,8,FALSE()),""))</f>
        <v/>
      </c>
      <c r="F1678" s="24"/>
      <c r="G1678" s="25" t="str">
        <f>IF($D1678="","",IFERROR(VLOOKUP($D1678,'ACAH Consumables Tracker'!$A:$D,4,FALSE()),""))</f>
        <v/>
      </c>
      <c r="H1678" s="22"/>
    </row>
    <row r="1679" spans="1:8">
      <c r="A1679" s="21"/>
      <c r="B1679" s="28"/>
      <c r="C1679" s="22"/>
      <c r="D1679" s="28"/>
      <c r="E1679" s="23" t="str">
        <f>IF($D1679="","",IFERROR(VLOOKUP($D1679,'ACAH Consumables Tracker'!$A:$H,8,FALSE()),""))</f>
        <v/>
      </c>
      <c r="F1679" s="24"/>
      <c r="G1679" s="25" t="str">
        <f>IF($D1679="","",IFERROR(VLOOKUP($D1679,'ACAH Consumables Tracker'!$A:$D,4,FALSE()),""))</f>
        <v/>
      </c>
      <c r="H1679" s="22"/>
    </row>
    <row r="1680" spans="1:8">
      <c r="A1680" s="21"/>
      <c r="B1680" s="28"/>
      <c r="C1680" s="22"/>
      <c r="D1680" s="28"/>
      <c r="E1680" s="23" t="str">
        <f>IF($D1680="","",IFERROR(VLOOKUP($D1680,'ACAH Consumables Tracker'!$A:$H,8,FALSE()),""))</f>
        <v/>
      </c>
      <c r="F1680" s="24"/>
      <c r="G1680" s="25" t="str">
        <f>IF($D1680="","",IFERROR(VLOOKUP($D1680,'ACAH Consumables Tracker'!$A:$D,4,FALSE()),""))</f>
        <v/>
      </c>
      <c r="H1680" s="22"/>
    </row>
    <row r="1681" spans="1:8">
      <c r="A1681" s="21"/>
      <c r="B1681" s="28"/>
      <c r="C1681" s="22"/>
      <c r="D1681" s="28"/>
      <c r="E1681" s="23" t="str">
        <f>IF($D1681="","",IFERROR(VLOOKUP($D1681,'ACAH Consumables Tracker'!$A:$H,8,FALSE()),""))</f>
        <v/>
      </c>
      <c r="F1681" s="24"/>
      <c r="G1681" s="25" t="str">
        <f>IF($D1681="","",IFERROR(VLOOKUP($D1681,'ACAH Consumables Tracker'!$A:$D,4,FALSE()),""))</f>
        <v/>
      </c>
      <c r="H1681" s="22"/>
    </row>
    <row r="1682" spans="1:8">
      <c r="A1682" s="21"/>
      <c r="B1682" s="28"/>
      <c r="C1682" s="22"/>
      <c r="D1682" s="28"/>
      <c r="E1682" s="23" t="str">
        <f>IF($D1682="","",IFERROR(VLOOKUP($D1682,'ACAH Consumables Tracker'!$A:$H,8,FALSE()),""))</f>
        <v/>
      </c>
      <c r="F1682" s="24"/>
      <c r="G1682" s="25" t="str">
        <f>IF($D1682="","",IFERROR(VLOOKUP($D1682,'ACAH Consumables Tracker'!$A:$D,4,FALSE()),""))</f>
        <v/>
      </c>
      <c r="H1682" s="22"/>
    </row>
    <row r="1683" spans="1:8">
      <c r="A1683" s="21"/>
      <c r="B1683" s="28"/>
      <c r="C1683" s="22"/>
      <c r="D1683" s="28"/>
      <c r="E1683" s="23" t="str">
        <f>IF($D1683="","",IFERROR(VLOOKUP($D1683,'ACAH Consumables Tracker'!$A:$H,8,FALSE()),""))</f>
        <v/>
      </c>
      <c r="F1683" s="24"/>
      <c r="G1683" s="25" t="str">
        <f>IF($D1683="","",IFERROR(VLOOKUP($D1683,'ACAH Consumables Tracker'!$A:$D,4,FALSE()),""))</f>
        <v/>
      </c>
      <c r="H1683" s="22"/>
    </row>
    <row r="1684" spans="1:8">
      <c r="A1684" s="21"/>
      <c r="B1684" s="28"/>
      <c r="C1684" s="22"/>
      <c r="D1684" s="28"/>
      <c r="E1684" s="23" t="str">
        <f>IF($D1684="","",IFERROR(VLOOKUP($D1684,'ACAH Consumables Tracker'!$A:$H,8,FALSE()),""))</f>
        <v/>
      </c>
      <c r="F1684" s="24"/>
      <c r="G1684" s="25" t="str">
        <f>IF($D1684="","",IFERROR(VLOOKUP($D1684,'ACAH Consumables Tracker'!$A:$D,4,FALSE()),""))</f>
        <v/>
      </c>
      <c r="H1684" s="22"/>
    </row>
    <row r="1685" spans="1:8">
      <c r="A1685" s="21"/>
      <c r="B1685" s="28"/>
      <c r="C1685" s="22"/>
      <c r="D1685" s="28"/>
      <c r="E1685" s="23" t="str">
        <f>IF($D1685="","",IFERROR(VLOOKUP($D1685,'ACAH Consumables Tracker'!$A:$H,8,FALSE()),""))</f>
        <v/>
      </c>
      <c r="F1685" s="24"/>
      <c r="G1685" s="25" t="str">
        <f>IF($D1685="","",IFERROR(VLOOKUP($D1685,'ACAH Consumables Tracker'!$A:$D,4,FALSE()),""))</f>
        <v/>
      </c>
      <c r="H1685" s="22"/>
    </row>
    <row r="1686" spans="1:8">
      <c r="A1686" s="21"/>
      <c r="B1686" s="28"/>
      <c r="C1686" s="22"/>
      <c r="D1686" s="28"/>
      <c r="E1686" s="23" t="str">
        <f>IF($D1686="","",IFERROR(VLOOKUP($D1686,'ACAH Consumables Tracker'!$A:$H,8,FALSE()),""))</f>
        <v/>
      </c>
      <c r="F1686" s="24"/>
      <c r="G1686" s="25" t="str">
        <f>IF($D1686="","",IFERROR(VLOOKUP($D1686,'ACAH Consumables Tracker'!$A:$D,4,FALSE()),""))</f>
        <v/>
      </c>
      <c r="H1686" s="22"/>
    </row>
    <row r="1687" spans="1:8">
      <c r="A1687" s="21"/>
      <c r="B1687" s="28"/>
      <c r="C1687" s="22"/>
      <c r="D1687" s="28"/>
      <c r="E1687" s="23" t="str">
        <f>IF($D1687="","",IFERROR(VLOOKUP($D1687,'ACAH Consumables Tracker'!$A:$H,8,FALSE()),""))</f>
        <v/>
      </c>
      <c r="F1687" s="24"/>
      <c r="G1687" s="25" t="str">
        <f>IF($D1687="","",IFERROR(VLOOKUP($D1687,'ACAH Consumables Tracker'!$A:$D,4,FALSE()),""))</f>
        <v/>
      </c>
      <c r="H1687" s="22"/>
    </row>
    <row r="1688" spans="1:8">
      <c r="A1688" s="21"/>
      <c r="B1688" s="28"/>
      <c r="C1688" s="22"/>
      <c r="D1688" s="28"/>
      <c r="E1688" s="23" t="str">
        <f>IF($D1688="","",IFERROR(VLOOKUP($D1688,'ACAH Consumables Tracker'!$A:$H,8,FALSE()),""))</f>
        <v/>
      </c>
      <c r="F1688" s="24"/>
      <c r="G1688" s="25" t="str">
        <f>IF($D1688="","",IFERROR(VLOOKUP($D1688,'ACAH Consumables Tracker'!$A:$D,4,FALSE()),""))</f>
        <v/>
      </c>
      <c r="H1688" s="22"/>
    </row>
    <row r="1689" spans="1:8">
      <c r="A1689" s="21"/>
      <c r="B1689" s="28"/>
      <c r="C1689" s="22"/>
      <c r="D1689" s="28"/>
      <c r="E1689" s="23" t="str">
        <f>IF($D1689="","",IFERROR(VLOOKUP($D1689,'ACAH Consumables Tracker'!$A:$H,8,FALSE()),""))</f>
        <v/>
      </c>
      <c r="F1689" s="24"/>
      <c r="G1689" s="25" t="str">
        <f>IF($D1689="","",IFERROR(VLOOKUP($D1689,'ACAH Consumables Tracker'!$A:$D,4,FALSE()),""))</f>
        <v/>
      </c>
      <c r="H1689" s="22"/>
    </row>
    <row r="1690" spans="1:8">
      <c r="A1690" s="21"/>
      <c r="B1690" s="28"/>
      <c r="C1690" s="22"/>
      <c r="D1690" s="28"/>
      <c r="E1690" s="23" t="str">
        <f>IF($D1690="","",IFERROR(VLOOKUP($D1690,'ACAH Consumables Tracker'!$A:$H,8,FALSE()),""))</f>
        <v/>
      </c>
      <c r="F1690" s="24"/>
      <c r="G1690" s="25" t="str">
        <f>IF($D1690="","",IFERROR(VLOOKUP($D1690,'ACAH Consumables Tracker'!$A:$D,4,FALSE()),""))</f>
        <v/>
      </c>
      <c r="H1690" s="22"/>
    </row>
    <row r="1691" spans="1:8">
      <c r="A1691" s="21"/>
      <c r="B1691" s="28"/>
      <c r="C1691" s="22"/>
      <c r="D1691" s="28"/>
      <c r="E1691" s="23" t="str">
        <f>IF($D1691="","",IFERROR(VLOOKUP($D1691,'ACAH Consumables Tracker'!$A:$H,8,FALSE()),""))</f>
        <v/>
      </c>
      <c r="F1691" s="24"/>
      <c r="G1691" s="25" t="str">
        <f>IF($D1691="","",IFERROR(VLOOKUP($D1691,'ACAH Consumables Tracker'!$A:$D,4,FALSE()),""))</f>
        <v/>
      </c>
      <c r="H1691" s="22"/>
    </row>
    <row r="1692" spans="1:8">
      <c r="A1692" s="21"/>
      <c r="B1692" s="28"/>
      <c r="C1692" s="22"/>
      <c r="D1692" s="28"/>
      <c r="E1692" s="23" t="str">
        <f>IF($D1692="","",IFERROR(VLOOKUP($D1692,'ACAH Consumables Tracker'!$A:$H,8,FALSE()),""))</f>
        <v/>
      </c>
      <c r="F1692" s="24"/>
      <c r="G1692" s="25" t="str">
        <f>IF($D1692="","",IFERROR(VLOOKUP($D1692,'ACAH Consumables Tracker'!$A:$D,4,FALSE()),""))</f>
        <v/>
      </c>
      <c r="H1692" s="22"/>
    </row>
    <row r="1693" spans="1:8">
      <c r="A1693" s="21"/>
      <c r="B1693" s="28"/>
      <c r="C1693" s="22"/>
      <c r="D1693" s="28"/>
      <c r="E1693" s="23" t="str">
        <f>IF($D1693="","",IFERROR(VLOOKUP($D1693,'ACAH Consumables Tracker'!$A:$H,8,FALSE()),""))</f>
        <v/>
      </c>
      <c r="F1693" s="24"/>
      <c r="G1693" s="25" t="str">
        <f>IF($D1693="","",IFERROR(VLOOKUP($D1693,'ACAH Consumables Tracker'!$A:$D,4,FALSE()),""))</f>
        <v/>
      </c>
      <c r="H1693" s="22"/>
    </row>
    <row r="1694" spans="1:8">
      <c r="A1694" s="21"/>
      <c r="B1694" s="28"/>
      <c r="C1694" s="22"/>
      <c r="D1694" s="28"/>
      <c r="E1694" s="23" t="str">
        <f>IF($D1694="","",IFERROR(VLOOKUP($D1694,'ACAH Consumables Tracker'!$A:$H,8,FALSE()),""))</f>
        <v/>
      </c>
      <c r="F1694" s="24"/>
      <c r="G1694" s="25" t="str">
        <f>IF($D1694="","",IFERROR(VLOOKUP($D1694,'ACAH Consumables Tracker'!$A:$D,4,FALSE()),""))</f>
        <v/>
      </c>
      <c r="H1694" s="22"/>
    </row>
    <row r="1695" spans="1:8">
      <c r="A1695" s="21"/>
      <c r="B1695" s="28"/>
      <c r="C1695" s="22"/>
      <c r="D1695" s="28"/>
      <c r="E1695" s="23" t="str">
        <f>IF($D1695="","",IFERROR(VLOOKUP($D1695,'ACAH Consumables Tracker'!$A:$H,8,FALSE()),""))</f>
        <v/>
      </c>
      <c r="F1695" s="24"/>
      <c r="G1695" s="25" t="str">
        <f>IF($D1695="","",IFERROR(VLOOKUP($D1695,'ACAH Consumables Tracker'!$A:$D,4,FALSE()),""))</f>
        <v/>
      </c>
      <c r="H1695" s="22"/>
    </row>
    <row r="1696" spans="1:8">
      <c r="A1696" s="21"/>
      <c r="B1696" s="28"/>
      <c r="C1696" s="22"/>
      <c r="D1696" s="28"/>
      <c r="E1696" s="23" t="str">
        <f>IF($D1696="","",IFERROR(VLOOKUP($D1696,'ACAH Consumables Tracker'!$A:$H,8,FALSE()),""))</f>
        <v/>
      </c>
      <c r="F1696" s="24"/>
      <c r="G1696" s="25" t="str">
        <f>IF($D1696="","",IFERROR(VLOOKUP($D1696,'ACAH Consumables Tracker'!$A:$D,4,FALSE()),""))</f>
        <v/>
      </c>
      <c r="H1696" s="22"/>
    </row>
    <row r="1697" spans="1:8">
      <c r="A1697" s="21"/>
      <c r="B1697" s="28"/>
      <c r="C1697" s="22"/>
      <c r="D1697" s="28"/>
      <c r="E1697" s="23" t="str">
        <f>IF($D1697="","",IFERROR(VLOOKUP($D1697,'ACAH Consumables Tracker'!$A:$H,8,FALSE()),""))</f>
        <v/>
      </c>
      <c r="F1697" s="24"/>
      <c r="G1697" s="25" t="str">
        <f>IF($D1697="","",IFERROR(VLOOKUP($D1697,'ACAH Consumables Tracker'!$A:$D,4,FALSE()),""))</f>
        <v/>
      </c>
      <c r="H1697" s="22"/>
    </row>
    <row r="1698" spans="1:8">
      <c r="A1698" s="21"/>
      <c r="B1698" s="28"/>
      <c r="C1698" s="22"/>
      <c r="D1698" s="28"/>
      <c r="E1698" s="23" t="str">
        <f>IF($D1698="","",IFERROR(VLOOKUP($D1698,'ACAH Consumables Tracker'!$A:$H,8,FALSE()),""))</f>
        <v/>
      </c>
      <c r="F1698" s="24"/>
      <c r="G1698" s="25" t="str">
        <f>IF($D1698="","",IFERROR(VLOOKUP($D1698,'ACAH Consumables Tracker'!$A:$D,4,FALSE()),""))</f>
        <v/>
      </c>
      <c r="H1698" s="22"/>
    </row>
    <row r="1699" spans="1:8">
      <c r="A1699" s="21"/>
      <c r="B1699" s="28"/>
      <c r="C1699" s="22"/>
      <c r="D1699" s="28"/>
      <c r="E1699" s="23" t="str">
        <f>IF($D1699="","",IFERROR(VLOOKUP($D1699,'ACAH Consumables Tracker'!$A:$H,8,FALSE()),""))</f>
        <v/>
      </c>
      <c r="F1699" s="24"/>
      <c r="G1699" s="25" t="str">
        <f>IF($D1699="","",IFERROR(VLOOKUP($D1699,'ACAH Consumables Tracker'!$A:$D,4,FALSE()),""))</f>
        <v/>
      </c>
      <c r="H1699" s="22"/>
    </row>
    <row r="1700" spans="1:8">
      <c r="A1700" s="21"/>
      <c r="B1700" s="28"/>
      <c r="C1700" s="22"/>
      <c r="D1700" s="28"/>
      <c r="E1700" s="23" t="str">
        <f>IF($D1700="","",IFERROR(VLOOKUP($D1700,'ACAH Consumables Tracker'!$A:$H,8,FALSE()),""))</f>
        <v/>
      </c>
      <c r="F1700" s="24"/>
      <c r="G1700" s="25" t="str">
        <f>IF($D1700="","",IFERROR(VLOOKUP($D1700,'ACAH Consumables Tracker'!$A:$D,4,FALSE()),""))</f>
        <v/>
      </c>
      <c r="H1700" s="22"/>
    </row>
    <row r="1701" spans="1:8">
      <c r="A1701" s="21"/>
      <c r="B1701" s="28"/>
      <c r="C1701" s="22"/>
      <c r="D1701" s="28"/>
      <c r="E1701" s="23" t="str">
        <f>IF($D1701="","",IFERROR(VLOOKUP($D1701,'ACAH Consumables Tracker'!$A:$H,8,FALSE()),""))</f>
        <v/>
      </c>
      <c r="F1701" s="24"/>
      <c r="G1701" s="25" t="str">
        <f>IF($D1701="","",IFERROR(VLOOKUP($D1701,'ACAH Consumables Tracker'!$A:$D,4,FALSE()),""))</f>
        <v/>
      </c>
      <c r="H1701" s="22"/>
    </row>
    <row r="1702" spans="1:8">
      <c r="A1702" s="21"/>
      <c r="B1702" s="28"/>
      <c r="C1702" s="22"/>
      <c r="D1702" s="28"/>
      <c r="E1702" s="23" t="str">
        <f>IF($D1702="","",IFERROR(VLOOKUP($D1702,'ACAH Consumables Tracker'!$A:$H,8,FALSE()),""))</f>
        <v/>
      </c>
      <c r="F1702" s="24"/>
      <c r="G1702" s="25" t="str">
        <f>IF($D1702="","",IFERROR(VLOOKUP($D1702,'ACAH Consumables Tracker'!$A:$D,4,FALSE()),""))</f>
        <v/>
      </c>
      <c r="H1702" s="22"/>
    </row>
    <row r="1703" spans="1:8">
      <c r="A1703" s="21"/>
      <c r="B1703" s="28"/>
      <c r="C1703" s="22"/>
      <c r="D1703" s="28"/>
      <c r="E1703" s="23" t="str">
        <f>IF($D1703="","",IFERROR(VLOOKUP($D1703,'ACAH Consumables Tracker'!$A:$H,8,FALSE()),""))</f>
        <v/>
      </c>
      <c r="F1703" s="24"/>
      <c r="G1703" s="25" t="str">
        <f>IF($D1703="","",IFERROR(VLOOKUP($D1703,'ACAH Consumables Tracker'!$A:$D,4,FALSE()),""))</f>
        <v/>
      </c>
      <c r="H1703" s="22"/>
    </row>
    <row r="1704" spans="1:8">
      <c r="A1704" s="21"/>
      <c r="B1704" s="28"/>
      <c r="C1704" s="22"/>
      <c r="D1704" s="28"/>
      <c r="E1704" s="23" t="str">
        <f>IF($D1704="","",IFERROR(VLOOKUP($D1704,'ACAH Consumables Tracker'!$A:$H,8,FALSE()),""))</f>
        <v/>
      </c>
      <c r="F1704" s="24"/>
      <c r="G1704" s="25" t="str">
        <f>IF($D1704="","",IFERROR(VLOOKUP($D1704,'ACAH Consumables Tracker'!$A:$D,4,FALSE()),""))</f>
        <v/>
      </c>
      <c r="H1704" s="22"/>
    </row>
    <row r="1705" spans="1:8">
      <c r="A1705" s="21"/>
      <c r="B1705" s="28"/>
      <c r="C1705" s="22"/>
      <c r="D1705" s="28"/>
      <c r="E1705" s="23" t="str">
        <f>IF($D1705="","",IFERROR(VLOOKUP($D1705,'ACAH Consumables Tracker'!$A:$H,8,FALSE()),""))</f>
        <v/>
      </c>
      <c r="F1705" s="24"/>
      <c r="G1705" s="25" t="str">
        <f>IF($D1705="","",IFERROR(VLOOKUP($D1705,'ACAH Consumables Tracker'!$A:$D,4,FALSE()),""))</f>
        <v/>
      </c>
      <c r="H1705" s="22"/>
    </row>
    <row r="1706" spans="1:8">
      <c r="A1706" s="21"/>
      <c r="B1706" s="28"/>
      <c r="C1706" s="22"/>
      <c r="D1706" s="28"/>
      <c r="E1706" s="23" t="str">
        <f>IF($D1706="","",IFERROR(VLOOKUP($D1706,'ACAH Consumables Tracker'!$A:$H,8,FALSE()),""))</f>
        <v/>
      </c>
      <c r="F1706" s="24"/>
      <c r="G1706" s="25" t="str">
        <f>IF($D1706="","",IFERROR(VLOOKUP($D1706,'ACAH Consumables Tracker'!$A:$D,4,FALSE()),""))</f>
        <v/>
      </c>
      <c r="H1706" s="22"/>
    </row>
    <row r="1707" spans="1:8">
      <c r="A1707" s="21"/>
      <c r="B1707" s="28"/>
      <c r="C1707" s="22"/>
      <c r="D1707" s="28"/>
      <c r="E1707" s="23" t="str">
        <f>IF($D1707="","",IFERROR(VLOOKUP($D1707,'ACAH Consumables Tracker'!$A:$H,8,FALSE()),""))</f>
        <v/>
      </c>
      <c r="F1707" s="24"/>
      <c r="G1707" s="25" t="str">
        <f>IF($D1707="","",IFERROR(VLOOKUP($D1707,'ACAH Consumables Tracker'!$A:$D,4,FALSE()),""))</f>
        <v/>
      </c>
      <c r="H1707" s="22"/>
    </row>
    <row r="1708" spans="1:8">
      <c r="A1708" s="21"/>
      <c r="B1708" s="28"/>
      <c r="C1708" s="22"/>
      <c r="D1708" s="28"/>
      <c r="E1708" s="23" t="str">
        <f>IF($D1708="","",IFERROR(VLOOKUP($D1708,'ACAH Consumables Tracker'!$A:$H,8,FALSE()),""))</f>
        <v/>
      </c>
      <c r="F1708" s="24"/>
      <c r="G1708" s="25" t="str">
        <f>IF($D1708="","",IFERROR(VLOOKUP($D1708,'ACAH Consumables Tracker'!$A:$D,4,FALSE()),""))</f>
        <v/>
      </c>
      <c r="H1708" s="22"/>
    </row>
    <row r="1709" spans="1:8">
      <c r="A1709" s="21"/>
      <c r="B1709" s="28"/>
      <c r="C1709" s="22"/>
      <c r="D1709" s="28"/>
      <c r="E1709" s="23" t="str">
        <f>IF($D1709="","",IFERROR(VLOOKUP($D1709,'ACAH Consumables Tracker'!$A:$H,8,FALSE()),""))</f>
        <v/>
      </c>
      <c r="F1709" s="24"/>
      <c r="G1709" s="25" t="str">
        <f>IF($D1709="","",IFERROR(VLOOKUP($D1709,'ACAH Consumables Tracker'!$A:$D,4,FALSE()),""))</f>
        <v/>
      </c>
      <c r="H1709" s="22"/>
    </row>
    <row r="1710" spans="1:8">
      <c r="A1710" s="21"/>
      <c r="B1710" s="28"/>
      <c r="C1710" s="22"/>
      <c r="D1710" s="28"/>
      <c r="E1710" s="23" t="str">
        <f>IF($D1710="","",IFERROR(VLOOKUP($D1710,'ACAH Consumables Tracker'!$A:$H,8,FALSE()),""))</f>
        <v/>
      </c>
      <c r="F1710" s="24"/>
      <c r="G1710" s="25" t="str">
        <f>IF($D1710="","",IFERROR(VLOOKUP($D1710,'ACAH Consumables Tracker'!$A:$D,4,FALSE()),""))</f>
        <v/>
      </c>
      <c r="H1710" s="22"/>
    </row>
    <row r="1711" spans="1:8">
      <c r="A1711" s="21"/>
      <c r="B1711" s="28"/>
      <c r="C1711" s="22"/>
      <c r="D1711" s="28"/>
      <c r="E1711" s="23" t="str">
        <f>IF($D1711="","",IFERROR(VLOOKUP($D1711,'ACAH Consumables Tracker'!$A:$H,8,FALSE()),""))</f>
        <v/>
      </c>
      <c r="F1711" s="24"/>
      <c r="G1711" s="25" t="str">
        <f>IF($D1711="","",IFERROR(VLOOKUP($D1711,'ACAH Consumables Tracker'!$A:$D,4,FALSE()),""))</f>
        <v/>
      </c>
      <c r="H1711" s="22"/>
    </row>
    <row r="1712" spans="1:8">
      <c r="A1712" s="21"/>
      <c r="B1712" s="28"/>
      <c r="C1712" s="22"/>
      <c r="D1712" s="28"/>
      <c r="E1712" s="23" t="str">
        <f>IF($D1712="","",IFERROR(VLOOKUP($D1712,'ACAH Consumables Tracker'!$A:$H,8,FALSE()),""))</f>
        <v/>
      </c>
      <c r="F1712" s="24"/>
      <c r="G1712" s="25" t="str">
        <f>IF($D1712="","",IFERROR(VLOOKUP($D1712,'ACAH Consumables Tracker'!$A:$D,4,FALSE()),""))</f>
        <v/>
      </c>
      <c r="H1712" s="22"/>
    </row>
    <row r="1713" spans="1:8">
      <c r="A1713" s="21"/>
      <c r="B1713" s="28"/>
      <c r="C1713" s="22"/>
      <c r="D1713" s="28"/>
      <c r="E1713" s="23" t="str">
        <f>IF($D1713="","",IFERROR(VLOOKUP($D1713,'ACAH Consumables Tracker'!$A:$H,8,FALSE()),""))</f>
        <v/>
      </c>
      <c r="F1713" s="24"/>
      <c r="G1713" s="25" t="str">
        <f>IF($D1713="","",IFERROR(VLOOKUP($D1713,'ACAH Consumables Tracker'!$A:$D,4,FALSE()),""))</f>
        <v/>
      </c>
      <c r="H1713" s="22"/>
    </row>
    <row r="1714" spans="1:8">
      <c r="A1714" s="21"/>
      <c r="B1714" s="28"/>
      <c r="C1714" s="22"/>
      <c r="D1714" s="28"/>
      <c r="E1714" s="23" t="str">
        <f>IF($D1714="","",IFERROR(VLOOKUP($D1714,'ACAH Consumables Tracker'!$A:$H,8,FALSE()),""))</f>
        <v/>
      </c>
      <c r="F1714" s="24"/>
      <c r="G1714" s="25" t="str">
        <f>IF($D1714="","",IFERROR(VLOOKUP($D1714,'ACAH Consumables Tracker'!$A:$D,4,FALSE()),""))</f>
        <v/>
      </c>
      <c r="H1714" s="22"/>
    </row>
    <row r="1715" spans="1:8">
      <c r="A1715" s="21"/>
      <c r="B1715" s="28"/>
      <c r="C1715" s="22"/>
      <c r="D1715" s="28"/>
      <c r="E1715" s="23" t="str">
        <f>IF($D1715="","",IFERROR(VLOOKUP($D1715,'ACAH Consumables Tracker'!$A:$H,8,FALSE()),""))</f>
        <v/>
      </c>
      <c r="F1715" s="24"/>
      <c r="G1715" s="25" t="str">
        <f>IF($D1715="","",IFERROR(VLOOKUP($D1715,'ACAH Consumables Tracker'!$A:$D,4,FALSE()),""))</f>
        <v/>
      </c>
      <c r="H1715" s="22"/>
    </row>
    <row r="1716" spans="1:8">
      <c r="A1716" s="21"/>
      <c r="B1716" s="28"/>
      <c r="C1716" s="22"/>
      <c r="D1716" s="28"/>
      <c r="E1716" s="23" t="str">
        <f>IF($D1716="","",IFERROR(VLOOKUP($D1716,'ACAH Consumables Tracker'!$A:$H,8,FALSE()),""))</f>
        <v/>
      </c>
      <c r="F1716" s="24"/>
      <c r="G1716" s="25" t="str">
        <f>IF($D1716="","",IFERROR(VLOOKUP($D1716,'ACAH Consumables Tracker'!$A:$D,4,FALSE()),""))</f>
        <v/>
      </c>
      <c r="H1716" s="22"/>
    </row>
    <row r="1717" spans="1:8">
      <c r="A1717" s="21"/>
      <c r="B1717" s="28"/>
      <c r="C1717" s="22"/>
      <c r="D1717" s="28"/>
      <c r="E1717" s="23" t="str">
        <f>IF($D1717="","",IFERROR(VLOOKUP($D1717,'ACAH Consumables Tracker'!$A:$H,8,FALSE()),""))</f>
        <v/>
      </c>
      <c r="F1717" s="24"/>
      <c r="G1717" s="25" t="str">
        <f>IF($D1717="","",IFERROR(VLOOKUP($D1717,'ACAH Consumables Tracker'!$A:$D,4,FALSE()),""))</f>
        <v/>
      </c>
      <c r="H1717" s="22"/>
    </row>
    <row r="1718" spans="1:8">
      <c r="A1718" s="21"/>
      <c r="B1718" s="28"/>
      <c r="C1718" s="22"/>
      <c r="D1718" s="28"/>
      <c r="E1718" s="23" t="str">
        <f>IF($D1718="","",IFERROR(VLOOKUP($D1718,'ACAH Consumables Tracker'!$A:$H,8,FALSE()),""))</f>
        <v/>
      </c>
      <c r="F1718" s="24"/>
      <c r="G1718" s="25" t="str">
        <f>IF($D1718="","",IFERROR(VLOOKUP($D1718,'ACAH Consumables Tracker'!$A:$D,4,FALSE()),""))</f>
        <v/>
      </c>
      <c r="H1718" s="22"/>
    </row>
    <row r="1719" spans="1:8">
      <c r="A1719" s="21"/>
      <c r="B1719" s="28"/>
      <c r="C1719" s="22"/>
      <c r="D1719" s="28"/>
      <c r="E1719" s="23" t="str">
        <f>IF($D1719="","",IFERROR(VLOOKUP($D1719,'ACAH Consumables Tracker'!$A:$H,8,FALSE()),""))</f>
        <v/>
      </c>
      <c r="F1719" s="24"/>
      <c r="G1719" s="25" t="str">
        <f>IF($D1719="","",IFERROR(VLOOKUP($D1719,'ACAH Consumables Tracker'!$A:$D,4,FALSE()),""))</f>
        <v/>
      </c>
      <c r="H1719" s="22"/>
    </row>
    <row r="1720" spans="1:8">
      <c r="A1720" s="21"/>
      <c r="B1720" s="28"/>
      <c r="C1720" s="22"/>
      <c r="D1720" s="28"/>
      <c r="E1720" s="23" t="str">
        <f>IF($D1720="","",IFERROR(VLOOKUP($D1720,'ACAH Consumables Tracker'!$A:$H,8,FALSE()),""))</f>
        <v/>
      </c>
      <c r="F1720" s="24"/>
      <c r="G1720" s="25" t="str">
        <f>IF($D1720="","",IFERROR(VLOOKUP($D1720,'ACAH Consumables Tracker'!$A:$D,4,FALSE()),""))</f>
        <v/>
      </c>
      <c r="H1720" s="22"/>
    </row>
    <row r="1721" spans="1:8">
      <c r="A1721" s="21"/>
      <c r="B1721" s="28"/>
      <c r="C1721" s="22"/>
      <c r="D1721" s="28"/>
      <c r="E1721" s="23" t="str">
        <f>IF($D1721="","",IFERROR(VLOOKUP($D1721,'ACAH Consumables Tracker'!$A:$H,8,FALSE()),""))</f>
        <v/>
      </c>
      <c r="F1721" s="24"/>
      <c r="G1721" s="25" t="str">
        <f>IF($D1721="","",IFERROR(VLOOKUP($D1721,'ACAH Consumables Tracker'!$A:$D,4,FALSE()),""))</f>
        <v/>
      </c>
      <c r="H1721" s="22"/>
    </row>
    <row r="1722" spans="1:8">
      <c r="A1722" s="21"/>
      <c r="B1722" s="28"/>
      <c r="C1722" s="22"/>
      <c r="D1722" s="28"/>
      <c r="E1722" s="23" t="str">
        <f>IF($D1722="","",IFERROR(VLOOKUP($D1722,'ACAH Consumables Tracker'!$A:$H,8,FALSE()),""))</f>
        <v/>
      </c>
      <c r="F1722" s="24"/>
      <c r="G1722" s="25" t="str">
        <f>IF($D1722="","",IFERROR(VLOOKUP($D1722,'ACAH Consumables Tracker'!$A:$D,4,FALSE()),""))</f>
        <v/>
      </c>
      <c r="H1722" s="22"/>
    </row>
    <row r="1723" spans="1:8">
      <c r="A1723" s="21"/>
      <c r="B1723" s="28"/>
      <c r="C1723" s="22"/>
      <c r="D1723" s="28"/>
      <c r="E1723" s="23" t="str">
        <f>IF($D1723="","",IFERROR(VLOOKUP($D1723,'ACAH Consumables Tracker'!$A:$H,8,FALSE()),""))</f>
        <v/>
      </c>
      <c r="F1723" s="24"/>
      <c r="G1723" s="25" t="str">
        <f>IF($D1723="","",IFERROR(VLOOKUP($D1723,'ACAH Consumables Tracker'!$A:$D,4,FALSE()),""))</f>
        <v/>
      </c>
      <c r="H1723" s="22"/>
    </row>
    <row r="1724" spans="1:8">
      <c r="A1724" s="21"/>
      <c r="B1724" s="28"/>
      <c r="C1724" s="22"/>
      <c r="D1724" s="28"/>
      <c r="E1724" s="23" t="str">
        <f>IF($D1724="","",IFERROR(VLOOKUP($D1724,'ACAH Consumables Tracker'!$A:$H,8,FALSE()),""))</f>
        <v/>
      </c>
      <c r="F1724" s="24"/>
      <c r="G1724" s="25" t="str">
        <f>IF($D1724="","",IFERROR(VLOOKUP($D1724,'ACAH Consumables Tracker'!$A:$D,4,FALSE()),""))</f>
        <v/>
      </c>
      <c r="H1724" s="22"/>
    </row>
    <row r="1725" spans="1:8">
      <c r="A1725" s="21"/>
      <c r="B1725" s="28"/>
      <c r="C1725" s="22"/>
      <c r="D1725" s="28"/>
      <c r="E1725" s="23" t="str">
        <f>IF($D1725="","",IFERROR(VLOOKUP($D1725,'ACAH Consumables Tracker'!$A:$H,8,FALSE()),""))</f>
        <v/>
      </c>
      <c r="F1725" s="24"/>
      <c r="G1725" s="25" t="str">
        <f>IF($D1725="","",IFERROR(VLOOKUP($D1725,'ACAH Consumables Tracker'!$A:$D,4,FALSE()),""))</f>
        <v/>
      </c>
      <c r="H1725" s="22"/>
    </row>
    <row r="1726" spans="1:8">
      <c r="A1726" s="21"/>
      <c r="B1726" s="28"/>
      <c r="C1726" s="22"/>
      <c r="D1726" s="28"/>
      <c r="E1726" s="23" t="str">
        <f>IF($D1726="","",IFERROR(VLOOKUP($D1726,'ACAH Consumables Tracker'!$A:$H,8,FALSE()),""))</f>
        <v/>
      </c>
      <c r="F1726" s="24"/>
      <c r="G1726" s="25" t="str">
        <f>IF($D1726="","",IFERROR(VLOOKUP($D1726,'ACAH Consumables Tracker'!$A:$D,4,FALSE()),""))</f>
        <v/>
      </c>
      <c r="H1726" s="22"/>
    </row>
    <row r="1727" spans="1:8">
      <c r="A1727" s="21"/>
      <c r="B1727" s="28"/>
      <c r="C1727" s="22"/>
      <c r="D1727" s="28"/>
      <c r="E1727" s="23" t="str">
        <f>IF($D1727="","",IFERROR(VLOOKUP($D1727,'ACAH Consumables Tracker'!$A:$H,8,FALSE()),""))</f>
        <v/>
      </c>
      <c r="F1727" s="24"/>
      <c r="G1727" s="25" t="str">
        <f>IF($D1727="","",IFERROR(VLOOKUP($D1727,'ACAH Consumables Tracker'!$A:$D,4,FALSE()),""))</f>
        <v/>
      </c>
      <c r="H1727" s="22"/>
    </row>
    <row r="1728" spans="1:8">
      <c r="A1728" s="21"/>
      <c r="B1728" s="28"/>
      <c r="C1728" s="22"/>
      <c r="D1728" s="28"/>
      <c r="E1728" s="23" t="str">
        <f>IF($D1728="","",IFERROR(VLOOKUP($D1728,'ACAH Consumables Tracker'!$A:$H,8,FALSE()),""))</f>
        <v/>
      </c>
      <c r="F1728" s="24"/>
      <c r="G1728" s="25" t="str">
        <f>IF($D1728="","",IFERROR(VLOOKUP($D1728,'ACAH Consumables Tracker'!$A:$D,4,FALSE()),""))</f>
        <v/>
      </c>
      <c r="H1728" s="22"/>
    </row>
    <row r="1729" spans="1:8">
      <c r="A1729" s="21"/>
      <c r="B1729" s="28"/>
      <c r="C1729" s="22"/>
      <c r="D1729" s="28"/>
      <c r="E1729" s="23" t="str">
        <f>IF($D1729="","",IFERROR(VLOOKUP($D1729,'ACAH Consumables Tracker'!$A:$H,8,FALSE()),""))</f>
        <v/>
      </c>
      <c r="F1729" s="24"/>
      <c r="G1729" s="25" t="str">
        <f>IF($D1729="","",IFERROR(VLOOKUP($D1729,'ACAH Consumables Tracker'!$A:$D,4,FALSE()),""))</f>
        <v/>
      </c>
      <c r="H1729" s="22"/>
    </row>
    <row r="1730" spans="1:8">
      <c r="A1730" s="21"/>
      <c r="B1730" s="28"/>
      <c r="C1730" s="22"/>
      <c r="D1730" s="28"/>
      <c r="E1730" s="23" t="str">
        <f>IF($D1730="","",IFERROR(VLOOKUP($D1730,'ACAH Consumables Tracker'!$A:$H,8,FALSE()),""))</f>
        <v/>
      </c>
      <c r="F1730" s="24"/>
      <c r="G1730" s="25" t="str">
        <f>IF($D1730="","",IFERROR(VLOOKUP($D1730,'ACAH Consumables Tracker'!$A:$D,4,FALSE()),""))</f>
        <v/>
      </c>
      <c r="H1730" s="22"/>
    </row>
    <row r="1731" spans="1:8">
      <c r="A1731" s="21"/>
      <c r="B1731" s="28"/>
      <c r="C1731" s="22"/>
      <c r="D1731" s="28"/>
      <c r="E1731" s="23" t="str">
        <f>IF($D1731="","",IFERROR(VLOOKUP($D1731,'ACAH Consumables Tracker'!$A:$H,8,FALSE()),""))</f>
        <v/>
      </c>
      <c r="F1731" s="24"/>
      <c r="G1731" s="25" t="str">
        <f>IF($D1731="","",IFERROR(VLOOKUP($D1731,'ACAH Consumables Tracker'!$A:$D,4,FALSE()),""))</f>
        <v/>
      </c>
      <c r="H1731" s="22"/>
    </row>
    <row r="1732" spans="1:8">
      <c r="A1732" s="21"/>
      <c r="B1732" s="28"/>
      <c r="C1732" s="22"/>
      <c r="D1732" s="28"/>
      <c r="E1732" s="23" t="str">
        <f>IF($D1732="","",IFERROR(VLOOKUP($D1732,'ACAH Consumables Tracker'!$A:$H,8,FALSE()),""))</f>
        <v/>
      </c>
      <c r="F1732" s="24"/>
      <c r="G1732" s="25" t="str">
        <f>IF($D1732="","",IFERROR(VLOOKUP($D1732,'ACAH Consumables Tracker'!$A:$D,4,FALSE()),""))</f>
        <v/>
      </c>
      <c r="H1732" s="22"/>
    </row>
    <row r="1733" spans="1:8">
      <c r="A1733" s="21"/>
      <c r="B1733" s="28"/>
      <c r="C1733" s="22"/>
      <c r="D1733" s="28"/>
      <c r="E1733" s="23" t="str">
        <f>IF($D1733="","",IFERROR(VLOOKUP($D1733,'ACAH Consumables Tracker'!$A:$H,8,FALSE()),""))</f>
        <v/>
      </c>
      <c r="F1733" s="24"/>
      <c r="G1733" s="25" t="str">
        <f>IF($D1733="","",IFERROR(VLOOKUP($D1733,'ACAH Consumables Tracker'!$A:$D,4,FALSE()),""))</f>
        <v/>
      </c>
      <c r="H1733" s="22"/>
    </row>
    <row r="1734" spans="1:8">
      <c r="A1734" s="21"/>
      <c r="B1734" s="28"/>
      <c r="C1734" s="22"/>
      <c r="D1734" s="28"/>
      <c r="E1734" s="23" t="str">
        <f>IF($D1734="","",IFERROR(VLOOKUP($D1734,'ACAH Consumables Tracker'!$A:$H,8,FALSE()),""))</f>
        <v/>
      </c>
      <c r="F1734" s="24"/>
      <c r="G1734" s="25" t="str">
        <f>IF($D1734="","",IFERROR(VLOOKUP($D1734,'ACAH Consumables Tracker'!$A:$D,4,FALSE()),""))</f>
        <v/>
      </c>
      <c r="H1734" s="22"/>
    </row>
    <row r="1735" spans="1:8">
      <c r="A1735" s="21"/>
      <c r="B1735" s="28"/>
      <c r="C1735" s="22"/>
      <c r="D1735" s="28"/>
      <c r="E1735" s="23" t="str">
        <f>IF($D1735="","",IFERROR(VLOOKUP($D1735,'ACAH Consumables Tracker'!$A:$H,8,FALSE()),""))</f>
        <v/>
      </c>
      <c r="F1735" s="24"/>
      <c r="G1735" s="25" t="str">
        <f>IF($D1735="","",IFERROR(VLOOKUP($D1735,'ACAH Consumables Tracker'!$A:$D,4,FALSE()),""))</f>
        <v/>
      </c>
      <c r="H1735" s="22"/>
    </row>
    <row r="1736" spans="1:8">
      <c r="A1736" s="21"/>
      <c r="B1736" s="28"/>
      <c r="C1736" s="22"/>
      <c r="D1736" s="28"/>
      <c r="E1736" s="23" t="str">
        <f>IF($D1736="","",IFERROR(VLOOKUP($D1736,'ACAH Consumables Tracker'!$A:$H,8,FALSE()),""))</f>
        <v/>
      </c>
      <c r="F1736" s="24"/>
      <c r="G1736" s="25" t="str">
        <f>IF($D1736="","",IFERROR(VLOOKUP($D1736,'ACAH Consumables Tracker'!$A:$D,4,FALSE()),""))</f>
        <v/>
      </c>
      <c r="H1736" s="22"/>
    </row>
    <row r="1737" spans="1:8">
      <c r="A1737" s="21"/>
      <c r="B1737" s="28"/>
      <c r="C1737" s="22"/>
      <c r="D1737" s="28"/>
      <c r="E1737" s="23" t="str">
        <f>IF($D1737="","",IFERROR(VLOOKUP($D1737,'ACAH Consumables Tracker'!$A:$H,8,FALSE()),""))</f>
        <v/>
      </c>
      <c r="F1737" s="24"/>
      <c r="G1737" s="25" t="str">
        <f>IF($D1737="","",IFERROR(VLOOKUP($D1737,'ACAH Consumables Tracker'!$A:$D,4,FALSE()),""))</f>
        <v/>
      </c>
      <c r="H1737" s="22"/>
    </row>
    <row r="1738" spans="1:8">
      <c r="A1738" s="21"/>
      <c r="B1738" s="28"/>
      <c r="C1738" s="22"/>
      <c r="D1738" s="28"/>
      <c r="E1738" s="23" t="str">
        <f>IF($D1738="","",IFERROR(VLOOKUP($D1738,'ACAH Consumables Tracker'!$A:$H,8,FALSE()),""))</f>
        <v/>
      </c>
      <c r="F1738" s="24"/>
      <c r="G1738" s="25" t="str">
        <f>IF($D1738="","",IFERROR(VLOOKUP($D1738,'ACAH Consumables Tracker'!$A:$D,4,FALSE()),""))</f>
        <v/>
      </c>
      <c r="H1738" s="22"/>
    </row>
    <row r="1739" spans="1:8">
      <c r="A1739" s="21"/>
      <c r="B1739" s="28"/>
      <c r="C1739" s="22"/>
      <c r="D1739" s="28"/>
      <c r="E1739" s="23" t="str">
        <f>IF($D1739="","",IFERROR(VLOOKUP($D1739,'ACAH Consumables Tracker'!$A:$H,8,FALSE()),""))</f>
        <v/>
      </c>
      <c r="F1739" s="24"/>
      <c r="G1739" s="25" t="str">
        <f>IF($D1739="","",IFERROR(VLOOKUP($D1739,'ACAH Consumables Tracker'!$A:$D,4,FALSE()),""))</f>
        <v/>
      </c>
      <c r="H1739" s="22"/>
    </row>
    <row r="1740" spans="1:8">
      <c r="A1740" s="21"/>
      <c r="B1740" s="28"/>
      <c r="C1740" s="22"/>
      <c r="D1740" s="28"/>
      <c r="E1740" s="23" t="str">
        <f>IF($D1740="","",IFERROR(VLOOKUP($D1740,'ACAH Consumables Tracker'!$A:$H,8,FALSE()),""))</f>
        <v/>
      </c>
      <c r="F1740" s="24"/>
      <c r="G1740" s="25" t="str">
        <f>IF($D1740="","",IFERROR(VLOOKUP($D1740,'ACAH Consumables Tracker'!$A:$D,4,FALSE()),""))</f>
        <v/>
      </c>
      <c r="H1740" s="22"/>
    </row>
    <row r="1741" spans="1:8">
      <c r="A1741" s="21"/>
      <c r="B1741" s="28"/>
      <c r="C1741" s="22"/>
      <c r="D1741" s="28"/>
      <c r="E1741" s="23" t="str">
        <f>IF($D1741="","",IFERROR(VLOOKUP($D1741,'ACAH Consumables Tracker'!$A:$H,8,FALSE()),""))</f>
        <v/>
      </c>
      <c r="F1741" s="24"/>
      <c r="G1741" s="25" t="str">
        <f>IF($D1741="","",IFERROR(VLOOKUP($D1741,'ACAH Consumables Tracker'!$A:$D,4,FALSE()),""))</f>
        <v/>
      </c>
      <c r="H1741" s="22"/>
    </row>
    <row r="1742" spans="1:8">
      <c r="A1742" s="21"/>
      <c r="B1742" s="28"/>
      <c r="C1742" s="22"/>
      <c r="D1742" s="28"/>
      <c r="E1742" s="23" t="str">
        <f>IF($D1742="","",IFERROR(VLOOKUP($D1742,'ACAH Consumables Tracker'!$A:$H,8,FALSE()),""))</f>
        <v/>
      </c>
      <c r="F1742" s="24"/>
      <c r="G1742" s="25" t="str">
        <f>IF($D1742="","",IFERROR(VLOOKUP($D1742,'ACAH Consumables Tracker'!$A:$D,4,FALSE()),""))</f>
        <v/>
      </c>
      <c r="H1742" s="22"/>
    </row>
    <row r="1743" spans="1:8">
      <c r="A1743" s="21"/>
      <c r="B1743" s="28"/>
      <c r="C1743" s="22"/>
      <c r="D1743" s="28"/>
      <c r="E1743" s="23" t="str">
        <f>IF($D1743="","",IFERROR(VLOOKUP($D1743,'ACAH Consumables Tracker'!$A:$H,8,FALSE()),""))</f>
        <v/>
      </c>
      <c r="F1743" s="24"/>
      <c r="G1743" s="25" t="str">
        <f>IF($D1743="","",IFERROR(VLOOKUP($D1743,'ACAH Consumables Tracker'!$A:$D,4,FALSE()),""))</f>
        <v/>
      </c>
      <c r="H1743" s="22"/>
    </row>
    <row r="1744" spans="1:8">
      <c r="A1744" s="21"/>
      <c r="B1744" s="28"/>
      <c r="C1744" s="22"/>
      <c r="D1744" s="28"/>
      <c r="E1744" s="23" t="str">
        <f>IF($D1744="","",IFERROR(VLOOKUP($D1744,'ACAH Consumables Tracker'!$A:$H,8,FALSE()),""))</f>
        <v/>
      </c>
      <c r="F1744" s="24"/>
      <c r="G1744" s="25" t="str">
        <f>IF($D1744="","",IFERROR(VLOOKUP($D1744,'ACAH Consumables Tracker'!$A:$D,4,FALSE()),""))</f>
        <v/>
      </c>
      <c r="H1744" s="22"/>
    </row>
    <row r="1745" spans="1:8">
      <c r="A1745" s="21"/>
      <c r="B1745" s="28"/>
      <c r="C1745" s="22"/>
      <c r="D1745" s="28"/>
      <c r="E1745" s="23" t="str">
        <f>IF($D1745="","",IFERROR(VLOOKUP($D1745,'ACAH Consumables Tracker'!$A:$H,8,FALSE()),""))</f>
        <v/>
      </c>
      <c r="F1745" s="24"/>
      <c r="G1745" s="25" t="str">
        <f>IF($D1745="","",IFERROR(VLOOKUP($D1745,'ACAH Consumables Tracker'!$A:$D,4,FALSE()),""))</f>
        <v/>
      </c>
      <c r="H1745" s="22"/>
    </row>
    <row r="1746" spans="1:8">
      <c r="A1746" s="21"/>
      <c r="B1746" s="28"/>
      <c r="C1746" s="22"/>
      <c r="D1746" s="28"/>
      <c r="E1746" s="23" t="str">
        <f>IF($D1746="","",IFERROR(VLOOKUP($D1746,'ACAH Consumables Tracker'!$A:$H,8,FALSE()),""))</f>
        <v/>
      </c>
      <c r="F1746" s="24"/>
      <c r="G1746" s="25" t="str">
        <f>IF($D1746="","",IFERROR(VLOOKUP($D1746,'ACAH Consumables Tracker'!$A:$D,4,FALSE()),""))</f>
        <v/>
      </c>
      <c r="H1746" s="22"/>
    </row>
    <row r="1747" spans="1:8">
      <c r="A1747" s="21"/>
      <c r="B1747" s="28"/>
      <c r="C1747" s="22"/>
      <c r="D1747" s="28"/>
      <c r="E1747" s="23" t="str">
        <f>IF($D1747="","",IFERROR(VLOOKUP($D1747,'ACAH Consumables Tracker'!$A:$H,8,FALSE()),""))</f>
        <v/>
      </c>
      <c r="F1747" s="24"/>
      <c r="G1747" s="25" t="str">
        <f>IF($D1747="","",IFERROR(VLOOKUP($D1747,'ACAH Consumables Tracker'!$A:$D,4,FALSE()),""))</f>
        <v/>
      </c>
      <c r="H1747" s="22"/>
    </row>
    <row r="1748" spans="1:8">
      <c r="A1748" s="21"/>
      <c r="B1748" s="28"/>
      <c r="C1748" s="22"/>
      <c r="D1748" s="28"/>
      <c r="E1748" s="23" t="str">
        <f>IF($D1748="","",IFERROR(VLOOKUP($D1748,'ACAH Consumables Tracker'!$A:$H,8,FALSE()),""))</f>
        <v/>
      </c>
      <c r="F1748" s="24"/>
      <c r="G1748" s="25" t="str">
        <f>IF($D1748="","",IFERROR(VLOOKUP($D1748,'ACAH Consumables Tracker'!$A:$D,4,FALSE()),""))</f>
        <v/>
      </c>
      <c r="H1748" s="22"/>
    </row>
    <row r="1749" spans="1:8">
      <c r="A1749" s="21"/>
      <c r="B1749" s="28"/>
      <c r="C1749" s="22"/>
      <c r="D1749" s="28"/>
      <c r="E1749" s="23" t="str">
        <f>IF($D1749="","",IFERROR(VLOOKUP($D1749,'ACAH Consumables Tracker'!$A:$H,8,FALSE()),""))</f>
        <v/>
      </c>
      <c r="F1749" s="24"/>
      <c r="G1749" s="25" t="str">
        <f>IF($D1749="","",IFERROR(VLOOKUP($D1749,'ACAH Consumables Tracker'!$A:$D,4,FALSE()),""))</f>
        <v/>
      </c>
      <c r="H1749" s="22"/>
    </row>
    <row r="1750" spans="1:8">
      <c r="A1750" s="21"/>
      <c r="B1750" s="28"/>
      <c r="C1750" s="22"/>
      <c r="D1750" s="28"/>
      <c r="E1750" s="23" t="str">
        <f>IF($D1750="","",IFERROR(VLOOKUP($D1750,'ACAH Consumables Tracker'!$A:$H,8,FALSE()),""))</f>
        <v/>
      </c>
      <c r="F1750" s="24"/>
      <c r="G1750" s="25" t="str">
        <f>IF($D1750="","",IFERROR(VLOOKUP($D1750,'ACAH Consumables Tracker'!$A:$D,4,FALSE()),""))</f>
        <v/>
      </c>
      <c r="H1750" s="22"/>
    </row>
    <row r="1751" spans="1:8">
      <c r="A1751" s="21"/>
      <c r="B1751" s="28"/>
      <c r="C1751" s="22"/>
      <c r="D1751" s="28"/>
      <c r="E1751" s="23" t="str">
        <f>IF($D1751="","",IFERROR(VLOOKUP($D1751,'ACAH Consumables Tracker'!$A:$H,8,FALSE()),""))</f>
        <v/>
      </c>
      <c r="F1751" s="24"/>
      <c r="G1751" s="25" t="str">
        <f>IF($D1751="","",IFERROR(VLOOKUP($D1751,'ACAH Consumables Tracker'!$A:$D,4,FALSE()),""))</f>
        <v/>
      </c>
      <c r="H1751" s="22"/>
    </row>
    <row r="1752" spans="1:8">
      <c r="A1752" s="21"/>
      <c r="B1752" s="28"/>
      <c r="C1752" s="22"/>
      <c r="D1752" s="28"/>
      <c r="E1752" s="23" t="str">
        <f>IF($D1752="","",IFERROR(VLOOKUP($D1752,'ACAH Consumables Tracker'!$A:$H,8,FALSE()),""))</f>
        <v/>
      </c>
      <c r="F1752" s="24"/>
      <c r="G1752" s="25" t="str">
        <f>IF($D1752="","",IFERROR(VLOOKUP($D1752,'ACAH Consumables Tracker'!$A:$D,4,FALSE()),""))</f>
        <v/>
      </c>
      <c r="H1752" s="22"/>
    </row>
    <row r="1753" spans="1:8">
      <c r="A1753" s="21"/>
      <c r="B1753" s="28"/>
      <c r="C1753" s="22"/>
      <c r="D1753" s="28"/>
      <c r="E1753" s="23" t="str">
        <f>IF($D1753="","",IFERROR(VLOOKUP($D1753,'ACAH Consumables Tracker'!$A:$H,8,FALSE()),""))</f>
        <v/>
      </c>
      <c r="F1753" s="24"/>
      <c r="G1753" s="25" t="str">
        <f>IF($D1753="","",IFERROR(VLOOKUP($D1753,'ACAH Consumables Tracker'!$A:$D,4,FALSE()),""))</f>
        <v/>
      </c>
      <c r="H1753" s="22"/>
    </row>
    <row r="1754" spans="1:8">
      <c r="A1754" s="21"/>
      <c r="B1754" s="28"/>
      <c r="C1754" s="22"/>
      <c r="D1754" s="28"/>
      <c r="E1754" s="23" t="str">
        <f>IF($D1754="","",IFERROR(VLOOKUP($D1754,'ACAH Consumables Tracker'!$A:$H,8,FALSE()),""))</f>
        <v/>
      </c>
      <c r="F1754" s="24"/>
      <c r="G1754" s="25" t="str">
        <f>IF($D1754="","",IFERROR(VLOOKUP($D1754,'ACAH Consumables Tracker'!$A:$D,4,FALSE()),""))</f>
        <v/>
      </c>
      <c r="H1754" s="22"/>
    </row>
    <row r="1755" spans="1:8">
      <c r="A1755" s="21"/>
      <c r="B1755" s="28"/>
      <c r="C1755" s="22"/>
      <c r="D1755" s="28"/>
      <c r="E1755" s="23" t="str">
        <f>IF($D1755="","",IFERROR(VLOOKUP($D1755,'ACAH Consumables Tracker'!$A:$H,8,FALSE()),""))</f>
        <v/>
      </c>
      <c r="F1755" s="24"/>
      <c r="G1755" s="25" t="str">
        <f>IF($D1755="","",IFERROR(VLOOKUP($D1755,'ACAH Consumables Tracker'!$A:$D,4,FALSE()),""))</f>
        <v/>
      </c>
      <c r="H1755" s="22"/>
    </row>
    <row r="1756" spans="1:8">
      <c r="A1756" s="21"/>
      <c r="B1756" s="28"/>
      <c r="C1756" s="22"/>
      <c r="D1756" s="28"/>
      <c r="E1756" s="23" t="str">
        <f>IF($D1756="","",IFERROR(VLOOKUP($D1756,'ACAH Consumables Tracker'!$A:$H,8,FALSE()),""))</f>
        <v/>
      </c>
      <c r="F1756" s="24"/>
      <c r="G1756" s="25" t="str">
        <f>IF($D1756="","",IFERROR(VLOOKUP($D1756,'ACAH Consumables Tracker'!$A:$D,4,FALSE()),""))</f>
        <v/>
      </c>
      <c r="H1756" s="22"/>
    </row>
    <row r="1757" spans="1:8">
      <c r="A1757" s="21"/>
      <c r="B1757" s="28"/>
      <c r="C1757" s="22"/>
      <c r="D1757" s="28"/>
      <c r="E1757" s="23" t="str">
        <f>IF($D1757="","",IFERROR(VLOOKUP($D1757,'ACAH Consumables Tracker'!$A:$H,8,FALSE()),""))</f>
        <v/>
      </c>
      <c r="F1757" s="24"/>
      <c r="G1757" s="25" t="str">
        <f>IF($D1757="","",IFERROR(VLOOKUP($D1757,'ACAH Consumables Tracker'!$A:$D,4,FALSE()),""))</f>
        <v/>
      </c>
      <c r="H1757" s="22"/>
    </row>
    <row r="1758" spans="1:8">
      <c r="A1758" s="21"/>
      <c r="B1758" s="28"/>
      <c r="C1758" s="22"/>
      <c r="D1758" s="28"/>
      <c r="E1758" s="23" t="str">
        <f>IF($D1758="","",IFERROR(VLOOKUP($D1758,'ACAH Consumables Tracker'!$A:$H,8,FALSE()),""))</f>
        <v/>
      </c>
      <c r="F1758" s="24"/>
      <c r="G1758" s="25" t="str">
        <f>IF($D1758="","",IFERROR(VLOOKUP($D1758,'ACAH Consumables Tracker'!$A:$D,4,FALSE()),""))</f>
        <v/>
      </c>
      <c r="H1758" s="22"/>
    </row>
    <row r="1759" spans="1:8">
      <c r="A1759" s="21"/>
      <c r="B1759" s="28"/>
      <c r="C1759" s="22"/>
      <c r="D1759" s="28"/>
      <c r="E1759" s="23" t="str">
        <f>IF($D1759="","",IFERROR(VLOOKUP($D1759,'ACAH Consumables Tracker'!$A:$H,8,FALSE()),""))</f>
        <v/>
      </c>
      <c r="F1759" s="24"/>
      <c r="G1759" s="25" t="str">
        <f>IF($D1759="","",IFERROR(VLOOKUP($D1759,'ACAH Consumables Tracker'!$A:$D,4,FALSE()),""))</f>
        <v/>
      </c>
      <c r="H1759" s="22"/>
    </row>
    <row r="1760" spans="1:8">
      <c r="A1760" s="21"/>
      <c r="B1760" s="28"/>
      <c r="C1760" s="22"/>
      <c r="D1760" s="28"/>
      <c r="E1760" s="23" t="str">
        <f>IF($D1760="","",IFERROR(VLOOKUP($D1760,'ACAH Consumables Tracker'!$A:$H,8,FALSE()),""))</f>
        <v/>
      </c>
      <c r="F1760" s="24"/>
      <c r="G1760" s="25" t="str">
        <f>IF($D1760="","",IFERROR(VLOOKUP($D1760,'ACAH Consumables Tracker'!$A:$D,4,FALSE()),""))</f>
        <v/>
      </c>
      <c r="H1760" s="22"/>
    </row>
    <row r="1761" spans="1:8">
      <c r="A1761" s="21"/>
      <c r="B1761" s="28"/>
      <c r="C1761" s="22"/>
      <c r="D1761" s="28"/>
      <c r="E1761" s="23" t="str">
        <f>IF($D1761="","",IFERROR(VLOOKUP($D1761,'ACAH Consumables Tracker'!$A:$H,8,FALSE()),""))</f>
        <v/>
      </c>
      <c r="F1761" s="24"/>
      <c r="G1761" s="25" t="str">
        <f>IF($D1761="","",IFERROR(VLOOKUP($D1761,'ACAH Consumables Tracker'!$A:$D,4,FALSE()),""))</f>
        <v/>
      </c>
      <c r="H1761" s="22"/>
    </row>
    <row r="1762" spans="1:8">
      <c r="A1762" s="21"/>
      <c r="B1762" s="28"/>
      <c r="C1762" s="22"/>
      <c r="D1762" s="28"/>
      <c r="E1762" s="23" t="str">
        <f>IF($D1762="","",IFERROR(VLOOKUP($D1762,'ACAH Consumables Tracker'!$A:$H,8,FALSE()),""))</f>
        <v/>
      </c>
      <c r="F1762" s="24"/>
      <c r="G1762" s="25" t="str">
        <f>IF($D1762="","",IFERROR(VLOOKUP($D1762,'ACAH Consumables Tracker'!$A:$D,4,FALSE()),""))</f>
        <v/>
      </c>
      <c r="H1762" s="22"/>
    </row>
    <row r="1763" spans="1:8">
      <c r="A1763" s="21"/>
      <c r="B1763" s="28"/>
      <c r="C1763" s="22"/>
      <c r="D1763" s="28"/>
      <c r="E1763" s="23" t="str">
        <f>IF($D1763="","",IFERROR(VLOOKUP($D1763,'ACAH Consumables Tracker'!$A:$H,8,FALSE()),""))</f>
        <v/>
      </c>
      <c r="F1763" s="24"/>
      <c r="G1763" s="25" t="str">
        <f>IF($D1763="","",IFERROR(VLOOKUP($D1763,'ACAH Consumables Tracker'!$A:$D,4,FALSE()),""))</f>
        <v/>
      </c>
      <c r="H1763" s="22"/>
    </row>
    <row r="1764" spans="1:8">
      <c r="A1764" s="21"/>
      <c r="B1764" s="28"/>
      <c r="C1764" s="22"/>
      <c r="D1764" s="28"/>
      <c r="E1764" s="23" t="str">
        <f>IF($D1764="","",IFERROR(VLOOKUP($D1764,'ACAH Consumables Tracker'!$A:$H,8,FALSE()),""))</f>
        <v/>
      </c>
      <c r="F1764" s="24"/>
      <c r="G1764" s="25" t="str">
        <f>IF($D1764="","",IFERROR(VLOOKUP($D1764,'ACAH Consumables Tracker'!$A:$D,4,FALSE()),""))</f>
        <v/>
      </c>
      <c r="H1764" s="22"/>
    </row>
    <row r="1765" spans="1:8">
      <c r="A1765" s="21"/>
      <c r="B1765" s="28"/>
      <c r="C1765" s="22"/>
      <c r="D1765" s="28"/>
      <c r="E1765" s="23" t="str">
        <f>IF($D1765="","",IFERROR(VLOOKUP($D1765,'ACAH Consumables Tracker'!$A:$H,8,FALSE()),""))</f>
        <v/>
      </c>
      <c r="F1765" s="24"/>
      <c r="G1765" s="25" t="str">
        <f>IF($D1765="","",IFERROR(VLOOKUP($D1765,'ACAH Consumables Tracker'!$A:$D,4,FALSE()),""))</f>
        <v/>
      </c>
      <c r="H1765" s="22"/>
    </row>
    <row r="1766" spans="1:8">
      <c r="A1766" s="21"/>
      <c r="B1766" s="28"/>
      <c r="C1766" s="22"/>
      <c r="D1766" s="28"/>
      <c r="E1766" s="23" t="str">
        <f>IF($D1766="","",IFERROR(VLOOKUP($D1766,'ACAH Consumables Tracker'!$A:$H,8,FALSE()),""))</f>
        <v/>
      </c>
      <c r="F1766" s="24"/>
      <c r="G1766" s="25" t="str">
        <f>IF($D1766="","",IFERROR(VLOOKUP($D1766,'ACAH Consumables Tracker'!$A:$D,4,FALSE()),""))</f>
        <v/>
      </c>
      <c r="H1766" s="22"/>
    </row>
    <row r="1767" spans="1:8">
      <c r="A1767" s="21"/>
      <c r="B1767" s="28"/>
      <c r="C1767" s="22"/>
      <c r="D1767" s="28"/>
      <c r="E1767" s="23" t="str">
        <f>IF($D1767="","",IFERROR(VLOOKUP($D1767,'ACAH Consumables Tracker'!$A:$H,8,FALSE()),""))</f>
        <v/>
      </c>
      <c r="F1767" s="24"/>
      <c r="G1767" s="25" t="str">
        <f>IF($D1767="","",IFERROR(VLOOKUP($D1767,'ACAH Consumables Tracker'!$A:$D,4,FALSE()),""))</f>
        <v/>
      </c>
      <c r="H1767" s="22"/>
    </row>
    <row r="1768" spans="1:8">
      <c r="A1768" s="21"/>
      <c r="B1768" s="28"/>
      <c r="C1768" s="22"/>
      <c r="D1768" s="28"/>
      <c r="E1768" s="23" t="str">
        <f>IF($D1768="","",IFERROR(VLOOKUP($D1768,'ACAH Consumables Tracker'!$A:$H,8,FALSE()),""))</f>
        <v/>
      </c>
      <c r="F1768" s="24"/>
      <c r="G1768" s="25" t="str">
        <f>IF($D1768="","",IFERROR(VLOOKUP($D1768,'ACAH Consumables Tracker'!$A:$D,4,FALSE()),""))</f>
        <v/>
      </c>
      <c r="H1768" s="22"/>
    </row>
    <row r="1769" spans="1:8">
      <c r="A1769" s="21"/>
      <c r="B1769" s="28"/>
      <c r="C1769" s="22"/>
      <c r="D1769" s="28"/>
      <c r="E1769" s="23" t="str">
        <f>IF($D1769="","",IFERROR(VLOOKUP($D1769,'ACAH Consumables Tracker'!$A:$H,8,FALSE()),""))</f>
        <v/>
      </c>
      <c r="F1769" s="24"/>
      <c r="G1769" s="25" t="str">
        <f>IF($D1769="","",IFERROR(VLOOKUP($D1769,'ACAH Consumables Tracker'!$A:$D,4,FALSE()),""))</f>
        <v/>
      </c>
      <c r="H1769" s="22"/>
    </row>
    <row r="1770" spans="1:8">
      <c r="A1770" s="21"/>
      <c r="B1770" s="28"/>
      <c r="C1770" s="22"/>
      <c r="D1770" s="28"/>
      <c r="E1770" s="23" t="str">
        <f>IF($D1770="","",IFERROR(VLOOKUP($D1770,'ACAH Consumables Tracker'!$A:$H,8,FALSE()),""))</f>
        <v/>
      </c>
      <c r="F1770" s="24"/>
      <c r="G1770" s="25" t="str">
        <f>IF($D1770="","",IFERROR(VLOOKUP($D1770,'ACAH Consumables Tracker'!$A:$D,4,FALSE()),""))</f>
        <v/>
      </c>
      <c r="H1770" s="22"/>
    </row>
    <row r="1771" spans="1:8">
      <c r="A1771" s="21"/>
      <c r="B1771" s="28"/>
      <c r="C1771" s="22"/>
      <c r="D1771" s="28"/>
      <c r="E1771" s="23" t="str">
        <f>IF($D1771="","",IFERROR(VLOOKUP($D1771,'ACAH Consumables Tracker'!$A:$H,8,FALSE()),""))</f>
        <v/>
      </c>
      <c r="F1771" s="24"/>
      <c r="G1771" s="25" t="str">
        <f>IF($D1771="","",IFERROR(VLOOKUP($D1771,'ACAH Consumables Tracker'!$A:$D,4,FALSE()),""))</f>
        <v/>
      </c>
      <c r="H1771" s="22"/>
    </row>
    <row r="1772" spans="1:8">
      <c r="A1772" s="21"/>
      <c r="B1772" s="28"/>
      <c r="C1772" s="22"/>
      <c r="D1772" s="28"/>
      <c r="E1772" s="23" t="str">
        <f>IF($D1772="","",IFERROR(VLOOKUP($D1772,'ACAH Consumables Tracker'!$A:$H,8,FALSE()),""))</f>
        <v/>
      </c>
      <c r="F1772" s="24"/>
      <c r="G1772" s="25" t="str">
        <f>IF($D1772="","",IFERROR(VLOOKUP($D1772,'ACAH Consumables Tracker'!$A:$D,4,FALSE()),""))</f>
        <v/>
      </c>
      <c r="H1772" s="22"/>
    </row>
    <row r="1773" spans="1:8">
      <c r="A1773" s="21"/>
      <c r="B1773" s="28"/>
      <c r="C1773" s="22"/>
      <c r="D1773" s="28"/>
      <c r="E1773" s="23" t="str">
        <f>IF($D1773="","",IFERROR(VLOOKUP($D1773,'ACAH Consumables Tracker'!$A:$H,8,FALSE()),""))</f>
        <v/>
      </c>
      <c r="F1773" s="24"/>
      <c r="G1773" s="25" t="str">
        <f>IF($D1773="","",IFERROR(VLOOKUP($D1773,'ACAH Consumables Tracker'!$A:$D,4,FALSE()),""))</f>
        <v/>
      </c>
      <c r="H1773" s="22"/>
    </row>
    <row r="1774" spans="1:8">
      <c r="A1774" s="21"/>
      <c r="B1774" s="28"/>
      <c r="C1774" s="22"/>
      <c r="D1774" s="28"/>
      <c r="E1774" s="23" t="str">
        <f>IF($D1774="","",IFERROR(VLOOKUP($D1774,'ACAH Consumables Tracker'!$A:$H,8,FALSE()),""))</f>
        <v/>
      </c>
      <c r="F1774" s="24"/>
      <c r="G1774" s="25" t="str">
        <f>IF($D1774="","",IFERROR(VLOOKUP($D1774,'ACAH Consumables Tracker'!$A:$D,4,FALSE()),""))</f>
        <v/>
      </c>
      <c r="H1774" s="22"/>
    </row>
    <row r="1775" spans="1:8">
      <c r="A1775" s="21"/>
      <c r="B1775" s="28"/>
      <c r="C1775" s="22"/>
      <c r="D1775" s="28"/>
      <c r="E1775" s="23" t="str">
        <f>IF($D1775="","",IFERROR(VLOOKUP($D1775,'ACAH Consumables Tracker'!$A:$H,8,FALSE()),""))</f>
        <v/>
      </c>
      <c r="F1775" s="24"/>
      <c r="G1775" s="25" t="str">
        <f>IF($D1775="","",IFERROR(VLOOKUP($D1775,'ACAH Consumables Tracker'!$A:$D,4,FALSE()),""))</f>
        <v/>
      </c>
      <c r="H1775" s="22"/>
    </row>
    <row r="1776" spans="1:8">
      <c r="A1776" s="21"/>
      <c r="B1776" s="28"/>
      <c r="C1776" s="22"/>
      <c r="D1776" s="28"/>
      <c r="E1776" s="23" t="str">
        <f>IF($D1776="","",IFERROR(VLOOKUP($D1776,'ACAH Consumables Tracker'!$A:$H,8,FALSE()),""))</f>
        <v/>
      </c>
      <c r="F1776" s="24"/>
      <c r="G1776" s="25" t="str">
        <f>IF($D1776="","",IFERROR(VLOOKUP($D1776,'ACAH Consumables Tracker'!$A:$D,4,FALSE()),""))</f>
        <v/>
      </c>
      <c r="H1776" s="22"/>
    </row>
    <row r="1777" spans="1:8">
      <c r="A1777" s="21"/>
      <c r="B1777" s="28"/>
      <c r="C1777" s="22"/>
      <c r="D1777" s="28"/>
      <c r="E1777" s="23" t="str">
        <f>IF($D1777="","",IFERROR(VLOOKUP($D1777,'ACAH Consumables Tracker'!$A:$H,8,FALSE()),""))</f>
        <v/>
      </c>
      <c r="F1777" s="24"/>
      <c r="G1777" s="25" t="str">
        <f>IF($D1777="","",IFERROR(VLOOKUP($D1777,'ACAH Consumables Tracker'!$A:$D,4,FALSE()),""))</f>
        <v/>
      </c>
      <c r="H1777" s="22"/>
    </row>
    <row r="1778" spans="1:8">
      <c r="A1778" s="21"/>
      <c r="B1778" s="28"/>
      <c r="C1778" s="22"/>
      <c r="D1778" s="28"/>
      <c r="E1778" s="23" t="str">
        <f>IF($D1778="","",IFERROR(VLOOKUP($D1778,'ACAH Consumables Tracker'!$A:$H,8,FALSE()),""))</f>
        <v/>
      </c>
      <c r="F1778" s="24"/>
      <c r="G1778" s="25" t="str">
        <f>IF($D1778="","",IFERROR(VLOOKUP($D1778,'ACAH Consumables Tracker'!$A:$D,4,FALSE()),""))</f>
        <v/>
      </c>
      <c r="H1778" s="22"/>
    </row>
    <row r="1779" spans="1:8">
      <c r="A1779" s="21"/>
      <c r="B1779" s="28"/>
      <c r="C1779" s="22"/>
      <c r="D1779" s="28"/>
      <c r="E1779" s="23" t="str">
        <f>IF($D1779="","",IFERROR(VLOOKUP($D1779,'ACAH Consumables Tracker'!$A:$H,8,FALSE()),""))</f>
        <v/>
      </c>
      <c r="F1779" s="24"/>
      <c r="G1779" s="25" t="str">
        <f>IF($D1779="","",IFERROR(VLOOKUP($D1779,'ACAH Consumables Tracker'!$A:$D,4,FALSE()),""))</f>
        <v/>
      </c>
      <c r="H1779" s="22"/>
    </row>
    <row r="1780" spans="1:8">
      <c r="A1780" s="21"/>
      <c r="B1780" s="28"/>
      <c r="C1780" s="22"/>
      <c r="D1780" s="28"/>
      <c r="E1780" s="23" t="str">
        <f>IF($D1780="","",IFERROR(VLOOKUP($D1780,'ACAH Consumables Tracker'!$A:$H,8,FALSE()),""))</f>
        <v/>
      </c>
      <c r="F1780" s="24"/>
      <c r="G1780" s="25" t="str">
        <f>IF($D1780="","",IFERROR(VLOOKUP($D1780,'ACAH Consumables Tracker'!$A:$D,4,FALSE()),""))</f>
        <v/>
      </c>
      <c r="H1780" s="22"/>
    </row>
    <row r="1781" spans="1:8">
      <c r="A1781" s="21"/>
      <c r="B1781" s="28"/>
      <c r="C1781" s="22"/>
      <c r="D1781" s="28"/>
      <c r="E1781" s="23" t="str">
        <f>IF($D1781="","",IFERROR(VLOOKUP($D1781,'ACAH Consumables Tracker'!$A:$H,8,FALSE()),""))</f>
        <v/>
      </c>
      <c r="F1781" s="24"/>
      <c r="G1781" s="25" t="str">
        <f>IF($D1781="","",IFERROR(VLOOKUP($D1781,'ACAH Consumables Tracker'!$A:$D,4,FALSE()),""))</f>
        <v/>
      </c>
      <c r="H1781" s="22"/>
    </row>
    <row r="1782" spans="1:8">
      <c r="A1782" s="21"/>
      <c r="B1782" s="28"/>
      <c r="C1782" s="22"/>
      <c r="D1782" s="28"/>
      <c r="E1782" s="23" t="str">
        <f>IF($D1782="","",IFERROR(VLOOKUP($D1782,'ACAH Consumables Tracker'!$A:$H,8,FALSE()),""))</f>
        <v/>
      </c>
      <c r="F1782" s="24"/>
      <c r="G1782" s="25" t="str">
        <f>IF($D1782="","",IFERROR(VLOOKUP($D1782,'ACAH Consumables Tracker'!$A:$D,4,FALSE()),""))</f>
        <v/>
      </c>
      <c r="H1782" s="22"/>
    </row>
    <row r="1783" spans="1:8">
      <c r="A1783" s="21"/>
      <c r="B1783" s="28"/>
      <c r="C1783" s="22"/>
      <c r="D1783" s="28"/>
      <c r="E1783" s="23" t="str">
        <f>IF($D1783="","",IFERROR(VLOOKUP($D1783,'ACAH Consumables Tracker'!$A:$H,8,FALSE()),""))</f>
        <v/>
      </c>
      <c r="F1783" s="24"/>
      <c r="G1783" s="25" t="str">
        <f>IF($D1783="","",IFERROR(VLOOKUP($D1783,'ACAH Consumables Tracker'!$A:$D,4,FALSE()),""))</f>
        <v/>
      </c>
      <c r="H1783" s="22"/>
    </row>
    <row r="1784" spans="1:8">
      <c r="A1784" s="21"/>
      <c r="B1784" s="28"/>
      <c r="C1784" s="22"/>
      <c r="D1784" s="28"/>
      <c r="E1784" s="23" t="str">
        <f>IF($D1784="","",IFERROR(VLOOKUP($D1784,'ACAH Consumables Tracker'!$A:$H,8,FALSE()),""))</f>
        <v/>
      </c>
      <c r="F1784" s="24"/>
      <c r="G1784" s="25" t="str">
        <f>IF($D1784="","",IFERROR(VLOOKUP($D1784,'ACAH Consumables Tracker'!$A:$D,4,FALSE()),""))</f>
        <v/>
      </c>
      <c r="H1784" s="22"/>
    </row>
    <row r="1785" spans="1:8">
      <c r="A1785" s="21"/>
      <c r="B1785" s="28"/>
      <c r="C1785" s="22"/>
      <c r="D1785" s="28"/>
      <c r="E1785" s="23" t="str">
        <f>IF($D1785="","",IFERROR(VLOOKUP($D1785,'ACAH Consumables Tracker'!$A:$H,8,FALSE()),""))</f>
        <v/>
      </c>
      <c r="F1785" s="24"/>
      <c r="G1785" s="25" t="str">
        <f>IF($D1785="","",IFERROR(VLOOKUP($D1785,'ACAH Consumables Tracker'!$A:$D,4,FALSE()),""))</f>
        <v/>
      </c>
      <c r="H1785" s="22"/>
    </row>
    <row r="1786" spans="1:8">
      <c r="A1786" s="21"/>
      <c r="B1786" s="28"/>
      <c r="C1786" s="22"/>
      <c r="D1786" s="28"/>
      <c r="E1786" s="23" t="str">
        <f>IF($D1786="","",IFERROR(VLOOKUP($D1786,'ACAH Consumables Tracker'!$A:$H,8,FALSE()),""))</f>
        <v/>
      </c>
      <c r="F1786" s="24"/>
      <c r="G1786" s="25" t="str">
        <f>IF($D1786="","",IFERROR(VLOOKUP($D1786,'ACAH Consumables Tracker'!$A:$D,4,FALSE()),""))</f>
        <v/>
      </c>
      <c r="H1786" s="22"/>
    </row>
    <row r="1787" spans="1:8">
      <c r="A1787" s="21"/>
      <c r="B1787" s="28"/>
      <c r="C1787" s="22"/>
      <c r="D1787" s="28"/>
      <c r="E1787" s="23" t="str">
        <f>IF($D1787="","",IFERROR(VLOOKUP($D1787,'ACAH Consumables Tracker'!$A:$H,8,FALSE()),""))</f>
        <v/>
      </c>
      <c r="F1787" s="24"/>
      <c r="G1787" s="25" t="str">
        <f>IF($D1787="","",IFERROR(VLOOKUP($D1787,'ACAH Consumables Tracker'!$A:$D,4,FALSE()),""))</f>
        <v/>
      </c>
      <c r="H1787" s="22"/>
    </row>
    <row r="1788" spans="1:8">
      <c r="A1788" s="21"/>
      <c r="B1788" s="28"/>
      <c r="C1788" s="22"/>
      <c r="D1788" s="28"/>
      <c r="E1788" s="23" t="str">
        <f>IF($D1788="","",IFERROR(VLOOKUP($D1788,'ACAH Consumables Tracker'!$A:$H,8,FALSE()),""))</f>
        <v/>
      </c>
      <c r="F1788" s="24"/>
      <c r="G1788" s="25" t="str">
        <f>IF($D1788="","",IFERROR(VLOOKUP($D1788,'ACAH Consumables Tracker'!$A:$D,4,FALSE()),""))</f>
        <v/>
      </c>
      <c r="H1788" s="22"/>
    </row>
    <row r="1789" spans="1:8">
      <c r="A1789" s="21"/>
      <c r="B1789" s="28"/>
      <c r="C1789" s="22"/>
      <c r="D1789" s="28"/>
      <c r="E1789" s="23" t="str">
        <f>IF($D1789="","",IFERROR(VLOOKUP($D1789,'ACAH Consumables Tracker'!$A:$H,8,FALSE()),""))</f>
        <v/>
      </c>
      <c r="F1789" s="24"/>
      <c r="G1789" s="25" t="str">
        <f>IF($D1789="","",IFERROR(VLOOKUP($D1789,'ACAH Consumables Tracker'!$A:$D,4,FALSE()),""))</f>
        <v/>
      </c>
      <c r="H1789" s="22"/>
    </row>
    <row r="1790" spans="1:8">
      <c r="A1790" s="21"/>
      <c r="B1790" s="28"/>
      <c r="C1790" s="22"/>
      <c r="D1790" s="28"/>
      <c r="E1790" s="23" t="str">
        <f>IF($D1790="","",IFERROR(VLOOKUP($D1790,'ACAH Consumables Tracker'!$A:$H,8,FALSE()),""))</f>
        <v/>
      </c>
      <c r="F1790" s="24"/>
      <c r="G1790" s="25" t="str">
        <f>IF($D1790="","",IFERROR(VLOOKUP($D1790,'ACAH Consumables Tracker'!$A:$D,4,FALSE()),""))</f>
        <v/>
      </c>
      <c r="H1790" s="22"/>
    </row>
    <row r="1791" spans="1:8">
      <c r="A1791" s="21"/>
      <c r="B1791" s="28"/>
      <c r="C1791" s="22"/>
      <c r="D1791" s="28"/>
      <c r="E1791" s="23" t="str">
        <f>IF($D1791="","",IFERROR(VLOOKUP($D1791,'ACAH Consumables Tracker'!$A:$H,8,FALSE()),""))</f>
        <v/>
      </c>
      <c r="F1791" s="24"/>
      <c r="G1791" s="25" t="str">
        <f>IF($D1791="","",IFERROR(VLOOKUP($D1791,'ACAH Consumables Tracker'!$A:$D,4,FALSE()),""))</f>
        <v/>
      </c>
      <c r="H1791" s="22"/>
    </row>
    <row r="1792" spans="1:8">
      <c r="A1792" s="21"/>
      <c r="B1792" s="28"/>
      <c r="C1792" s="22"/>
      <c r="D1792" s="28"/>
      <c r="E1792" s="23" t="str">
        <f>IF($D1792="","",IFERROR(VLOOKUP($D1792,'ACAH Consumables Tracker'!$A:$H,8,FALSE()),""))</f>
        <v/>
      </c>
      <c r="F1792" s="24"/>
      <c r="G1792" s="25" t="str">
        <f>IF($D1792="","",IFERROR(VLOOKUP($D1792,'ACAH Consumables Tracker'!$A:$D,4,FALSE()),""))</f>
        <v/>
      </c>
      <c r="H1792" s="22"/>
    </row>
    <row r="1793" spans="1:8">
      <c r="A1793" s="21"/>
      <c r="B1793" s="28"/>
      <c r="C1793" s="22"/>
      <c r="D1793" s="28"/>
      <c r="E1793" s="23" t="str">
        <f>IF($D1793="","",IFERROR(VLOOKUP($D1793,'ACAH Consumables Tracker'!$A:$H,8,FALSE()),""))</f>
        <v/>
      </c>
      <c r="F1793" s="24"/>
      <c r="G1793" s="25" t="str">
        <f>IF($D1793="","",IFERROR(VLOOKUP($D1793,'ACAH Consumables Tracker'!$A:$D,4,FALSE()),""))</f>
        <v/>
      </c>
      <c r="H1793" s="22"/>
    </row>
    <row r="1794" spans="1:8">
      <c r="A1794" s="21"/>
      <c r="B1794" s="28"/>
      <c r="C1794" s="22"/>
      <c r="D1794" s="28"/>
      <c r="E1794" s="23" t="str">
        <f>IF($D1794="","",IFERROR(VLOOKUP($D1794,'ACAH Consumables Tracker'!$A:$H,8,FALSE()),""))</f>
        <v/>
      </c>
      <c r="F1794" s="24"/>
      <c r="G1794" s="25" t="str">
        <f>IF($D1794="","",IFERROR(VLOOKUP($D1794,'ACAH Consumables Tracker'!$A:$D,4,FALSE()),""))</f>
        <v/>
      </c>
      <c r="H1794" s="22"/>
    </row>
    <row r="1795" spans="1:8">
      <c r="A1795" s="21"/>
      <c r="B1795" s="28"/>
      <c r="C1795" s="22"/>
      <c r="D1795" s="28"/>
      <c r="E1795" s="23" t="str">
        <f>IF($D1795="","",IFERROR(VLOOKUP($D1795,'ACAH Consumables Tracker'!$A:$H,8,FALSE()),""))</f>
        <v/>
      </c>
      <c r="F1795" s="24"/>
      <c r="G1795" s="25" t="str">
        <f>IF($D1795="","",IFERROR(VLOOKUP($D1795,'ACAH Consumables Tracker'!$A:$D,4,FALSE()),""))</f>
        <v/>
      </c>
      <c r="H1795" s="22"/>
    </row>
    <row r="1796" spans="1:8">
      <c r="A1796" s="21"/>
      <c r="B1796" s="28"/>
      <c r="C1796" s="22"/>
      <c r="D1796" s="28"/>
      <c r="E1796" s="23" t="str">
        <f>IF($D1796="","",IFERROR(VLOOKUP($D1796,'ACAH Consumables Tracker'!$A:$H,8,FALSE()),""))</f>
        <v/>
      </c>
      <c r="F1796" s="24"/>
      <c r="G1796" s="25" t="str">
        <f>IF($D1796="","",IFERROR(VLOOKUP($D1796,'ACAH Consumables Tracker'!$A:$D,4,FALSE()),""))</f>
        <v/>
      </c>
      <c r="H1796" s="22"/>
    </row>
    <row r="1797" spans="1:8">
      <c r="A1797" s="21"/>
      <c r="B1797" s="28"/>
      <c r="C1797" s="22"/>
      <c r="D1797" s="28"/>
      <c r="E1797" s="23" t="str">
        <f>IF($D1797="","",IFERROR(VLOOKUP($D1797,'ACAH Consumables Tracker'!$A:$H,8,FALSE()),""))</f>
        <v/>
      </c>
      <c r="F1797" s="24"/>
      <c r="G1797" s="25" t="str">
        <f>IF($D1797="","",IFERROR(VLOOKUP($D1797,'ACAH Consumables Tracker'!$A:$D,4,FALSE()),""))</f>
        <v/>
      </c>
      <c r="H1797" s="22"/>
    </row>
    <row r="1798" spans="1:8">
      <c r="A1798" s="21"/>
      <c r="B1798" s="28"/>
      <c r="C1798" s="22"/>
      <c r="D1798" s="28"/>
      <c r="E1798" s="23" t="str">
        <f>IF($D1798="","",IFERROR(VLOOKUP($D1798,'ACAH Consumables Tracker'!$A:$H,8,FALSE()),""))</f>
        <v/>
      </c>
      <c r="F1798" s="24"/>
      <c r="G1798" s="25" t="str">
        <f>IF($D1798="","",IFERROR(VLOOKUP($D1798,'ACAH Consumables Tracker'!$A:$D,4,FALSE()),""))</f>
        <v/>
      </c>
      <c r="H1798" s="22"/>
    </row>
    <row r="1799" spans="1:8">
      <c r="A1799" s="21"/>
      <c r="B1799" s="28"/>
      <c r="C1799" s="22"/>
      <c r="D1799" s="28"/>
      <c r="E1799" s="23" t="str">
        <f>IF($D1799="","",IFERROR(VLOOKUP($D1799,'ACAH Consumables Tracker'!$A:$H,8,FALSE()),""))</f>
        <v/>
      </c>
      <c r="F1799" s="24"/>
      <c r="G1799" s="25" t="str">
        <f>IF($D1799="","",IFERROR(VLOOKUP($D1799,'ACAH Consumables Tracker'!$A:$D,4,FALSE()),""))</f>
        <v/>
      </c>
      <c r="H1799" s="22"/>
    </row>
    <row r="1800" spans="1:8">
      <c r="A1800" s="21"/>
      <c r="B1800" s="28"/>
      <c r="C1800" s="22"/>
      <c r="D1800" s="28"/>
      <c r="E1800" s="23" t="str">
        <f>IF($D1800="","",IFERROR(VLOOKUP($D1800,'ACAH Consumables Tracker'!$A:$H,8,FALSE()),""))</f>
        <v/>
      </c>
      <c r="F1800" s="24"/>
      <c r="G1800" s="25" t="str">
        <f>IF($D1800="","",IFERROR(VLOOKUP($D1800,'ACAH Consumables Tracker'!$A:$D,4,FALSE()),""))</f>
        <v/>
      </c>
      <c r="H1800" s="22"/>
    </row>
    <row r="1801" spans="1:8">
      <c r="A1801" s="21"/>
      <c r="B1801" s="28"/>
      <c r="C1801" s="22"/>
      <c r="D1801" s="28"/>
      <c r="E1801" s="23" t="str">
        <f>IF($D1801="","",IFERROR(VLOOKUP($D1801,'ACAH Consumables Tracker'!$A:$H,8,FALSE()),""))</f>
        <v/>
      </c>
      <c r="F1801" s="24"/>
      <c r="G1801" s="25" t="str">
        <f>IF($D1801="","",IFERROR(VLOOKUP($D1801,'ACAH Consumables Tracker'!$A:$D,4,FALSE()),""))</f>
        <v/>
      </c>
      <c r="H1801" s="22"/>
    </row>
    <row r="1802" spans="1:8">
      <c r="A1802" s="21"/>
      <c r="B1802" s="28"/>
      <c r="C1802" s="22"/>
      <c r="D1802" s="28"/>
      <c r="E1802" s="23" t="str">
        <f>IF($D1802="","",IFERROR(VLOOKUP($D1802,'ACAH Consumables Tracker'!$A:$H,8,FALSE()),""))</f>
        <v/>
      </c>
      <c r="F1802" s="24"/>
      <c r="G1802" s="25" t="str">
        <f>IF($D1802="","",IFERROR(VLOOKUP($D1802,'ACAH Consumables Tracker'!$A:$D,4,FALSE()),""))</f>
        <v/>
      </c>
      <c r="H1802" s="22"/>
    </row>
    <row r="1803" spans="1:8">
      <c r="A1803" s="21"/>
      <c r="B1803" s="28"/>
      <c r="C1803" s="22"/>
      <c r="D1803" s="28"/>
      <c r="E1803" s="23" t="str">
        <f>IF($D1803="","",IFERROR(VLOOKUP($D1803,'ACAH Consumables Tracker'!$A:$H,8,FALSE()),""))</f>
        <v/>
      </c>
      <c r="F1803" s="24"/>
      <c r="G1803" s="25" t="str">
        <f>IF($D1803="","",IFERROR(VLOOKUP($D1803,'ACAH Consumables Tracker'!$A:$D,4,FALSE()),""))</f>
        <v/>
      </c>
      <c r="H1803" s="22"/>
    </row>
    <row r="1804" spans="1:8">
      <c r="A1804" s="21"/>
      <c r="B1804" s="28"/>
      <c r="C1804" s="22"/>
      <c r="D1804" s="28"/>
      <c r="E1804" s="23" t="str">
        <f>IF($D1804="","",IFERROR(VLOOKUP($D1804,'ACAH Consumables Tracker'!$A:$H,8,FALSE()),""))</f>
        <v/>
      </c>
      <c r="F1804" s="24"/>
      <c r="G1804" s="25" t="str">
        <f>IF($D1804="","",IFERROR(VLOOKUP($D1804,'ACAH Consumables Tracker'!$A:$D,4,FALSE()),""))</f>
        <v/>
      </c>
      <c r="H1804" s="22"/>
    </row>
    <row r="1805" spans="1:8">
      <c r="A1805" s="21"/>
      <c r="B1805" s="28"/>
      <c r="C1805" s="22"/>
      <c r="D1805" s="28"/>
      <c r="E1805" s="23" t="str">
        <f>IF($D1805="","",IFERROR(VLOOKUP($D1805,'ACAH Consumables Tracker'!$A:$H,8,FALSE()),""))</f>
        <v/>
      </c>
      <c r="F1805" s="24"/>
      <c r="G1805" s="25" t="str">
        <f>IF($D1805="","",IFERROR(VLOOKUP($D1805,'ACAH Consumables Tracker'!$A:$D,4,FALSE()),""))</f>
        <v/>
      </c>
      <c r="H1805" s="22"/>
    </row>
    <row r="1806" spans="1:8">
      <c r="A1806" s="21"/>
      <c r="B1806" s="28"/>
      <c r="C1806" s="22"/>
      <c r="D1806" s="28"/>
      <c r="E1806" s="23" t="str">
        <f>IF($D1806="","",IFERROR(VLOOKUP($D1806,'ACAH Consumables Tracker'!$A:$H,8,FALSE()),""))</f>
        <v/>
      </c>
      <c r="F1806" s="24"/>
      <c r="G1806" s="25" t="str">
        <f>IF($D1806="","",IFERROR(VLOOKUP($D1806,'ACAH Consumables Tracker'!$A:$D,4,FALSE()),""))</f>
        <v/>
      </c>
      <c r="H1806" s="22"/>
    </row>
    <row r="1807" spans="1:8">
      <c r="A1807" s="21"/>
      <c r="B1807" s="28"/>
      <c r="C1807" s="22"/>
      <c r="D1807" s="28"/>
      <c r="E1807" s="23" t="str">
        <f>IF($D1807="","",IFERROR(VLOOKUP($D1807,'ACAH Consumables Tracker'!$A:$H,8,FALSE()),""))</f>
        <v/>
      </c>
      <c r="F1807" s="24"/>
      <c r="G1807" s="25" t="str">
        <f>IF($D1807="","",IFERROR(VLOOKUP($D1807,'ACAH Consumables Tracker'!$A:$D,4,FALSE()),""))</f>
        <v/>
      </c>
      <c r="H1807" s="22"/>
    </row>
    <row r="1808" spans="1:8">
      <c r="A1808" s="21"/>
      <c r="B1808" s="28"/>
      <c r="C1808" s="22"/>
      <c r="D1808" s="28"/>
      <c r="E1808" s="23" t="str">
        <f>IF($D1808="","",IFERROR(VLOOKUP($D1808,'ACAH Consumables Tracker'!$A:$H,8,FALSE()),""))</f>
        <v/>
      </c>
      <c r="F1808" s="24"/>
      <c r="G1808" s="25" t="str">
        <f>IF($D1808="","",IFERROR(VLOOKUP($D1808,'ACAH Consumables Tracker'!$A:$D,4,FALSE()),""))</f>
        <v/>
      </c>
      <c r="H1808" s="22"/>
    </row>
    <row r="1809" spans="1:8">
      <c r="A1809" s="21"/>
      <c r="B1809" s="28"/>
      <c r="C1809" s="22"/>
      <c r="D1809" s="28"/>
      <c r="E1809" s="23" t="str">
        <f>IF($D1809="","",IFERROR(VLOOKUP($D1809,'ACAH Consumables Tracker'!$A:$H,8,FALSE()),""))</f>
        <v/>
      </c>
      <c r="F1809" s="24"/>
      <c r="G1809" s="25" t="str">
        <f>IF($D1809="","",IFERROR(VLOOKUP($D1809,'ACAH Consumables Tracker'!$A:$D,4,FALSE()),""))</f>
        <v/>
      </c>
      <c r="H1809" s="22"/>
    </row>
    <row r="1810" spans="1:8">
      <c r="A1810" s="21"/>
      <c r="B1810" s="28"/>
      <c r="C1810" s="22"/>
      <c r="D1810" s="28"/>
      <c r="E1810" s="23" t="str">
        <f>IF($D1810="","",IFERROR(VLOOKUP($D1810,'ACAH Consumables Tracker'!$A:$H,8,FALSE()),""))</f>
        <v/>
      </c>
      <c r="F1810" s="24"/>
      <c r="G1810" s="25" t="str">
        <f>IF($D1810="","",IFERROR(VLOOKUP($D1810,'ACAH Consumables Tracker'!$A:$D,4,FALSE()),""))</f>
        <v/>
      </c>
      <c r="H1810" s="22"/>
    </row>
    <row r="1811" spans="1:8">
      <c r="A1811" s="21"/>
      <c r="B1811" s="28"/>
      <c r="C1811" s="22"/>
      <c r="D1811" s="28"/>
      <c r="E1811" s="23" t="str">
        <f>IF($D1811="","",IFERROR(VLOOKUP($D1811,'ACAH Consumables Tracker'!$A:$H,8,FALSE()),""))</f>
        <v/>
      </c>
      <c r="F1811" s="24"/>
      <c r="G1811" s="25" t="str">
        <f>IF($D1811="","",IFERROR(VLOOKUP($D1811,'ACAH Consumables Tracker'!$A:$D,4,FALSE()),""))</f>
        <v/>
      </c>
      <c r="H1811" s="22"/>
    </row>
    <row r="1812" spans="1:8">
      <c r="A1812" s="21"/>
      <c r="B1812" s="28"/>
      <c r="C1812" s="22"/>
      <c r="D1812" s="28"/>
      <c r="E1812" s="23" t="str">
        <f>IF($D1812="","",IFERROR(VLOOKUP($D1812,'ACAH Consumables Tracker'!$A:$H,8,FALSE()),""))</f>
        <v/>
      </c>
      <c r="F1812" s="24"/>
      <c r="G1812" s="25" t="str">
        <f>IF($D1812="","",IFERROR(VLOOKUP($D1812,'ACAH Consumables Tracker'!$A:$D,4,FALSE()),""))</f>
        <v/>
      </c>
      <c r="H1812" s="22"/>
    </row>
    <row r="1813" spans="1:8">
      <c r="A1813" s="21"/>
      <c r="B1813" s="28"/>
      <c r="C1813" s="22"/>
      <c r="D1813" s="28"/>
      <c r="E1813" s="23" t="str">
        <f>IF($D1813="","",IFERROR(VLOOKUP($D1813,'ACAH Consumables Tracker'!$A:$H,8,FALSE()),""))</f>
        <v/>
      </c>
      <c r="F1813" s="24"/>
      <c r="G1813" s="25" t="str">
        <f>IF($D1813="","",IFERROR(VLOOKUP($D1813,'ACAH Consumables Tracker'!$A:$D,4,FALSE()),""))</f>
        <v/>
      </c>
      <c r="H1813" s="22"/>
    </row>
    <row r="1814" spans="1:8">
      <c r="A1814" s="21"/>
      <c r="B1814" s="28"/>
      <c r="C1814" s="22"/>
      <c r="D1814" s="28"/>
      <c r="E1814" s="23" t="str">
        <f>IF($D1814="","",IFERROR(VLOOKUP($D1814,'ACAH Consumables Tracker'!$A:$H,8,FALSE()),""))</f>
        <v/>
      </c>
      <c r="F1814" s="24"/>
      <c r="G1814" s="25" t="str">
        <f>IF($D1814="","",IFERROR(VLOOKUP($D1814,'ACAH Consumables Tracker'!$A:$D,4,FALSE()),""))</f>
        <v/>
      </c>
      <c r="H1814" s="22"/>
    </row>
    <row r="1815" spans="1:8">
      <c r="A1815" s="21"/>
      <c r="B1815" s="28"/>
      <c r="C1815" s="22"/>
      <c r="D1815" s="28"/>
      <c r="E1815" s="23" t="str">
        <f>IF($D1815="","",IFERROR(VLOOKUP($D1815,'ACAH Consumables Tracker'!$A:$H,8,FALSE()),""))</f>
        <v/>
      </c>
      <c r="F1815" s="24"/>
      <c r="G1815" s="25" t="str">
        <f>IF($D1815="","",IFERROR(VLOOKUP($D1815,'ACAH Consumables Tracker'!$A:$D,4,FALSE()),""))</f>
        <v/>
      </c>
      <c r="H1815" s="22"/>
    </row>
    <row r="1816" spans="1:8">
      <c r="A1816" s="21"/>
      <c r="B1816" s="28"/>
      <c r="C1816" s="22"/>
      <c r="D1816" s="28"/>
      <c r="E1816" s="23" t="str">
        <f>IF($D1816="","",IFERROR(VLOOKUP($D1816,'ACAH Consumables Tracker'!$A:$H,8,FALSE()),""))</f>
        <v/>
      </c>
      <c r="F1816" s="24"/>
      <c r="G1816" s="25" t="str">
        <f>IF($D1816="","",IFERROR(VLOOKUP($D1816,'ACAH Consumables Tracker'!$A:$D,4,FALSE()),""))</f>
        <v/>
      </c>
      <c r="H1816" s="22"/>
    </row>
    <row r="1817" spans="1:8">
      <c r="A1817" s="21"/>
      <c r="B1817" s="28"/>
      <c r="C1817" s="22"/>
      <c r="D1817" s="28"/>
      <c r="E1817" s="23" t="str">
        <f>IF($D1817="","",IFERROR(VLOOKUP($D1817,'ACAH Consumables Tracker'!$A:$H,8,FALSE()),""))</f>
        <v/>
      </c>
      <c r="F1817" s="24"/>
      <c r="G1817" s="25" t="str">
        <f>IF($D1817="","",IFERROR(VLOOKUP($D1817,'ACAH Consumables Tracker'!$A:$D,4,FALSE()),""))</f>
        <v/>
      </c>
      <c r="H1817" s="22"/>
    </row>
    <row r="1818" spans="1:8">
      <c r="A1818" s="21"/>
      <c r="B1818" s="28"/>
      <c r="C1818" s="22"/>
      <c r="D1818" s="28"/>
      <c r="E1818" s="23" t="str">
        <f>IF($D1818="","",IFERROR(VLOOKUP($D1818,'ACAH Consumables Tracker'!$A:$H,8,FALSE()),""))</f>
        <v/>
      </c>
      <c r="F1818" s="24"/>
      <c r="G1818" s="25" t="str">
        <f>IF($D1818="","",IFERROR(VLOOKUP($D1818,'ACAH Consumables Tracker'!$A:$D,4,FALSE()),""))</f>
        <v/>
      </c>
      <c r="H1818" s="22"/>
    </row>
    <row r="1819" spans="1:8">
      <c r="A1819" s="21"/>
      <c r="B1819" s="28"/>
      <c r="C1819" s="22"/>
      <c r="D1819" s="28"/>
      <c r="E1819" s="23" t="str">
        <f>IF($D1819="","",IFERROR(VLOOKUP($D1819,'ACAH Consumables Tracker'!$A:$H,8,FALSE()),""))</f>
        <v/>
      </c>
      <c r="F1819" s="24"/>
      <c r="G1819" s="25" t="str">
        <f>IF($D1819="","",IFERROR(VLOOKUP($D1819,'ACAH Consumables Tracker'!$A:$D,4,FALSE()),""))</f>
        <v/>
      </c>
      <c r="H1819" s="22"/>
    </row>
    <row r="1820" spans="1:8">
      <c r="A1820" s="21"/>
      <c r="B1820" s="28"/>
      <c r="C1820" s="22"/>
      <c r="D1820" s="28"/>
      <c r="E1820" s="23" t="str">
        <f>IF($D1820="","",IFERROR(VLOOKUP($D1820,'ACAH Consumables Tracker'!$A:$H,8,FALSE()),""))</f>
        <v/>
      </c>
      <c r="F1820" s="24"/>
      <c r="G1820" s="25" t="str">
        <f>IF($D1820="","",IFERROR(VLOOKUP($D1820,'ACAH Consumables Tracker'!$A:$D,4,FALSE()),""))</f>
        <v/>
      </c>
      <c r="H1820" s="22"/>
    </row>
    <row r="1821" spans="1:8">
      <c r="A1821" s="21"/>
      <c r="B1821" s="28"/>
      <c r="C1821" s="22"/>
      <c r="D1821" s="28"/>
      <c r="E1821" s="23" t="str">
        <f>IF($D1821="","",IFERROR(VLOOKUP($D1821,'ACAH Consumables Tracker'!$A:$H,8,FALSE()),""))</f>
        <v/>
      </c>
      <c r="F1821" s="24"/>
      <c r="G1821" s="25" t="str">
        <f>IF($D1821="","",IFERROR(VLOOKUP($D1821,'ACAH Consumables Tracker'!$A:$D,4,FALSE()),""))</f>
        <v/>
      </c>
      <c r="H1821" s="22"/>
    </row>
    <row r="1822" spans="1:8">
      <c r="A1822" s="21"/>
      <c r="B1822" s="28"/>
      <c r="C1822" s="22"/>
      <c r="D1822" s="28"/>
      <c r="E1822" s="23" t="str">
        <f>IF($D1822="","",IFERROR(VLOOKUP($D1822,'ACAH Consumables Tracker'!$A:$H,8,FALSE()),""))</f>
        <v/>
      </c>
      <c r="F1822" s="24"/>
      <c r="G1822" s="25" t="str">
        <f>IF($D1822="","",IFERROR(VLOOKUP($D1822,'ACAH Consumables Tracker'!$A:$D,4,FALSE()),""))</f>
        <v/>
      </c>
      <c r="H1822" s="22"/>
    </row>
    <row r="1823" spans="1:8">
      <c r="A1823" s="21"/>
      <c r="B1823" s="28"/>
      <c r="C1823" s="22"/>
      <c r="D1823" s="28"/>
      <c r="E1823" s="23" t="str">
        <f>IF($D1823="","",IFERROR(VLOOKUP($D1823,'ACAH Consumables Tracker'!$A:$H,8,FALSE()),""))</f>
        <v/>
      </c>
      <c r="F1823" s="24"/>
      <c r="G1823" s="25" t="str">
        <f>IF($D1823="","",IFERROR(VLOOKUP($D1823,'ACAH Consumables Tracker'!$A:$D,4,FALSE()),""))</f>
        <v/>
      </c>
      <c r="H1823" s="22"/>
    </row>
    <row r="1824" spans="1:8">
      <c r="A1824" s="21"/>
      <c r="B1824" s="28"/>
      <c r="C1824" s="22"/>
      <c r="D1824" s="28"/>
      <c r="E1824" s="23" t="str">
        <f>IF($D1824="","",IFERROR(VLOOKUP($D1824,'ACAH Consumables Tracker'!$A:$H,8,FALSE()),""))</f>
        <v/>
      </c>
      <c r="F1824" s="24"/>
      <c r="G1824" s="25" t="str">
        <f>IF($D1824="","",IFERROR(VLOOKUP($D1824,'ACAH Consumables Tracker'!$A:$D,4,FALSE()),""))</f>
        <v/>
      </c>
      <c r="H1824" s="22"/>
    </row>
    <row r="1825" spans="1:8">
      <c r="A1825" s="21"/>
      <c r="B1825" s="28"/>
      <c r="C1825" s="22"/>
      <c r="D1825" s="28"/>
      <c r="E1825" s="23" t="str">
        <f>IF($D1825="","",IFERROR(VLOOKUP($D1825,'ACAH Consumables Tracker'!$A:$H,8,FALSE()),""))</f>
        <v/>
      </c>
      <c r="F1825" s="24"/>
      <c r="G1825" s="25" t="str">
        <f>IF($D1825="","",IFERROR(VLOOKUP($D1825,'ACAH Consumables Tracker'!$A:$D,4,FALSE()),""))</f>
        <v/>
      </c>
      <c r="H1825" s="22"/>
    </row>
    <row r="1826" spans="1:8">
      <c r="A1826" s="21"/>
      <c r="B1826" s="28"/>
      <c r="C1826" s="22"/>
      <c r="D1826" s="28"/>
      <c r="E1826" s="23" t="str">
        <f>IF($D1826="","",IFERROR(VLOOKUP($D1826,'ACAH Consumables Tracker'!$A:$H,8,FALSE()),""))</f>
        <v/>
      </c>
      <c r="F1826" s="24"/>
      <c r="G1826" s="25" t="str">
        <f>IF($D1826="","",IFERROR(VLOOKUP($D1826,'ACAH Consumables Tracker'!$A:$D,4,FALSE()),""))</f>
        <v/>
      </c>
      <c r="H1826" s="22"/>
    </row>
    <row r="1827" spans="1:8">
      <c r="A1827" s="21"/>
      <c r="B1827" s="28"/>
      <c r="C1827" s="22"/>
      <c r="D1827" s="28"/>
      <c r="E1827" s="23" t="str">
        <f>IF($D1827="","",IFERROR(VLOOKUP($D1827,'ACAH Consumables Tracker'!$A:$H,8,FALSE()),""))</f>
        <v/>
      </c>
      <c r="F1827" s="24"/>
      <c r="G1827" s="25" t="str">
        <f>IF($D1827="","",IFERROR(VLOOKUP($D1827,'ACAH Consumables Tracker'!$A:$D,4,FALSE()),""))</f>
        <v/>
      </c>
      <c r="H1827" s="22"/>
    </row>
    <row r="1828" spans="1:8">
      <c r="A1828" s="21"/>
      <c r="B1828" s="28"/>
      <c r="C1828" s="22"/>
      <c r="D1828" s="28"/>
      <c r="E1828" s="23" t="str">
        <f>IF($D1828="","",IFERROR(VLOOKUP($D1828,'ACAH Consumables Tracker'!$A:$H,8,FALSE()),""))</f>
        <v/>
      </c>
      <c r="F1828" s="24"/>
      <c r="G1828" s="25" t="str">
        <f>IF($D1828="","",IFERROR(VLOOKUP($D1828,'ACAH Consumables Tracker'!$A:$D,4,FALSE()),""))</f>
        <v/>
      </c>
      <c r="H1828" s="22"/>
    </row>
    <row r="1829" spans="1:8">
      <c r="A1829" s="21"/>
      <c r="B1829" s="28"/>
      <c r="C1829" s="22"/>
      <c r="D1829" s="28"/>
      <c r="E1829" s="23" t="str">
        <f>IF($D1829="","",IFERROR(VLOOKUP($D1829,'ACAH Consumables Tracker'!$A:$H,8,FALSE()),""))</f>
        <v/>
      </c>
      <c r="F1829" s="24"/>
      <c r="G1829" s="25" t="str">
        <f>IF($D1829="","",IFERROR(VLOOKUP($D1829,'ACAH Consumables Tracker'!$A:$D,4,FALSE()),""))</f>
        <v/>
      </c>
      <c r="H1829" s="22"/>
    </row>
    <row r="1830" spans="1:8">
      <c r="A1830" s="21"/>
      <c r="B1830" s="28"/>
      <c r="C1830" s="22"/>
      <c r="D1830" s="28"/>
      <c r="E1830" s="23" t="str">
        <f>IF($D1830="","",IFERROR(VLOOKUP($D1830,'ACAH Consumables Tracker'!$A:$H,8,FALSE()),""))</f>
        <v/>
      </c>
      <c r="F1830" s="24"/>
      <c r="G1830" s="25" t="str">
        <f>IF($D1830="","",IFERROR(VLOOKUP($D1830,'ACAH Consumables Tracker'!$A:$D,4,FALSE()),""))</f>
        <v/>
      </c>
      <c r="H1830" s="22"/>
    </row>
    <row r="1831" spans="1:8">
      <c r="A1831" s="21"/>
      <c r="B1831" s="28"/>
      <c r="C1831" s="22"/>
      <c r="D1831" s="28"/>
      <c r="E1831" s="23" t="str">
        <f>IF($D1831="","",IFERROR(VLOOKUP($D1831,'ACAH Consumables Tracker'!$A:$H,8,FALSE()),""))</f>
        <v/>
      </c>
      <c r="F1831" s="24"/>
      <c r="G1831" s="25" t="str">
        <f>IF($D1831="","",IFERROR(VLOOKUP($D1831,'ACAH Consumables Tracker'!$A:$D,4,FALSE()),""))</f>
        <v/>
      </c>
      <c r="H1831" s="22"/>
    </row>
    <row r="1832" spans="1:8">
      <c r="A1832" s="21"/>
      <c r="B1832" s="28"/>
      <c r="C1832" s="22"/>
      <c r="D1832" s="28"/>
      <c r="E1832" s="23" t="str">
        <f>IF($D1832="","",IFERROR(VLOOKUP($D1832,'ACAH Consumables Tracker'!$A:$H,8,FALSE()),""))</f>
        <v/>
      </c>
      <c r="F1832" s="24"/>
      <c r="G1832" s="25" t="str">
        <f>IF($D1832="","",IFERROR(VLOOKUP($D1832,'ACAH Consumables Tracker'!$A:$D,4,FALSE()),""))</f>
        <v/>
      </c>
      <c r="H1832" s="22"/>
    </row>
    <row r="1833" spans="1:8">
      <c r="A1833" s="21"/>
      <c r="B1833" s="28"/>
      <c r="C1833" s="22"/>
      <c r="D1833" s="28"/>
      <c r="E1833" s="23" t="str">
        <f>IF($D1833="","",IFERROR(VLOOKUP($D1833,'ACAH Consumables Tracker'!$A:$H,8,FALSE()),""))</f>
        <v/>
      </c>
      <c r="F1833" s="24"/>
      <c r="G1833" s="25" t="str">
        <f>IF($D1833="","",IFERROR(VLOOKUP($D1833,'ACAH Consumables Tracker'!$A:$D,4,FALSE()),""))</f>
        <v/>
      </c>
      <c r="H1833" s="22"/>
    </row>
    <row r="1834" spans="1:8">
      <c r="A1834" s="21"/>
      <c r="B1834" s="28"/>
      <c r="C1834" s="22"/>
      <c r="D1834" s="28"/>
      <c r="E1834" s="23" t="str">
        <f>IF($D1834="","",IFERROR(VLOOKUP($D1834,'ACAH Consumables Tracker'!$A:$H,8,FALSE()),""))</f>
        <v/>
      </c>
      <c r="F1834" s="24"/>
      <c r="G1834" s="25" t="str">
        <f>IF($D1834="","",IFERROR(VLOOKUP($D1834,'ACAH Consumables Tracker'!$A:$D,4,FALSE()),""))</f>
        <v/>
      </c>
      <c r="H1834" s="22"/>
    </row>
    <row r="1835" spans="1:8">
      <c r="A1835" s="21"/>
      <c r="B1835" s="28"/>
      <c r="C1835" s="22"/>
      <c r="D1835" s="28"/>
      <c r="E1835" s="23" t="str">
        <f>IF($D1835="","",IFERROR(VLOOKUP($D1835,'ACAH Consumables Tracker'!$A:$H,8,FALSE()),""))</f>
        <v/>
      </c>
      <c r="F1835" s="24"/>
      <c r="G1835" s="25" t="str">
        <f>IF($D1835="","",IFERROR(VLOOKUP($D1835,'ACAH Consumables Tracker'!$A:$D,4,FALSE()),""))</f>
        <v/>
      </c>
      <c r="H1835" s="22"/>
    </row>
    <row r="1836" spans="1:8">
      <c r="A1836" s="21"/>
      <c r="B1836" s="28"/>
      <c r="C1836" s="22"/>
      <c r="D1836" s="28"/>
      <c r="E1836" s="23" t="str">
        <f>IF($D1836="","",IFERROR(VLOOKUP($D1836,'ACAH Consumables Tracker'!$A:$H,8,FALSE()),""))</f>
        <v/>
      </c>
      <c r="F1836" s="24"/>
      <c r="G1836" s="25" t="str">
        <f>IF($D1836="","",IFERROR(VLOOKUP($D1836,'ACAH Consumables Tracker'!$A:$D,4,FALSE()),""))</f>
        <v/>
      </c>
      <c r="H1836" s="22"/>
    </row>
    <row r="1837" spans="1:8">
      <c r="A1837" s="21"/>
      <c r="B1837" s="28"/>
      <c r="C1837" s="22"/>
      <c r="D1837" s="28"/>
      <c r="E1837" s="23" t="str">
        <f>IF($D1837="","",IFERROR(VLOOKUP($D1837,'ACAH Consumables Tracker'!$A:$H,8,FALSE()),""))</f>
        <v/>
      </c>
      <c r="F1837" s="24"/>
      <c r="G1837" s="25" t="str">
        <f>IF($D1837="","",IFERROR(VLOOKUP($D1837,'ACAH Consumables Tracker'!$A:$D,4,FALSE()),""))</f>
        <v/>
      </c>
      <c r="H1837" s="22"/>
    </row>
    <row r="1838" spans="1:8">
      <c r="A1838" s="21"/>
      <c r="B1838" s="28"/>
      <c r="C1838" s="22"/>
      <c r="D1838" s="28"/>
      <c r="E1838" s="23" t="str">
        <f>IF($D1838="","",IFERROR(VLOOKUP($D1838,'ACAH Consumables Tracker'!$A:$H,8,FALSE()),""))</f>
        <v/>
      </c>
      <c r="F1838" s="24"/>
      <c r="G1838" s="25" t="str">
        <f>IF($D1838="","",IFERROR(VLOOKUP($D1838,'ACAH Consumables Tracker'!$A:$D,4,FALSE()),""))</f>
        <v/>
      </c>
      <c r="H1838" s="22"/>
    </row>
    <row r="1839" spans="1:8">
      <c r="A1839" s="21"/>
      <c r="B1839" s="28"/>
      <c r="C1839" s="22"/>
      <c r="D1839" s="28"/>
      <c r="E1839" s="23" t="str">
        <f>IF($D1839="","",IFERROR(VLOOKUP($D1839,'ACAH Consumables Tracker'!$A:$H,8,FALSE()),""))</f>
        <v/>
      </c>
      <c r="F1839" s="24"/>
      <c r="G1839" s="25" t="str">
        <f>IF($D1839="","",IFERROR(VLOOKUP($D1839,'ACAH Consumables Tracker'!$A:$D,4,FALSE()),""))</f>
        <v/>
      </c>
      <c r="H1839" s="22"/>
    </row>
    <row r="1840" spans="1:8">
      <c r="A1840" s="21"/>
      <c r="B1840" s="28"/>
      <c r="C1840" s="22"/>
      <c r="D1840" s="28"/>
      <c r="E1840" s="23" t="str">
        <f>IF($D1840="","",IFERROR(VLOOKUP($D1840,'ACAH Consumables Tracker'!$A:$H,8,FALSE()),""))</f>
        <v/>
      </c>
      <c r="F1840" s="24"/>
      <c r="G1840" s="25" t="str">
        <f>IF($D1840="","",IFERROR(VLOOKUP($D1840,'ACAH Consumables Tracker'!$A:$D,4,FALSE()),""))</f>
        <v/>
      </c>
      <c r="H1840" s="22"/>
    </row>
    <row r="1841" spans="1:8">
      <c r="A1841" s="21"/>
      <c r="B1841" s="28"/>
      <c r="C1841" s="22"/>
      <c r="D1841" s="28"/>
      <c r="E1841" s="23" t="str">
        <f>IF($D1841="","",IFERROR(VLOOKUP($D1841,'ACAH Consumables Tracker'!$A:$H,8,FALSE()),""))</f>
        <v/>
      </c>
      <c r="F1841" s="24"/>
      <c r="G1841" s="25" t="str">
        <f>IF($D1841="","",IFERROR(VLOOKUP($D1841,'ACAH Consumables Tracker'!$A:$D,4,FALSE()),""))</f>
        <v/>
      </c>
      <c r="H1841" s="22"/>
    </row>
    <row r="1842" spans="1:8">
      <c r="A1842" s="21"/>
      <c r="B1842" s="28"/>
      <c r="C1842" s="22"/>
      <c r="D1842" s="28"/>
      <c r="E1842" s="23" t="str">
        <f>IF($D1842="","",IFERROR(VLOOKUP($D1842,'ACAH Consumables Tracker'!$A:$H,8,FALSE()),""))</f>
        <v/>
      </c>
      <c r="F1842" s="24"/>
      <c r="G1842" s="25" t="str">
        <f>IF($D1842="","",IFERROR(VLOOKUP($D1842,'ACAH Consumables Tracker'!$A:$D,4,FALSE()),""))</f>
        <v/>
      </c>
      <c r="H1842" s="22"/>
    </row>
    <row r="1843" spans="1:8">
      <c r="A1843" s="21"/>
      <c r="B1843" s="28"/>
      <c r="C1843" s="22"/>
      <c r="D1843" s="28"/>
      <c r="E1843" s="23" t="str">
        <f>IF($D1843="","",IFERROR(VLOOKUP($D1843,'ACAH Consumables Tracker'!$A:$H,8,FALSE()),""))</f>
        <v/>
      </c>
      <c r="F1843" s="24"/>
      <c r="G1843" s="25" t="str">
        <f>IF($D1843="","",IFERROR(VLOOKUP($D1843,'ACAH Consumables Tracker'!$A:$D,4,FALSE()),""))</f>
        <v/>
      </c>
      <c r="H1843" s="22"/>
    </row>
    <row r="1844" spans="1:8">
      <c r="A1844" s="21"/>
      <c r="B1844" s="28"/>
      <c r="C1844" s="22"/>
      <c r="D1844" s="28"/>
      <c r="E1844" s="23" t="str">
        <f>IF($D1844="","",IFERROR(VLOOKUP($D1844,'ACAH Consumables Tracker'!$A:$H,8,FALSE()),""))</f>
        <v/>
      </c>
      <c r="F1844" s="24"/>
      <c r="G1844" s="25" t="str">
        <f>IF($D1844="","",IFERROR(VLOOKUP($D1844,'ACAH Consumables Tracker'!$A:$D,4,FALSE()),""))</f>
        <v/>
      </c>
      <c r="H1844" s="22"/>
    </row>
    <row r="1845" spans="1:8">
      <c r="A1845" s="21"/>
      <c r="B1845" s="28"/>
      <c r="C1845" s="22"/>
      <c r="D1845" s="28"/>
      <c r="E1845" s="23" t="str">
        <f>IF($D1845="","",IFERROR(VLOOKUP($D1845,'ACAH Consumables Tracker'!$A:$H,8,FALSE()),""))</f>
        <v/>
      </c>
      <c r="F1845" s="24"/>
      <c r="G1845" s="25" t="str">
        <f>IF($D1845="","",IFERROR(VLOOKUP($D1845,'ACAH Consumables Tracker'!$A:$D,4,FALSE()),""))</f>
        <v/>
      </c>
      <c r="H1845" s="22"/>
    </row>
    <row r="1846" spans="1:8">
      <c r="A1846" s="21"/>
      <c r="B1846" s="28"/>
      <c r="C1846" s="22"/>
      <c r="D1846" s="28"/>
      <c r="E1846" s="23" t="str">
        <f>IF($D1846="","",IFERROR(VLOOKUP($D1846,'ACAH Consumables Tracker'!$A:$H,8,FALSE()),""))</f>
        <v/>
      </c>
      <c r="F1846" s="24"/>
      <c r="G1846" s="25" t="str">
        <f>IF($D1846="","",IFERROR(VLOOKUP($D1846,'ACAH Consumables Tracker'!$A:$D,4,FALSE()),""))</f>
        <v/>
      </c>
      <c r="H1846" s="22"/>
    </row>
    <row r="1847" spans="1:8">
      <c r="A1847" s="21"/>
      <c r="B1847" s="28"/>
      <c r="C1847" s="22"/>
      <c r="D1847" s="28"/>
      <c r="E1847" s="23" t="str">
        <f>IF($D1847="","",IFERROR(VLOOKUP($D1847,'ACAH Consumables Tracker'!$A:$H,8,FALSE()),""))</f>
        <v/>
      </c>
      <c r="F1847" s="24"/>
      <c r="G1847" s="25" t="str">
        <f>IF($D1847="","",IFERROR(VLOOKUP($D1847,'ACAH Consumables Tracker'!$A:$D,4,FALSE()),""))</f>
        <v/>
      </c>
      <c r="H1847" s="22"/>
    </row>
    <row r="1848" spans="1:8">
      <c r="A1848" s="21"/>
      <c r="B1848" s="28"/>
      <c r="C1848" s="22"/>
      <c r="D1848" s="28"/>
      <c r="E1848" s="23" t="str">
        <f>IF($D1848="","",IFERROR(VLOOKUP($D1848,'ACAH Consumables Tracker'!$A:$H,8,FALSE()),""))</f>
        <v/>
      </c>
      <c r="F1848" s="24"/>
      <c r="G1848" s="25" t="str">
        <f>IF($D1848="","",IFERROR(VLOOKUP($D1848,'ACAH Consumables Tracker'!$A:$D,4,FALSE()),""))</f>
        <v/>
      </c>
      <c r="H1848" s="22"/>
    </row>
    <row r="1849" spans="1:8">
      <c r="A1849" s="21"/>
      <c r="B1849" s="28"/>
      <c r="C1849" s="22"/>
      <c r="D1849" s="28"/>
      <c r="E1849" s="23" t="str">
        <f>IF($D1849="","",IFERROR(VLOOKUP($D1849,'ACAH Consumables Tracker'!$A:$H,8,FALSE()),""))</f>
        <v/>
      </c>
      <c r="F1849" s="24"/>
      <c r="G1849" s="25" t="str">
        <f>IF($D1849="","",IFERROR(VLOOKUP($D1849,'ACAH Consumables Tracker'!$A:$D,4,FALSE()),""))</f>
        <v/>
      </c>
      <c r="H1849" s="22"/>
    </row>
    <row r="1850" spans="1:8">
      <c r="A1850" s="21"/>
      <c r="B1850" s="28"/>
      <c r="C1850" s="22"/>
      <c r="D1850" s="28"/>
      <c r="E1850" s="23" t="str">
        <f>IF($D1850="","",IFERROR(VLOOKUP($D1850,'ACAH Consumables Tracker'!$A:$H,8,FALSE()),""))</f>
        <v/>
      </c>
      <c r="F1850" s="24"/>
      <c r="G1850" s="25" t="str">
        <f>IF($D1850="","",IFERROR(VLOOKUP($D1850,'ACAH Consumables Tracker'!$A:$D,4,FALSE()),""))</f>
        <v/>
      </c>
      <c r="H1850" s="22"/>
    </row>
    <row r="1851" spans="1:8">
      <c r="A1851" s="21"/>
      <c r="B1851" s="28"/>
      <c r="C1851" s="22"/>
      <c r="D1851" s="28"/>
      <c r="E1851" s="23" t="str">
        <f>IF($D1851="","",IFERROR(VLOOKUP($D1851,'ACAH Consumables Tracker'!$A:$H,8,FALSE()),""))</f>
        <v/>
      </c>
      <c r="F1851" s="24"/>
      <c r="G1851" s="25" t="str">
        <f>IF($D1851="","",IFERROR(VLOOKUP($D1851,'ACAH Consumables Tracker'!$A:$D,4,FALSE()),""))</f>
        <v/>
      </c>
      <c r="H1851" s="22"/>
    </row>
    <row r="1852" spans="1:8">
      <c r="A1852" s="21"/>
      <c r="B1852" s="28"/>
      <c r="C1852" s="22"/>
      <c r="D1852" s="28"/>
      <c r="E1852" s="23" t="str">
        <f>IF($D1852="","",IFERROR(VLOOKUP($D1852,'ACAH Consumables Tracker'!$A:$H,8,FALSE()),""))</f>
        <v/>
      </c>
      <c r="F1852" s="24"/>
      <c r="G1852" s="25" t="str">
        <f>IF($D1852="","",IFERROR(VLOOKUP($D1852,'ACAH Consumables Tracker'!$A:$D,4,FALSE()),""))</f>
        <v/>
      </c>
      <c r="H1852" s="22"/>
    </row>
    <row r="1853" spans="1:8">
      <c r="A1853" s="21"/>
      <c r="B1853" s="28"/>
      <c r="C1853" s="22"/>
      <c r="D1853" s="28"/>
      <c r="E1853" s="23" t="str">
        <f>IF($D1853="","",IFERROR(VLOOKUP($D1853,'ACAH Consumables Tracker'!$A:$H,8,FALSE()),""))</f>
        <v/>
      </c>
      <c r="F1853" s="24"/>
      <c r="G1853" s="25" t="str">
        <f>IF($D1853="","",IFERROR(VLOOKUP($D1853,'ACAH Consumables Tracker'!$A:$D,4,FALSE()),""))</f>
        <v/>
      </c>
      <c r="H1853" s="22"/>
    </row>
    <row r="1854" spans="1:8">
      <c r="A1854" s="21"/>
      <c r="B1854" s="28"/>
      <c r="C1854" s="22"/>
      <c r="D1854" s="28"/>
      <c r="E1854" s="23" t="str">
        <f>IF($D1854="","",IFERROR(VLOOKUP($D1854,'ACAH Consumables Tracker'!$A:$H,8,FALSE()),""))</f>
        <v/>
      </c>
      <c r="F1854" s="24"/>
      <c r="G1854" s="25" t="str">
        <f>IF($D1854="","",IFERROR(VLOOKUP($D1854,'ACAH Consumables Tracker'!$A:$D,4,FALSE()),""))</f>
        <v/>
      </c>
      <c r="H1854" s="22"/>
    </row>
    <row r="1855" spans="1:8">
      <c r="A1855" s="21"/>
      <c r="B1855" s="28"/>
      <c r="C1855" s="22"/>
      <c r="D1855" s="28"/>
      <c r="E1855" s="23" t="str">
        <f>IF($D1855="","",IFERROR(VLOOKUP($D1855,'ACAH Consumables Tracker'!$A:$H,8,FALSE()),""))</f>
        <v/>
      </c>
      <c r="F1855" s="24"/>
      <c r="G1855" s="25" t="str">
        <f>IF($D1855="","",IFERROR(VLOOKUP($D1855,'ACAH Consumables Tracker'!$A:$D,4,FALSE()),""))</f>
        <v/>
      </c>
      <c r="H1855" s="22"/>
    </row>
    <row r="1856" spans="1:8">
      <c r="A1856" s="21"/>
      <c r="B1856" s="28"/>
      <c r="C1856" s="22"/>
      <c r="D1856" s="28"/>
      <c r="E1856" s="23" t="str">
        <f>IF($D1856="","",IFERROR(VLOOKUP($D1856,'ACAH Consumables Tracker'!$A:$H,8,FALSE()),""))</f>
        <v/>
      </c>
      <c r="F1856" s="24"/>
      <c r="G1856" s="25" t="str">
        <f>IF($D1856="","",IFERROR(VLOOKUP($D1856,'ACAH Consumables Tracker'!$A:$D,4,FALSE()),""))</f>
        <v/>
      </c>
      <c r="H1856" s="22"/>
    </row>
    <row r="1857" spans="1:8">
      <c r="A1857" s="21"/>
      <c r="B1857" s="28"/>
      <c r="C1857" s="22"/>
      <c r="D1857" s="28"/>
      <c r="E1857" s="23" t="str">
        <f>IF($D1857="","",IFERROR(VLOOKUP($D1857,'ACAH Consumables Tracker'!$A:$H,8,FALSE()),""))</f>
        <v/>
      </c>
      <c r="F1857" s="24"/>
      <c r="G1857" s="25" t="str">
        <f>IF($D1857="","",IFERROR(VLOOKUP($D1857,'ACAH Consumables Tracker'!$A:$D,4,FALSE()),""))</f>
        <v/>
      </c>
      <c r="H1857" s="22"/>
    </row>
    <row r="1858" spans="1:8">
      <c r="A1858" s="21"/>
      <c r="B1858" s="28"/>
      <c r="C1858" s="22"/>
      <c r="D1858" s="28"/>
      <c r="E1858" s="23" t="str">
        <f>IF($D1858="","",IFERROR(VLOOKUP($D1858,'ACAH Consumables Tracker'!$A:$H,8,FALSE()),""))</f>
        <v/>
      </c>
      <c r="F1858" s="24"/>
      <c r="G1858" s="25" t="str">
        <f>IF($D1858="","",IFERROR(VLOOKUP($D1858,'ACAH Consumables Tracker'!$A:$D,4,FALSE()),""))</f>
        <v/>
      </c>
      <c r="H1858" s="22"/>
    </row>
    <row r="1859" spans="1:8">
      <c r="A1859" s="21"/>
      <c r="B1859" s="28"/>
      <c r="C1859" s="22"/>
      <c r="D1859" s="28"/>
      <c r="E1859" s="23" t="str">
        <f>IF($D1859="","",IFERROR(VLOOKUP($D1859,'ACAH Consumables Tracker'!$A:$H,8,FALSE()),""))</f>
        <v/>
      </c>
      <c r="F1859" s="24"/>
      <c r="G1859" s="25" t="str">
        <f>IF($D1859="","",IFERROR(VLOOKUP($D1859,'ACAH Consumables Tracker'!$A:$D,4,FALSE()),""))</f>
        <v/>
      </c>
      <c r="H1859" s="22"/>
    </row>
    <row r="1860" spans="1:8">
      <c r="A1860" s="21"/>
      <c r="B1860" s="28"/>
      <c r="C1860" s="22"/>
      <c r="D1860" s="28"/>
      <c r="E1860" s="23" t="str">
        <f>IF($D1860="","",IFERROR(VLOOKUP($D1860,'ACAH Consumables Tracker'!$A:$H,8,FALSE()),""))</f>
        <v/>
      </c>
      <c r="F1860" s="24"/>
      <c r="G1860" s="25" t="str">
        <f>IF($D1860="","",IFERROR(VLOOKUP($D1860,'ACAH Consumables Tracker'!$A:$D,4,FALSE()),""))</f>
        <v/>
      </c>
      <c r="H1860" s="22"/>
    </row>
    <row r="1861" spans="1:8">
      <c r="A1861" s="21"/>
      <c r="B1861" s="28"/>
      <c r="C1861" s="22"/>
      <c r="D1861" s="28"/>
      <c r="E1861" s="23" t="str">
        <f>IF($D1861="","",IFERROR(VLOOKUP($D1861,'ACAH Consumables Tracker'!$A:$H,8,FALSE()),""))</f>
        <v/>
      </c>
      <c r="F1861" s="24"/>
      <c r="G1861" s="25" t="str">
        <f>IF($D1861="","",IFERROR(VLOOKUP($D1861,'ACAH Consumables Tracker'!$A:$D,4,FALSE()),""))</f>
        <v/>
      </c>
      <c r="H1861" s="22"/>
    </row>
    <row r="1862" spans="1:8">
      <c r="A1862" s="21"/>
      <c r="B1862" s="28"/>
      <c r="C1862" s="22"/>
      <c r="D1862" s="28"/>
      <c r="E1862" s="23" t="str">
        <f>IF($D1862="","",IFERROR(VLOOKUP($D1862,'ACAH Consumables Tracker'!$A:$H,8,FALSE()),""))</f>
        <v/>
      </c>
      <c r="F1862" s="24"/>
      <c r="G1862" s="25" t="str">
        <f>IF($D1862="","",IFERROR(VLOOKUP($D1862,'ACAH Consumables Tracker'!$A:$D,4,FALSE()),""))</f>
        <v/>
      </c>
      <c r="H1862" s="22"/>
    </row>
    <row r="1863" spans="1:8">
      <c r="A1863" s="21"/>
      <c r="B1863" s="28"/>
      <c r="C1863" s="22"/>
      <c r="D1863" s="28"/>
      <c r="E1863" s="23" t="str">
        <f>IF($D1863="","",IFERROR(VLOOKUP($D1863,'ACAH Consumables Tracker'!$A:$H,8,FALSE()),""))</f>
        <v/>
      </c>
      <c r="F1863" s="24"/>
      <c r="G1863" s="25" t="str">
        <f>IF($D1863="","",IFERROR(VLOOKUP($D1863,'ACAH Consumables Tracker'!$A:$D,4,FALSE()),""))</f>
        <v/>
      </c>
      <c r="H1863" s="22"/>
    </row>
    <row r="1864" spans="1:8">
      <c r="A1864" s="21"/>
      <c r="B1864" s="28"/>
      <c r="C1864" s="22"/>
      <c r="D1864" s="28"/>
      <c r="E1864" s="23" t="str">
        <f>IF($D1864="","",IFERROR(VLOOKUP($D1864,'ACAH Consumables Tracker'!$A:$H,8,FALSE()),""))</f>
        <v/>
      </c>
      <c r="F1864" s="24"/>
      <c r="G1864" s="25" t="str">
        <f>IF($D1864="","",IFERROR(VLOOKUP($D1864,'ACAH Consumables Tracker'!$A:$D,4,FALSE()),""))</f>
        <v/>
      </c>
      <c r="H1864" s="22"/>
    </row>
    <row r="1865" spans="1:8">
      <c r="A1865" s="21"/>
      <c r="B1865" s="28"/>
      <c r="C1865" s="22"/>
      <c r="D1865" s="28"/>
      <c r="E1865" s="23" t="str">
        <f>IF($D1865="","",IFERROR(VLOOKUP($D1865,'ACAH Consumables Tracker'!$A:$H,8,FALSE()),""))</f>
        <v/>
      </c>
      <c r="F1865" s="24"/>
      <c r="G1865" s="25" t="str">
        <f>IF($D1865="","",IFERROR(VLOOKUP($D1865,'ACAH Consumables Tracker'!$A:$D,4,FALSE()),""))</f>
        <v/>
      </c>
      <c r="H1865" s="22"/>
    </row>
    <row r="1866" spans="1:8">
      <c r="A1866" s="21"/>
      <c r="B1866" s="28"/>
      <c r="C1866" s="22"/>
      <c r="D1866" s="28"/>
      <c r="E1866" s="23" t="str">
        <f>IF($D1866="","",IFERROR(VLOOKUP($D1866,'ACAH Consumables Tracker'!$A:$H,8,FALSE()),""))</f>
        <v/>
      </c>
      <c r="F1866" s="24"/>
      <c r="G1866" s="25" t="str">
        <f>IF($D1866="","",IFERROR(VLOOKUP($D1866,'ACAH Consumables Tracker'!$A:$D,4,FALSE()),""))</f>
        <v/>
      </c>
      <c r="H1866" s="22"/>
    </row>
    <row r="1867" spans="1:8">
      <c r="A1867" s="21"/>
      <c r="B1867" s="28"/>
      <c r="C1867" s="22"/>
      <c r="D1867" s="28"/>
      <c r="E1867" s="23" t="str">
        <f>IF($D1867="","",IFERROR(VLOOKUP($D1867,'ACAH Consumables Tracker'!$A:$H,8,FALSE()),""))</f>
        <v/>
      </c>
      <c r="F1867" s="24"/>
      <c r="G1867" s="25" t="str">
        <f>IF($D1867="","",IFERROR(VLOOKUP($D1867,'ACAH Consumables Tracker'!$A:$D,4,FALSE()),""))</f>
        <v/>
      </c>
      <c r="H1867" s="22"/>
    </row>
    <row r="1868" spans="1:8">
      <c r="A1868" s="21"/>
      <c r="B1868" s="28"/>
      <c r="C1868" s="22"/>
      <c r="D1868" s="28"/>
      <c r="E1868" s="23" t="str">
        <f>IF($D1868="","",IFERROR(VLOOKUP($D1868,'ACAH Consumables Tracker'!$A:$H,8,FALSE()),""))</f>
        <v/>
      </c>
      <c r="F1868" s="24"/>
      <c r="G1868" s="25" t="str">
        <f>IF($D1868="","",IFERROR(VLOOKUP($D1868,'ACAH Consumables Tracker'!$A:$D,4,FALSE()),""))</f>
        <v/>
      </c>
      <c r="H1868" s="22"/>
    </row>
    <row r="1869" spans="1:8">
      <c r="A1869" s="21"/>
      <c r="B1869" s="28"/>
      <c r="C1869" s="22"/>
      <c r="D1869" s="28"/>
      <c r="E1869" s="23" t="str">
        <f>IF($D1869="","",IFERROR(VLOOKUP($D1869,'ACAH Consumables Tracker'!$A:$H,8,FALSE()),""))</f>
        <v/>
      </c>
      <c r="F1869" s="24"/>
      <c r="G1869" s="25" t="str">
        <f>IF($D1869="","",IFERROR(VLOOKUP($D1869,'ACAH Consumables Tracker'!$A:$D,4,FALSE()),""))</f>
        <v/>
      </c>
      <c r="H1869" s="22"/>
    </row>
    <row r="1870" spans="1:8">
      <c r="A1870" s="21"/>
      <c r="B1870" s="28"/>
      <c r="C1870" s="22"/>
      <c r="D1870" s="28"/>
      <c r="E1870" s="23" t="str">
        <f>IF($D1870="","",IFERROR(VLOOKUP($D1870,'ACAH Consumables Tracker'!$A:$H,8,FALSE()),""))</f>
        <v/>
      </c>
      <c r="F1870" s="24"/>
      <c r="G1870" s="25" t="str">
        <f>IF($D1870="","",IFERROR(VLOOKUP($D1870,'ACAH Consumables Tracker'!$A:$D,4,FALSE()),""))</f>
        <v/>
      </c>
      <c r="H1870" s="22"/>
    </row>
    <row r="1871" spans="1:8">
      <c r="A1871" s="21"/>
      <c r="B1871" s="28"/>
      <c r="C1871" s="22"/>
      <c r="D1871" s="28"/>
      <c r="E1871" s="23" t="str">
        <f>IF($D1871="","",IFERROR(VLOOKUP($D1871,'ACAH Consumables Tracker'!$A:$H,8,FALSE()),""))</f>
        <v/>
      </c>
      <c r="F1871" s="24"/>
      <c r="G1871" s="25" t="str">
        <f>IF($D1871="","",IFERROR(VLOOKUP($D1871,'ACAH Consumables Tracker'!$A:$D,4,FALSE()),""))</f>
        <v/>
      </c>
      <c r="H1871" s="22"/>
    </row>
    <row r="1872" spans="1:8">
      <c r="A1872" s="21"/>
      <c r="B1872" s="28"/>
      <c r="C1872" s="22"/>
      <c r="D1872" s="28"/>
      <c r="E1872" s="23" t="str">
        <f>IF($D1872="","",IFERROR(VLOOKUP($D1872,'ACAH Consumables Tracker'!$A:$H,8,FALSE()),""))</f>
        <v/>
      </c>
      <c r="F1872" s="24"/>
      <c r="G1872" s="25" t="str">
        <f>IF($D1872="","",IFERROR(VLOOKUP($D1872,'ACAH Consumables Tracker'!$A:$D,4,FALSE()),""))</f>
        <v/>
      </c>
      <c r="H1872" s="22"/>
    </row>
    <row r="1873" spans="1:8">
      <c r="A1873" s="21"/>
      <c r="B1873" s="28"/>
      <c r="C1873" s="22"/>
      <c r="D1873" s="28"/>
      <c r="E1873" s="23" t="str">
        <f>IF($D1873="","",IFERROR(VLOOKUP($D1873,'ACAH Consumables Tracker'!$A:$H,8,FALSE()),""))</f>
        <v/>
      </c>
      <c r="F1873" s="24"/>
      <c r="G1873" s="25" t="str">
        <f>IF($D1873="","",IFERROR(VLOOKUP($D1873,'ACAH Consumables Tracker'!$A:$D,4,FALSE()),""))</f>
        <v/>
      </c>
      <c r="H1873" s="22"/>
    </row>
    <row r="1874" spans="1:8">
      <c r="A1874" s="21"/>
      <c r="B1874" s="28"/>
      <c r="C1874" s="22"/>
      <c r="D1874" s="28"/>
      <c r="E1874" s="23" t="str">
        <f>IF($D1874="","",IFERROR(VLOOKUP($D1874,'ACAH Consumables Tracker'!$A:$H,8,FALSE()),""))</f>
        <v/>
      </c>
      <c r="F1874" s="24"/>
      <c r="G1874" s="25" t="str">
        <f>IF($D1874="","",IFERROR(VLOOKUP($D1874,'ACAH Consumables Tracker'!$A:$D,4,FALSE()),""))</f>
        <v/>
      </c>
      <c r="H1874" s="22"/>
    </row>
    <row r="1875" spans="1:8">
      <c r="A1875" s="21"/>
      <c r="B1875" s="28"/>
      <c r="C1875" s="22"/>
      <c r="D1875" s="28"/>
      <c r="E1875" s="23" t="str">
        <f>IF($D1875="","",IFERROR(VLOOKUP($D1875,'ACAH Consumables Tracker'!$A:$H,8,FALSE()),""))</f>
        <v/>
      </c>
      <c r="F1875" s="24"/>
      <c r="G1875" s="25" t="str">
        <f>IF($D1875="","",IFERROR(VLOOKUP($D1875,'ACAH Consumables Tracker'!$A:$D,4,FALSE()),""))</f>
        <v/>
      </c>
      <c r="H1875" s="22"/>
    </row>
    <row r="1876" spans="1:8">
      <c r="A1876" s="21"/>
      <c r="B1876" s="28"/>
      <c r="C1876" s="22"/>
      <c r="D1876" s="28"/>
      <c r="E1876" s="23" t="str">
        <f>IF($D1876="","",IFERROR(VLOOKUP($D1876,'ACAH Consumables Tracker'!$A:$H,8,FALSE()),""))</f>
        <v/>
      </c>
      <c r="F1876" s="24"/>
      <c r="G1876" s="25" t="str">
        <f>IF($D1876="","",IFERROR(VLOOKUP($D1876,'ACAH Consumables Tracker'!$A:$D,4,FALSE()),""))</f>
        <v/>
      </c>
      <c r="H1876" s="22"/>
    </row>
    <row r="1877" spans="1:8">
      <c r="A1877" s="21"/>
      <c r="B1877" s="28"/>
      <c r="C1877" s="22"/>
      <c r="D1877" s="28"/>
      <c r="E1877" s="23" t="str">
        <f>IF($D1877="","",IFERROR(VLOOKUP($D1877,'ACAH Consumables Tracker'!$A:$H,8,FALSE()),""))</f>
        <v/>
      </c>
      <c r="F1877" s="24"/>
      <c r="G1877" s="25" t="str">
        <f>IF($D1877="","",IFERROR(VLOOKUP($D1877,'ACAH Consumables Tracker'!$A:$D,4,FALSE()),""))</f>
        <v/>
      </c>
      <c r="H1877" s="22"/>
    </row>
    <row r="1878" spans="1:8">
      <c r="A1878" s="21"/>
      <c r="B1878" s="28"/>
      <c r="C1878" s="22"/>
      <c r="D1878" s="28"/>
      <c r="E1878" s="23" t="str">
        <f>IF($D1878="","",IFERROR(VLOOKUP($D1878,'ACAH Consumables Tracker'!$A:$H,8,FALSE()),""))</f>
        <v/>
      </c>
      <c r="F1878" s="24"/>
      <c r="G1878" s="25" t="str">
        <f>IF($D1878="","",IFERROR(VLOOKUP($D1878,'ACAH Consumables Tracker'!$A:$D,4,FALSE()),""))</f>
        <v/>
      </c>
      <c r="H1878" s="22"/>
    </row>
    <row r="1879" spans="1:8">
      <c r="A1879" s="21"/>
      <c r="B1879" s="28"/>
      <c r="C1879" s="22"/>
      <c r="D1879" s="28"/>
      <c r="E1879" s="23" t="str">
        <f>IF($D1879="","",IFERROR(VLOOKUP($D1879,'ACAH Consumables Tracker'!$A:$H,8,FALSE()),""))</f>
        <v/>
      </c>
      <c r="F1879" s="24"/>
      <c r="G1879" s="25" t="str">
        <f>IF($D1879="","",IFERROR(VLOOKUP($D1879,'ACAH Consumables Tracker'!$A:$D,4,FALSE()),""))</f>
        <v/>
      </c>
      <c r="H1879" s="22"/>
    </row>
    <row r="1880" spans="1:8">
      <c r="A1880" s="21"/>
      <c r="B1880" s="28"/>
      <c r="C1880" s="22"/>
      <c r="D1880" s="28"/>
      <c r="E1880" s="23" t="str">
        <f>IF($D1880="","",IFERROR(VLOOKUP($D1880,'ACAH Consumables Tracker'!$A:$H,8,FALSE()),""))</f>
        <v/>
      </c>
      <c r="F1880" s="24"/>
      <c r="G1880" s="25" t="str">
        <f>IF($D1880="","",IFERROR(VLOOKUP($D1880,'ACAH Consumables Tracker'!$A:$D,4,FALSE()),""))</f>
        <v/>
      </c>
      <c r="H1880" s="22"/>
    </row>
    <row r="1881" spans="1:8">
      <c r="A1881" s="21"/>
      <c r="B1881" s="28"/>
      <c r="C1881" s="22"/>
      <c r="D1881" s="28"/>
      <c r="E1881" s="23" t="str">
        <f>IF($D1881="","",IFERROR(VLOOKUP($D1881,'ACAH Consumables Tracker'!$A:$H,8,FALSE()),""))</f>
        <v/>
      </c>
      <c r="F1881" s="24"/>
      <c r="G1881" s="25" t="str">
        <f>IF($D1881="","",IFERROR(VLOOKUP($D1881,'ACAH Consumables Tracker'!$A:$D,4,FALSE()),""))</f>
        <v/>
      </c>
      <c r="H1881" s="22"/>
    </row>
    <row r="1882" spans="1:8">
      <c r="A1882" s="21"/>
      <c r="B1882" s="28"/>
      <c r="C1882" s="22"/>
      <c r="D1882" s="28"/>
      <c r="E1882" s="23" t="str">
        <f>IF($D1882="","",IFERROR(VLOOKUP($D1882,'ACAH Consumables Tracker'!$A:$H,8,FALSE()),""))</f>
        <v/>
      </c>
      <c r="F1882" s="24"/>
      <c r="G1882" s="25" t="str">
        <f>IF($D1882="","",IFERROR(VLOOKUP($D1882,'ACAH Consumables Tracker'!$A:$D,4,FALSE()),""))</f>
        <v/>
      </c>
      <c r="H1882" s="22"/>
    </row>
    <row r="1883" spans="1:8">
      <c r="A1883" s="21"/>
      <c r="B1883" s="28"/>
      <c r="C1883" s="22"/>
      <c r="D1883" s="28"/>
      <c r="E1883" s="23" t="str">
        <f>IF($D1883="","",IFERROR(VLOOKUP($D1883,'ACAH Consumables Tracker'!$A:$H,8,FALSE()),""))</f>
        <v/>
      </c>
      <c r="F1883" s="24"/>
      <c r="G1883" s="25" t="str">
        <f>IF($D1883="","",IFERROR(VLOOKUP($D1883,'ACAH Consumables Tracker'!$A:$D,4,FALSE()),""))</f>
        <v/>
      </c>
      <c r="H1883" s="22"/>
    </row>
    <row r="1884" spans="1:8">
      <c r="A1884" s="21"/>
      <c r="B1884" s="28"/>
      <c r="C1884" s="22"/>
      <c r="D1884" s="28"/>
      <c r="E1884" s="23" t="str">
        <f>IF($D1884="","",IFERROR(VLOOKUP($D1884,'ACAH Consumables Tracker'!$A:$H,8,FALSE()),""))</f>
        <v/>
      </c>
      <c r="F1884" s="24"/>
      <c r="G1884" s="25" t="str">
        <f>IF($D1884="","",IFERROR(VLOOKUP($D1884,'ACAH Consumables Tracker'!$A:$D,4,FALSE()),""))</f>
        <v/>
      </c>
      <c r="H1884" s="22"/>
    </row>
    <row r="1885" spans="1:8">
      <c r="A1885" s="21"/>
      <c r="B1885" s="28"/>
      <c r="C1885" s="22"/>
      <c r="D1885" s="28"/>
      <c r="E1885" s="23" t="str">
        <f>IF($D1885="","",IFERROR(VLOOKUP($D1885,'ACAH Consumables Tracker'!$A:$H,8,FALSE()),""))</f>
        <v/>
      </c>
      <c r="F1885" s="24"/>
      <c r="G1885" s="25" t="str">
        <f>IF($D1885="","",IFERROR(VLOOKUP($D1885,'ACAH Consumables Tracker'!$A:$D,4,FALSE()),""))</f>
        <v/>
      </c>
      <c r="H1885" s="22"/>
    </row>
    <row r="1886" spans="1:8">
      <c r="A1886" s="21"/>
      <c r="B1886" s="28"/>
      <c r="C1886" s="22"/>
      <c r="D1886" s="28"/>
      <c r="E1886" s="23" t="str">
        <f>IF($D1886="","",IFERROR(VLOOKUP($D1886,'ACAH Consumables Tracker'!$A:$H,8,FALSE()),""))</f>
        <v/>
      </c>
      <c r="F1886" s="24"/>
      <c r="G1886" s="25" t="str">
        <f>IF($D1886="","",IFERROR(VLOOKUP($D1886,'ACAH Consumables Tracker'!$A:$D,4,FALSE()),""))</f>
        <v/>
      </c>
      <c r="H1886" s="22"/>
    </row>
    <row r="1887" spans="1:8">
      <c r="A1887" s="21"/>
      <c r="B1887" s="28"/>
      <c r="C1887" s="22"/>
      <c r="D1887" s="28"/>
      <c r="E1887" s="23" t="str">
        <f>IF($D1887="","",IFERROR(VLOOKUP($D1887,'ACAH Consumables Tracker'!$A:$H,8,FALSE()),""))</f>
        <v/>
      </c>
      <c r="F1887" s="24"/>
      <c r="G1887" s="25" t="str">
        <f>IF($D1887="","",IFERROR(VLOOKUP($D1887,'ACAH Consumables Tracker'!$A:$D,4,FALSE()),""))</f>
        <v/>
      </c>
      <c r="H1887" s="22"/>
    </row>
    <row r="1888" spans="1:8">
      <c r="A1888" s="21"/>
      <c r="B1888" s="28"/>
      <c r="C1888" s="22"/>
      <c r="D1888" s="28"/>
      <c r="E1888" s="23" t="str">
        <f>IF($D1888="","",IFERROR(VLOOKUP($D1888,'ACAH Consumables Tracker'!$A:$H,8,FALSE()),""))</f>
        <v/>
      </c>
      <c r="F1888" s="24"/>
      <c r="G1888" s="25" t="str">
        <f>IF($D1888="","",IFERROR(VLOOKUP($D1888,'ACAH Consumables Tracker'!$A:$D,4,FALSE()),""))</f>
        <v/>
      </c>
      <c r="H1888" s="22"/>
    </row>
    <row r="1889" spans="1:8">
      <c r="A1889" s="21"/>
      <c r="B1889" s="28"/>
      <c r="C1889" s="22"/>
      <c r="D1889" s="28"/>
      <c r="E1889" s="23" t="str">
        <f>IF($D1889="","",IFERROR(VLOOKUP($D1889,'ACAH Consumables Tracker'!$A:$H,8,FALSE()),""))</f>
        <v/>
      </c>
      <c r="F1889" s="24"/>
      <c r="G1889" s="25" t="str">
        <f>IF($D1889="","",IFERROR(VLOOKUP($D1889,'ACAH Consumables Tracker'!$A:$D,4,FALSE()),""))</f>
        <v/>
      </c>
      <c r="H1889" s="22"/>
    </row>
    <row r="1890" spans="1:8">
      <c r="A1890" s="21"/>
      <c r="B1890" s="28"/>
      <c r="C1890" s="22"/>
      <c r="D1890" s="28"/>
      <c r="E1890" s="23" t="str">
        <f>IF($D1890="","",IFERROR(VLOOKUP($D1890,'ACAH Consumables Tracker'!$A:$H,8,FALSE()),""))</f>
        <v/>
      </c>
      <c r="F1890" s="24"/>
      <c r="G1890" s="25" t="str">
        <f>IF($D1890="","",IFERROR(VLOOKUP($D1890,'ACAH Consumables Tracker'!$A:$D,4,FALSE()),""))</f>
        <v/>
      </c>
      <c r="H1890" s="22"/>
    </row>
    <row r="1891" spans="1:8">
      <c r="A1891" s="21"/>
      <c r="B1891" s="28"/>
      <c r="C1891" s="22"/>
      <c r="D1891" s="28"/>
      <c r="E1891" s="23" t="str">
        <f>IF($D1891="","",IFERROR(VLOOKUP($D1891,'ACAH Consumables Tracker'!$A:$H,8,FALSE()),""))</f>
        <v/>
      </c>
      <c r="F1891" s="24"/>
      <c r="G1891" s="25" t="str">
        <f>IF($D1891="","",IFERROR(VLOOKUP($D1891,'ACAH Consumables Tracker'!$A:$D,4,FALSE()),""))</f>
        <v/>
      </c>
      <c r="H1891" s="22"/>
    </row>
    <row r="1892" spans="1:8">
      <c r="A1892" s="21"/>
      <c r="B1892" s="28"/>
      <c r="C1892" s="22"/>
      <c r="D1892" s="28"/>
      <c r="E1892" s="23" t="str">
        <f>IF($D1892="","",IFERROR(VLOOKUP($D1892,'ACAH Consumables Tracker'!$A:$H,8,FALSE()),""))</f>
        <v/>
      </c>
      <c r="F1892" s="24"/>
      <c r="G1892" s="25" t="str">
        <f>IF($D1892="","",IFERROR(VLOOKUP($D1892,'ACAH Consumables Tracker'!$A:$D,4,FALSE()),""))</f>
        <v/>
      </c>
      <c r="H1892" s="22"/>
    </row>
    <row r="1893" spans="1:8">
      <c r="A1893" s="21"/>
      <c r="B1893" s="28"/>
      <c r="C1893" s="22"/>
      <c r="D1893" s="28"/>
      <c r="E1893" s="23" t="str">
        <f>IF($D1893="","",IFERROR(VLOOKUP($D1893,'ACAH Consumables Tracker'!$A:$H,8,FALSE()),""))</f>
        <v/>
      </c>
      <c r="F1893" s="24"/>
      <c r="G1893" s="25" t="str">
        <f>IF($D1893="","",IFERROR(VLOOKUP($D1893,'ACAH Consumables Tracker'!$A:$D,4,FALSE()),""))</f>
        <v/>
      </c>
      <c r="H1893" s="22"/>
    </row>
    <row r="1894" spans="1:8">
      <c r="A1894" s="21"/>
      <c r="B1894" s="28"/>
      <c r="C1894" s="22"/>
      <c r="D1894" s="28"/>
      <c r="E1894" s="23" t="str">
        <f>IF($D1894="","",IFERROR(VLOOKUP($D1894,'ACAH Consumables Tracker'!$A:$H,8,FALSE()),""))</f>
        <v/>
      </c>
      <c r="F1894" s="24"/>
      <c r="G1894" s="25" t="str">
        <f>IF($D1894="","",IFERROR(VLOOKUP($D1894,'ACAH Consumables Tracker'!$A:$D,4,FALSE()),""))</f>
        <v/>
      </c>
      <c r="H1894" s="22"/>
    </row>
    <row r="1895" spans="1:8">
      <c r="A1895" s="21"/>
      <c r="B1895" s="28"/>
      <c r="C1895" s="22"/>
      <c r="D1895" s="28"/>
      <c r="E1895" s="23" t="str">
        <f>IF($D1895="","",IFERROR(VLOOKUP($D1895,'ACAH Consumables Tracker'!$A:$H,8,FALSE()),""))</f>
        <v/>
      </c>
      <c r="F1895" s="24"/>
      <c r="G1895" s="25" t="str">
        <f>IF($D1895="","",IFERROR(VLOOKUP($D1895,'ACAH Consumables Tracker'!$A:$D,4,FALSE()),""))</f>
        <v/>
      </c>
      <c r="H1895" s="22"/>
    </row>
    <row r="1896" spans="1:8">
      <c r="A1896" s="21"/>
      <c r="B1896" s="28"/>
      <c r="C1896" s="22"/>
      <c r="D1896" s="28"/>
      <c r="E1896" s="23" t="str">
        <f>IF($D1896="","",IFERROR(VLOOKUP($D1896,'ACAH Consumables Tracker'!$A:$H,8,FALSE()),""))</f>
        <v/>
      </c>
      <c r="F1896" s="24"/>
      <c r="G1896" s="25" t="str">
        <f>IF($D1896="","",IFERROR(VLOOKUP($D1896,'ACAH Consumables Tracker'!$A:$D,4,FALSE()),""))</f>
        <v/>
      </c>
      <c r="H1896" s="22"/>
    </row>
    <row r="1897" spans="1:8">
      <c r="A1897" s="21"/>
      <c r="B1897" s="28"/>
      <c r="C1897" s="22"/>
      <c r="D1897" s="28"/>
      <c r="E1897" s="23" t="str">
        <f>IF($D1897="","",IFERROR(VLOOKUP($D1897,'ACAH Consumables Tracker'!$A:$H,8,FALSE()),""))</f>
        <v/>
      </c>
      <c r="F1897" s="24"/>
      <c r="G1897" s="25" t="str">
        <f>IF($D1897="","",IFERROR(VLOOKUP($D1897,'ACAH Consumables Tracker'!$A:$D,4,FALSE()),""))</f>
        <v/>
      </c>
      <c r="H1897" s="22"/>
    </row>
    <row r="1898" spans="1:8">
      <c r="A1898" s="21"/>
      <c r="B1898" s="28"/>
      <c r="C1898" s="22"/>
      <c r="D1898" s="28"/>
      <c r="E1898" s="23" t="str">
        <f>IF($D1898="","",IFERROR(VLOOKUP($D1898,'ACAH Consumables Tracker'!$A:$H,8,FALSE()),""))</f>
        <v/>
      </c>
      <c r="F1898" s="24"/>
      <c r="G1898" s="25" t="str">
        <f>IF($D1898="","",IFERROR(VLOOKUP($D1898,'ACAH Consumables Tracker'!$A:$D,4,FALSE()),""))</f>
        <v/>
      </c>
      <c r="H1898" s="22"/>
    </row>
    <row r="1899" spans="1:8">
      <c r="A1899" s="21"/>
      <c r="B1899" s="28"/>
      <c r="C1899" s="22"/>
      <c r="D1899" s="28"/>
      <c r="E1899" s="23" t="str">
        <f>IF($D1899="","",IFERROR(VLOOKUP($D1899,'ACAH Consumables Tracker'!$A:$H,8,FALSE()),""))</f>
        <v/>
      </c>
      <c r="F1899" s="24"/>
      <c r="G1899" s="25" t="str">
        <f>IF($D1899="","",IFERROR(VLOOKUP($D1899,'ACAH Consumables Tracker'!$A:$D,4,FALSE()),""))</f>
        <v/>
      </c>
      <c r="H1899" s="22"/>
    </row>
    <row r="1900" spans="1:8">
      <c r="A1900" s="21"/>
      <c r="B1900" s="28"/>
      <c r="C1900" s="22"/>
      <c r="D1900" s="28"/>
      <c r="E1900" s="23" t="str">
        <f>IF($D1900="","",IFERROR(VLOOKUP($D1900,'ACAH Consumables Tracker'!$A:$H,8,FALSE()),""))</f>
        <v/>
      </c>
      <c r="F1900" s="24"/>
      <c r="G1900" s="25" t="str">
        <f>IF($D1900="","",IFERROR(VLOOKUP($D1900,'ACAH Consumables Tracker'!$A:$D,4,FALSE()),""))</f>
        <v/>
      </c>
      <c r="H1900" s="22"/>
    </row>
    <row r="1901" spans="1:8">
      <c r="A1901" s="21"/>
      <c r="B1901" s="28"/>
      <c r="C1901" s="22"/>
      <c r="D1901" s="28"/>
      <c r="E1901" s="23" t="str">
        <f>IF($D1901="","",IFERROR(VLOOKUP($D1901,'ACAH Consumables Tracker'!$A:$H,8,FALSE()),""))</f>
        <v/>
      </c>
      <c r="F1901" s="24"/>
      <c r="G1901" s="25" t="str">
        <f>IF($D1901="","",IFERROR(VLOOKUP($D1901,'ACAH Consumables Tracker'!$A:$D,4,FALSE()),""))</f>
        <v/>
      </c>
      <c r="H1901" s="22"/>
    </row>
    <row r="1902" spans="1:8">
      <c r="A1902" s="21"/>
      <c r="B1902" s="28"/>
      <c r="C1902" s="22"/>
      <c r="D1902" s="28"/>
      <c r="E1902" s="23" t="str">
        <f>IF($D1902="","",IFERROR(VLOOKUP($D1902,'ACAH Consumables Tracker'!$A:$H,8,FALSE()),""))</f>
        <v/>
      </c>
      <c r="F1902" s="24"/>
      <c r="G1902" s="25" t="str">
        <f>IF($D1902="","",IFERROR(VLOOKUP($D1902,'ACAH Consumables Tracker'!$A:$D,4,FALSE()),""))</f>
        <v/>
      </c>
      <c r="H1902" s="22"/>
    </row>
    <row r="1903" spans="1:8">
      <c r="A1903" s="21"/>
      <c r="B1903" s="28"/>
      <c r="C1903" s="22"/>
      <c r="D1903" s="28"/>
      <c r="E1903" s="23" t="str">
        <f>IF($D1903="","",IFERROR(VLOOKUP($D1903,'ACAH Consumables Tracker'!$A:$H,8,FALSE()),""))</f>
        <v/>
      </c>
      <c r="F1903" s="24"/>
      <c r="G1903" s="25" t="str">
        <f>IF($D1903="","",IFERROR(VLOOKUP($D1903,'ACAH Consumables Tracker'!$A:$D,4,FALSE()),""))</f>
        <v/>
      </c>
      <c r="H1903" s="22"/>
    </row>
    <row r="1904" spans="1:8">
      <c r="A1904" s="21"/>
      <c r="B1904" s="28"/>
      <c r="C1904" s="22"/>
      <c r="D1904" s="28"/>
      <c r="E1904" s="23" t="str">
        <f>IF($D1904="","",IFERROR(VLOOKUP($D1904,'ACAH Consumables Tracker'!$A:$H,8,FALSE()),""))</f>
        <v/>
      </c>
      <c r="F1904" s="24"/>
      <c r="G1904" s="25" t="str">
        <f>IF($D1904="","",IFERROR(VLOOKUP($D1904,'ACAH Consumables Tracker'!$A:$D,4,FALSE()),""))</f>
        <v/>
      </c>
      <c r="H1904" s="22"/>
    </row>
    <row r="1905" spans="1:8">
      <c r="A1905" s="21"/>
      <c r="B1905" s="28"/>
      <c r="C1905" s="22"/>
      <c r="D1905" s="28"/>
      <c r="E1905" s="23" t="str">
        <f>IF($D1905="","",IFERROR(VLOOKUP($D1905,'ACAH Consumables Tracker'!$A:$H,8,FALSE()),""))</f>
        <v/>
      </c>
      <c r="F1905" s="24"/>
      <c r="G1905" s="25" t="str">
        <f>IF($D1905="","",IFERROR(VLOOKUP($D1905,'ACAH Consumables Tracker'!$A:$D,4,FALSE()),""))</f>
        <v/>
      </c>
      <c r="H1905" s="22"/>
    </row>
    <row r="1906" spans="1:8">
      <c r="A1906" s="21"/>
      <c r="B1906" s="28"/>
      <c r="C1906" s="22"/>
      <c r="D1906" s="28"/>
      <c r="E1906" s="23" t="str">
        <f>IF($D1906="","",IFERROR(VLOOKUP($D1906,'ACAH Consumables Tracker'!$A:$H,8,FALSE()),""))</f>
        <v/>
      </c>
      <c r="F1906" s="24"/>
      <c r="G1906" s="25" t="str">
        <f>IF($D1906="","",IFERROR(VLOOKUP($D1906,'ACAH Consumables Tracker'!$A:$D,4,FALSE()),""))</f>
        <v/>
      </c>
      <c r="H1906" s="22"/>
    </row>
    <row r="1907" spans="1:8">
      <c r="A1907" s="21"/>
      <c r="B1907" s="28"/>
      <c r="C1907" s="22"/>
      <c r="D1907" s="28"/>
      <c r="E1907" s="23" t="str">
        <f>IF($D1907="","",IFERROR(VLOOKUP($D1907,'ACAH Consumables Tracker'!$A:$H,8,FALSE()),""))</f>
        <v/>
      </c>
      <c r="F1907" s="24"/>
      <c r="G1907" s="25" t="str">
        <f>IF($D1907="","",IFERROR(VLOOKUP($D1907,'ACAH Consumables Tracker'!$A:$D,4,FALSE()),""))</f>
        <v/>
      </c>
      <c r="H1907" s="22"/>
    </row>
    <row r="1908" spans="1:8">
      <c r="A1908" s="21"/>
      <c r="B1908" s="28"/>
      <c r="C1908" s="22"/>
      <c r="D1908" s="28"/>
      <c r="E1908" s="23" t="str">
        <f>IF($D1908="","",IFERROR(VLOOKUP($D1908,'ACAH Consumables Tracker'!$A:$H,8,FALSE()),""))</f>
        <v/>
      </c>
      <c r="F1908" s="24"/>
      <c r="G1908" s="25" t="str">
        <f>IF($D1908="","",IFERROR(VLOOKUP($D1908,'ACAH Consumables Tracker'!$A:$D,4,FALSE()),""))</f>
        <v/>
      </c>
      <c r="H1908" s="22"/>
    </row>
    <row r="1909" spans="1:8">
      <c r="A1909" s="21"/>
      <c r="B1909" s="28"/>
      <c r="C1909" s="22"/>
      <c r="D1909" s="28"/>
      <c r="E1909" s="23" t="str">
        <f>IF($D1909="","",IFERROR(VLOOKUP($D1909,'ACAH Consumables Tracker'!$A:$H,8,FALSE()),""))</f>
        <v/>
      </c>
      <c r="F1909" s="24"/>
      <c r="G1909" s="25" t="str">
        <f>IF($D1909="","",IFERROR(VLOOKUP($D1909,'ACAH Consumables Tracker'!$A:$D,4,FALSE()),""))</f>
        <v/>
      </c>
      <c r="H1909" s="22"/>
    </row>
    <row r="1910" spans="1:8">
      <c r="A1910" s="21"/>
      <c r="B1910" s="28"/>
      <c r="C1910" s="22"/>
      <c r="D1910" s="28"/>
      <c r="E1910" s="23" t="str">
        <f>IF($D1910="","",IFERROR(VLOOKUP($D1910,'ACAH Consumables Tracker'!$A:$H,8,FALSE()),""))</f>
        <v/>
      </c>
      <c r="F1910" s="24"/>
      <c r="G1910" s="25" t="str">
        <f>IF($D1910="","",IFERROR(VLOOKUP($D1910,'ACAH Consumables Tracker'!$A:$D,4,FALSE()),""))</f>
        <v/>
      </c>
      <c r="H1910" s="22"/>
    </row>
    <row r="1911" spans="1:8">
      <c r="A1911" s="21"/>
      <c r="B1911" s="28"/>
      <c r="C1911" s="22"/>
      <c r="D1911" s="28"/>
      <c r="E1911" s="23" t="str">
        <f>IF($D1911="","",IFERROR(VLOOKUP($D1911,'ACAH Consumables Tracker'!$A:$H,8,FALSE()),""))</f>
        <v/>
      </c>
      <c r="F1911" s="24"/>
      <c r="G1911" s="25" t="str">
        <f>IF($D1911="","",IFERROR(VLOOKUP($D1911,'ACAH Consumables Tracker'!$A:$D,4,FALSE()),""))</f>
        <v/>
      </c>
      <c r="H1911" s="22"/>
    </row>
    <row r="1912" spans="1:8">
      <c r="A1912" s="21"/>
      <c r="B1912" s="28"/>
      <c r="C1912" s="22"/>
      <c r="D1912" s="28"/>
      <c r="E1912" s="23" t="str">
        <f>IF($D1912="","",IFERROR(VLOOKUP($D1912,'ACAH Consumables Tracker'!$A:$H,8,FALSE()),""))</f>
        <v/>
      </c>
      <c r="F1912" s="24"/>
      <c r="G1912" s="25" t="str">
        <f>IF($D1912="","",IFERROR(VLOOKUP($D1912,'ACAH Consumables Tracker'!$A:$D,4,FALSE()),""))</f>
        <v/>
      </c>
      <c r="H1912" s="22"/>
    </row>
    <row r="1913" spans="1:8">
      <c r="A1913" s="21"/>
      <c r="B1913" s="28"/>
      <c r="C1913" s="22"/>
      <c r="D1913" s="28"/>
      <c r="E1913" s="23" t="str">
        <f>IF($D1913="","",IFERROR(VLOOKUP($D1913,'ACAH Consumables Tracker'!$A:$H,8,FALSE()),""))</f>
        <v/>
      </c>
      <c r="F1913" s="24"/>
      <c r="G1913" s="25" t="str">
        <f>IF($D1913="","",IFERROR(VLOOKUP($D1913,'ACAH Consumables Tracker'!$A:$D,4,FALSE()),""))</f>
        <v/>
      </c>
      <c r="H1913" s="22"/>
    </row>
    <row r="1914" spans="1:8">
      <c r="A1914" s="21"/>
      <c r="B1914" s="28"/>
      <c r="C1914" s="22"/>
      <c r="D1914" s="28"/>
      <c r="E1914" s="23" t="str">
        <f>IF($D1914="","",IFERROR(VLOOKUP($D1914,'ACAH Consumables Tracker'!$A:$H,8,FALSE()),""))</f>
        <v/>
      </c>
      <c r="F1914" s="24"/>
      <c r="G1914" s="25" t="str">
        <f>IF($D1914="","",IFERROR(VLOOKUP($D1914,'ACAH Consumables Tracker'!$A:$D,4,FALSE()),""))</f>
        <v/>
      </c>
      <c r="H1914" s="22"/>
    </row>
    <row r="1915" spans="1:8">
      <c r="A1915" s="21"/>
      <c r="B1915" s="28"/>
      <c r="C1915" s="22"/>
      <c r="D1915" s="28"/>
      <c r="E1915" s="23" t="str">
        <f>IF($D1915="","",IFERROR(VLOOKUP($D1915,'ACAH Consumables Tracker'!$A:$H,8,FALSE()),""))</f>
        <v/>
      </c>
      <c r="F1915" s="24"/>
      <c r="G1915" s="25" t="str">
        <f>IF($D1915="","",IFERROR(VLOOKUP($D1915,'ACAH Consumables Tracker'!$A:$D,4,FALSE()),""))</f>
        <v/>
      </c>
      <c r="H1915" s="22"/>
    </row>
    <row r="1916" spans="1:8">
      <c r="A1916" s="21"/>
      <c r="B1916" s="28"/>
      <c r="C1916" s="22"/>
      <c r="D1916" s="28"/>
      <c r="E1916" s="23" t="str">
        <f>IF($D1916="","",IFERROR(VLOOKUP($D1916,'ACAH Consumables Tracker'!$A:$H,8,FALSE()),""))</f>
        <v/>
      </c>
      <c r="F1916" s="24"/>
      <c r="G1916" s="25" t="str">
        <f>IF($D1916="","",IFERROR(VLOOKUP($D1916,'ACAH Consumables Tracker'!$A:$D,4,FALSE()),""))</f>
        <v/>
      </c>
      <c r="H1916" s="22"/>
    </row>
    <row r="1917" spans="1:8">
      <c r="A1917" s="21"/>
      <c r="B1917" s="28"/>
      <c r="C1917" s="22"/>
      <c r="D1917" s="28"/>
      <c r="E1917" s="23" t="str">
        <f>IF($D1917="","",IFERROR(VLOOKUP($D1917,'ACAH Consumables Tracker'!$A:$H,8,FALSE()),""))</f>
        <v/>
      </c>
      <c r="F1917" s="24"/>
      <c r="G1917" s="25" t="str">
        <f>IF($D1917="","",IFERROR(VLOOKUP($D1917,'ACAH Consumables Tracker'!$A:$D,4,FALSE()),""))</f>
        <v/>
      </c>
      <c r="H1917" s="22"/>
    </row>
    <row r="1918" spans="1:8">
      <c r="A1918" s="21"/>
      <c r="B1918" s="28"/>
      <c r="C1918" s="22"/>
      <c r="D1918" s="28"/>
      <c r="E1918" s="23" t="str">
        <f>IF($D1918="","",IFERROR(VLOOKUP($D1918,'ACAH Consumables Tracker'!$A:$H,8,FALSE()),""))</f>
        <v/>
      </c>
      <c r="F1918" s="24"/>
      <c r="G1918" s="25" t="str">
        <f>IF($D1918="","",IFERROR(VLOOKUP($D1918,'ACAH Consumables Tracker'!$A:$D,4,FALSE()),""))</f>
        <v/>
      </c>
      <c r="H1918" s="22"/>
    </row>
    <row r="1919" spans="1:8">
      <c r="A1919" s="21"/>
      <c r="B1919" s="28"/>
      <c r="C1919" s="22"/>
      <c r="D1919" s="28"/>
      <c r="E1919" s="23" t="str">
        <f>IF($D1919="","",IFERROR(VLOOKUP($D1919,'ACAH Consumables Tracker'!$A:$H,8,FALSE()),""))</f>
        <v/>
      </c>
      <c r="F1919" s="24"/>
      <c r="G1919" s="25" t="str">
        <f>IF($D1919="","",IFERROR(VLOOKUP($D1919,'ACAH Consumables Tracker'!$A:$D,4,FALSE()),""))</f>
        <v/>
      </c>
      <c r="H1919" s="22"/>
    </row>
    <row r="1920" spans="1:8">
      <c r="A1920" s="21"/>
      <c r="B1920" s="28"/>
      <c r="C1920" s="22"/>
      <c r="D1920" s="28"/>
      <c r="E1920" s="23" t="str">
        <f>IF($D1920="","",IFERROR(VLOOKUP($D1920,'ACAH Consumables Tracker'!$A:$H,8,FALSE()),""))</f>
        <v/>
      </c>
      <c r="F1920" s="24"/>
      <c r="G1920" s="25" t="str">
        <f>IF($D1920="","",IFERROR(VLOOKUP($D1920,'ACAH Consumables Tracker'!$A:$D,4,FALSE()),""))</f>
        <v/>
      </c>
      <c r="H1920" s="22"/>
    </row>
    <row r="1921" spans="1:8">
      <c r="A1921" s="21"/>
      <c r="B1921" s="28"/>
      <c r="C1921" s="22"/>
      <c r="D1921" s="28"/>
      <c r="E1921" s="23" t="str">
        <f>IF($D1921="","",IFERROR(VLOOKUP($D1921,'ACAH Consumables Tracker'!$A:$H,8,FALSE()),""))</f>
        <v/>
      </c>
      <c r="F1921" s="24"/>
      <c r="G1921" s="25" t="str">
        <f>IF($D1921="","",IFERROR(VLOOKUP($D1921,'ACAH Consumables Tracker'!$A:$D,4,FALSE()),""))</f>
        <v/>
      </c>
      <c r="H1921" s="22"/>
    </row>
    <row r="1922" spans="1:8">
      <c r="A1922" s="21"/>
      <c r="B1922" s="28"/>
      <c r="C1922" s="22"/>
      <c r="D1922" s="28"/>
      <c r="E1922" s="23" t="str">
        <f>IF($D1922="","",IFERROR(VLOOKUP($D1922,'ACAH Consumables Tracker'!$A:$H,8,FALSE()),""))</f>
        <v/>
      </c>
      <c r="F1922" s="24"/>
      <c r="G1922" s="25" t="str">
        <f>IF($D1922="","",IFERROR(VLOOKUP($D1922,'ACAH Consumables Tracker'!$A:$D,4,FALSE()),""))</f>
        <v/>
      </c>
      <c r="H1922" s="22"/>
    </row>
    <row r="1923" spans="1:8">
      <c r="A1923" s="21"/>
      <c r="B1923" s="28"/>
      <c r="C1923" s="22"/>
      <c r="D1923" s="28"/>
      <c r="E1923" s="23" t="str">
        <f>IF($D1923="","",IFERROR(VLOOKUP($D1923,'ACAH Consumables Tracker'!$A:$H,8,FALSE()),""))</f>
        <v/>
      </c>
      <c r="F1923" s="24"/>
      <c r="G1923" s="25" t="str">
        <f>IF($D1923="","",IFERROR(VLOOKUP($D1923,'ACAH Consumables Tracker'!$A:$D,4,FALSE()),""))</f>
        <v/>
      </c>
      <c r="H1923" s="22"/>
    </row>
    <row r="1924" spans="1:8">
      <c r="A1924" s="21"/>
      <c r="B1924" s="28"/>
      <c r="C1924" s="22"/>
      <c r="D1924" s="28"/>
      <c r="E1924" s="23" t="str">
        <f>IF($D1924="","",IFERROR(VLOOKUP($D1924,'ACAH Consumables Tracker'!$A:$H,8,FALSE()),""))</f>
        <v/>
      </c>
      <c r="F1924" s="24"/>
      <c r="G1924" s="25" t="str">
        <f>IF($D1924="","",IFERROR(VLOOKUP($D1924,'ACAH Consumables Tracker'!$A:$D,4,FALSE()),""))</f>
        <v/>
      </c>
      <c r="H1924" s="22"/>
    </row>
    <row r="1925" spans="1:8">
      <c r="A1925" s="21"/>
      <c r="B1925" s="28"/>
      <c r="C1925" s="22"/>
      <c r="D1925" s="28"/>
      <c r="E1925" s="23" t="str">
        <f>IF($D1925="","",IFERROR(VLOOKUP($D1925,'ACAH Consumables Tracker'!$A:$H,8,FALSE()),""))</f>
        <v/>
      </c>
      <c r="F1925" s="24"/>
      <c r="G1925" s="25" t="str">
        <f>IF($D1925="","",IFERROR(VLOOKUP($D1925,'ACAH Consumables Tracker'!$A:$D,4,FALSE()),""))</f>
        <v/>
      </c>
      <c r="H1925" s="22"/>
    </row>
    <row r="1926" spans="1:8">
      <c r="A1926" s="21"/>
      <c r="B1926" s="28"/>
      <c r="C1926" s="22"/>
      <c r="D1926" s="28"/>
      <c r="E1926" s="23" t="str">
        <f>IF($D1926="","",IFERROR(VLOOKUP($D1926,'ACAH Consumables Tracker'!$A:$H,8,FALSE()),""))</f>
        <v/>
      </c>
      <c r="F1926" s="24"/>
      <c r="G1926" s="25" t="str">
        <f>IF($D1926="","",IFERROR(VLOOKUP($D1926,'ACAH Consumables Tracker'!$A:$D,4,FALSE()),""))</f>
        <v/>
      </c>
      <c r="H1926" s="22"/>
    </row>
    <row r="1927" spans="1:8">
      <c r="A1927" s="21"/>
      <c r="B1927" s="28"/>
      <c r="C1927" s="22"/>
      <c r="D1927" s="28"/>
      <c r="E1927" s="23" t="str">
        <f>IF($D1927="","",IFERROR(VLOOKUP($D1927,'ACAH Consumables Tracker'!$A:$H,8,FALSE()),""))</f>
        <v/>
      </c>
      <c r="F1927" s="24"/>
      <c r="G1927" s="25" t="str">
        <f>IF($D1927="","",IFERROR(VLOOKUP($D1927,'ACAH Consumables Tracker'!$A:$D,4,FALSE()),""))</f>
        <v/>
      </c>
      <c r="H1927" s="22"/>
    </row>
    <row r="1928" spans="1:8">
      <c r="A1928" s="21"/>
      <c r="B1928" s="28"/>
      <c r="C1928" s="22"/>
      <c r="D1928" s="28"/>
      <c r="E1928" s="23" t="str">
        <f>IF($D1928="","",IFERROR(VLOOKUP($D1928,'ACAH Consumables Tracker'!$A:$H,8,FALSE()),""))</f>
        <v/>
      </c>
      <c r="F1928" s="24"/>
      <c r="G1928" s="25" t="str">
        <f>IF($D1928="","",IFERROR(VLOOKUP($D1928,'ACAH Consumables Tracker'!$A:$D,4,FALSE()),""))</f>
        <v/>
      </c>
      <c r="H1928" s="22"/>
    </row>
    <row r="1929" spans="1:8">
      <c r="A1929" s="21"/>
      <c r="B1929" s="28"/>
      <c r="C1929" s="22"/>
      <c r="D1929" s="28"/>
      <c r="E1929" s="23" t="str">
        <f>IF($D1929="","",IFERROR(VLOOKUP($D1929,'ACAH Consumables Tracker'!$A:$H,8,FALSE()),""))</f>
        <v/>
      </c>
      <c r="F1929" s="24"/>
      <c r="G1929" s="25" t="str">
        <f>IF($D1929="","",IFERROR(VLOOKUP($D1929,'ACAH Consumables Tracker'!$A:$D,4,FALSE()),""))</f>
        <v/>
      </c>
      <c r="H1929" s="22"/>
    </row>
    <row r="1930" spans="1:8">
      <c r="A1930" s="21"/>
      <c r="B1930" s="28"/>
      <c r="C1930" s="22"/>
      <c r="D1930" s="28"/>
      <c r="E1930" s="23" t="str">
        <f>IF($D1930="","",IFERROR(VLOOKUP($D1930,'ACAH Consumables Tracker'!$A:$H,8,FALSE()),""))</f>
        <v/>
      </c>
      <c r="F1930" s="24"/>
      <c r="G1930" s="25" t="str">
        <f>IF($D1930="","",IFERROR(VLOOKUP($D1930,'ACAH Consumables Tracker'!$A:$D,4,FALSE()),""))</f>
        <v/>
      </c>
      <c r="H1930" s="22"/>
    </row>
    <row r="1931" spans="1:8">
      <c r="A1931" s="21"/>
      <c r="B1931" s="28"/>
      <c r="C1931" s="22"/>
      <c r="D1931" s="28"/>
      <c r="E1931" s="23" t="str">
        <f>IF($D1931="","",IFERROR(VLOOKUP($D1931,'ACAH Consumables Tracker'!$A:$H,8,FALSE()),""))</f>
        <v/>
      </c>
      <c r="F1931" s="24"/>
      <c r="G1931" s="25" t="str">
        <f>IF($D1931="","",IFERROR(VLOOKUP($D1931,'ACAH Consumables Tracker'!$A:$D,4,FALSE()),""))</f>
        <v/>
      </c>
      <c r="H1931" s="22"/>
    </row>
    <row r="1932" spans="1:8">
      <c r="A1932" s="21"/>
      <c r="B1932" s="28"/>
      <c r="C1932" s="22"/>
      <c r="D1932" s="28"/>
      <c r="E1932" s="23" t="str">
        <f>IF($D1932="","",IFERROR(VLOOKUP($D1932,'ACAH Consumables Tracker'!$A:$H,8,FALSE()),""))</f>
        <v/>
      </c>
      <c r="F1932" s="24"/>
      <c r="G1932" s="25" t="str">
        <f>IF($D1932="","",IFERROR(VLOOKUP($D1932,'ACAH Consumables Tracker'!$A:$D,4,FALSE()),""))</f>
        <v/>
      </c>
      <c r="H1932" s="22"/>
    </row>
    <row r="1933" spans="1:8">
      <c r="A1933" s="21"/>
      <c r="B1933" s="28"/>
      <c r="C1933" s="22"/>
      <c r="D1933" s="28"/>
      <c r="E1933" s="23" t="str">
        <f>IF($D1933="","",IFERROR(VLOOKUP($D1933,'ACAH Consumables Tracker'!$A:$H,8,FALSE()),""))</f>
        <v/>
      </c>
      <c r="F1933" s="24"/>
      <c r="G1933" s="25" t="str">
        <f>IF($D1933="","",IFERROR(VLOOKUP($D1933,'ACAH Consumables Tracker'!$A:$D,4,FALSE()),""))</f>
        <v/>
      </c>
      <c r="H1933" s="22"/>
    </row>
    <row r="1934" spans="1:8">
      <c r="A1934" s="21"/>
      <c r="B1934" s="28"/>
      <c r="C1934" s="22"/>
      <c r="D1934" s="28"/>
      <c r="E1934" s="23" t="str">
        <f>IF($D1934="","",IFERROR(VLOOKUP($D1934,'ACAH Consumables Tracker'!$A:$H,8,FALSE()),""))</f>
        <v/>
      </c>
      <c r="F1934" s="24"/>
      <c r="G1934" s="25" t="str">
        <f>IF($D1934="","",IFERROR(VLOOKUP($D1934,'ACAH Consumables Tracker'!$A:$D,4,FALSE()),""))</f>
        <v/>
      </c>
      <c r="H1934" s="22"/>
    </row>
    <row r="1935" spans="1:8">
      <c r="A1935" s="21"/>
      <c r="B1935" s="28"/>
      <c r="C1935" s="22"/>
      <c r="D1935" s="28"/>
      <c r="E1935" s="23" t="str">
        <f>IF($D1935="","",IFERROR(VLOOKUP($D1935,'ACAH Consumables Tracker'!$A:$H,8,FALSE()),""))</f>
        <v/>
      </c>
      <c r="F1935" s="24"/>
      <c r="G1935" s="25" t="str">
        <f>IF($D1935="","",IFERROR(VLOOKUP($D1935,'ACAH Consumables Tracker'!$A:$D,4,FALSE()),""))</f>
        <v/>
      </c>
      <c r="H1935" s="22"/>
    </row>
    <row r="1936" spans="1:8">
      <c r="A1936" s="21"/>
      <c r="B1936" s="28"/>
      <c r="C1936" s="22"/>
      <c r="D1936" s="28"/>
      <c r="E1936" s="23" t="str">
        <f>IF($D1936="","",IFERROR(VLOOKUP($D1936,'ACAH Consumables Tracker'!$A:$H,8,FALSE()),""))</f>
        <v/>
      </c>
      <c r="F1936" s="24"/>
      <c r="G1936" s="25" t="str">
        <f>IF($D1936="","",IFERROR(VLOOKUP($D1936,'ACAH Consumables Tracker'!$A:$D,4,FALSE()),""))</f>
        <v/>
      </c>
      <c r="H1936" s="22"/>
    </row>
    <row r="1937" spans="1:8">
      <c r="A1937" s="21"/>
      <c r="B1937" s="28"/>
      <c r="C1937" s="22"/>
      <c r="D1937" s="28"/>
      <c r="E1937" s="23" t="str">
        <f>IF($D1937="","",IFERROR(VLOOKUP($D1937,'ACAH Consumables Tracker'!$A:$H,8,FALSE()),""))</f>
        <v/>
      </c>
      <c r="F1937" s="24"/>
      <c r="G1937" s="25" t="str">
        <f>IF($D1937="","",IFERROR(VLOOKUP($D1937,'ACAH Consumables Tracker'!$A:$D,4,FALSE()),""))</f>
        <v/>
      </c>
      <c r="H1937" s="22"/>
    </row>
    <row r="1938" spans="1:8">
      <c r="A1938" s="21"/>
      <c r="B1938" s="28"/>
      <c r="C1938" s="22"/>
      <c r="D1938" s="28"/>
      <c r="E1938" s="23" t="str">
        <f>IF($D1938="","",IFERROR(VLOOKUP($D1938,'ACAH Consumables Tracker'!$A:$H,8,FALSE()),""))</f>
        <v/>
      </c>
      <c r="F1938" s="24"/>
      <c r="G1938" s="25" t="str">
        <f>IF($D1938="","",IFERROR(VLOOKUP($D1938,'ACAH Consumables Tracker'!$A:$D,4,FALSE()),""))</f>
        <v/>
      </c>
      <c r="H1938" s="22"/>
    </row>
    <row r="1939" spans="1:8">
      <c r="A1939" s="21"/>
      <c r="B1939" s="28"/>
      <c r="C1939" s="22"/>
      <c r="D1939" s="28"/>
      <c r="E1939" s="23" t="str">
        <f>IF($D1939="","",IFERROR(VLOOKUP($D1939,'ACAH Consumables Tracker'!$A:$H,8,FALSE()),""))</f>
        <v/>
      </c>
      <c r="F1939" s="24"/>
      <c r="G1939" s="25" t="str">
        <f>IF($D1939="","",IFERROR(VLOOKUP($D1939,'ACAH Consumables Tracker'!$A:$D,4,FALSE()),""))</f>
        <v/>
      </c>
      <c r="H1939" s="22"/>
    </row>
    <row r="1940" spans="1:8">
      <c r="A1940" s="21"/>
      <c r="B1940" s="28"/>
      <c r="C1940" s="22"/>
      <c r="D1940" s="28"/>
      <c r="E1940" s="23" t="str">
        <f>IF($D1940="","",IFERROR(VLOOKUP($D1940,'ACAH Consumables Tracker'!$A:$H,8,FALSE()),""))</f>
        <v/>
      </c>
      <c r="F1940" s="24"/>
      <c r="G1940" s="25" t="str">
        <f>IF($D1940="","",IFERROR(VLOOKUP($D1940,'ACAH Consumables Tracker'!$A:$D,4,FALSE()),""))</f>
        <v/>
      </c>
      <c r="H1940" s="22"/>
    </row>
    <row r="1941" spans="1:8">
      <c r="A1941" s="21"/>
      <c r="B1941" s="28"/>
      <c r="C1941" s="22"/>
      <c r="D1941" s="28"/>
      <c r="E1941" s="23" t="str">
        <f>IF($D1941="","",IFERROR(VLOOKUP($D1941,'ACAH Consumables Tracker'!$A:$H,8,FALSE()),""))</f>
        <v/>
      </c>
      <c r="F1941" s="24"/>
      <c r="G1941" s="25" t="str">
        <f>IF($D1941="","",IFERROR(VLOOKUP($D1941,'ACAH Consumables Tracker'!$A:$D,4,FALSE()),""))</f>
        <v/>
      </c>
      <c r="H1941" s="22"/>
    </row>
    <row r="1942" spans="1:8">
      <c r="A1942" s="21"/>
      <c r="B1942" s="28"/>
      <c r="C1942" s="22"/>
      <c r="D1942" s="28"/>
      <c r="E1942" s="23" t="str">
        <f>IF($D1942="","",IFERROR(VLOOKUP($D1942,'ACAH Consumables Tracker'!$A:$H,8,FALSE()),""))</f>
        <v/>
      </c>
      <c r="F1942" s="24"/>
      <c r="G1942" s="25" t="str">
        <f>IF($D1942="","",IFERROR(VLOOKUP($D1942,'ACAH Consumables Tracker'!$A:$D,4,FALSE()),""))</f>
        <v/>
      </c>
      <c r="H1942" s="22"/>
    </row>
    <row r="1943" spans="1:8">
      <c r="A1943" s="21"/>
      <c r="B1943" s="28"/>
      <c r="C1943" s="22"/>
      <c r="D1943" s="28"/>
      <c r="E1943" s="23" t="str">
        <f>IF($D1943="","",IFERROR(VLOOKUP($D1943,'ACAH Consumables Tracker'!$A:$H,8,FALSE()),""))</f>
        <v/>
      </c>
      <c r="F1943" s="24"/>
      <c r="G1943" s="25" t="str">
        <f>IF($D1943="","",IFERROR(VLOOKUP($D1943,'ACAH Consumables Tracker'!$A:$D,4,FALSE()),""))</f>
        <v/>
      </c>
      <c r="H1943" s="22"/>
    </row>
    <row r="1944" spans="1:8">
      <c r="A1944" s="21"/>
      <c r="B1944" s="28"/>
      <c r="C1944" s="22"/>
      <c r="D1944" s="28"/>
      <c r="E1944" s="23" t="str">
        <f>IF($D1944="","",IFERROR(VLOOKUP($D1944,'ACAH Consumables Tracker'!$A:$H,8,FALSE()),""))</f>
        <v/>
      </c>
      <c r="F1944" s="24"/>
      <c r="G1944" s="25" t="str">
        <f>IF($D1944="","",IFERROR(VLOOKUP($D1944,'ACAH Consumables Tracker'!$A:$D,4,FALSE()),""))</f>
        <v/>
      </c>
      <c r="H1944" s="22"/>
    </row>
    <row r="1945" spans="1:8">
      <c r="A1945" s="21"/>
      <c r="B1945" s="28"/>
      <c r="C1945" s="22"/>
      <c r="D1945" s="28"/>
      <c r="E1945" s="23" t="str">
        <f>IF($D1945="","",IFERROR(VLOOKUP($D1945,'ACAH Consumables Tracker'!$A:$H,8,FALSE()),""))</f>
        <v/>
      </c>
      <c r="F1945" s="24"/>
      <c r="G1945" s="25" t="str">
        <f>IF($D1945="","",IFERROR(VLOOKUP($D1945,'ACAH Consumables Tracker'!$A:$D,4,FALSE()),""))</f>
        <v/>
      </c>
      <c r="H1945" s="22"/>
    </row>
    <row r="1946" spans="1:8">
      <c r="A1946" s="21"/>
      <c r="B1946" s="28"/>
      <c r="C1946" s="22"/>
      <c r="D1946" s="28"/>
      <c r="E1946" s="23" t="str">
        <f>IF($D1946="","",IFERROR(VLOOKUP($D1946,'ACAH Consumables Tracker'!$A:$H,8,FALSE()),""))</f>
        <v/>
      </c>
      <c r="F1946" s="24"/>
      <c r="G1946" s="25" t="str">
        <f>IF($D1946="","",IFERROR(VLOOKUP($D1946,'ACAH Consumables Tracker'!$A:$D,4,FALSE()),""))</f>
        <v/>
      </c>
      <c r="H1946" s="22"/>
    </row>
    <row r="1947" spans="1:8">
      <c r="A1947" s="21"/>
      <c r="B1947" s="28"/>
      <c r="C1947" s="22"/>
      <c r="D1947" s="28"/>
      <c r="E1947" s="23" t="str">
        <f>IF($D1947="","",IFERROR(VLOOKUP($D1947,'ACAH Consumables Tracker'!$A:$H,8,FALSE()),""))</f>
        <v/>
      </c>
      <c r="F1947" s="24"/>
      <c r="G1947" s="25" t="str">
        <f>IF($D1947="","",IFERROR(VLOOKUP($D1947,'ACAH Consumables Tracker'!$A:$D,4,FALSE()),""))</f>
        <v/>
      </c>
      <c r="H1947" s="22"/>
    </row>
    <row r="1948" spans="1:8">
      <c r="A1948" s="21"/>
      <c r="B1948" s="28"/>
      <c r="C1948" s="22"/>
      <c r="D1948" s="28"/>
      <c r="E1948" s="23" t="str">
        <f>IF($D1948="","",IFERROR(VLOOKUP($D1948,'ACAH Consumables Tracker'!$A:$H,8,FALSE()),""))</f>
        <v/>
      </c>
      <c r="F1948" s="24"/>
      <c r="G1948" s="25" t="str">
        <f>IF($D1948="","",IFERROR(VLOOKUP($D1948,'ACAH Consumables Tracker'!$A:$D,4,FALSE()),""))</f>
        <v/>
      </c>
      <c r="H1948" s="22"/>
    </row>
    <row r="1949" spans="1:8">
      <c r="A1949" s="21"/>
      <c r="B1949" s="28"/>
      <c r="C1949" s="22"/>
      <c r="D1949" s="28"/>
      <c r="E1949" s="23" t="str">
        <f>IF($D1949="","",IFERROR(VLOOKUP($D1949,'ACAH Consumables Tracker'!$A:$H,8,FALSE()),""))</f>
        <v/>
      </c>
      <c r="F1949" s="24"/>
      <c r="G1949" s="25" t="str">
        <f>IF($D1949="","",IFERROR(VLOOKUP($D1949,'ACAH Consumables Tracker'!$A:$D,4,FALSE()),""))</f>
        <v/>
      </c>
      <c r="H1949" s="22"/>
    </row>
    <row r="1950" spans="1:8">
      <c r="A1950" s="21"/>
      <c r="B1950" s="28"/>
      <c r="C1950" s="22"/>
      <c r="D1950" s="28"/>
      <c r="E1950" s="23" t="str">
        <f>IF($D1950="","",IFERROR(VLOOKUP($D1950,'ACAH Consumables Tracker'!$A:$H,8,FALSE()),""))</f>
        <v/>
      </c>
      <c r="F1950" s="24"/>
      <c r="G1950" s="25" t="str">
        <f>IF($D1950="","",IFERROR(VLOOKUP($D1950,'ACAH Consumables Tracker'!$A:$D,4,FALSE()),""))</f>
        <v/>
      </c>
      <c r="H1950" s="22"/>
    </row>
    <row r="1951" spans="1:8">
      <c r="A1951" s="21"/>
      <c r="B1951" s="28"/>
      <c r="C1951" s="22"/>
      <c r="D1951" s="28"/>
      <c r="E1951" s="23" t="str">
        <f>IF($D1951="","",IFERROR(VLOOKUP($D1951,'ACAH Consumables Tracker'!$A:$H,8,FALSE()),""))</f>
        <v/>
      </c>
      <c r="F1951" s="24"/>
      <c r="G1951" s="25" t="str">
        <f>IF($D1951="","",IFERROR(VLOOKUP($D1951,'ACAH Consumables Tracker'!$A:$D,4,FALSE()),""))</f>
        <v/>
      </c>
      <c r="H1951" s="22"/>
    </row>
    <row r="1952" spans="1:8">
      <c r="A1952" s="21"/>
      <c r="B1952" s="28"/>
      <c r="C1952" s="22"/>
      <c r="D1952" s="28"/>
      <c r="E1952" s="23" t="str">
        <f>IF($D1952="","",IFERROR(VLOOKUP($D1952,'ACAH Consumables Tracker'!$A:$H,8,FALSE()),""))</f>
        <v/>
      </c>
      <c r="F1952" s="24"/>
      <c r="G1952" s="25" t="str">
        <f>IF($D1952="","",IFERROR(VLOOKUP($D1952,'ACAH Consumables Tracker'!$A:$D,4,FALSE()),""))</f>
        <v/>
      </c>
      <c r="H1952" s="22"/>
    </row>
    <row r="1953" spans="1:8">
      <c r="A1953" s="21"/>
      <c r="B1953" s="28"/>
      <c r="C1953" s="22"/>
      <c r="D1953" s="28"/>
      <c r="E1953" s="23" t="str">
        <f>IF($D1953="","",IFERROR(VLOOKUP($D1953,'ACAH Consumables Tracker'!$A:$H,8,FALSE()),""))</f>
        <v/>
      </c>
      <c r="F1953" s="24"/>
      <c r="G1953" s="25" t="str">
        <f>IF($D1953="","",IFERROR(VLOOKUP($D1953,'ACAH Consumables Tracker'!$A:$D,4,FALSE()),""))</f>
        <v/>
      </c>
      <c r="H1953" s="22"/>
    </row>
    <row r="1954" spans="1:8">
      <c r="A1954" s="21"/>
      <c r="B1954" s="28"/>
      <c r="C1954" s="22"/>
      <c r="D1954" s="28"/>
      <c r="E1954" s="23" t="str">
        <f>IF($D1954="","",IFERROR(VLOOKUP($D1954,'ACAH Consumables Tracker'!$A:$H,8,FALSE()),""))</f>
        <v/>
      </c>
      <c r="F1954" s="24"/>
      <c r="G1954" s="25" t="str">
        <f>IF($D1954="","",IFERROR(VLOOKUP($D1954,'ACAH Consumables Tracker'!$A:$D,4,FALSE()),""))</f>
        <v/>
      </c>
      <c r="H1954" s="22"/>
    </row>
    <row r="1955" spans="1:8">
      <c r="A1955" s="21"/>
      <c r="B1955" s="28"/>
      <c r="C1955" s="22"/>
      <c r="D1955" s="28"/>
      <c r="E1955" s="23" t="str">
        <f>IF($D1955="","",IFERROR(VLOOKUP($D1955,'ACAH Consumables Tracker'!$A:$H,8,FALSE()),""))</f>
        <v/>
      </c>
      <c r="F1955" s="24"/>
      <c r="G1955" s="25" t="str">
        <f>IF($D1955="","",IFERROR(VLOOKUP($D1955,'ACAH Consumables Tracker'!$A:$D,4,FALSE()),""))</f>
        <v/>
      </c>
      <c r="H1955" s="22"/>
    </row>
    <row r="1956" spans="1:8">
      <c r="A1956" s="21"/>
      <c r="B1956" s="28"/>
      <c r="C1956" s="22"/>
      <c r="D1956" s="28"/>
      <c r="E1956" s="23" t="str">
        <f>IF($D1956="","",IFERROR(VLOOKUP($D1956,'ACAH Consumables Tracker'!$A:$H,8,FALSE()),""))</f>
        <v/>
      </c>
      <c r="F1956" s="24"/>
      <c r="G1956" s="25" t="str">
        <f>IF($D1956="","",IFERROR(VLOOKUP($D1956,'ACAH Consumables Tracker'!$A:$D,4,FALSE()),""))</f>
        <v/>
      </c>
      <c r="H1956" s="22"/>
    </row>
    <row r="1957" spans="1:8">
      <c r="A1957" s="21"/>
      <c r="B1957" s="28"/>
      <c r="C1957" s="22"/>
      <c r="D1957" s="28"/>
      <c r="E1957" s="23" t="str">
        <f>IF($D1957="","",IFERROR(VLOOKUP($D1957,'ACAH Consumables Tracker'!$A:$H,8,FALSE()),""))</f>
        <v/>
      </c>
      <c r="F1957" s="24"/>
      <c r="G1957" s="25" t="str">
        <f>IF($D1957="","",IFERROR(VLOOKUP($D1957,'ACAH Consumables Tracker'!$A:$D,4,FALSE()),""))</f>
        <v/>
      </c>
      <c r="H1957" s="22"/>
    </row>
    <row r="1958" spans="1:8">
      <c r="A1958" s="21"/>
      <c r="B1958" s="28"/>
      <c r="C1958" s="22"/>
      <c r="D1958" s="28"/>
      <c r="E1958" s="23" t="str">
        <f>IF($D1958="","",IFERROR(VLOOKUP($D1958,'ACAH Consumables Tracker'!$A:$H,8,FALSE()),""))</f>
        <v/>
      </c>
      <c r="F1958" s="24"/>
      <c r="G1958" s="25" t="str">
        <f>IF($D1958="","",IFERROR(VLOOKUP($D1958,'ACAH Consumables Tracker'!$A:$D,4,FALSE()),""))</f>
        <v/>
      </c>
      <c r="H1958" s="22"/>
    </row>
    <row r="1959" spans="1:8">
      <c r="A1959" s="21"/>
      <c r="B1959" s="28"/>
      <c r="C1959" s="22"/>
      <c r="D1959" s="28"/>
      <c r="E1959" s="23" t="str">
        <f>IF($D1959="","",IFERROR(VLOOKUP($D1959,'ACAH Consumables Tracker'!$A:$H,8,FALSE()),""))</f>
        <v/>
      </c>
      <c r="F1959" s="24"/>
      <c r="G1959" s="25" t="str">
        <f>IF($D1959="","",IFERROR(VLOOKUP($D1959,'ACAH Consumables Tracker'!$A:$D,4,FALSE()),""))</f>
        <v/>
      </c>
      <c r="H1959" s="22"/>
    </row>
    <row r="1960" spans="1:8">
      <c r="A1960" s="21"/>
      <c r="B1960" s="28"/>
      <c r="C1960" s="22"/>
      <c r="D1960" s="28"/>
      <c r="E1960" s="23" t="str">
        <f>IF($D1960="","",IFERROR(VLOOKUP($D1960,'ACAH Consumables Tracker'!$A:$H,8,FALSE()),""))</f>
        <v/>
      </c>
      <c r="F1960" s="24"/>
      <c r="G1960" s="25" t="str">
        <f>IF($D1960="","",IFERROR(VLOOKUP($D1960,'ACAH Consumables Tracker'!$A:$D,4,FALSE()),""))</f>
        <v/>
      </c>
      <c r="H1960" s="22"/>
    </row>
    <row r="1961" spans="1:8">
      <c r="A1961" s="21"/>
      <c r="B1961" s="28"/>
      <c r="C1961" s="22"/>
      <c r="D1961" s="28"/>
      <c r="E1961" s="23" t="str">
        <f>IF($D1961="","",IFERROR(VLOOKUP($D1961,'ACAH Consumables Tracker'!$A:$H,8,FALSE()),""))</f>
        <v/>
      </c>
      <c r="F1961" s="24"/>
      <c r="G1961" s="25" t="str">
        <f>IF($D1961="","",IFERROR(VLOOKUP($D1961,'ACAH Consumables Tracker'!$A:$D,4,FALSE()),""))</f>
        <v/>
      </c>
      <c r="H1961" s="22"/>
    </row>
    <row r="1962" spans="1:8">
      <c r="A1962" s="21"/>
      <c r="B1962" s="28"/>
      <c r="C1962" s="22"/>
      <c r="D1962" s="28"/>
      <c r="E1962" s="23" t="str">
        <f>IF($D1962="","",IFERROR(VLOOKUP($D1962,'ACAH Consumables Tracker'!$A:$H,8,FALSE()),""))</f>
        <v/>
      </c>
      <c r="F1962" s="24"/>
      <c r="G1962" s="25" t="str">
        <f>IF($D1962="","",IFERROR(VLOOKUP($D1962,'ACAH Consumables Tracker'!$A:$D,4,FALSE()),""))</f>
        <v/>
      </c>
      <c r="H1962" s="22"/>
    </row>
    <row r="1963" spans="1:8">
      <c r="A1963" s="21"/>
      <c r="B1963" s="28"/>
      <c r="C1963" s="22"/>
      <c r="D1963" s="28"/>
      <c r="E1963" s="23" t="str">
        <f>IF($D1963="","",IFERROR(VLOOKUP($D1963,'ACAH Consumables Tracker'!$A:$H,8,FALSE()),""))</f>
        <v/>
      </c>
      <c r="F1963" s="24"/>
      <c r="G1963" s="25" t="str">
        <f>IF($D1963="","",IFERROR(VLOOKUP($D1963,'ACAH Consumables Tracker'!$A:$D,4,FALSE()),""))</f>
        <v/>
      </c>
      <c r="H1963" s="22"/>
    </row>
    <row r="1964" spans="1:8">
      <c r="A1964" s="21"/>
      <c r="B1964" s="28"/>
      <c r="C1964" s="22"/>
      <c r="D1964" s="28"/>
      <c r="E1964" s="23" t="str">
        <f>IF($D1964="","",IFERROR(VLOOKUP($D1964,'ACAH Consumables Tracker'!$A:$H,8,FALSE()),""))</f>
        <v/>
      </c>
      <c r="F1964" s="24"/>
      <c r="G1964" s="25" t="str">
        <f>IF($D1964="","",IFERROR(VLOOKUP($D1964,'ACAH Consumables Tracker'!$A:$D,4,FALSE()),""))</f>
        <v/>
      </c>
      <c r="H1964" s="22"/>
    </row>
    <row r="1965" spans="1:8">
      <c r="A1965" s="21"/>
      <c r="B1965" s="28"/>
      <c r="C1965" s="22"/>
      <c r="D1965" s="28"/>
      <c r="E1965" s="23" t="str">
        <f>IF($D1965="","",IFERROR(VLOOKUP($D1965,'ACAH Consumables Tracker'!$A:$H,8,FALSE()),""))</f>
        <v/>
      </c>
      <c r="F1965" s="24"/>
      <c r="G1965" s="25" t="str">
        <f>IF($D1965="","",IFERROR(VLOOKUP($D1965,'ACAH Consumables Tracker'!$A:$D,4,FALSE()),""))</f>
        <v/>
      </c>
      <c r="H1965" s="22"/>
    </row>
    <row r="1966" spans="1:8">
      <c r="A1966" s="21"/>
      <c r="B1966" s="28"/>
      <c r="C1966" s="22"/>
      <c r="D1966" s="28"/>
      <c r="E1966" s="23" t="str">
        <f>IF($D1966="","",IFERROR(VLOOKUP($D1966,'ACAH Consumables Tracker'!$A:$H,8,FALSE()),""))</f>
        <v/>
      </c>
      <c r="F1966" s="24"/>
      <c r="G1966" s="25" t="str">
        <f>IF($D1966="","",IFERROR(VLOOKUP($D1966,'ACAH Consumables Tracker'!$A:$D,4,FALSE()),""))</f>
        <v/>
      </c>
      <c r="H1966" s="22"/>
    </row>
    <row r="1967" spans="1:8">
      <c r="A1967" s="21"/>
      <c r="B1967" s="28"/>
      <c r="C1967" s="22"/>
      <c r="D1967" s="28"/>
      <c r="E1967" s="23" t="str">
        <f>IF($D1967="","",IFERROR(VLOOKUP($D1967,'ACAH Consumables Tracker'!$A:$H,8,FALSE()),""))</f>
        <v/>
      </c>
      <c r="F1967" s="24"/>
      <c r="G1967" s="25" t="str">
        <f>IF($D1967="","",IFERROR(VLOOKUP($D1967,'ACAH Consumables Tracker'!$A:$D,4,FALSE()),""))</f>
        <v/>
      </c>
      <c r="H1967" s="22"/>
    </row>
    <row r="1968" spans="1:8">
      <c r="A1968" s="21"/>
      <c r="B1968" s="28"/>
      <c r="C1968" s="22"/>
      <c r="D1968" s="28"/>
      <c r="E1968" s="23" t="str">
        <f>IF($D1968="","",IFERROR(VLOOKUP($D1968,'ACAH Consumables Tracker'!$A:$H,8,FALSE()),""))</f>
        <v/>
      </c>
      <c r="F1968" s="24"/>
      <c r="G1968" s="25" t="str">
        <f>IF($D1968="","",IFERROR(VLOOKUP($D1968,'ACAH Consumables Tracker'!$A:$D,4,FALSE()),""))</f>
        <v/>
      </c>
      <c r="H1968" s="22"/>
    </row>
    <row r="1969" spans="1:8">
      <c r="A1969" s="21"/>
      <c r="B1969" s="28"/>
      <c r="C1969" s="22"/>
      <c r="D1969" s="28"/>
      <c r="E1969" s="23" t="str">
        <f>IF($D1969="","",IFERROR(VLOOKUP($D1969,'ACAH Consumables Tracker'!$A:$H,8,FALSE()),""))</f>
        <v/>
      </c>
      <c r="F1969" s="24"/>
      <c r="G1969" s="25" t="str">
        <f>IF($D1969="","",IFERROR(VLOOKUP($D1969,'ACAH Consumables Tracker'!$A:$D,4,FALSE()),""))</f>
        <v/>
      </c>
      <c r="H1969" s="22"/>
    </row>
    <row r="1970" spans="1:8">
      <c r="A1970" s="21"/>
      <c r="B1970" s="28"/>
      <c r="C1970" s="22"/>
      <c r="D1970" s="28"/>
      <c r="E1970" s="23" t="str">
        <f>IF($D1970="","",IFERROR(VLOOKUP($D1970,'ACAH Consumables Tracker'!$A:$H,8,FALSE()),""))</f>
        <v/>
      </c>
      <c r="F1970" s="24"/>
      <c r="G1970" s="25" t="str">
        <f>IF($D1970="","",IFERROR(VLOOKUP($D1970,'ACAH Consumables Tracker'!$A:$D,4,FALSE()),""))</f>
        <v/>
      </c>
      <c r="H1970" s="22"/>
    </row>
    <row r="1971" spans="1:8">
      <c r="A1971" s="21"/>
      <c r="B1971" s="28"/>
      <c r="C1971" s="22"/>
      <c r="D1971" s="28"/>
      <c r="E1971" s="23" t="str">
        <f>IF($D1971="","",IFERROR(VLOOKUP($D1971,'ACAH Consumables Tracker'!$A:$H,8,FALSE()),""))</f>
        <v/>
      </c>
      <c r="F1971" s="24"/>
      <c r="G1971" s="25" t="str">
        <f>IF($D1971="","",IFERROR(VLOOKUP($D1971,'ACAH Consumables Tracker'!$A:$D,4,FALSE()),""))</f>
        <v/>
      </c>
      <c r="H1971" s="22"/>
    </row>
    <row r="1972" spans="1:8">
      <c r="A1972" s="21"/>
      <c r="B1972" s="28"/>
      <c r="C1972" s="22"/>
      <c r="D1972" s="28"/>
      <c r="E1972" s="23" t="str">
        <f>IF($D1972="","",IFERROR(VLOOKUP($D1972,'ACAH Consumables Tracker'!$A:$H,8,FALSE()),""))</f>
        <v/>
      </c>
      <c r="F1972" s="24"/>
      <c r="G1972" s="25" t="str">
        <f>IF($D1972="","",IFERROR(VLOOKUP($D1972,'ACAH Consumables Tracker'!$A:$D,4,FALSE()),""))</f>
        <v/>
      </c>
      <c r="H1972" s="22"/>
    </row>
    <row r="1973" spans="1:8">
      <c r="A1973" s="21"/>
      <c r="B1973" s="28"/>
      <c r="C1973" s="22"/>
      <c r="D1973" s="28"/>
      <c r="E1973" s="23" t="str">
        <f>IF($D1973="","",IFERROR(VLOOKUP($D1973,'ACAH Consumables Tracker'!$A:$H,8,FALSE()),""))</f>
        <v/>
      </c>
      <c r="F1973" s="24"/>
      <c r="G1973" s="25" t="str">
        <f>IF($D1973="","",IFERROR(VLOOKUP($D1973,'ACAH Consumables Tracker'!$A:$D,4,FALSE()),""))</f>
        <v/>
      </c>
      <c r="H1973" s="22"/>
    </row>
    <row r="1974" spans="1:8">
      <c r="A1974" s="21"/>
      <c r="B1974" s="28"/>
      <c r="C1974" s="22"/>
      <c r="D1974" s="28"/>
      <c r="E1974" s="23" t="str">
        <f>IF($D1974="","",IFERROR(VLOOKUP($D1974,'ACAH Consumables Tracker'!$A:$H,8,FALSE()),""))</f>
        <v/>
      </c>
      <c r="F1974" s="24"/>
      <c r="G1974" s="25" t="str">
        <f>IF($D1974="","",IFERROR(VLOOKUP($D1974,'ACAH Consumables Tracker'!$A:$D,4,FALSE()),""))</f>
        <v/>
      </c>
      <c r="H1974" s="22"/>
    </row>
    <row r="1975" spans="1:8">
      <c r="A1975" s="21"/>
      <c r="B1975" s="28"/>
      <c r="C1975" s="22"/>
      <c r="D1975" s="28"/>
      <c r="E1975" s="23" t="str">
        <f>IF($D1975="","",IFERROR(VLOOKUP($D1975,'ACAH Consumables Tracker'!$A:$H,8,FALSE()),""))</f>
        <v/>
      </c>
      <c r="F1975" s="24"/>
      <c r="G1975" s="25" t="str">
        <f>IF($D1975="","",IFERROR(VLOOKUP($D1975,'ACAH Consumables Tracker'!$A:$D,4,FALSE()),""))</f>
        <v/>
      </c>
      <c r="H1975" s="22"/>
    </row>
    <row r="1976" spans="1:8">
      <c r="A1976" s="21"/>
      <c r="B1976" s="28"/>
      <c r="C1976" s="22"/>
      <c r="D1976" s="28"/>
      <c r="E1976" s="23" t="str">
        <f>IF($D1976="","",IFERROR(VLOOKUP($D1976,'ACAH Consumables Tracker'!$A:$H,8,FALSE()),""))</f>
        <v/>
      </c>
      <c r="F1976" s="24"/>
      <c r="G1976" s="25" t="str">
        <f>IF($D1976="","",IFERROR(VLOOKUP($D1976,'ACAH Consumables Tracker'!$A:$D,4,FALSE()),""))</f>
        <v/>
      </c>
      <c r="H1976" s="22"/>
    </row>
    <row r="1977" spans="1:8">
      <c r="A1977" s="21"/>
      <c r="B1977" s="28"/>
      <c r="C1977" s="22"/>
      <c r="D1977" s="28"/>
      <c r="E1977" s="23" t="str">
        <f>IF($D1977="","",IFERROR(VLOOKUP($D1977,'ACAH Consumables Tracker'!$A:$H,8,FALSE()),""))</f>
        <v/>
      </c>
      <c r="F1977" s="24"/>
      <c r="G1977" s="25" t="str">
        <f>IF($D1977="","",IFERROR(VLOOKUP($D1977,'ACAH Consumables Tracker'!$A:$D,4,FALSE()),""))</f>
        <v/>
      </c>
      <c r="H1977" s="22"/>
    </row>
    <row r="1978" spans="1:8">
      <c r="A1978" s="21"/>
      <c r="B1978" s="28"/>
      <c r="C1978" s="22"/>
      <c r="D1978" s="28"/>
      <c r="E1978" s="23" t="str">
        <f>IF($D1978="","",IFERROR(VLOOKUP($D1978,'ACAH Consumables Tracker'!$A:$H,8,FALSE()),""))</f>
        <v/>
      </c>
      <c r="F1978" s="24"/>
      <c r="G1978" s="25" t="str">
        <f>IF($D1978="","",IFERROR(VLOOKUP($D1978,'ACAH Consumables Tracker'!$A:$D,4,FALSE()),""))</f>
        <v/>
      </c>
      <c r="H1978" s="22"/>
    </row>
    <row r="1979" spans="1:8">
      <c r="A1979" s="21"/>
      <c r="B1979" s="28"/>
      <c r="C1979" s="22"/>
      <c r="D1979" s="28"/>
      <c r="E1979" s="23" t="str">
        <f>IF($D1979="","",IFERROR(VLOOKUP($D1979,'ACAH Consumables Tracker'!$A:$H,8,FALSE()),""))</f>
        <v/>
      </c>
      <c r="F1979" s="24"/>
      <c r="G1979" s="25" t="str">
        <f>IF($D1979="","",IFERROR(VLOOKUP($D1979,'ACAH Consumables Tracker'!$A:$D,4,FALSE()),""))</f>
        <v/>
      </c>
      <c r="H1979" s="22"/>
    </row>
    <row r="1980" spans="1:8">
      <c r="A1980" s="21"/>
      <c r="B1980" s="28"/>
      <c r="C1980" s="22"/>
      <c r="D1980" s="28"/>
      <c r="E1980" s="23" t="str">
        <f>IF($D1980="","",IFERROR(VLOOKUP($D1980,'ACAH Consumables Tracker'!$A:$H,8,FALSE()),""))</f>
        <v/>
      </c>
      <c r="F1980" s="24"/>
      <c r="G1980" s="25" t="str">
        <f>IF($D1980="","",IFERROR(VLOOKUP($D1980,'ACAH Consumables Tracker'!$A:$D,4,FALSE()),""))</f>
        <v/>
      </c>
      <c r="H1980" s="22"/>
    </row>
    <row r="1981" spans="1:8">
      <c r="A1981" s="21"/>
      <c r="B1981" s="28"/>
      <c r="C1981" s="22"/>
      <c r="D1981" s="28"/>
      <c r="E1981" s="23" t="str">
        <f>IF($D1981="","",IFERROR(VLOOKUP($D1981,'ACAH Consumables Tracker'!$A:$H,8,FALSE()),""))</f>
        <v/>
      </c>
      <c r="F1981" s="24"/>
      <c r="G1981" s="25" t="str">
        <f>IF($D1981="","",IFERROR(VLOOKUP($D1981,'ACAH Consumables Tracker'!$A:$D,4,FALSE()),""))</f>
        <v/>
      </c>
      <c r="H1981" s="22"/>
    </row>
    <row r="1982" spans="1:8">
      <c r="A1982" s="21"/>
      <c r="B1982" s="28"/>
      <c r="C1982" s="22"/>
      <c r="D1982" s="28"/>
      <c r="E1982" s="23" t="str">
        <f>IF($D1982="","",IFERROR(VLOOKUP($D1982,'ACAH Consumables Tracker'!$A:$H,8,FALSE()),""))</f>
        <v/>
      </c>
      <c r="F1982" s="24"/>
      <c r="G1982" s="25" t="str">
        <f>IF($D1982="","",IFERROR(VLOOKUP($D1982,'ACAH Consumables Tracker'!$A:$D,4,FALSE()),""))</f>
        <v/>
      </c>
      <c r="H1982" s="22"/>
    </row>
    <row r="1983" spans="1:8">
      <c r="A1983" s="21"/>
      <c r="B1983" s="28"/>
      <c r="C1983" s="22"/>
      <c r="D1983" s="28"/>
      <c r="E1983" s="23" t="str">
        <f>IF($D1983="","",IFERROR(VLOOKUP($D1983,'ACAH Consumables Tracker'!$A:$H,8,FALSE()),""))</f>
        <v/>
      </c>
      <c r="F1983" s="24"/>
      <c r="G1983" s="25" t="str">
        <f>IF($D1983="","",IFERROR(VLOOKUP($D1983,'ACAH Consumables Tracker'!$A:$D,4,FALSE()),""))</f>
        <v/>
      </c>
      <c r="H1983" s="22"/>
    </row>
    <row r="1984" spans="1:8">
      <c r="A1984" s="21"/>
      <c r="B1984" s="28"/>
      <c r="C1984" s="22"/>
      <c r="D1984" s="28"/>
      <c r="E1984" s="23" t="str">
        <f>IF($D1984="","",IFERROR(VLOOKUP($D1984,'ACAH Consumables Tracker'!$A:$H,8,FALSE()),""))</f>
        <v/>
      </c>
      <c r="F1984" s="24"/>
      <c r="G1984" s="25" t="str">
        <f>IF($D1984="","",IFERROR(VLOOKUP($D1984,'ACAH Consumables Tracker'!$A:$D,4,FALSE()),""))</f>
        <v/>
      </c>
      <c r="H1984" s="22"/>
    </row>
    <row r="1985" spans="1:8">
      <c r="A1985" s="21"/>
      <c r="B1985" s="28"/>
      <c r="C1985" s="22"/>
      <c r="D1985" s="28"/>
      <c r="E1985" s="23" t="str">
        <f>IF($D1985="","",IFERROR(VLOOKUP($D1985,'ACAH Consumables Tracker'!$A:$H,8,FALSE()),""))</f>
        <v/>
      </c>
      <c r="F1985" s="24"/>
      <c r="G1985" s="25" t="str">
        <f>IF($D1985="","",IFERROR(VLOOKUP($D1985,'ACAH Consumables Tracker'!$A:$D,4,FALSE()),""))</f>
        <v/>
      </c>
      <c r="H1985" s="22"/>
    </row>
    <row r="1986" spans="1:8">
      <c r="A1986" s="21"/>
      <c r="B1986" s="28"/>
      <c r="C1986" s="22"/>
      <c r="D1986" s="28"/>
      <c r="E1986" s="23" t="str">
        <f>IF($D1986="","",IFERROR(VLOOKUP($D1986,'ACAH Consumables Tracker'!$A:$H,8,FALSE()),""))</f>
        <v/>
      </c>
      <c r="F1986" s="24"/>
      <c r="G1986" s="25" t="str">
        <f>IF($D1986="","",IFERROR(VLOOKUP($D1986,'ACAH Consumables Tracker'!$A:$D,4,FALSE()),""))</f>
        <v/>
      </c>
      <c r="H1986" s="22"/>
    </row>
    <row r="1987" spans="1:8">
      <c r="A1987" s="21"/>
      <c r="B1987" s="28"/>
      <c r="C1987" s="22"/>
      <c r="D1987" s="28"/>
      <c r="E1987" s="23" t="str">
        <f>IF($D1987="","",IFERROR(VLOOKUP($D1987,'ACAH Consumables Tracker'!$A:$H,8,FALSE()),""))</f>
        <v/>
      </c>
      <c r="F1987" s="24"/>
      <c r="G1987" s="25" t="str">
        <f>IF($D1987="","",IFERROR(VLOOKUP($D1987,'ACAH Consumables Tracker'!$A:$D,4,FALSE()),""))</f>
        <v/>
      </c>
      <c r="H1987" s="22"/>
    </row>
    <row r="1988" spans="1:8">
      <c r="A1988" s="21"/>
      <c r="B1988" s="28"/>
      <c r="C1988" s="22"/>
      <c r="D1988" s="28"/>
      <c r="E1988" s="23" t="str">
        <f>IF($D1988="","",IFERROR(VLOOKUP($D1988,'ACAH Consumables Tracker'!$A:$H,8,FALSE()),""))</f>
        <v/>
      </c>
      <c r="F1988" s="24"/>
      <c r="G1988" s="25" t="str">
        <f>IF($D1988="","",IFERROR(VLOOKUP($D1988,'ACAH Consumables Tracker'!$A:$D,4,FALSE()),""))</f>
        <v/>
      </c>
      <c r="H1988" s="22"/>
    </row>
    <row r="1989" spans="1:8">
      <c r="A1989" s="21"/>
      <c r="B1989" s="28"/>
      <c r="C1989" s="22"/>
      <c r="D1989" s="28"/>
      <c r="E1989" s="23" t="str">
        <f>IF($D1989="","",IFERROR(VLOOKUP($D1989,'ACAH Consumables Tracker'!$A:$H,8,FALSE()),""))</f>
        <v/>
      </c>
      <c r="F1989" s="24"/>
      <c r="G1989" s="25" t="str">
        <f>IF($D1989="","",IFERROR(VLOOKUP($D1989,'ACAH Consumables Tracker'!$A:$D,4,FALSE()),""))</f>
        <v/>
      </c>
      <c r="H1989" s="22"/>
    </row>
    <row r="1990" spans="1:8">
      <c r="A1990" s="21"/>
      <c r="B1990" s="28"/>
      <c r="C1990" s="22"/>
      <c r="D1990" s="28"/>
      <c r="E1990" s="23" t="str">
        <f>IF($D1990="","",IFERROR(VLOOKUP($D1990,'ACAH Consumables Tracker'!$A:$H,8,FALSE()),""))</f>
        <v/>
      </c>
      <c r="F1990" s="24"/>
      <c r="G1990" s="25" t="str">
        <f>IF($D1990="","",IFERROR(VLOOKUP($D1990,'ACAH Consumables Tracker'!$A:$D,4,FALSE()),""))</f>
        <v/>
      </c>
      <c r="H1990" s="22"/>
    </row>
    <row r="1991" spans="1:8">
      <c r="A1991" s="21"/>
      <c r="B1991" s="28"/>
      <c r="C1991" s="22"/>
      <c r="D1991" s="28"/>
      <c r="E1991" s="23" t="str">
        <f>IF($D1991="","",IFERROR(VLOOKUP($D1991,'ACAH Consumables Tracker'!$A:$H,8,FALSE()),""))</f>
        <v/>
      </c>
      <c r="F1991" s="24"/>
      <c r="G1991" s="25" t="str">
        <f>IF($D1991="","",IFERROR(VLOOKUP($D1991,'ACAH Consumables Tracker'!$A:$D,4,FALSE()),""))</f>
        <v/>
      </c>
      <c r="H1991" s="22"/>
    </row>
    <row r="1992" spans="1:8">
      <c r="A1992" s="21"/>
      <c r="B1992" s="28"/>
      <c r="C1992" s="22"/>
      <c r="D1992" s="28"/>
      <c r="E1992" s="23" t="str">
        <f>IF($D1992="","",IFERROR(VLOOKUP($D1992,'ACAH Consumables Tracker'!$A:$H,8,FALSE()),""))</f>
        <v/>
      </c>
      <c r="F1992" s="24"/>
      <c r="G1992" s="25" t="str">
        <f>IF($D1992="","",IFERROR(VLOOKUP($D1992,'ACAH Consumables Tracker'!$A:$D,4,FALSE()),""))</f>
        <v/>
      </c>
      <c r="H1992" s="22"/>
    </row>
    <row r="1993" spans="1:8">
      <c r="A1993" s="21"/>
      <c r="B1993" s="28"/>
      <c r="C1993" s="22"/>
      <c r="D1993" s="28"/>
      <c r="E1993" s="23" t="str">
        <f>IF($D1993="","",IFERROR(VLOOKUP($D1993,'ACAH Consumables Tracker'!$A:$H,8,FALSE()),""))</f>
        <v/>
      </c>
      <c r="F1993" s="24"/>
      <c r="G1993" s="25" t="str">
        <f>IF($D1993="","",IFERROR(VLOOKUP($D1993,'ACAH Consumables Tracker'!$A:$D,4,FALSE()),""))</f>
        <v/>
      </c>
      <c r="H1993" s="22"/>
    </row>
    <row r="1994" spans="1:8">
      <c r="A1994" s="21"/>
      <c r="B1994" s="28"/>
      <c r="C1994" s="22"/>
      <c r="D1994" s="28"/>
      <c r="E1994" s="23" t="str">
        <f>IF($D1994="","",IFERROR(VLOOKUP($D1994,'ACAH Consumables Tracker'!$A:$H,8,FALSE()),""))</f>
        <v/>
      </c>
      <c r="F1994" s="24"/>
      <c r="G1994" s="25" t="str">
        <f>IF($D1994="","",IFERROR(VLOOKUP($D1994,'ACAH Consumables Tracker'!$A:$D,4,FALSE()),""))</f>
        <v/>
      </c>
      <c r="H1994" s="22"/>
    </row>
    <row r="1995" spans="1:8">
      <c r="A1995" s="21"/>
      <c r="B1995" s="28"/>
      <c r="C1995" s="22"/>
      <c r="D1995" s="28"/>
      <c r="E1995" s="23" t="str">
        <f>IF($D1995="","",IFERROR(VLOOKUP($D1995,'ACAH Consumables Tracker'!$A:$H,8,FALSE()),""))</f>
        <v/>
      </c>
      <c r="F1995" s="24"/>
      <c r="G1995" s="25" t="str">
        <f>IF($D1995="","",IFERROR(VLOOKUP($D1995,'ACAH Consumables Tracker'!$A:$D,4,FALSE()),""))</f>
        <v/>
      </c>
      <c r="H1995" s="22"/>
    </row>
    <row r="1996" spans="1:8">
      <c r="A1996" s="21"/>
      <c r="B1996" s="28"/>
      <c r="C1996" s="22"/>
      <c r="D1996" s="28"/>
      <c r="E1996" s="23" t="str">
        <f>IF($D1996="","",IFERROR(VLOOKUP($D1996,'ACAH Consumables Tracker'!$A:$H,8,FALSE()),""))</f>
        <v/>
      </c>
      <c r="F1996" s="24"/>
      <c r="G1996" s="25" t="str">
        <f>IF($D1996="","",IFERROR(VLOOKUP($D1996,'ACAH Consumables Tracker'!$A:$D,4,FALSE()),""))</f>
        <v/>
      </c>
      <c r="H1996" s="22"/>
    </row>
    <row r="1997" spans="1:8">
      <c r="A1997" s="21"/>
      <c r="B1997" s="28"/>
      <c r="C1997" s="22"/>
      <c r="D1997" s="28"/>
      <c r="E1997" s="23" t="str">
        <f>IF($D1997="","",IFERROR(VLOOKUP($D1997,'ACAH Consumables Tracker'!$A:$H,8,FALSE()),""))</f>
        <v/>
      </c>
      <c r="F1997" s="24"/>
      <c r="G1997" s="25" t="str">
        <f>IF($D1997="","",IFERROR(VLOOKUP($D1997,'ACAH Consumables Tracker'!$A:$D,4,FALSE()),""))</f>
        <v/>
      </c>
      <c r="H1997" s="22"/>
    </row>
    <row r="1998" spans="1:8">
      <c r="A1998" s="21"/>
      <c r="B1998" s="28"/>
      <c r="C1998" s="22"/>
      <c r="D1998" s="28"/>
      <c r="E1998" s="23" t="str">
        <f>IF($D1998="","",IFERROR(VLOOKUP($D1998,'ACAH Consumables Tracker'!$A:$H,8,FALSE()),""))</f>
        <v/>
      </c>
      <c r="F1998" s="24"/>
      <c r="G1998" s="25" t="str">
        <f>IF($D1998="","",IFERROR(VLOOKUP($D1998,'ACAH Consumables Tracker'!$A:$D,4,FALSE()),""))</f>
        <v/>
      </c>
      <c r="H1998" s="22"/>
    </row>
    <row r="1999" spans="1:8">
      <c r="A1999" s="21"/>
      <c r="B1999" s="28"/>
      <c r="C1999" s="22"/>
      <c r="D1999" s="28"/>
      <c r="E1999" s="23" t="str">
        <f>IF($D1999="","",IFERROR(VLOOKUP($D1999,'ACAH Consumables Tracker'!$A:$H,8,FALSE()),""))</f>
        <v/>
      </c>
      <c r="F1999" s="24"/>
      <c r="G1999" s="25" t="str">
        <f>IF($D1999="","",IFERROR(VLOOKUP($D1999,'ACAH Consumables Tracker'!$A:$D,4,FALSE()),""))</f>
        <v/>
      </c>
      <c r="H1999" s="22"/>
    </row>
    <row r="2000" spans="1:8">
      <c r="A2000" s="21"/>
      <c r="B2000" s="28"/>
      <c r="C2000" s="22"/>
      <c r="D2000" s="28"/>
      <c r="E2000" s="23" t="str">
        <f>IF($D2000="","",IFERROR(VLOOKUP($D2000,'ACAH Consumables Tracker'!$A:$H,8,FALSE()),""))</f>
        <v/>
      </c>
      <c r="F2000" s="24"/>
      <c r="G2000" s="25" t="str">
        <f>IF($D2000="","",IFERROR(VLOOKUP($D2000,'ACAH Consumables Tracker'!$A:$D,4,FALSE()),""))</f>
        <v/>
      </c>
      <c r="H2000" s="22"/>
    </row>
    <row r="2002" spans="4:6">
      <c r="D2002" s="30" t="s">
        <v>110</v>
      </c>
      <c r="F2002" s="27">
        <f>SUM(F4:F2000)</f>
        <v>1776.818</v>
      </c>
    </row>
  </sheetData>
  <autoFilter ref="A3:H2000" xr:uid="{00000000-0009-0000-0000-000004000000}"/>
  <mergeCells count="2">
    <mergeCell ref="A1:H1"/>
    <mergeCell ref="A2:H2"/>
  </mergeCells>
  <dataValidations count="1">
    <dataValidation type="list" allowBlank="1" promptTitle="Unique Code" prompt="Select the Unique Code" sqref="D4:D2000" xr:uid="{00000000-0002-0000-0400-000000000000}">
      <formula1>$J$2:$J$41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M33"/>
  <sheetViews>
    <sheetView zoomScaleNormal="100" workbookViewId="0">
      <pane ySplit="3" topLeftCell="A4" activePane="bottomLeft" state="frozen"/>
      <selection pane="bottomLeft" activeCell="B4" sqref="B4:B32"/>
    </sheetView>
  </sheetViews>
  <sheetFormatPr defaultColWidth="8.7109375" defaultRowHeight="15"/>
  <cols>
    <col min="1" max="1" width="14" customWidth="1"/>
    <col min="2" max="2" width="5" customWidth="1"/>
    <col min="3" max="3" width="40" customWidth="1"/>
    <col min="4" max="4" width="12" customWidth="1"/>
    <col min="5" max="5" width="13" customWidth="1"/>
    <col min="6" max="6" width="11" customWidth="1"/>
    <col min="7" max="8" width="12" customWidth="1"/>
    <col min="9" max="9" width="64.42578125" customWidth="1"/>
    <col min="10" max="13" width="13" hidden="1" customWidth="1"/>
  </cols>
  <sheetData>
    <row r="1" spans="1:13" ht="16.5">
      <c r="A1" s="36" t="s">
        <v>237</v>
      </c>
      <c r="B1" s="36"/>
      <c r="C1" s="36"/>
      <c r="D1" s="36"/>
      <c r="E1" s="36"/>
      <c r="F1" s="36"/>
      <c r="G1" s="36"/>
      <c r="H1" s="36"/>
      <c r="I1" s="36"/>
    </row>
    <row r="2" spans="1:13">
      <c r="A2" s="12" t="s">
        <v>36</v>
      </c>
      <c r="C2" s="13" t="str">
        <f>'IT Budget Summary'!$C$2</f>
        <v>Offline Optimized</v>
      </c>
      <c r="E2" s="37" t="s">
        <v>37</v>
      </c>
      <c r="F2" s="37"/>
      <c r="G2" s="37"/>
      <c r="H2" s="37"/>
      <c r="I2" s="37"/>
    </row>
    <row r="3" spans="1:13" ht="24">
      <c r="A3" s="2" t="s">
        <v>38</v>
      </c>
      <c r="B3" s="2" t="s">
        <v>39</v>
      </c>
      <c r="C3" s="2" t="s">
        <v>40</v>
      </c>
      <c r="D3" s="2" t="s">
        <v>20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1:13">
      <c r="A4" s="14" t="s">
        <v>238</v>
      </c>
      <c r="B4" s="14">
        <v>1</v>
      </c>
      <c r="C4" s="15" t="s">
        <v>239</v>
      </c>
      <c r="D4" s="14">
        <v>1101010009</v>
      </c>
      <c r="E4" s="16">
        <f>CHOOSE(MATCH($C$2,{"Offline Optimized","Offline + Online Hybrid","Online Optimized"},0),J4,K4,L4)</f>
        <v>5625</v>
      </c>
      <c r="F4" s="16">
        <f>SUMIF('ACAS Capital Log'!$D$4:$D$2000,A4,'ACAS Capital Log'!$F$4:$F$2000)</f>
        <v>0</v>
      </c>
      <c r="G4" s="17">
        <v>0</v>
      </c>
      <c r="H4" s="18">
        <f t="shared" ref="H4:H33" si="0">E4+G4-F4</f>
        <v>5625</v>
      </c>
      <c r="I4" s="15" t="str">
        <f t="shared" ref="I4:I33" si="1">IFERROR(IF(($E4+$G4)&lt;=0,"",REPT("█",MIN(20,ROUND($F4/($E4+$G4)*20,0)))),"")</f>
        <v/>
      </c>
      <c r="J4" s="19">
        <v>5625</v>
      </c>
      <c r="K4" s="19">
        <v>0</v>
      </c>
      <c r="L4" s="19">
        <v>0</v>
      </c>
      <c r="M4" s="19">
        <v>6400</v>
      </c>
    </row>
    <row r="5" spans="1:13">
      <c r="A5" s="14" t="s">
        <v>240</v>
      </c>
      <c r="B5" s="14">
        <v>2</v>
      </c>
      <c r="C5" s="15" t="s">
        <v>49</v>
      </c>
      <c r="D5" s="14">
        <v>1101010009</v>
      </c>
      <c r="E5" s="16">
        <f>CHOOSE(MATCH($C$2,{"Offline Optimized","Offline + Online Hybrid","Online Optimized"},0),J5,K5,L5)</f>
        <v>0</v>
      </c>
      <c r="F5" s="16">
        <f>SUMIF('ACAS Capital Log'!$D$4:$D$2000,A5,'ACAS Capital Log'!$F$4:$F$2000)</f>
        <v>0</v>
      </c>
      <c r="G5" s="17">
        <v>0</v>
      </c>
      <c r="H5" s="18">
        <f t="shared" si="0"/>
        <v>0</v>
      </c>
      <c r="I5" s="15" t="str">
        <f t="shared" si="1"/>
        <v/>
      </c>
      <c r="J5" s="19">
        <v>0</v>
      </c>
      <c r="K5" s="19">
        <v>0</v>
      </c>
      <c r="L5" s="19">
        <v>0</v>
      </c>
      <c r="M5" s="19">
        <v>0</v>
      </c>
    </row>
    <row r="6" spans="1:13">
      <c r="A6" s="14" t="s">
        <v>241</v>
      </c>
      <c r="B6" s="14">
        <v>3</v>
      </c>
      <c r="C6" s="15" t="s">
        <v>51</v>
      </c>
      <c r="D6" s="14">
        <v>1101010009</v>
      </c>
      <c r="E6" s="16">
        <f>CHOOSE(MATCH($C$2,{"Offline Optimized","Offline + Online Hybrid","Online Optimized"},0),J6,K6,L6)</f>
        <v>0</v>
      </c>
      <c r="F6" s="16">
        <f>SUMIF('ACAS Capital Log'!$D$4:$D$2000,A6,'ACAS Capital Log'!$F$4:$F$2000)</f>
        <v>0</v>
      </c>
      <c r="G6" s="17">
        <v>0</v>
      </c>
      <c r="H6" s="18">
        <f t="shared" si="0"/>
        <v>0</v>
      </c>
      <c r="I6" s="15" t="str">
        <f t="shared" si="1"/>
        <v/>
      </c>
      <c r="J6" s="19">
        <v>0</v>
      </c>
      <c r="K6" s="19">
        <v>0</v>
      </c>
      <c r="L6" s="19">
        <v>0</v>
      </c>
      <c r="M6" s="19">
        <v>0</v>
      </c>
    </row>
    <row r="7" spans="1:13">
      <c r="A7" s="14" t="s">
        <v>242</v>
      </c>
      <c r="B7" s="14">
        <v>4</v>
      </c>
      <c r="C7" s="15" t="s">
        <v>53</v>
      </c>
      <c r="D7" s="14">
        <v>1101010009</v>
      </c>
      <c r="E7" s="16">
        <f>CHOOSE(MATCH($C$2,{"Offline Optimized","Offline + Online Hybrid","Online Optimized"},0),J7,K7,L7)</f>
        <v>0</v>
      </c>
      <c r="F7" s="16">
        <f>SUMIF('ACAS Capital Log'!$D$4:$D$2000,A7,'ACAS Capital Log'!$F$4:$F$2000)</f>
        <v>0</v>
      </c>
      <c r="G7" s="17">
        <v>0</v>
      </c>
      <c r="H7" s="18">
        <f t="shared" si="0"/>
        <v>0</v>
      </c>
      <c r="I7" s="15" t="str">
        <f t="shared" si="1"/>
        <v/>
      </c>
      <c r="J7" s="19">
        <v>0</v>
      </c>
      <c r="K7" s="19">
        <v>0</v>
      </c>
      <c r="L7" s="19">
        <v>0</v>
      </c>
      <c r="M7" s="19">
        <v>6240</v>
      </c>
    </row>
    <row r="8" spans="1:13">
      <c r="A8" s="14" t="s">
        <v>243</v>
      </c>
      <c r="B8" s="14">
        <v>5</v>
      </c>
      <c r="C8" s="15" t="s">
        <v>55</v>
      </c>
      <c r="D8" s="14">
        <v>1101010009</v>
      </c>
      <c r="E8" s="16">
        <f>CHOOSE(MATCH($C$2,{"Offline Optimized","Offline + Online Hybrid","Online Optimized"},0),J8,K8,L8)</f>
        <v>0</v>
      </c>
      <c r="F8" s="16">
        <f>SUMIF('ACAS Capital Log'!$D$4:$D$2000,A8,'ACAS Capital Log'!$F$4:$F$2000)</f>
        <v>0</v>
      </c>
      <c r="G8" s="17">
        <v>0</v>
      </c>
      <c r="H8" s="18">
        <f t="shared" si="0"/>
        <v>0</v>
      </c>
      <c r="I8" s="15" t="str">
        <f t="shared" si="1"/>
        <v/>
      </c>
      <c r="J8" s="19">
        <v>0</v>
      </c>
      <c r="K8" s="19">
        <v>0</v>
      </c>
      <c r="L8" s="19">
        <v>0</v>
      </c>
      <c r="M8" s="19">
        <v>0</v>
      </c>
    </row>
    <row r="9" spans="1:13">
      <c r="A9" s="14" t="s">
        <v>244</v>
      </c>
      <c r="B9" s="14">
        <v>6</v>
      </c>
      <c r="C9" s="15" t="s">
        <v>57</v>
      </c>
      <c r="D9" s="14">
        <v>1101010009</v>
      </c>
      <c r="E9" s="16">
        <f>CHOOSE(MATCH($C$2,{"Offline Optimized","Offline + Online Hybrid","Online Optimized"},0),J9,K9,L9)</f>
        <v>0</v>
      </c>
      <c r="F9" s="16">
        <f>SUMIF('ACAS Capital Log'!$D$4:$D$2000,A9,'ACAS Capital Log'!$F$4:$F$2000)</f>
        <v>0</v>
      </c>
      <c r="G9" s="17">
        <v>0</v>
      </c>
      <c r="H9" s="18">
        <f t="shared" si="0"/>
        <v>0</v>
      </c>
      <c r="I9" s="15" t="str">
        <f t="shared" si="1"/>
        <v/>
      </c>
      <c r="J9" s="19">
        <v>0</v>
      </c>
      <c r="K9" s="19">
        <v>0</v>
      </c>
      <c r="L9" s="19">
        <v>0</v>
      </c>
      <c r="M9" s="19">
        <v>0</v>
      </c>
    </row>
    <row r="10" spans="1:13">
      <c r="A10" s="14" t="s">
        <v>245</v>
      </c>
      <c r="B10" s="14">
        <v>7</v>
      </c>
      <c r="C10" s="15" t="s">
        <v>246</v>
      </c>
      <c r="D10" s="14">
        <v>1101010009</v>
      </c>
      <c r="E10" s="16">
        <f>CHOOSE(MATCH($C$2,{"Offline Optimized","Offline + Online Hybrid","Online Optimized"},0),J10,K10,L10)</f>
        <v>0</v>
      </c>
      <c r="F10" s="16">
        <f>SUMIF('ACAS Capital Log'!$D$4:$D$2000,A10,'ACAS Capital Log'!$F$4:$F$2000)</f>
        <v>0</v>
      </c>
      <c r="G10" s="17">
        <v>0</v>
      </c>
      <c r="H10" s="18">
        <f t="shared" si="0"/>
        <v>0</v>
      </c>
      <c r="I10" s="15" t="str">
        <f t="shared" si="1"/>
        <v/>
      </c>
      <c r="J10" s="19">
        <v>0</v>
      </c>
      <c r="K10" s="19">
        <v>0</v>
      </c>
      <c r="L10" s="19">
        <v>0</v>
      </c>
      <c r="M10" s="19">
        <v>650</v>
      </c>
    </row>
    <row r="11" spans="1:13">
      <c r="A11" s="14" t="s">
        <v>247</v>
      </c>
      <c r="B11" s="14">
        <v>8</v>
      </c>
      <c r="C11" s="15" t="s">
        <v>61</v>
      </c>
      <c r="D11" s="14">
        <v>1101010009</v>
      </c>
      <c r="E11" s="16">
        <f>CHOOSE(MATCH($C$2,{"Offline Optimized","Offline + Online Hybrid","Online Optimized"},0),J11,K11,L11)</f>
        <v>0</v>
      </c>
      <c r="F11" s="16">
        <f>SUMIF('ACAS Capital Log'!$D$4:$D$2000,A11,'ACAS Capital Log'!$F$4:$F$2000)</f>
        <v>0</v>
      </c>
      <c r="G11" s="17">
        <v>0</v>
      </c>
      <c r="H11" s="18">
        <f t="shared" si="0"/>
        <v>0</v>
      </c>
      <c r="I11" s="15" t="str">
        <f t="shared" si="1"/>
        <v/>
      </c>
      <c r="J11" s="19">
        <v>0</v>
      </c>
      <c r="K11" s="19">
        <v>0</v>
      </c>
      <c r="L11" s="19">
        <v>0</v>
      </c>
      <c r="M11" s="19">
        <v>0</v>
      </c>
    </row>
    <row r="12" spans="1:13">
      <c r="A12" s="14" t="s">
        <v>248</v>
      </c>
      <c r="B12" s="14">
        <v>9</v>
      </c>
      <c r="C12" s="15" t="s">
        <v>63</v>
      </c>
      <c r="D12" s="14">
        <v>1101010009</v>
      </c>
      <c r="E12" s="16">
        <f>CHOOSE(MATCH($C$2,{"Offline Optimized","Offline + Online Hybrid","Online Optimized"},0),J12,K12,L12)</f>
        <v>0</v>
      </c>
      <c r="F12" s="16">
        <f>SUMIF('ACAS Capital Log'!$D$4:$D$2000,A12,'ACAS Capital Log'!$F$4:$F$2000)</f>
        <v>0</v>
      </c>
      <c r="G12" s="17">
        <v>0</v>
      </c>
      <c r="H12" s="18">
        <f t="shared" si="0"/>
        <v>0</v>
      </c>
      <c r="I12" s="15" t="str">
        <f t="shared" si="1"/>
        <v/>
      </c>
      <c r="J12" s="19">
        <v>0</v>
      </c>
      <c r="K12" s="19">
        <v>0</v>
      </c>
      <c r="L12" s="19">
        <v>0</v>
      </c>
      <c r="M12" s="19">
        <v>0</v>
      </c>
    </row>
    <row r="13" spans="1:13">
      <c r="A13" s="14" t="s">
        <v>249</v>
      </c>
      <c r="B13" s="14">
        <v>10</v>
      </c>
      <c r="C13" s="15" t="s">
        <v>65</v>
      </c>
      <c r="D13" s="14">
        <v>1101010009</v>
      </c>
      <c r="E13" s="16">
        <f>CHOOSE(MATCH($C$2,{"Offline Optimized","Offline + Online Hybrid","Online Optimized"},0),J13,K13,L13)</f>
        <v>0</v>
      </c>
      <c r="F13" s="16">
        <f>SUMIF('ACAS Capital Log'!$D$4:$D$2000,A13,'ACAS Capital Log'!$F$4:$F$2000)</f>
        <v>0</v>
      </c>
      <c r="G13" s="17">
        <v>0</v>
      </c>
      <c r="H13" s="18">
        <f t="shared" si="0"/>
        <v>0</v>
      </c>
      <c r="I13" s="15" t="str">
        <f t="shared" si="1"/>
        <v/>
      </c>
      <c r="J13" s="19">
        <v>0</v>
      </c>
      <c r="K13" s="19">
        <v>0</v>
      </c>
      <c r="L13" s="19">
        <v>0</v>
      </c>
      <c r="M13" s="19">
        <v>0</v>
      </c>
    </row>
    <row r="14" spans="1:13">
      <c r="A14" s="14" t="s">
        <v>250</v>
      </c>
      <c r="B14" s="14">
        <v>11</v>
      </c>
      <c r="C14" s="15" t="s">
        <v>67</v>
      </c>
      <c r="D14" s="14">
        <v>1101010009</v>
      </c>
      <c r="E14" s="16">
        <f>CHOOSE(MATCH($C$2,{"Offline Optimized","Offline + Online Hybrid","Online Optimized"},0),J14,K14,L14)</f>
        <v>2500</v>
      </c>
      <c r="F14" s="16">
        <f>SUMIF('ACAS Capital Log'!$D$4:$D$2000,A14,'ACAS Capital Log'!$F$4:$F$2000)</f>
        <v>0</v>
      </c>
      <c r="G14" s="17">
        <v>0</v>
      </c>
      <c r="H14" s="18">
        <f t="shared" si="0"/>
        <v>2500</v>
      </c>
      <c r="I14" s="15" t="str">
        <f t="shared" si="1"/>
        <v/>
      </c>
      <c r="J14" s="19">
        <v>2500</v>
      </c>
      <c r="K14" s="19">
        <v>0</v>
      </c>
      <c r="L14" s="19">
        <v>0</v>
      </c>
      <c r="M14" s="19">
        <v>2500</v>
      </c>
    </row>
    <row r="15" spans="1:13">
      <c r="A15" s="14" t="s">
        <v>251</v>
      </c>
      <c r="B15" s="14">
        <v>12</v>
      </c>
      <c r="C15" s="15" t="s">
        <v>252</v>
      </c>
      <c r="D15" s="14">
        <v>1101010009</v>
      </c>
      <c r="E15" s="16">
        <f>CHOOSE(MATCH($C$2,{"Offline Optimized","Offline + Online Hybrid","Online Optimized"},0),J15,K15,L15)</f>
        <v>0</v>
      </c>
      <c r="F15" s="16">
        <f>SUMIF('ACAS Capital Log'!$D$4:$D$2000,A15,'ACAS Capital Log'!$F$4:$F$2000)</f>
        <v>0</v>
      </c>
      <c r="G15" s="17">
        <v>0</v>
      </c>
      <c r="H15" s="18">
        <f t="shared" si="0"/>
        <v>0</v>
      </c>
      <c r="I15" s="15" t="str">
        <f t="shared" si="1"/>
        <v/>
      </c>
      <c r="J15" s="19">
        <v>0</v>
      </c>
      <c r="K15" s="19">
        <v>0</v>
      </c>
      <c r="L15" s="19">
        <v>0</v>
      </c>
      <c r="M15" s="19">
        <v>0</v>
      </c>
    </row>
    <row r="16" spans="1:13">
      <c r="A16" s="14" t="s">
        <v>253</v>
      </c>
      <c r="B16" s="14">
        <v>13</v>
      </c>
      <c r="C16" s="15" t="s">
        <v>69</v>
      </c>
      <c r="D16" s="14">
        <v>1101010009</v>
      </c>
      <c r="E16" s="16">
        <f>CHOOSE(MATCH($C$2,{"Offline Optimized","Offline + Online Hybrid","Online Optimized"},0),J16,K16,L16)</f>
        <v>6500</v>
      </c>
      <c r="F16" s="16">
        <f>SUMIF('ACAS Capital Log'!$D$4:$D$2000,A16,'ACAS Capital Log'!$F$4:$F$2000)</f>
        <v>0</v>
      </c>
      <c r="G16" s="17">
        <v>0</v>
      </c>
      <c r="H16" s="18">
        <f t="shared" si="0"/>
        <v>6500</v>
      </c>
      <c r="I16" s="15" t="str">
        <f t="shared" si="1"/>
        <v/>
      </c>
      <c r="J16" s="19">
        <v>6500</v>
      </c>
      <c r="K16" s="19">
        <v>0</v>
      </c>
      <c r="L16" s="19">
        <v>0</v>
      </c>
      <c r="M16" s="19">
        <v>30000</v>
      </c>
    </row>
    <row r="17" spans="1:13">
      <c r="A17" s="14" t="s">
        <v>254</v>
      </c>
      <c r="B17" s="14">
        <v>14</v>
      </c>
      <c r="C17" s="15" t="s">
        <v>255</v>
      </c>
      <c r="D17" s="14">
        <v>1101010009</v>
      </c>
      <c r="E17" s="16">
        <f>CHOOSE(MATCH($C$2,{"Offline Optimized","Offline + Online Hybrid","Online Optimized"},0),J17,K17,L17)</f>
        <v>0</v>
      </c>
      <c r="F17" s="16">
        <f>SUMIF('ACAS Capital Log'!$D$4:$D$2000,A17,'ACAS Capital Log'!$F$4:$F$2000)</f>
        <v>0</v>
      </c>
      <c r="G17" s="17">
        <v>0</v>
      </c>
      <c r="H17" s="18">
        <f t="shared" si="0"/>
        <v>0</v>
      </c>
      <c r="I17" s="15" t="str">
        <f t="shared" si="1"/>
        <v/>
      </c>
      <c r="J17" s="19">
        <v>0</v>
      </c>
      <c r="K17" s="19">
        <v>0</v>
      </c>
      <c r="L17" s="19">
        <v>0</v>
      </c>
      <c r="M17" s="19">
        <v>0</v>
      </c>
    </row>
    <row r="18" spans="1:13">
      <c r="A18" s="14" t="s">
        <v>256</v>
      </c>
      <c r="B18" s="14">
        <v>15</v>
      </c>
      <c r="C18" s="15" t="s">
        <v>71</v>
      </c>
      <c r="D18" s="14">
        <v>1101010009</v>
      </c>
      <c r="E18" s="16">
        <f>CHOOSE(MATCH($C$2,{"Offline Optimized","Offline + Online Hybrid","Online Optimized"},0),J18,K18,L18)</f>
        <v>10000</v>
      </c>
      <c r="F18" s="16">
        <f>SUMIF('ACAS Capital Log'!$D$4:$D$2000,A18,'ACAS Capital Log'!$F$4:$F$2000)</f>
        <v>0</v>
      </c>
      <c r="G18" s="17">
        <v>0</v>
      </c>
      <c r="H18" s="18">
        <f t="shared" si="0"/>
        <v>10000</v>
      </c>
      <c r="I18" s="15" t="str">
        <f t="shared" si="1"/>
        <v/>
      </c>
      <c r="J18" s="19">
        <v>10000</v>
      </c>
      <c r="K18" s="19">
        <v>0</v>
      </c>
      <c r="L18" s="19">
        <v>0</v>
      </c>
      <c r="M18" s="19">
        <v>10000</v>
      </c>
    </row>
    <row r="19" spans="1:13">
      <c r="A19" s="14" t="s">
        <v>257</v>
      </c>
      <c r="B19" s="14">
        <v>16</v>
      </c>
      <c r="C19" s="15" t="s">
        <v>258</v>
      </c>
      <c r="D19" s="14">
        <v>1101010009</v>
      </c>
      <c r="E19" s="16">
        <f>CHOOSE(MATCH($C$2,{"Offline Optimized","Offline + Online Hybrid","Online Optimized"},0),J19,K19,L19)</f>
        <v>1800</v>
      </c>
      <c r="F19" s="16">
        <f>SUMIF('ACAS Capital Log'!$D$4:$D$2000,A19,'ACAS Capital Log'!$F$4:$F$2000)</f>
        <v>0</v>
      </c>
      <c r="G19" s="17">
        <v>0</v>
      </c>
      <c r="H19" s="18">
        <f t="shared" si="0"/>
        <v>1800</v>
      </c>
      <c r="I19" s="15" t="str">
        <f t="shared" si="1"/>
        <v/>
      </c>
      <c r="J19" s="19">
        <v>1800</v>
      </c>
      <c r="K19" s="19">
        <v>0</v>
      </c>
      <c r="L19" s="19">
        <v>0</v>
      </c>
      <c r="M19" s="19">
        <v>1800</v>
      </c>
    </row>
    <row r="20" spans="1:13">
      <c r="A20" s="14" t="s">
        <v>259</v>
      </c>
      <c r="B20" s="14">
        <v>17</v>
      </c>
      <c r="C20" s="15" t="s">
        <v>75</v>
      </c>
      <c r="D20" s="14">
        <v>1101010009</v>
      </c>
      <c r="E20" s="16">
        <f>CHOOSE(MATCH($C$2,{"Offline Optimized","Offline + Online Hybrid","Online Optimized"},0),J20,K20,L20)</f>
        <v>17500</v>
      </c>
      <c r="F20" s="16">
        <f>SUMIF('ACAS Capital Log'!$D$4:$D$2000,A20,'ACAS Capital Log'!$F$4:$F$2000)</f>
        <v>0</v>
      </c>
      <c r="G20" s="17">
        <v>0</v>
      </c>
      <c r="H20" s="18">
        <f t="shared" si="0"/>
        <v>17500</v>
      </c>
      <c r="I20" s="15" t="str">
        <f t="shared" si="1"/>
        <v/>
      </c>
      <c r="J20" s="19">
        <v>17500</v>
      </c>
      <c r="K20" s="19">
        <v>0</v>
      </c>
      <c r="L20" s="19">
        <v>0</v>
      </c>
      <c r="M20" s="19">
        <v>0</v>
      </c>
    </row>
    <row r="21" spans="1:13">
      <c r="A21" s="14" t="s">
        <v>260</v>
      </c>
      <c r="B21" s="14">
        <v>18</v>
      </c>
      <c r="C21" s="15" t="s">
        <v>261</v>
      </c>
      <c r="D21" s="14">
        <v>1101010009</v>
      </c>
      <c r="E21" s="16">
        <f>CHOOSE(MATCH($C$2,{"Offline Optimized","Offline + Online Hybrid","Online Optimized"},0),J21,K21,L21)</f>
        <v>2500</v>
      </c>
      <c r="F21" s="16">
        <f>SUMIF('ACAS Capital Log'!$D$4:$D$2000,A21,'ACAS Capital Log'!$F$4:$F$2000)</f>
        <v>0</v>
      </c>
      <c r="G21" s="17">
        <v>0</v>
      </c>
      <c r="H21" s="18">
        <f t="shared" si="0"/>
        <v>2500</v>
      </c>
      <c r="I21" s="15" t="str">
        <f t="shared" si="1"/>
        <v/>
      </c>
      <c r="J21" s="19">
        <v>2500</v>
      </c>
      <c r="K21" s="19">
        <v>0</v>
      </c>
      <c r="L21" s="19">
        <v>0</v>
      </c>
      <c r="M21" s="19">
        <v>0</v>
      </c>
    </row>
    <row r="22" spans="1:13">
      <c r="A22" s="14" t="s">
        <v>262</v>
      </c>
      <c r="B22" s="14">
        <v>19</v>
      </c>
      <c r="C22" s="15" t="s">
        <v>263</v>
      </c>
      <c r="D22" s="14">
        <v>1101010009</v>
      </c>
      <c r="E22" s="16">
        <f>CHOOSE(MATCH($C$2,{"Offline Optimized","Offline + Online Hybrid","Online Optimized"},0),J22,K22,L22)</f>
        <v>2000</v>
      </c>
      <c r="F22" s="16">
        <f>SUMIF('ACAS Capital Log'!$D$4:$D$2000,A22,'ACAS Capital Log'!$F$4:$F$2000)</f>
        <v>0</v>
      </c>
      <c r="G22" s="17">
        <v>0</v>
      </c>
      <c r="H22" s="18">
        <f t="shared" si="0"/>
        <v>2000</v>
      </c>
      <c r="I22" s="15" t="str">
        <f t="shared" si="1"/>
        <v/>
      </c>
      <c r="J22" s="19">
        <v>2000</v>
      </c>
      <c r="K22" s="19">
        <v>0</v>
      </c>
      <c r="L22" s="19">
        <v>0</v>
      </c>
      <c r="M22" s="19">
        <v>2000</v>
      </c>
    </row>
    <row r="23" spans="1:13">
      <c r="A23" s="14" t="s">
        <v>264</v>
      </c>
      <c r="B23" s="14">
        <v>20</v>
      </c>
      <c r="C23" s="15" t="s">
        <v>81</v>
      </c>
      <c r="D23" s="14">
        <v>1101010009</v>
      </c>
      <c r="E23" s="16">
        <f>CHOOSE(MATCH($C$2,{"Offline Optimized","Offline + Online Hybrid","Online Optimized"},0),J23,K23,L23)</f>
        <v>0</v>
      </c>
      <c r="F23" s="16">
        <f>SUMIF('ACAS Capital Log'!$D$4:$D$2000,A23,'ACAS Capital Log'!$F$4:$F$2000)</f>
        <v>0</v>
      </c>
      <c r="G23" s="17">
        <v>0</v>
      </c>
      <c r="H23" s="18">
        <f t="shared" si="0"/>
        <v>0</v>
      </c>
      <c r="I23" s="15" t="str">
        <f t="shared" si="1"/>
        <v/>
      </c>
      <c r="J23" s="19">
        <v>0</v>
      </c>
      <c r="K23" s="19">
        <v>0</v>
      </c>
      <c r="L23" s="19">
        <v>0</v>
      </c>
      <c r="M23" s="19">
        <v>0</v>
      </c>
    </row>
    <row r="24" spans="1:13">
      <c r="A24" s="14" t="s">
        <v>265</v>
      </c>
      <c r="B24" s="14">
        <v>21</v>
      </c>
      <c r="C24" s="15" t="s">
        <v>266</v>
      </c>
      <c r="D24" s="14">
        <v>1101010009</v>
      </c>
      <c r="E24" s="16">
        <f>CHOOSE(MATCH($C$2,{"Offline Optimized","Offline + Online Hybrid","Online Optimized"},0),J24,K24,L24)</f>
        <v>4000</v>
      </c>
      <c r="F24" s="16">
        <f>SUMIF('ACAS Capital Log'!$D$4:$D$2000,A24,'ACAS Capital Log'!$F$4:$F$2000)</f>
        <v>0</v>
      </c>
      <c r="G24" s="17">
        <v>0</v>
      </c>
      <c r="H24" s="18">
        <f t="shared" si="0"/>
        <v>4000</v>
      </c>
      <c r="I24" s="15" t="str">
        <f t="shared" si="1"/>
        <v/>
      </c>
      <c r="J24" s="19">
        <v>4000</v>
      </c>
      <c r="K24" s="19">
        <v>0</v>
      </c>
      <c r="L24" s="19">
        <v>0</v>
      </c>
      <c r="M24" s="19">
        <v>3000</v>
      </c>
    </row>
    <row r="25" spans="1:13">
      <c r="A25" s="14" t="s">
        <v>267</v>
      </c>
      <c r="B25" s="14">
        <v>22</v>
      </c>
      <c r="C25" s="15" t="s">
        <v>85</v>
      </c>
      <c r="D25" s="14">
        <v>1101010009</v>
      </c>
      <c r="E25" s="16">
        <f>CHOOSE(MATCH($C$2,{"Offline Optimized","Offline + Online Hybrid","Online Optimized"},0),J25,K25,L25)</f>
        <v>0</v>
      </c>
      <c r="F25" s="16">
        <f>SUMIF('ACAS Capital Log'!$D$4:$D$2000,A25,'ACAS Capital Log'!$F$4:$F$2000)</f>
        <v>0</v>
      </c>
      <c r="G25" s="17">
        <v>0</v>
      </c>
      <c r="H25" s="18">
        <f t="shared" si="0"/>
        <v>0</v>
      </c>
      <c r="I25" s="15" t="str">
        <f t="shared" si="1"/>
        <v/>
      </c>
      <c r="J25" s="19">
        <v>0</v>
      </c>
      <c r="K25" s="19">
        <v>0</v>
      </c>
      <c r="L25" s="19">
        <v>0</v>
      </c>
      <c r="M25" s="19">
        <v>0</v>
      </c>
    </row>
    <row r="26" spans="1:13">
      <c r="A26" s="14" t="s">
        <v>268</v>
      </c>
      <c r="B26" s="14">
        <v>23</v>
      </c>
      <c r="C26" s="15" t="s">
        <v>87</v>
      </c>
      <c r="D26" s="14">
        <v>1101010009</v>
      </c>
      <c r="E26" s="16">
        <f>CHOOSE(MATCH($C$2,{"Offline Optimized","Offline + Online Hybrid","Online Optimized"},0),J26,K26,L26)</f>
        <v>0</v>
      </c>
      <c r="F26" s="16">
        <f>SUMIF('ACAS Capital Log'!$D$4:$D$2000,A26,'ACAS Capital Log'!$F$4:$F$2000)</f>
        <v>0</v>
      </c>
      <c r="G26" s="17">
        <v>0</v>
      </c>
      <c r="H26" s="18">
        <f t="shared" si="0"/>
        <v>0</v>
      </c>
      <c r="I26" s="15" t="str">
        <f t="shared" si="1"/>
        <v/>
      </c>
      <c r="J26" s="19">
        <v>0</v>
      </c>
      <c r="K26" s="19">
        <v>0</v>
      </c>
      <c r="L26" s="19">
        <v>0</v>
      </c>
      <c r="M26" s="19">
        <v>0</v>
      </c>
    </row>
    <row r="27" spans="1:13">
      <c r="A27" s="14" t="s">
        <v>269</v>
      </c>
      <c r="B27" s="14">
        <v>24</v>
      </c>
      <c r="C27" s="15" t="s">
        <v>270</v>
      </c>
      <c r="D27" s="14">
        <v>1101010009</v>
      </c>
      <c r="E27" s="16">
        <f>CHOOSE(MATCH($C$2,{"Offline Optimized","Offline + Online Hybrid","Online Optimized"},0),J27,K27,L27)</f>
        <v>0</v>
      </c>
      <c r="F27" s="16">
        <f>SUMIF('ACAS Capital Log'!$D$4:$D$2000,A27,'ACAS Capital Log'!$F$4:$F$2000)</f>
        <v>0</v>
      </c>
      <c r="G27" s="17">
        <v>0</v>
      </c>
      <c r="H27" s="18">
        <f t="shared" si="0"/>
        <v>0</v>
      </c>
      <c r="I27" s="15" t="str">
        <f t="shared" si="1"/>
        <v/>
      </c>
      <c r="J27" s="19">
        <v>0</v>
      </c>
      <c r="K27" s="19">
        <v>0</v>
      </c>
      <c r="L27" s="19">
        <v>0</v>
      </c>
      <c r="M27" s="19">
        <v>0</v>
      </c>
    </row>
    <row r="28" spans="1:13">
      <c r="A28" s="14" t="s">
        <v>271</v>
      </c>
      <c r="B28" s="14">
        <v>25</v>
      </c>
      <c r="C28" s="15" t="s">
        <v>89</v>
      </c>
      <c r="D28" s="14">
        <v>1101010009</v>
      </c>
      <c r="E28" s="16">
        <f>CHOOSE(MATCH($C$2,{"Offline Optimized","Offline + Online Hybrid","Online Optimized"},0),J28,K28,L28)</f>
        <v>800</v>
      </c>
      <c r="F28" s="16">
        <f>SUMIF('ACAS Capital Log'!$D$4:$D$2000,A28,'ACAS Capital Log'!$F$4:$F$2000)</f>
        <v>0</v>
      </c>
      <c r="G28" s="17">
        <v>0</v>
      </c>
      <c r="H28" s="18">
        <f t="shared" si="0"/>
        <v>800</v>
      </c>
      <c r="I28" s="15" t="str">
        <f t="shared" si="1"/>
        <v/>
      </c>
      <c r="J28" s="19">
        <v>800</v>
      </c>
      <c r="K28" s="19">
        <v>0</v>
      </c>
      <c r="L28" s="19">
        <v>0</v>
      </c>
      <c r="M28" s="19">
        <v>400</v>
      </c>
    </row>
    <row r="29" spans="1:13">
      <c r="A29" s="14" t="s">
        <v>272</v>
      </c>
      <c r="B29" s="14">
        <v>26</v>
      </c>
      <c r="C29" s="15" t="s">
        <v>91</v>
      </c>
      <c r="D29" s="14">
        <v>1101010009</v>
      </c>
      <c r="E29" s="16">
        <f>CHOOSE(MATCH($C$2,{"Offline Optimized","Offline + Online Hybrid","Online Optimized"},0),J29,K29,L29)</f>
        <v>400</v>
      </c>
      <c r="F29" s="16">
        <f>SUMIF('ACAS Capital Log'!$D$4:$D$2000,A29,'ACAS Capital Log'!$F$4:$F$2000)</f>
        <v>0</v>
      </c>
      <c r="G29" s="17">
        <v>0</v>
      </c>
      <c r="H29" s="18">
        <f t="shared" si="0"/>
        <v>400</v>
      </c>
      <c r="I29" s="15" t="str">
        <f t="shared" si="1"/>
        <v/>
      </c>
      <c r="J29" s="19">
        <v>400</v>
      </c>
      <c r="K29" s="19">
        <v>0</v>
      </c>
      <c r="L29" s="19">
        <v>0</v>
      </c>
      <c r="M29" s="19">
        <v>200</v>
      </c>
    </row>
    <row r="30" spans="1:13">
      <c r="A30" s="14" t="s">
        <v>273</v>
      </c>
      <c r="B30" s="14">
        <v>27</v>
      </c>
      <c r="C30" s="15" t="s">
        <v>93</v>
      </c>
      <c r="D30" s="14">
        <v>1101010009</v>
      </c>
      <c r="E30" s="16">
        <f>CHOOSE(MATCH($C$2,{"Offline Optimized","Offline + Online Hybrid","Online Optimized"},0),J30,K30,L30)</f>
        <v>0</v>
      </c>
      <c r="F30" s="16">
        <f>SUMIF('ACAS Capital Log'!$D$4:$D$2000,A30,'ACAS Capital Log'!$F$4:$F$2000)</f>
        <v>0</v>
      </c>
      <c r="G30" s="17">
        <v>0</v>
      </c>
      <c r="H30" s="18">
        <f t="shared" si="0"/>
        <v>0</v>
      </c>
      <c r="I30" s="15" t="str">
        <f t="shared" si="1"/>
        <v/>
      </c>
      <c r="J30" s="19">
        <v>0</v>
      </c>
      <c r="K30" s="19">
        <v>0</v>
      </c>
      <c r="L30" s="19">
        <v>0</v>
      </c>
      <c r="M30" s="19">
        <v>0</v>
      </c>
    </row>
    <row r="31" spans="1:13">
      <c r="A31" s="14" t="s">
        <v>274</v>
      </c>
      <c r="B31" s="14">
        <v>28</v>
      </c>
      <c r="C31" s="15" t="s">
        <v>95</v>
      </c>
      <c r="D31" s="14">
        <v>1101010009</v>
      </c>
      <c r="E31" s="16">
        <f>CHOOSE(MATCH($C$2,{"Offline Optimized","Offline + Online Hybrid","Online Optimized"},0),J31,K31,L31)</f>
        <v>2000</v>
      </c>
      <c r="F31" s="16">
        <f>SUMIF('ACAS Capital Log'!$D$4:$D$2000,A31,'ACAS Capital Log'!$F$4:$F$2000)</f>
        <v>0</v>
      </c>
      <c r="G31" s="17">
        <v>0</v>
      </c>
      <c r="H31" s="18">
        <f t="shared" si="0"/>
        <v>2000</v>
      </c>
      <c r="I31" s="15" t="str">
        <f t="shared" si="1"/>
        <v/>
      </c>
      <c r="J31" s="19">
        <v>2000</v>
      </c>
      <c r="K31" s="19">
        <v>0</v>
      </c>
      <c r="L31" s="19">
        <v>0</v>
      </c>
      <c r="M31" s="19">
        <v>5000</v>
      </c>
    </row>
    <row r="32" spans="1:13">
      <c r="A32" s="14" t="s">
        <v>275</v>
      </c>
      <c r="B32" s="14">
        <v>29</v>
      </c>
      <c r="C32" s="15" t="s">
        <v>276</v>
      </c>
      <c r="D32" s="14">
        <v>1101010009</v>
      </c>
      <c r="E32" s="16">
        <f>CHOOSE(MATCH($C$2,{"Offline Optimized","Offline + Online Hybrid","Online Optimized"},0),J32,K32,L32)</f>
        <v>0</v>
      </c>
      <c r="F32" s="16">
        <f>SUMIF('ACAS Capital Log'!$D$4:$D$2000,A32,'ACAS Capital Log'!$F$4:$F$2000)</f>
        <v>0</v>
      </c>
      <c r="G32" s="17">
        <v>0</v>
      </c>
      <c r="H32" s="18">
        <f t="shared" si="0"/>
        <v>0</v>
      </c>
      <c r="I32" s="15" t="str">
        <f t="shared" si="1"/>
        <v/>
      </c>
      <c r="J32" s="19">
        <v>0</v>
      </c>
      <c r="K32" s="19">
        <v>0</v>
      </c>
      <c r="L32" s="19">
        <v>0</v>
      </c>
      <c r="M32" s="19">
        <v>0</v>
      </c>
    </row>
    <row r="33" spans="1:13">
      <c r="A33" s="8"/>
      <c r="B33" s="8"/>
      <c r="C33" s="7" t="s">
        <v>277</v>
      </c>
      <c r="D33" s="8"/>
      <c r="E33" s="9">
        <f>SUM(E4:E32)</f>
        <v>55625</v>
      </c>
      <c r="F33" s="9">
        <f>SUM(F4:F32)</f>
        <v>0</v>
      </c>
      <c r="G33" s="9">
        <f>SUM(G4:G32)</f>
        <v>0</v>
      </c>
      <c r="H33" s="9">
        <f t="shared" si="0"/>
        <v>55625</v>
      </c>
      <c r="I33" s="7" t="str">
        <f t="shared" si="1"/>
        <v/>
      </c>
      <c r="M33">
        <f>SUM(M4:M32)</f>
        <v>68190</v>
      </c>
    </row>
  </sheetData>
  <mergeCells count="2">
    <mergeCell ref="A1:I1"/>
    <mergeCell ref="E2:I2"/>
  </mergeCells>
  <conditionalFormatting sqref="I4:I33">
    <cfRule type="expression" dxfId="11" priority="2">
      <formula>IFERROR($F4/($E4+$G4),0)&gt;0.75</formula>
    </cfRule>
    <cfRule type="expression" dxfId="10" priority="3">
      <formula>AND(IFERROR($F4/($E4+$G4),0)&gt;0.5,IFERROR($F4/($E4+$G4),0)&lt;=0.75)</formula>
    </cfRule>
    <cfRule type="expression" dxfId="9" priority="4">
      <formula>IFERROR($F4/($E4+$G4),0)&gt;0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2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2" customWidth="1"/>
    <col min="2" max="2" width="14" customWidth="1"/>
    <col min="3" max="3" width="34" customWidth="1"/>
    <col min="4" max="4" width="16" customWidth="1"/>
    <col min="5" max="5" width="13" customWidth="1"/>
    <col min="6" max="6" width="11" customWidth="1"/>
    <col min="7" max="7" width="13" customWidth="1"/>
    <col min="8" max="8" width="26" customWidth="1"/>
    <col min="10" max="10" width="13" hidden="1" customWidth="1"/>
  </cols>
  <sheetData>
    <row r="1" spans="1:10" ht="16.5">
      <c r="A1" s="36" t="s">
        <v>278</v>
      </c>
      <c r="B1" s="36"/>
      <c r="C1" s="36"/>
      <c r="D1" s="36"/>
      <c r="E1" s="36"/>
      <c r="F1" s="36"/>
      <c r="G1" s="36"/>
      <c r="H1" s="36"/>
      <c r="J1" s="20" t="s">
        <v>100</v>
      </c>
    </row>
    <row r="2" spans="1:10">
      <c r="A2" s="34" t="s">
        <v>279</v>
      </c>
      <c r="B2" s="34"/>
      <c r="C2" s="34"/>
      <c r="D2" s="34"/>
      <c r="E2" s="34"/>
      <c r="F2" s="34"/>
      <c r="G2" s="34"/>
      <c r="H2" s="34"/>
      <c r="J2" t="s">
        <v>238</v>
      </c>
    </row>
    <row r="3" spans="1:10" ht="24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J3" t="s">
        <v>240</v>
      </c>
    </row>
    <row r="4" spans="1:10">
      <c r="A4" s="21"/>
      <c r="B4" s="22"/>
      <c r="C4" s="22"/>
      <c r="D4" s="22"/>
      <c r="E4" s="23" t="str">
        <f>IF($D4="","",IFERROR(VLOOKUP($D4,'ACAS Capital Tracker'!$A:$H,8,FALSE()),""))</f>
        <v/>
      </c>
      <c r="F4" s="24"/>
      <c r="G4" s="25" t="str">
        <f>IF($D4="","",IFERROR(VLOOKUP($D4,'ACAS Capital Tracker'!$A:$D,4,FALSE()),""))</f>
        <v/>
      </c>
      <c r="H4" s="22"/>
      <c r="J4" t="s">
        <v>241</v>
      </c>
    </row>
    <row r="5" spans="1:10">
      <c r="A5" s="21"/>
      <c r="B5" s="22"/>
      <c r="C5" s="22"/>
      <c r="D5" s="22"/>
      <c r="E5" s="23" t="str">
        <f>IF($D5="","",IFERROR(VLOOKUP($D5,'ACAS Capital Tracker'!$A:$H,8,FALSE()),""))</f>
        <v/>
      </c>
      <c r="F5" s="24"/>
      <c r="G5" s="25" t="str">
        <f>IF($D5="","",IFERROR(VLOOKUP($D5,'ACAS Capital Tracker'!$A:$D,4,FALSE()),""))</f>
        <v/>
      </c>
      <c r="H5" s="22"/>
      <c r="J5" t="s">
        <v>242</v>
      </c>
    </row>
    <row r="6" spans="1:10">
      <c r="A6" s="21"/>
      <c r="B6" s="22"/>
      <c r="C6" s="22"/>
      <c r="D6" s="22"/>
      <c r="E6" s="23" t="str">
        <f>IF($D6="","",IFERROR(VLOOKUP($D6,'ACAS Capital Tracker'!$A:$H,8,FALSE()),""))</f>
        <v/>
      </c>
      <c r="F6" s="24"/>
      <c r="G6" s="25" t="str">
        <f>IF($D6="","",IFERROR(VLOOKUP($D6,'ACAS Capital Tracker'!$A:$D,4,FALSE()),""))</f>
        <v/>
      </c>
      <c r="H6" s="22"/>
      <c r="J6" t="s">
        <v>243</v>
      </c>
    </row>
    <row r="7" spans="1:10">
      <c r="A7" s="21"/>
      <c r="B7" s="22"/>
      <c r="C7" s="22"/>
      <c r="D7" s="22"/>
      <c r="E7" s="23" t="str">
        <f>IF($D7="","",IFERROR(VLOOKUP($D7,'ACAS Capital Tracker'!$A:$H,8,FALSE()),""))</f>
        <v/>
      </c>
      <c r="F7" s="24"/>
      <c r="G7" s="25" t="str">
        <f>IF($D7="","",IFERROR(VLOOKUP($D7,'ACAS Capital Tracker'!$A:$D,4,FALSE()),""))</f>
        <v/>
      </c>
      <c r="H7" s="22"/>
      <c r="J7" t="s">
        <v>244</v>
      </c>
    </row>
    <row r="8" spans="1:10">
      <c r="A8" s="21"/>
      <c r="B8" s="22"/>
      <c r="C8" s="22"/>
      <c r="D8" s="22"/>
      <c r="E8" s="23" t="str">
        <f>IF($D8="","",IFERROR(VLOOKUP($D8,'ACAS Capital Tracker'!$A:$H,8,FALSE()),""))</f>
        <v/>
      </c>
      <c r="F8" s="24"/>
      <c r="G8" s="25" t="str">
        <f>IF($D8="","",IFERROR(VLOOKUP($D8,'ACAS Capital Tracker'!$A:$D,4,FALSE()),""))</f>
        <v/>
      </c>
      <c r="H8" s="22"/>
      <c r="J8" t="s">
        <v>245</v>
      </c>
    </row>
    <row r="9" spans="1:10">
      <c r="A9" s="21"/>
      <c r="B9" s="22"/>
      <c r="C9" s="22"/>
      <c r="D9" s="22"/>
      <c r="E9" s="23" t="str">
        <f>IF($D9="","",IFERROR(VLOOKUP($D9,'ACAS Capital Tracker'!$A:$H,8,FALSE()),""))</f>
        <v/>
      </c>
      <c r="F9" s="24"/>
      <c r="G9" s="25" t="str">
        <f>IF($D9="","",IFERROR(VLOOKUP($D9,'ACAS Capital Tracker'!$A:$D,4,FALSE()),""))</f>
        <v/>
      </c>
      <c r="H9" s="22"/>
      <c r="J9" t="s">
        <v>247</v>
      </c>
    </row>
    <row r="10" spans="1:10">
      <c r="A10" s="21"/>
      <c r="B10" s="22"/>
      <c r="C10" s="22"/>
      <c r="D10" s="22"/>
      <c r="E10" s="23" t="str">
        <f>IF($D10="","",IFERROR(VLOOKUP($D10,'ACAS Capital Tracker'!$A:$H,8,FALSE()),""))</f>
        <v/>
      </c>
      <c r="F10" s="24"/>
      <c r="G10" s="25" t="str">
        <f>IF($D10="","",IFERROR(VLOOKUP($D10,'ACAS Capital Tracker'!$A:$D,4,FALSE()),""))</f>
        <v/>
      </c>
      <c r="H10" s="22"/>
      <c r="J10" t="s">
        <v>248</v>
      </c>
    </row>
    <row r="11" spans="1:10">
      <c r="A11" s="21"/>
      <c r="B11" s="22"/>
      <c r="C11" s="22"/>
      <c r="D11" s="22"/>
      <c r="E11" s="23" t="str">
        <f>IF($D11="","",IFERROR(VLOOKUP($D11,'ACAS Capital Tracker'!$A:$H,8,FALSE()),""))</f>
        <v/>
      </c>
      <c r="F11" s="24"/>
      <c r="G11" s="25" t="str">
        <f>IF($D11="","",IFERROR(VLOOKUP($D11,'ACAS Capital Tracker'!$A:$D,4,FALSE()),""))</f>
        <v/>
      </c>
      <c r="H11" s="22"/>
      <c r="J11" t="s">
        <v>249</v>
      </c>
    </row>
    <row r="12" spans="1:10">
      <c r="A12" s="21"/>
      <c r="B12" s="22"/>
      <c r="C12" s="22"/>
      <c r="D12" s="22"/>
      <c r="E12" s="23" t="str">
        <f>IF($D12="","",IFERROR(VLOOKUP($D12,'ACAS Capital Tracker'!$A:$H,8,FALSE()),""))</f>
        <v/>
      </c>
      <c r="F12" s="24"/>
      <c r="G12" s="25" t="str">
        <f>IF($D12="","",IFERROR(VLOOKUP($D12,'ACAS Capital Tracker'!$A:$D,4,FALSE()),""))</f>
        <v/>
      </c>
      <c r="H12" s="22"/>
      <c r="J12" t="s">
        <v>250</v>
      </c>
    </row>
    <row r="13" spans="1:10">
      <c r="A13" s="21"/>
      <c r="B13" s="22"/>
      <c r="C13" s="22"/>
      <c r="D13" s="22"/>
      <c r="E13" s="23" t="str">
        <f>IF($D13="","",IFERROR(VLOOKUP($D13,'ACAS Capital Tracker'!$A:$H,8,FALSE()),""))</f>
        <v/>
      </c>
      <c r="F13" s="24"/>
      <c r="G13" s="25" t="str">
        <f>IF($D13="","",IFERROR(VLOOKUP($D13,'ACAS Capital Tracker'!$A:$D,4,FALSE()),""))</f>
        <v/>
      </c>
      <c r="H13" s="22"/>
      <c r="J13" t="s">
        <v>251</v>
      </c>
    </row>
    <row r="14" spans="1:10">
      <c r="A14" s="21"/>
      <c r="B14" s="22"/>
      <c r="C14" s="22"/>
      <c r="D14" s="22"/>
      <c r="E14" s="23" t="str">
        <f>IF($D14="","",IFERROR(VLOOKUP($D14,'ACAS Capital Tracker'!$A:$H,8,FALSE()),""))</f>
        <v/>
      </c>
      <c r="F14" s="24"/>
      <c r="G14" s="25" t="str">
        <f>IF($D14="","",IFERROR(VLOOKUP($D14,'ACAS Capital Tracker'!$A:$D,4,FALSE()),""))</f>
        <v/>
      </c>
      <c r="H14" s="22"/>
      <c r="J14" t="s">
        <v>253</v>
      </c>
    </row>
    <row r="15" spans="1:10">
      <c r="A15" s="21"/>
      <c r="B15" s="22"/>
      <c r="C15" s="22"/>
      <c r="D15" s="22"/>
      <c r="E15" s="23" t="str">
        <f>IF($D15="","",IFERROR(VLOOKUP($D15,'ACAS Capital Tracker'!$A:$H,8,FALSE()),""))</f>
        <v/>
      </c>
      <c r="F15" s="24"/>
      <c r="G15" s="25" t="str">
        <f>IF($D15="","",IFERROR(VLOOKUP($D15,'ACAS Capital Tracker'!$A:$D,4,FALSE()),""))</f>
        <v/>
      </c>
      <c r="H15" s="22"/>
      <c r="J15" t="s">
        <v>254</v>
      </c>
    </row>
    <row r="16" spans="1:10">
      <c r="A16" s="21"/>
      <c r="B16" s="22"/>
      <c r="C16" s="22"/>
      <c r="D16" s="22"/>
      <c r="E16" s="23" t="str">
        <f>IF($D16="","",IFERROR(VLOOKUP($D16,'ACAS Capital Tracker'!$A:$H,8,FALSE()),""))</f>
        <v/>
      </c>
      <c r="F16" s="24"/>
      <c r="G16" s="25" t="str">
        <f>IF($D16="","",IFERROR(VLOOKUP($D16,'ACAS Capital Tracker'!$A:$D,4,FALSE()),""))</f>
        <v/>
      </c>
      <c r="H16" s="22"/>
      <c r="J16" t="s">
        <v>256</v>
      </c>
    </row>
    <row r="17" spans="1:10">
      <c r="A17" s="21"/>
      <c r="B17" s="22"/>
      <c r="C17" s="22"/>
      <c r="D17" s="22"/>
      <c r="E17" s="23" t="str">
        <f>IF($D17="","",IFERROR(VLOOKUP($D17,'ACAS Capital Tracker'!$A:$H,8,FALSE()),""))</f>
        <v/>
      </c>
      <c r="F17" s="24"/>
      <c r="G17" s="25" t="str">
        <f>IF($D17="","",IFERROR(VLOOKUP($D17,'ACAS Capital Tracker'!$A:$D,4,FALSE()),""))</f>
        <v/>
      </c>
      <c r="H17" s="22"/>
      <c r="J17" t="s">
        <v>257</v>
      </c>
    </row>
    <row r="18" spans="1:10">
      <c r="A18" s="21"/>
      <c r="B18" s="22"/>
      <c r="C18" s="22"/>
      <c r="D18" s="22"/>
      <c r="E18" s="23" t="str">
        <f>IF($D18="","",IFERROR(VLOOKUP($D18,'ACAS Capital Tracker'!$A:$H,8,FALSE()),""))</f>
        <v/>
      </c>
      <c r="F18" s="24"/>
      <c r="G18" s="25" t="str">
        <f>IF($D18="","",IFERROR(VLOOKUP($D18,'ACAS Capital Tracker'!$A:$D,4,FALSE()),""))</f>
        <v/>
      </c>
      <c r="H18" s="22"/>
      <c r="J18" t="s">
        <v>259</v>
      </c>
    </row>
    <row r="19" spans="1:10">
      <c r="A19" s="21"/>
      <c r="B19" s="22"/>
      <c r="C19" s="22"/>
      <c r="D19" s="22"/>
      <c r="E19" s="23" t="str">
        <f>IF($D19="","",IFERROR(VLOOKUP($D19,'ACAS Capital Tracker'!$A:$H,8,FALSE()),""))</f>
        <v/>
      </c>
      <c r="F19" s="24"/>
      <c r="G19" s="25" t="str">
        <f>IF($D19="","",IFERROR(VLOOKUP($D19,'ACAS Capital Tracker'!$A:$D,4,FALSE()),""))</f>
        <v/>
      </c>
      <c r="H19" s="22"/>
      <c r="J19" t="s">
        <v>260</v>
      </c>
    </row>
    <row r="20" spans="1:10">
      <c r="A20" s="21"/>
      <c r="B20" s="22"/>
      <c r="C20" s="22"/>
      <c r="D20" s="22"/>
      <c r="E20" s="23" t="str">
        <f>IF($D20="","",IFERROR(VLOOKUP($D20,'ACAS Capital Tracker'!$A:$H,8,FALSE()),""))</f>
        <v/>
      </c>
      <c r="F20" s="24"/>
      <c r="G20" s="25" t="str">
        <f>IF($D20="","",IFERROR(VLOOKUP($D20,'ACAS Capital Tracker'!$A:$D,4,FALSE()),""))</f>
        <v/>
      </c>
      <c r="H20" s="22"/>
      <c r="J20" t="s">
        <v>262</v>
      </c>
    </row>
    <row r="21" spans="1:10">
      <c r="A21" s="21"/>
      <c r="B21" s="22"/>
      <c r="C21" s="22"/>
      <c r="D21" s="22"/>
      <c r="E21" s="23" t="str">
        <f>IF($D21="","",IFERROR(VLOOKUP($D21,'ACAS Capital Tracker'!$A:$H,8,FALSE()),""))</f>
        <v/>
      </c>
      <c r="F21" s="24"/>
      <c r="G21" s="25" t="str">
        <f>IF($D21="","",IFERROR(VLOOKUP($D21,'ACAS Capital Tracker'!$A:$D,4,FALSE()),""))</f>
        <v/>
      </c>
      <c r="H21" s="22"/>
      <c r="J21" t="s">
        <v>264</v>
      </c>
    </row>
    <row r="22" spans="1:10">
      <c r="A22" s="21"/>
      <c r="B22" s="22"/>
      <c r="C22" s="22"/>
      <c r="D22" s="22"/>
      <c r="E22" s="23" t="str">
        <f>IF($D22="","",IFERROR(VLOOKUP($D22,'ACAS Capital Tracker'!$A:$H,8,FALSE()),""))</f>
        <v/>
      </c>
      <c r="F22" s="24"/>
      <c r="G22" s="25" t="str">
        <f>IF($D22="","",IFERROR(VLOOKUP($D22,'ACAS Capital Tracker'!$A:$D,4,FALSE()),""))</f>
        <v/>
      </c>
      <c r="H22" s="22"/>
      <c r="J22" t="s">
        <v>265</v>
      </c>
    </row>
    <row r="23" spans="1:10">
      <c r="A23" s="21"/>
      <c r="B23" s="22"/>
      <c r="C23" s="22"/>
      <c r="D23" s="22"/>
      <c r="E23" s="23" t="str">
        <f>IF($D23="","",IFERROR(VLOOKUP($D23,'ACAS Capital Tracker'!$A:$H,8,FALSE()),""))</f>
        <v/>
      </c>
      <c r="F23" s="24"/>
      <c r="G23" s="25" t="str">
        <f>IF($D23="","",IFERROR(VLOOKUP($D23,'ACAS Capital Tracker'!$A:$D,4,FALSE()),""))</f>
        <v/>
      </c>
      <c r="H23" s="22"/>
      <c r="J23" t="s">
        <v>267</v>
      </c>
    </row>
    <row r="24" spans="1:10">
      <c r="A24" s="21"/>
      <c r="B24" s="22"/>
      <c r="C24" s="22"/>
      <c r="D24" s="22"/>
      <c r="E24" s="23" t="str">
        <f>IF($D24="","",IFERROR(VLOOKUP($D24,'ACAS Capital Tracker'!$A:$H,8,FALSE()),""))</f>
        <v/>
      </c>
      <c r="F24" s="24"/>
      <c r="G24" s="25" t="str">
        <f>IF($D24="","",IFERROR(VLOOKUP($D24,'ACAS Capital Tracker'!$A:$D,4,FALSE()),""))</f>
        <v/>
      </c>
      <c r="H24" s="22"/>
      <c r="J24" t="s">
        <v>268</v>
      </c>
    </row>
    <row r="25" spans="1:10">
      <c r="A25" s="21"/>
      <c r="B25" s="22"/>
      <c r="C25" s="22"/>
      <c r="D25" s="22"/>
      <c r="E25" s="23" t="str">
        <f>IF($D25="","",IFERROR(VLOOKUP($D25,'ACAS Capital Tracker'!$A:$H,8,FALSE()),""))</f>
        <v/>
      </c>
      <c r="F25" s="24"/>
      <c r="G25" s="25" t="str">
        <f>IF($D25="","",IFERROR(VLOOKUP($D25,'ACAS Capital Tracker'!$A:$D,4,FALSE()),""))</f>
        <v/>
      </c>
      <c r="H25" s="22"/>
      <c r="J25" t="s">
        <v>269</v>
      </c>
    </row>
    <row r="26" spans="1:10">
      <c r="A26" s="21"/>
      <c r="B26" s="22"/>
      <c r="C26" s="22"/>
      <c r="D26" s="22"/>
      <c r="E26" s="23" t="str">
        <f>IF($D26="","",IFERROR(VLOOKUP($D26,'ACAS Capital Tracker'!$A:$H,8,FALSE()),""))</f>
        <v/>
      </c>
      <c r="F26" s="24"/>
      <c r="G26" s="25" t="str">
        <f>IF($D26="","",IFERROR(VLOOKUP($D26,'ACAS Capital Tracker'!$A:$D,4,FALSE()),""))</f>
        <v/>
      </c>
      <c r="H26" s="22"/>
      <c r="J26" t="s">
        <v>271</v>
      </c>
    </row>
    <row r="27" spans="1:10">
      <c r="A27" s="21"/>
      <c r="B27" s="22"/>
      <c r="C27" s="22"/>
      <c r="D27" s="22"/>
      <c r="E27" s="23" t="str">
        <f>IF($D27="","",IFERROR(VLOOKUP($D27,'ACAS Capital Tracker'!$A:$H,8,FALSE()),""))</f>
        <v/>
      </c>
      <c r="F27" s="24"/>
      <c r="G27" s="25" t="str">
        <f>IF($D27="","",IFERROR(VLOOKUP($D27,'ACAS Capital Tracker'!$A:$D,4,FALSE()),""))</f>
        <v/>
      </c>
      <c r="H27" s="22"/>
      <c r="J27" t="s">
        <v>272</v>
      </c>
    </row>
    <row r="28" spans="1:10">
      <c r="A28" s="21"/>
      <c r="B28" s="22"/>
      <c r="C28" s="22"/>
      <c r="D28" s="22"/>
      <c r="E28" s="23" t="str">
        <f>IF($D28="","",IFERROR(VLOOKUP($D28,'ACAS Capital Tracker'!$A:$H,8,FALSE()),""))</f>
        <v/>
      </c>
      <c r="F28" s="24"/>
      <c r="G28" s="25" t="str">
        <f>IF($D28="","",IFERROR(VLOOKUP($D28,'ACAS Capital Tracker'!$A:$D,4,FALSE()),""))</f>
        <v/>
      </c>
      <c r="H28" s="22"/>
      <c r="J28" t="s">
        <v>273</v>
      </c>
    </row>
    <row r="29" spans="1:10">
      <c r="A29" s="21"/>
      <c r="B29" s="22"/>
      <c r="C29" s="22"/>
      <c r="D29" s="22"/>
      <c r="E29" s="23" t="str">
        <f>IF($D29="","",IFERROR(VLOOKUP($D29,'ACAS Capital Tracker'!$A:$H,8,FALSE()),""))</f>
        <v/>
      </c>
      <c r="F29" s="24"/>
      <c r="G29" s="25" t="str">
        <f>IF($D29="","",IFERROR(VLOOKUP($D29,'ACAS Capital Tracker'!$A:$D,4,FALSE()),""))</f>
        <v/>
      </c>
      <c r="H29" s="22"/>
      <c r="J29" t="s">
        <v>274</v>
      </c>
    </row>
    <row r="30" spans="1:10">
      <c r="A30" s="21"/>
      <c r="B30" s="22"/>
      <c r="C30" s="22"/>
      <c r="D30" s="22"/>
      <c r="E30" s="23" t="str">
        <f>IF($D30="","",IFERROR(VLOOKUP($D30,'ACAS Capital Tracker'!$A:$H,8,FALSE()),""))</f>
        <v/>
      </c>
      <c r="F30" s="24"/>
      <c r="G30" s="25" t="str">
        <f>IF($D30="","",IFERROR(VLOOKUP($D30,'ACAS Capital Tracker'!$A:$D,4,FALSE()),""))</f>
        <v/>
      </c>
      <c r="H30" s="22"/>
      <c r="J30" t="s">
        <v>275</v>
      </c>
    </row>
    <row r="31" spans="1:10">
      <c r="A31" s="21"/>
      <c r="B31" s="22"/>
      <c r="C31" s="22"/>
      <c r="D31" s="22"/>
      <c r="E31" s="23" t="str">
        <f>IF($D31="","",IFERROR(VLOOKUP($D31,'ACAS Capital Tracker'!$A:$H,8,FALSE()),""))</f>
        <v/>
      </c>
      <c r="F31" s="24"/>
      <c r="G31" s="25" t="str">
        <f>IF($D31="","",IFERROR(VLOOKUP($D31,'ACAS Capital Tracker'!$A:$D,4,FALSE()),""))</f>
        <v/>
      </c>
      <c r="H31" s="22"/>
    </row>
    <row r="32" spans="1:10">
      <c r="A32" s="21"/>
      <c r="B32" s="22"/>
      <c r="C32" s="22"/>
      <c r="D32" s="22"/>
      <c r="E32" s="23" t="str">
        <f>IF($D32="","",IFERROR(VLOOKUP($D32,'ACAS Capital Tracker'!$A:$H,8,FALSE()),""))</f>
        <v/>
      </c>
      <c r="F32" s="24"/>
      <c r="G32" s="25" t="str">
        <f>IF($D32="","",IFERROR(VLOOKUP($D32,'ACAS Capital Tracker'!$A:$D,4,FALSE()),""))</f>
        <v/>
      </c>
      <c r="H32" s="22"/>
    </row>
    <row r="33" spans="1:8">
      <c r="A33" s="21"/>
      <c r="B33" s="22"/>
      <c r="C33" s="22"/>
      <c r="D33" s="22"/>
      <c r="E33" s="23" t="str">
        <f>IF($D33="","",IFERROR(VLOOKUP($D33,'ACAS Capital Tracker'!$A:$H,8,FALSE()),""))</f>
        <v/>
      </c>
      <c r="F33" s="24"/>
      <c r="G33" s="25" t="str">
        <f>IF($D33="","",IFERROR(VLOOKUP($D33,'ACAS Capital Tracker'!$A:$D,4,FALSE()),""))</f>
        <v/>
      </c>
      <c r="H33" s="22"/>
    </row>
    <row r="34" spans="1:8">
      <c r="A34" s="21"/>
      <c r="B34" s="22"/>
      <c r="C34" s="22"/>
      <c r="D34" s="22"/>
      <c r="E34" s="23" t="str">
        <f>IF($D34="","",IFERROR(VLOOKUP($D34,'ACAS Capital Tracker'!$A:$H,8,FALSE()),""))</f>
        <v/>
      </c>
      <c r="F34" s="24"/>
      <c r="G34" s="25" t="str">
        <f>IF($D34="","",IFERROR(VLOOKUP($D34,'ACAS Capital Tracker'!$A:$D,4,FALSE()),""))</f>
        <v/>
      </c>
      <c r="H34" s="22"/>
    </row>
    <row r="35" spans="1:8">
      <c r="A35" s="21"/>
      <c r="B35" s="22"/>
      <c r="C35" s="22"/>
      <c r="D35" s="22"/>
      <c r="E35" s="23" t="str">
        <f>IF($D35="","",IFERROR(VLOOKUP($D35,'ACAS Capital Tracker'!$A:$H,8,FALSE()),""))</f>
        <v/>
      </c>
      <c r="F35" s="24"/>
      <c r="G35" s="25" t="str">
        <f>IF($D35="","",IFERROR(VLOOKUP($D35,'ACAS Capital Tracker'!$A:$D,4,FALSE()),""))</f>
        <v/>
      </c>
      <c r="H35" s="22"/>
    </row>
    <row r="36" spans="1:8">
      <c r="A36" s="21"/>
      <c r="B36" s="22"/>
      <c r="C36" s="22"/>
      <c r="D36" s="22"/>
      <c r="E36" s="23" t="str">
        <f>IF($D36="","",IFERROR(VLOOKUP($D36,'ACAS Capital Tracker'!$A:$H,8,FALSE()),""))</f>
        <v/>
      </c>
      <c r="F36" s="24"/>
      <c r="G36" s="25" t="str">
        <f>IF($D36="","",IFERROR(VLOOKUP($D36,'ACAS Capital Tracker'!$A:$D,4,FALSE()),""))</f>
        <v/>
      </c>
      <c r="H36" s="22"/>
    </row>
    <row r="37" spans="1:8">
      <c r="A37" s="21"/>
      <c r="B37" s="22"/>
      <c r="C37" s="22"/>
      <c r="D37" s="22"/>
      <c r="E37" s="23" t="str">
        <f>IF($D37="","",IFERROR(VLOOKUP($D37,'ACAS Capital Tracker'!$A:$H,8,FALSE()),""))</f>
        <v/>
      </c>
      <c r="F37" s="24"/>
      <c r="G37" s="25" t="str">
        <f>IF($D37="","",IFERROR(VLOOKUP($D37,'ACAS Capital Tracker'!$A:$D,4,FALSE()),""))</f>
        <v/>
      </c>
      <c r="H37" s="22"/>
    </row>
    <row r="38" spans="1:8">
      <c r="A38" s="21"/>
      <c r="B38" s="22"/>
      <c r="C38" s="22"/>
      <c r="D38" s="22"/>
      <c r="E38" s="23" t="str">
        <f>IF($D38="","",IFERROR(VLOOKUP($D38,'ACAS Capital Tracker'!$A:$H,8,FALSE()),""))</f>
        <v/>
      </c>
      <c r="F38" s="24"/>
      <c r="G38" s="25" t="str">
        <f>IF($D38="","",IFERROR(VLOOKUP($D38,'ACAS Capital Tracker'!$A:$D,4,FALSE()),""))</f>
        <v/>
      </c>
      <c r="H38" s="22"/>
    </row>
    <row r="39" spans="1:8">
      <c r="A39" s="21"/>
      <c r="B39" s="22"/>
      <c r="C39" s="22"/>
      <c r="D39" s="22"/>
      <c r="E39" s="23" t="str">
        <f>IF($D39="","",IFERROR(VLOOKUP($D39,'ACAS Capital Tracker'!$A:$H,8,FALSE()),""))</f>
        <v/>
      </c>
      <c r="F39" s="24"/>
      <c r="G39" s="25" t="str">
        <f>IF($D39="","",IFERROR(VLOOKUP($D39,'ACAS Capital Tracker'!$A:$D,4,FALSE()),""))</f>
        <v/>
      </c>
      <c r="H39" s="22"/>
    </row>
    <row r="40" spans="1:8">
      <c r="A40" s="21"/>
      <c r="B40" s="22"/>
      <c r="C40" s="22"/>
      <c r="D40" s="22"/>
      <c r="E40" s="23" t="str">
        <f>IF($D40="","",IFERROR(VLOOKUP($D40,'ACAS Capital Tracker'!$A:$H,8,FALSE()),""))</f>
        <v/>
      </c>
      <c r="F40" s="24"/>
      <c r="G40" s="25" t="str">
        <f>IF($D40="","",IFERROR(VLOOKUP($D40,'ACAS Capital Tracker'!$A:$D,4,FALSE()),""))</f>
        <v/>
      </c>
      <c r="H40" s="22"/>
    </row>
    <row r="41" spans="1:8">
      <c r="A41" s="21"/>
      <c r="B41" s="22"/>
      <c r="C41" s="22"/>
      <c r="D41" s="22"/>
      <c r="E41" s="23" t="str">
        <f>IF($D41="","",IFERROR(VLOOKUP($D41,'ACAS Capital Tracker'!$A:$H,8,FALSE()),""))</f>
        <v/>
      </c>
      <c r="F41" s="24"/>
      <c r="G41" s="25" t="str">
        <f>IF($D41="","",IFERROR(VLOOKUP($D41,'ACAS Capital Tracker'!$A:$D,4,FALSE()),""))</f>
        <v/>
      </c>
      <c r="H41" s="22"/>
    </row>
    <row r="42" spans="1:8">
      <c r="A42" s="21"/>
      <c r="B42" s="22"/>
      <c r="C42" s="22"/>
      <c r="D42" s="22"/>
      <c r="E42" s="23" t="str">
        <f>IF($D42="","",IFERROR(VLOOKUP($D42,'ACAS Capital Tracker'!$A:$H,8,FALSE()),""))</f>
        <v/>
      </c>
      <c r="F42" s="24"/>
      <c r="G42" s="25" t="str">
        <f>IF($D42="","",IFERROR(VLOOKUP($D42,'ACAS Capital Tracker'!$A:$D,4,FALSE()),""))</f>
        <v/>
      </c>
      <c r="H42" s="22"/>
    </row>
    <row r="43" spans="1:8">
      <c r="A43" s="21"/>
      <c r="B43" s="22"/>
      <c r="C43" s="22"/>
      <c r="D43" s="22"/>
      <c r="E43" s="23" t="str">
        <f>IF($D43="","",IFERROR(VLOOKUP($D43,'ACAS Capital Tracker'!$A:$H,8,FALSE()),""))</f>
        <v/>
      </c>
      <c r="F43" s="24"/>
      <c r="G43" s="25" t="str">
        <f>IF($D43="","",IFERROR(VLOOKUP($D43,'ACAS Capital Tracker'!$A:$D,4,FALSE()),""))</f>
        <v/>
      </c>
      <c r="H43" s="22"/>
    </row>
    <row r="44" spans="1:8">
      <c r="A44" s="21"/>
      <c r="B44" s="22"/>
      <c r="C44" s="22"/>
      <c r="D44" s="22"/>
      <c r="E44" s="23" t="str">
        <f>IF($D44="","",IFERROR(VLOOKUP($D44,'ACAS Capital Tracker'!$A:$H,8,FALSE()),""))</f>
        <v/>
      </c>
      <c r="F44" s="24"/>
      <c r="G44" s="25" t="str">
        <f>IF($D44="","",IFERROR(VLOOKUP($D44,'ACAS Capital Tracker'!$A:$D,4,FALSE()),""))</f>
        <v/>
      </c>
      <c r="H44" s="22"/>
    </row>
    <row r="45" spans="1:8">
      <c r="A45" s="21"/>
      <c r="B45" s="22"/>
      <c r="C45" s="22"/>
      <c r="D45" s="22"/>
      <c r="E45" s="23" t="str">
        <f>IF($D45="","",IFERROR(VLOOKUP($D45,'ACAS Capital Tracker'!$A:$H,8,FALSE()),""))</f>
        <v/>
      </c>
      <c r="F45" s="24"/>
      <c r="G45" s="25" t="str">
        <f>IF($D45="","",IFERROR(VLOOKUP($D45,'ACAS Capital Tracker'!$A:$D,4,FALSE()),""))</f>
        <v/>
      </c>
      <c r="H45" s="22"/>
    </row>
    <row r="46" spans="1:8">
      <c r="A46" s="21"/>
      <c r="B46" s="22"/>
      <c r="C46" s="22"/>
      <c r="D46" s="22"/>
      <c r="E46" s="23" t="str">
        <f>IF($D46="","",IFERROR(VLOOKUP($D46,'ACAS Capital Tracker'!$A:$H,8,FALSE()),""))</f>
        <v/>
      </c>
      <c r="F46" s="24"/>
      <c r="G46" s="25" t="str">
        <f>IF($D46="","",IFERROR(VLOOKUP($D46,'ACAS Capital Tracker'!$A:$D,4,FALSE()),""))</f>
        <v/>
      </c>
      <c r="H46" s="22"/>
    </row>
    <row r="47" spans="1:8">
      <c r="A47" s="21"/>
      <c r="B47" s="22"/>
      <c r="C47" s="22"/>
      <c r="D47" s="22"/>
      <c r="E47" s="23" t="str">
        <f>IF($D47="","",IFERROR(VLOOKUP($D47,'ACAS Capital Tracker'!$A:$H,8,FALSE()),""))</f>
        <v/>
      </c>
      <c r="F47" s="24"/>
      <c r="G47" s="25" t="str">
        <f>IF($D47="","",IFERROR(VLOOKUP($D47,'ACAS Capital Tracker'!$A:$D,4,FALSE()),""))</f>
        <v/>
      </c>
      <c r="H47" s="22"/>
    </row>
    <row r="48" spans="1:8">
      <c r="A48" s="21"/>
      <c r="B48" s="22"/>
      <c r="C48" s="22"/>
      <c r="D48" s="22"/>
      <c r="E48" s="23" t="str">
        <f>IF($D48="","",IFERROR(VLOOKUP($D48,'ACAS Capital Tracker'!$A:$H,8,FALSE()),""))</f>
        <v/>
      </c>
      <c r="F48" s="24"/>
      <c r="G48" s="25" t="str">
        <f>IF($D48="","",IFERROR(VLOOKUP($D48,'ACAS Capital Tracker'!$A:$D,4,FALSE()),""))</f>
        <v/>
      </c>
      <c r="H48" s="22"/>
    </row>
    <row r="49" spans="1:8">
      <c r="A49" s="21"/>
      <c r="B49" s="22"/>
      <c r="C49" s="22"/>
      <c r="D49" s="22"/>
      <c r="E49" s="23" t="str">
        <f>IF($D49="","",IFERROR(VLOOKUP($D49,'ACAS Capital Tracker'!$A:$H,8,FALSE()),""))</f>
        <v/>
      </c>
      <c r="F49" s="24"/>
      <c r="G49" s="25" t="str">
        <f>IF($D49="","",IFERROR(VLOOKUP($D49,'ACAS Capital Tracker'!$A:$D,4,FALSE()),""))</f>
        <v/>
      </c>
      <c r="H49" s="22"/>
    </row>
    <row r="50" spans="1:8">
      <c r="A50" s="21"/>
      <c r="B50" s="22"/>
      <c r="C50" s="22"/>
      <c r="D50" s="22"/>
      <c r="E50" s="23" t="str">
        <f>IF($D50="","",IFERROR(VLOOKUP($D50,'ACAS Capital Tracker'!$A:$H,8,FALSE()),""))</f>
        <v/>
      </c>
      <c r="F50" s="24"/>
      <c r="G50" s="25" t="str">
        <f>IF($D50="","",IFERROR(VLOOKUP($D50,'ACAS Capital Tracker'!$A:$D,4,FALSE()),""))</f>
        <v/>
      </c>
      <c r="H50" s="22"/>
    </row>
    <row r="51" spans="1:8">
      <c r="A51" s="21"/>
      <c r="B51" s="22"/>
      <c r="C51" s="22"/>
      <c r="D51" s="22"/>
      <c r="E51" s="23" t="str">
        <f>IF($D51="","",IFERROR(VLOOKUP($D51,'ACAS Capital Tracker'!$A:$H,8,FALSE()),""))</f>
        <v/>
      </c>
      <c r="F51" s="24"/>
      <c r="G51" s="25" t="str">
        <f>IF($D51="","",IFERROR(VLOOKUP($D51,'ACAS Capital Tracker'!$A:$D,4,FALSE()),""))</f>
        <v/>
      </c>
      <c r="H51" s="22"/>
    </row>
    <row r="52" spans="1:8">
      <c r="A52" s="21"/>
      <c r="B52" s="22"/>
      <c r="C52" s="22"/>
      <c r="D52" s="22"/>
      <c r="E52" s="23" t="str">
        <f>IF($D52="","",IFERROR(VLOOKUP($D52,'ACAS Capital Tracker'!$A:$H,8,FALSE()),""))</f>
        <v/>
      </c>
      <c r="F52" s="24"/>
      <c r="G52" s="25" t="str">
        <f>IF($D52="","",IFERROR(VLOOKUP($D52,'ACAS Capital Tracker'!$A:$D,4,FALSE()),""))</f>
        <v/>
      </c>
      <c r="H52" s="22"/>
    </row>
    <row r="53" spans="1:8">
      <c r="A53" s="21"/>
      <c r="B53" s="22"/>
      <c r="C53" s="22"/>
      <c r="D53" s="22"/>
      <c r="E53" s="23" t="str">
        <f>IF($D53="","",IFERROR(VLOOKUP($D53,'ACAS Capital Tracker'!$A:$H,8,FALSE()),""))</f>
        <v/>
      </c>
      <c r="F53" s="24"/>
      <c r="G53" s="25" t="str">
        <f>IF($D53="","",IFERROR(VLOOKUP($D53,'ACAS Capital Tracker'!$A:$D,4,FALSE()),""))</f>
        <v/>
      </c>
      <c r="H53" s="22"/>
    </row>
    <row r="54" spans="1:8">
      <c r="A54" s="21"/>
      <c r="B54" s="22"/>
      <c r="C54" s="22"/>
      <c r="D54" s="22"/>
      <c r="E54" s="23" t="str">
        <f>IF($D54="","",IFERROR(VLOOKUP($D54,'ACAS Capital Tracker'!$A:$H,8,FALSE()),""))</f>
        <v/>
      </c>
      <c r="F54" s="24"/>
      <c r="G54" s="25" t="str">
        <f>IF($D54="","",IFERROR(VLOOKUP($D54,'ACAS Capital Tracker'!$A:$D,4,FALSE()),""))</f>
        <v/>
      </c>
      <c r="H54" s="22"/>
    </row>
    <row r="55" spans="1:8">
      <c r="A55" s="21"/>
      <c r="B55" s="22"/>
      <c r="C55" s="22"/>
      <c r="D55" s="22"/>
      <c r="E55" s="23" t="str">
        <f>IF($D55="","",IFERROR(VLOOKUP($D55,'ACAS Capital Tracker'!$A:$H,8,FALSE()),""))</f>
        <v/>
      </c>
      <c r="F55" s="24"/>
      <c r="G55" s="25" t="str">
        <f>IF($D55="","",IFERROR(VLOOKUP($D55,'ACAS Capital Tracker'!$A:$D,4,FALSE()),""))</f>
        <v/>
      </c>
      <c r="H55" s="22"/>
    </row>
    <row r="56" spans="1:8">
      <c r="A56" s="21"/>
      <c r="B56" s="22"/>
      <c r="C56" s="22"/>
      <c r="D56" s="22"/>
      <c r="E56" s="23" t="str">
        <f>IF($D56="","",IFERROR(VLOOKUP($D56,'ACAS Capital Tracker'!$A:$H,8,FALSE()),""))</f>
        <v/>
      </c>
      <c r="F56" s="24"/>
      <c r="G56" s="25" t="str">
        <f>IF($D56="","",IFERROR(VLOOKUP($D56,'ACAS Capital Tracker'!$A:$D,4,FALSE()),""))</f>
        <v/>
      </c>
      <c r="H56" s="22"/>
    </row>
    <row r="57" spans="1:8">
      <c r="A57" s="21"/>
      <c r="B57" s="22"/>
      <c r="C57" s="22"/>
      <c r="D57" s="22"/>
      <c r="E57" s="23" t="str">
        <f>IF($D57="","",IFERROR(VLOOKUP($D57,'ACAS Capital Tracker'!$A:$H,8,FALSE()),""))</f>
        <v/>
      </c>
      <c r="F57" s="24"/>
      <c r="G57" s="25" t="str">
        <f>IF($D57="","",IFERROR(VLOOKUP($D57,'ACAS Capital Tracker'!$A:$D,4,FALSE()),""))</f>
        <v/>
      </c>
      <c r="H57" s="22"/>
    </row>
    <row r="58" spans="1:8">
      <c r="A58" s="21"/>
      <c r="B58" s="22"/>
      <c r="C58" s="22"/>
      <c r="D58" s="22"/>
      <c r="E58" s="23" t="str">
        <f>IF($D58="","",IFERROR(VLOOKUP($D58,'ACAS Capital Tracker'!$A:$H,8,FALSE()),""))</f>
        <v/>
      </c>
      <c r="F58" s="24"/>
      <c r="G58" s="25" t="str">
        <f>IF($D58="","",IFERROR(VLOOKUP($D58,'ACAS Capital Tracker'!$A:$D,4,FALSE()),""))</f>
        <v/>
      </c>
      <c r="H58" s="22"/>
    </row>
    <row r="59" spans="1:8">
      <c r="A59" s="21"/>
      <c r="B59" s="22"/>
      <c r="C59" s="22"/>
      <c r="D59" s="22"/>
      <c r="E59" s="23" t="str">
        <f>IF($D59="","",IFERROR(VLOOKUP($D59,'ACAS Capital Tracker'!$A:$H,8,FALSE()),""))</f>
        <v/>
      </c>
      <c r="F59" s="24"/>
      <c r="G59" s="25" t="str">
        <f>IF($D59="","",IFERROR(VLOOKUP($D59,'ACAS Capital Tracker'!$A:$D,4,FALSE()),""))</f>
        <v/>
      </c>
      <c r="H59" s="22"/>
    </row>
    <row r="60" spans="1:8">
      <c r="A60" s="21"/>
      <c r="B60" s="22"/>
      <c r="C60" s="22"/>
      <c r="D60" s="22"/>
      <c r="E60" s="23" t="str">
        <f>IF($D60="","",IFERROR(VLOOKUP($D60,'ACAS Capital Tracker'!$A:$H,8,FALSE()),""))</f>
        <v/>
      </c>
      <c r="F60" s="24"/>
      <c r="G60" s="25" t="str">
        <f>IF($D60="","",IFERROR(VLOOKUP($D60,'ACAS Capital Tracker'!$A:$D,4,FALSE()),""))</f>
        <v/>
      </c>
      <c r="H60" s="22"/>
    </row>
    <row r="61" spans="1:8">
      <c r="A61" s="21"/>
      <c r="B61" s="22"/>
      <c r="C61" s="22"/>
      <c r="D61" s="22"/>
      <c r="E61" s="23" t="str">
        <f>IF($D61="","",IFERROR(VLOOKUP($D61,'ACAS Capital Tracker'!$A:$H,8,FALSE()),""))</f>
        <v/>
      </c>
      <c r="F61" s="24"/>
      <c r="G61" s="25" t="str">
        <f>IF($D61="","",IFERROR(VLOOKUP($D61,'ACAS Capital Tracker'!$A:$D,4,FALSE()),""))</f>
        <v/>
      </c>
      <c r="H61" s="22"/>
    </row>
    <row r="62" spans="1:8">
      <c r="A62" s="21"/>
      <c r="B62" s="22"/>
      <c r="C62" s="22"/>
      <c r="D62" s="22"/>
      <c r="E62" s="23" t="str">
        <f>IF($D62="","",IFERROR(VLOOKUP($D62,'ACAS Capital Tracker'!$A:$H,8,FALSE()),""))</f>
        <v/>
      </c>
      <c r="F62" s="24"/>
      <c r="G62" s="25" t="str">
        <f>IF($D62="","",IFERROR(VLOOKUP($D62,'ACAS Capital Tracker'!$A:$D,4,FALSE()),""))</f>
        <v/>
      </c>
      <c r="H62" s="22"/>
    </row>
    <row r="63" spans="1:8">
      <c r="A63" s="21"/>
      <c r="B63" s="22"/>
      <c r="C63" s="22"/>
      <c r="D63" s="22"/>
      <c r="E63" s="23" t="str">
        <f>IF($D63="","",IFERROR(VLOOKUP($D63,'ACAS Capital Tracker'!$A:$H,8,FALSE()),""))</f>
        <v/>
      </c>
      <c r="F63" s="24"/>
      <c r="G63" s="25" t="str">
        <f>IF($D63="","",IFERROR(VLOOKUP($D63,'ACAS Capital Tracker'!$A:$D,4,FALSE()),""))</f>
        <v/>
      </c>
      <c r="H63" s="22"/>
    </row>
    <row r="64" spans="1:8">
      <c r="A64" s="21"/>
      <c r="B64" s="22"/>
      <c r="C64" s="22"/>
      <c r="D64" s="22"/>
      <c r="E64" s="23" t="str">
        <f>IF($D64="","",IFERROR(VLOOKUP($D64,'ACAS Capital Tracker'!$A:$H,8,FALSE()),""))</f>
        <v/>
      </c>
      <c r="F64" s="24"/>
      <c r="G64" s="25" t="str">
        <f>IF($D64="","",IFERROR(VLOOKUP($D64,'ACAS Capital Tracker'!$A:$D,4,FALSE()),""))</f>
        <v/>
      </c>
      <c r="H64" s="22"/>
    </row>
    <row r="65" spans="1:8">
      <c r="A65" s="21"/>
      <c r="B65" s="22"/>
      <c r="C65" s="22"/>
      <c r="D65" s="22"/>
      <c r="E65" s="23" t="str">
        <f>IF($D65="","",IFERROR(VLOOKUP($D65,'ACAS Capital Tracker'!$A:$H,8,FALSE()),""))</f>
        <v/>
      </c>
      <c r="F65" s="24"/>
      <c r="G65" s="25" t="str">
        <f>IF($D65="","",IFERROR(VLOOKUP($D65,'ACAS Capital Tracker'!$A:$D,4,FALSE()),""))</f>
        <v/>
      </c>
      <c r="H65" s="22"/>
    </row>
    <row r="66" spans="1:8">
      <c r="A66" s="21"/>
      <c r="B66" s="22"/>
      <c r="C66" s="22"/>
      <c r="D66" s="22"/>
      <c r="E66" s="23" t="str">
        <f>IF($D66="","",IFERROR(VLOOKUP($D66,'ACAS Capital Tracker'!$A:$H,8,FALSE()),""))</f>
        <v/>
      </c>
      <c r="F66" s="24"/>
      <c r="G66" s="25" t="str">
        <f>IF($D66="","",IFERROR(VLOOKUP($D66,'ACAS Capital Tracker'!$A:$D,4,FALSE()),""))</f>
        <v/>
      </c>
      <c r="H66" s="22"/>
    </row>
    <row r="67" spans="1:8">
      <c r="A67" s="21"/>
      <c r="B67" s="22"/>
      <c r="C67" s="22"/>
      <c r="D67" s="22"/>
      <c r="E67" s="23" t="str">
        <f>IF($D67="","",IFERROR(VLOOKUP($D67,'ACAS Capital Tracker'!$A:$H,8,FALSE()),""))</f>
        <v/>
      </c>
      <c r="F67" s="24"/>
      <c r="G67" s="25" t="str">
        <f>IF($D67="","",IFERROR(VLOOKUP($D67,'ACAS Capital Tracker'!$A:$D,4,FALSE()),""))</f>
        <v/>
      </c>
      <c r="H67" s="22"/>
    </row>
    <row r="68" spans="1:8">
      <c r="A68" s="21"/>
      <c r="B68" s="22"/>
      <c r="C68" s="22"/>
      <c r="D68" s="22"/>
      <c r="E68" s="23" t="str">
        <f>IF($D68="","",IFERROR(VLOOKUP($D68,'ACAS Capital Tracker'!$A:$H,8,FALSE()),""))</f>
        <v/>
      </c>
      <c r="F68" s="24"/>
      <c r="G68" s="25" t="str">
        <f>IF($D68="","",IFERROR(VLOOKUP($D68,'ACAS Capital Tracker'!$A:$D,4,FALSE()),""))</f>
        <v/>
      </c>
      <c r="H68" s="22"/>
    </row>
    <row r="69" spans="1:8">
      <c r="A69" s="21"/>
      <c r="B69" s="22"/>
      <c r="C69" s="22"/>
      <c r="D69" s="22"/>
      <c r="E69" s="23" t="str">
        <f>IF($D69="","",IFERROR(VLOOKUP($D69,'ACAS Capital Tracker'!$A:$H,8,FALSE()),""))</f>
        <v/>
      </c>
      <c r="F69" s="24"/>
      <c r="G69" s="25" t="str">
        <f>IF($D69="","",IFERROR(VLOOKUP($D69,'ACAS Capital Tracker'!$A:$D,4,FALSE()),""))</f>
        <v/>
      </c>
      <c r="H69" s="22"/>
    </row>
    <row r="70" spans="1:8">
      <c r="A70" s="21"/>
      <c r="B70" s="22"/>
      <c r="C70" s="22"/>
      <c r="D70" s="22"/>
      <c r="E70" s="23" t="str">
        <f>IF($D70="","",IFERROR(VLOOKUP($D70,'ACAS Capital Tracker'!$A:$H,8,FALSE()),""))</f>
        <v/>
      </c>
      <c r="F70" s="24"/>
      <c r="G70" s="25" t="str">
        <f>IF($D70="","",IFERROR(VLOOKUP($D70,'ACAS Capital Tracker'!$A:$D,4,FALSE()),""))</f>
        <v/>
      </c>
      <c r="H70" s="22"/>
    </row>
    <row r="71" spans="1:8">
      <c r="A71" s="21"/>
      <c r="B71" s="22"/>
      <c r="C71" s="22"/>
      <c r="D71" s="22"/>
      <c r="E71" s="23" t="str">
        <f>IF($D71="","",IFERROR(VLOOKUP($D71,'ACAS Capital Tracker'!$A:$H,8,FALSE()),""))</f>
        <v/>
      </c>
      <c r="F71" s="24"/>
      <c r="G71" s="25" t="str">
        <f>IF($D71="","",IFERROR(VLOOKUP($D71,'ACAS Capital Tracker'!$A:$D,4,FALSE()),""))</f>
        <v/>
      </c>
      <c r="H71" s="22"/>
    </row>
    <row r="72" spans="1:8">
      <c r="A72" s="21"/>
      <c r="B72" s="22"/>
      <c r="C72" s="22"/>
      <c r="D72" s="22"/>
      <c r="E72" s="23" t="str">
        <f>IF($D72="","",IFERROR(VLOOKUP($D72,'ACAS Capital Tracker'!$A:$H,8,FALSE()),""))</f>
        <v/>
      </c>
      <c r="F72" s="24"/>
      <c r="G72" s="25" t="str">
        <f>IF($D72="","",IFERROR(VLOOKUP($D72,'ACAS Capital Tracker'!$A:$D,4,FALSE()),""))</f>
        <v/>
      </c>
      <c r="H72" s="22"/>
    </row>
    <row r="73" spans="1:8">
      <c r="A73" s="21"/>
      <c r="B73" s="22"/>
      <c r="C73" s="22"/>
      <c r="D73" s="22"/>
      <c r="E73" s="23" t="str">
        <f>IF($D73="","",IFERROR(VLOOKUP($D73,'ACAS Capital Tracker'!$A:$H,8,FALSE()),""))</f>
        <v/>
      </c>
      <c r="F73" s="24"/>
      <c r="G73" s="25" t="str">
        <f>IF($D73="","",IFERROR(VLOOKUP($D73,'ACAS Capital Tracker'!$A:$D,4,FALSE()),""))</f>
        <v/>
      </c>
      <c r="H73" s="22"/>
    </row>
    <row r="74" spans="1:8">
      <c r="A74" s="21"/>
      <c r="B74" s="22"/>
      <c r="C74" s="22"/>
      <c r="D74" s="22"/>
      <c r="E74" s="23" t="str">
        <f>IF($D74="","",IFERROR(VLOOKUP($D74,'ACAS Capital Tracker'!$A:$H,8,FALSE()),""))</f>
        <v/>
      </c>
      <c r="F74" s="24"/>
      <c r="G74" s="25" t="str">
        <f>IF($D74="","",IFERROR(VLOOKUP($D74,'ACAS Capital Tracker'!$A:$D,4,FALSE()),""))</f>
        <v/>
      </c>
      <c r="H74" s="22"/>
    </row>
    <row r="75" spans="1:8">
      <c r="A75" s="21"/>
      <c r="B75" s="22"/>
      <c r="C75" s="22"/>
      <c r="D75" s="22"/>
      <c r="E75" s="23" t="str">
        <f>IF($D75="","",IFERROR(VLOOKUP($D75,'ACAS Capital Tracker'!$A:$H,8,FALSE()),""))</f>
        <v/>
      </c>
      <c r="F75" s="24"/>
      <c r="G75" s="25" t="str">
        <f>IF($D75="","",IFERROR(VLOOKUP($D75,'ACAS Capital Tracker'!$A:$D,4,FALSE()),""))</f>
        <v/>
      </c>
      <c r="H75" s="22"/>
    </row>
    <row r="76" spans="1:8">
      <c r="A76" s="21"/>
      <c r="B76" s="22"/>
      <c r="C76" s="22"/>
      <c r="D76" s="22"/>
      <c r="E76" s="23" t="str">
        <f>IF($D76="","",IFERROR(VLOOKUP($D76,'ACAS Capital Tracker'!$A:$H,8,FALSE()),""))</f>
        <v/>
      </c>
      <c r="F76" s="24"/>
      <c r="G76" s="25" t="str">
        <f>IF($D76="","",IFERROR(VLOOKUP($D76,'ACAS Capital Tracker'!$A:$D,4,FALSE()),""))</f>
        <v/>
      </c>
      <c r="H76" s="22"/>
    </row>
    <row r="77" spans="1:8">
      <c r="A77" s="21"/>
      <c r="B77" s="22"/>
      <c r="C77" s="22"/>
      <c r="D77" s="22"/>
      <c r="E77" s="23" t="str">
        <f>IF($D77="","",IFERROR(VLOOKUP($D77,'ACAS Capital Tracker'!$A:$H,8,FALSE()),""))</f>
        <v/>
      </c>
      <c r="F77" s="24"/>
      <c r="G77" s="25" t="str">
        <f>IF($D77="","",IFERROR(VLOOKUP($D77,'ACAS Capital Tracker'!$A:$D,4,FALSE()),""))</f>
        <v/>
      </c>
      <c r="H77" s="22"/>
    </row>
    <row r="78" spans="1:8">
      <c r="A78" s="21"/>
      <c r="B78" s="22"/>
      <c r="C78" s="22"/>
      <c r="D78" s="22"/>
      <c r="E78" s="23" t="str">
        <f>IF($D78="","",IFERROR(VLOOKUP($D78,'ACAS Capital Tracker'!$A:$H,8,FALSE()),""))</f>
        <v/>
      </c>
      <c r="F78" s="24"/>
      <c r="G78" s="25" t="str">
        <f>IF($D78="","",IFERROR(VLOOKUP($D78,'ACAS Capital Tracker'!$A:$D,4,FALSE()),""))</f>
        <v/>
      </c>
      <c r="H78" s="22"/>
    </row>
    <row r="79" spans="1:8">
      <c r="A79" s="21"/>
      <c r="B79" s="22"/>
      <c r="C79" s="22"/>
      <c r="D79" s="22"/>
      <c r="E79" s="23" t="str">
        <f>IF($D79="","",IFERROR(VLOOKUP($D79,'ACAS Capital Tracker'!$A:$H,8,FALSE()),""))</f>
        <v/>
      </c>
      <c r="F79" s="24"/>
      <c r="G79" s="25" t="str">
        <f>IF($D79="","",IFERROR(VLOOKUP($D79,'ACAS Capital Tracker'!$A:$D,4,FALSE()),""))</f>
        <v/>
      </c>
      <c r="H79" s="22"/>
    </row>
    <row r="80" spans="1:8">
      <c r="A80" s="21"/>
      <c r="B80" s="22"/>
      <c r="C80" s="22"/>
      <c r="D80" s="22"/>
      <c r="E80" s="23" t="str">
        <f>IF($D80="","",IFERROR(VLOOKUP($D80,'ACAS Capital Tracker'!$A:$H,8,FALSE()),""))</f>
        <v/>
      </c>
      <c r="F80" s="24"/>
      <c r="G80" s="25" t="str">
        <f>IF($D80="","",IFERROR(VLOOKUP($D80,'ACAS Capital Tracker'!$A:$D,4,FALSE()),""))</f>
        <v/>
      </c>
      <c r="H80" s="22"/>
    </row>
    <row r="81" spans="1:8">
      <c r="A81" s="21"/>
      <c r="B81" s="22"/>
      <c r="C81" s="22"/>
      <c r="D81" s="22"/>
      <c r="E81" s="23" t="str">
        <f>IF($D81="","",IFERROR(VLOOKUP($D81,'ACAS Capital Tracker'!$A:$H,8,FALSE()),""))</f>
        <v/>
      </c>
      <c r="F81" s="24"/>
      <c r="G81" s="25" t="str">
        <f>IF($D81="","",IFERROR(VLOOKUP($D81,'ACAS Capital Tracker'!$A:$D,4,FALSE()),""))</f>
        <v/>
      </c>
      <c r="H81" s="22"/>
    </row>
    <row r="82" spans="1:8">
      <c r="A82" s="21"/>
      <c r="B82" s="22"/>
      <c r="C82" s="22"/>
      <c r="D82" s="22"/>
      <c r="E82" s="23" t="str">
        <f>IF($D82="","",IFERROR(VLOOKUP($D82,'ACAS Capital Tracker'!$A:$H,8,FALSE()),""))</f>
        <v/>
      </c>
      <c r="F82" s="24"/>
      <c r="G82" s="25" t="str">
        <f>IF($D82="","",IFERROR(VLOOKUP($D82,'ACAS Capital Tracker'!$A:$D,4,FALSE()),""))</f>
        <v/>
      </c>
      <c r="H82" s="22"/>
    </row>
    <row r="83" spans="1:8">
      <c r="A83" s="21"/>
      <c r="B83" s="22"/>
      <c r="C83" s="22"/>
      <c r="D83" s="22"/>
      <c r="E83" s="23" t="str">
        <f>IF($D83="","",IFERROR(VLOOKUP($D83,'ACAS Capital Tracker'!$A:$H,8,FALSE()),""))</f>
        <v/>
      </c>
      <c r="F83" s="24"/>
      <c r="G83" s="25" t="str">
        <f>IF($D83="","",IFERROR(VLOOKUP($D83,'ACAS Capital Tracker'!$A:$D,4,FALSE()),""))</f>
        <v/>
      </c>
      <c r="H83" s="22"/>
    </row>
    <row r="84" spans="1:8">
      <c r="A84" s="21"/>
      <c r="B84" s="22"/>
      <c r="C84" s="22"/>
      <c r="D84" s="22"/>
      <c r="E84" s="23" t="str">
        <f>IF($D84="","",IFERROR(VLOOKUP($D84,'ACAS Capital Tracker'!$A:$H,8,FALSE()),""))</f>
        <v/>
      </c>
      <c r="F84" s="24"/>
      <c r="G84" s="25" t="str">
        <f>IF($D84="","",IFERROR(VLOOKUP($D84,'ACAS Capital Tracker'!$A:$D,4,FALSE()),""))</f>
        <v/>
      </c>
      <c r="H84" s="22"/>
    </row>
    <row r="85" spans="1:8">
      <c r="A85" s="21"/>
      <c r="B85" s="22"/>
      <c r="C85" s="22"/>
      <c r="D85" s="22"/>
      <c r="E85" s="23" t="str">
        <f>IF($D85="","",IFERROR(VLOOKUP($D85,'ACAS Capital Tracker'!$A:$H,8,FALSE()),""))</f>
        <v/>
      </c>
      <c r="F85" s="24"/>
      <c r="G85" s="25" t="str">
        <f>IF($D85="","",IFERROR(VLOOKUP($D85,'ACAS Capital Tracker'!$A:$D,4,FALSE()),""))</f>
        <v/>
      </c>
      <c r="H85" s="22"/>
    </row>
    <row r="86" spans="1:8">
      <c r="A86" s="21"/>
      <c r="B86" s="22"/>
      <c r="C86" s="22"/>
      <c r="D86" s="22"/>
      <c r="E86" s="23" t="str">
        <f>IF($D86="","",IFERROR(VLOOKUP($D86,'ACAS Capital Tracker'!$A:$H,8,FALSE()),""))</f>
        <v/>
      </c>
      <c r="F86" s="24"/>
      <c r="G86" s="25" t="str">
        <f>IF($D86="","",IFERROR(VLOOKUP($D86,'ACAS Capital Tracker'!$A:$D,4,FALSE()),""))</f>
        <v/>
      </c>
      <c r="H86" s="22"/>
    </row>
    <row r="87" spans="1:8">
      <c r="A87" s="21"/>
      <c r="B87" s="22"/>
      <c r="C87" s="22"/>
      <c r="D87" s="22"/>
      <c r="E87" s="23" t="str">
        <f>IF($D87="","",IFERROR(VLOOKUP($D87,'ACAS Capital Tracker'!$A:$H,8,FALSE()),""))</f>
        <v/>
      </c>
      <c r="F87" s="24"/>
      <c r="G87" s="25" t="str">
        <f>IF($D87="","",IFERROR(VLOOKUP($D87,'ACAS Capital Tracker'!$A:$D,4,FALSE()),""))</f>
        <v/>
      </c>
      <c r="H87" s="22"/>
    </row>
    <row r="88" spans="1:8">
      <c r="A88" s="21"/>
      <c r="B88" s="22"/>
      <c r="C88" s="22"/>
      <c r="D88" s="22"/>
      <c r="E88" s="23" t="str">
        <f>IF($D88="","",IFERROR(VLOOKUP($D88,'ACAS Capital Tracker'!$A:$H,8,FALSE()),""))</f>
        <v/>
      </c>
      <c r="F88" s="24"/>
      <c r="G88" s="25" t="str">
        <f>IF($D88="","",IFERROR(VLOOKUP($D88,'ACAS Capital Tracker'!$A:$D,4,FALSE()),""))</f>
        <v/>
      </c>
      <c r="H88" s="22"/>
    </row>
    <row r="89" spans="1:8">
      <c r="A89" s="21"/>
      <c r="B89" s="22"/>
      <c r="C89" s="22"/>
      <c r="D89" s="22"/>
      <c r="E89" s="23" t="str">
        <f>IF($D89="","",IFERROR(VLOOKUP($D89,'ACAS Capital Tracker'!$A:$H,8,FALSE()),""))</f>
        <v/>
      </c>
      <c r="F89" s="24"/>
      <c r="G89" s="25" t="str">
        <f>IF($D89="","",IFERROR(VLOOKUP($D89,'ACAS Capital Tracker'!$A:$D,4,FALSE()),""))</f>
        <v/>
      </c>
      <c r="H89" s="22"/>
    </row>
    <row r="90" spans="1:8">
      <c r="A90" s="21"/>
      <c r="B90" s="22"/>
      <c r="C90" s="22"/>
      <c r="D90" s="22"/>
      <c r="E90" s="23" t="str">
        <f>IF($D90="","",IFERROR(VLOOKUP($D90,'ACAS Capital Tracker'!$A:$H,8,FALSE()),""))</f>
        <v/>
      </c>
      <c r="F90" s="24"/>
      <c r="G90" s="25" t="str">
        <f>IF($D90="","",IFERROR(VLOOKUP($D90,'ACAS Capital Tracker'!$A:$D,4,FALSE()),""))</f>
        <v/>
      </c>
      <c r="H90" s="22"/>
    </row>
    <row r="91" spans="1:8">
      <c r="A91" s="21"/>
      <c r="B91" s="22"/>
      <c r="C91" s="22"/>
      <c r="D91" s="22"/>
      <c r="E91" s="23" t="str">
        <f>IF($D91="","",IFERROR(VLOOKUP($D91,'ACAS Capital Tracker'!$A:$H,8,FALSE()),""))</f>
        <v/>
      </c>
      <c r="F91" s="24"/>
      <c r="G91" s="25" t="str">
        <f>IF($D91="","",IFERROR(VLOOKUP($D91,'ACAS Capital Tracker'!$A:$D,4,FALSE()),""))</f>
        <v/>
      </c>
      <c r="H91" s="22"/>
    </row>
    <row r="92" spans="1:8">
      <c r="A92" s="21"/>
      <c r="B92" s="22"/>
      <c r="C92" s="22"/>
      <c r="D92" s="22"/>
      <c r="E92" s="23" t="str">
        <f>IF($D92="","",IFERROR(VLOOKUP($D92,'ACAS Capital Tracker'!$A:$H,8,FALSE()),""))</f>
        <v/>
      </c>
      <c r="F92" s="24"/>
      <c r="G92" s="25" t="str">
        <f>IF($D92="","",IFERROR(VLOOKUP($D92,'ACAS Capital Tracker'!$A:$D,4,FALSE()),""))</f>
        <v/>
      </c>
      <c r="H92" s="22"/>
    </row>
    <row r="93" spans="1:8">
      <c r="A93" s="21"/>
      <c r="B93" s="22"/>
      <c r="C93" s="22"/>
      <c r="D93" s="22"/>
      <c r="E93" s="23" t="str">
        <f>IF($D93="","",IFERROR(VLOOKUP($D93,'ACAS Capital Tracker'!$A:$H,8,FALSE()),""))</f>
        <v/>
      </c>
      <c r="F93" s="24"/>
      <c r="G93" s="25" t="str">
        <f>IF($D93="","",IFERROR(VLOOKUP($D93,'ACAS Capital Tracker'!$A:$D,4,FALSE()),""))</f>
        <v/>
      </c>
      <c r="H93" s="22"/>
    </row>
    <row r="94" spans="1:8">
      <c r="A94" s="21"/>
      <c r="B94" s="22"/>
      <c r="C94" s="22"/>
      <c r="D94" s="22"/>
      <c r="E94" s="23" t="str">
        <f>IF($D94="","",IFERROR(VLOOKUP($D94,'ACAS Capital Tracker'!$A:$H,8,FALSE()),""))</f>
        <v/>
      </c>
      <c r="F94" s="24"/>
      <c r="G94" s="25" t="str">
        <f>IF($D94="","",IFERROR(VLOOKUP($D94,'ACAS Capital Tracker'!$A:$D,4,FALSE()),""))</f>
        <v/>
      </c>
      <c r="H94" s="22"/>
    </row>
    <row r="95" spans="1:8">
      <c r="A95" s="21"/>
      <c r="B95" s="22"/>
      <c r="C95" s="22"/>
      <c r="D95" s="22"/>
      <c r="E95" s="23" t="str">
        <f>IF($D95="","",IFERROR(VLOOKUP($D95,'ACAS Capital Tracker'!$A:$H,8,FALSE()),""))</f>
        <v/>
      </c>
      <c r="F95" s="24"/>
      <c r="G95" s="25" t="str">
        <f>IF($D95="","",IFERROR(VLOOKUP($D95,'ACAS Capital Tracker'!$A:$D,4,FALSE()),""))</f>
        <v/>
      </c>
      <c r="H95" s="22"/>
    </row>
    <row r="96" spans="1:8">
      <c r="A96" s="21"/>
      <c r="B96" s="22"/>
      <c r="C96" s="22"/>
      <c r="D96" s="22"/>
      <c r="E96" s="23" t="str">
        <f>IF($D96="","",IFERROR(VLOOKUP($D96,'ACAS Capital Tracker'!$A:$H,8,FALSE()),""))</f>
        <v/>
      </c>
      <c r="F96" s="24"/>
      <c r="G96" s="25" t="str">
        <f>IF($D96="","",IFERROR(VLOOKUP($D96,'ACAS Capital Tracker'!$A:$D,4,FALSE()),""))</f>
        <v/>
      </c>
      <c r="H96" s="22"/>
    </row>
    <row r="97" spans="1:8">
      <c r="A97" s="21"/>
      <c r="B97" s="22"/>
      <c r="C97" s="22"/>
      <c r="D97" s="22"/>
      <c r="E97" s="23" t="str">
        <f>IF($D97="","",IFERROR(VLOOKUP($D97,'ACAS Capital Tracker'!$A:$H,8,FALSE()),""))</f>
        <v/>
      </c>
      <c r="F97" s="24"/>
      <c r="G97" s="25" t="str">
        <f>IF($D97="","",IFERROR(VLOOKUP($D97,'ACAS Capital Tracker'!$A:$D,4,FALSE()),""))</f>
        <v/>
      </c>
      <c r="H97" s="22"/>
    </row>
    <row r="98" spans="1:8">
      <c r="A98" s="21"/>
      <c r="B98" s="22"/>
      <c r="C98" s="22"/>
      <c r="D98" s="22"/>
      <c r="E98" s="23" t="str">
        <f>IF($D98="","",IFERROR(VLOOKUP($D98,'ACAS Capital Tracker'!$A:$H,8,FALSE()),""))</f>
        <v/>
      </c>
      <c r="F98" s="24"/>
      <c r="G98" s="25" t="str">
        <f>IF($D98="","",IFERROR(VLOOKUP($D98,'ACAS Capital Tracker'!$A:$D,4,FALSE()),""))</f>
        <v/>
      </c>
      <c r="H98" s="22"/>
    </row>
    <row r="99" spans="1:8">
      <c r="A99" s="21"/>
      <c r="B99" s="22"/>
      <c r="C99" s="22"/>
      <c r="D99" s="22"/>
      <c r="E99" s="23" t="str">
        <f>IF($D99="","",IFERROR(VLOOKUP($D99,'ACAS Capital Tracker'!$A:$H,8,FALSE()),""))</f>
        <v/>
      </c>
      <c r="F99" s="24"/>
      <c r="G99" s="25" t="str">
        <f>IF($D99="","",IFERROR(VLOOKUP($D99,'ACAS Capital Tracker'!$A:$D,4,FALSE()),""))</f>
        <v/>
      </c>
      <c r="H99" s="22"/>
    </row>
    <row r="100" spans="1:8">
      <c r="A100" s="21"/>
      <c r="B100" s="22"/>
      <c r="C100" s="22"/>
      <c r="D100" s="22"/>
      <c r="E100" s="23" t="str">
        <f>IF($D100="","",IFERROR(VLOOKUP($D100,'ACAS Capital Tracker'!$A:$H,8,FALSE()),""))</f>
        <v/>
      </c>
      <c r="F100" s="24"/>
      <c r="G100" s="25" t="str">
        <f>IF($D100="","",IFERROR(VLOOKUP($D100,'ACAS Capital Tracker'!$A:$D,4,FALSE()),""))</f>
        <v/>
      </c>
      <c r="H100" s="22"/>
    </row>
    <row r="101" spans="1:8">
      <c r="A101" s="21"/>
      <c r="B101" s="22"/>
      <c r="C101" s="22"/>
      <c r="D101" s="22"/>
      <c r="E101" s="23" t="str">
        <f>IF($D101="","",IFERROR(VLOOKUP($D101,'ACAS Capital Tracker'!$A:$H,8,FALSE()),""))</f>
        <v/>
      </c>
      <c r="F101" s="24"/>
      <c r="G101" s="25" t="str">
        <f>IF($D101="","",IFERROR(VLOOKUP($D101,'ACAS Capital Tracker'!$A:$D,4,FALSE()),""))</f>
        <v/>
      </c>
      <c r="H101" s="22"/>
    </row>
    <row r="102" spans="1:8">
      <c r="A102" s="21"/>
      <c r="B102" s="22"/>
      <c r="C102" s="22"/>
      <c r="D102" s="22"/>
      <c r="E102" s="23" t="str">
        <f>IF($D102="","",IFERROR(VLOOKUP($D102,'ACAS Capital Tracker'!$A:$H,8,FALSE()),""))</f>
        <v/>
      </c>
      <c r="F102" s="24"/>
      <c r="G102" s="25" t="str">
        <f>IF($D102="","",IFERROR(VLOOKUP($D102,'ACAS Capital Tracker'!$A:$D,4,FALSE()),""))</f>
        <v/>
      </c>
      <c r="H102" s="22"/>
    </row>
    <row r="103" spans="1:8">
      <c r="A103" s="21"/>
      <c r="B103" s="22"/>
      <c r="C103" s="22"/>
      <c r="D103" s="22"/>
      <c r="E103" s="23" t="str">
        <f>IF($D103="","",IFERROR(VLOOKUP($D103,'ACAS Capital Tracker'!$A:$H,8,FALSE()),""))</f>
        <v/>
      </c>
      <c r="F103" s="24"/>
      <c r="G103" s="25" t="str">
        <f>IF($D103="","",IFERROR(VLOOKUP($D103,'ACAS Capital Tracker'!$A:$D,4,FALSE()),""))</f>
        <v/>
      </c>
      <c r="H103" s="22"/>
    </row>
    <row r="104" spans="1:8">
      <c r="A104" s="21"/>
      <c r="B104" s="22"/>
      <c r="C104" s="22"/>
      <c r="D104" s="22"/>
      <c r="E104" s="23" t="str">
        <f>IF($D104="","",IFERROR(VLOOKUP($D104,'ACAS Capital Tracker'!$A:$H,8,FALSE()),""))</f>
        <v/>
      </c>
      <c r="F104" s="24"/>
      <c r="G104" s="25" t="str">
        <f>IF($D104="","",IFERROR(VLOOKUP($D104,'ACAS Capital Tracker'!$A:$D,4,FALSE()),""))</f>
        <v/>
      </c>
      <c r="H104" s="22"/>
    </row>
    <row r="105" spans="1:8">
      <c r="A105" s="21"/>
      <c r="B105" s="22"/>
      <c r="C105" s="22"/>
      <c r="D105" s="22"/>
      <c r="E105" s="23" t="str">
        <f>IF($D105="","",IFERROR(VLOOKUP($D105,'ACAS Capital Tracker'!$A:$H,8,FALSE()),""))</f>
        <v/>
      </c>
      <c r="F105" s="24"/>
      <c r="G105" s="25" t="str">
        <f>IF($D105="","",IFERROR(VLOOKUP($D105,'ACAS Capital Tracker'!$A:$D,4,FALSE()),""))</f>
        <v/>
      </c>
      <c r="H105" s="22"/>
    </row>
    <row r="106" spans="1:8">
      <c r="A106" s="21"/>
      <c r="B106" s="22"/>
      <c r="C106" s="22"/>
      <c r="D106" s="22"/>
      <c r="E106" s="23" t="str">
        <f>IF($D106="","",IFERROR(VLOOKUP($D106,'ACAS Capital Tracker'!$A:$H,8,FALSE()),""))</f>
        <v/>
      </c>
      <c r="F106" s="24"/>
      <c r="G106" s="25" t="str">
        <f>IF($D106="","",IFERROR(VLOOKUP($D106,'ACAS Capital Tracker'!$A:$D,4,FALSE()),""))</f>
        <v/>
      </c>
      <c r="H106" s="22"/>
    </row>
    <row r="107" spans="1:8">
      <c r="A107" s="21"/>
      <c r="B107" s="22"/>
      <c r="C107" s="22"/>
      <c r="D107" s="22"/>
      <c r="E107" s="23" t="str">
        <f>IF($D107="","",IFERROR(VLOOKUP($D107,'ACAS Capital Tracker'!$A:$H,8,FALSE()),""))</f>
        <v/>
      </c>
      <c r="F107" s="24"/>
      <c r="G107" s="25" t="str">
        <f>IF($D107="","",IFERROR(VLOOKUP($D107,'ACAS Capital Tracker'!$A:$D,4,FALSE()),""))</f>
        <v/>
      </c>
      <c r="H107" s="22"/>
    </row>
    <row r="108" spans="1:8">
      <c r="A108" s="21"/>
      <c r="B108" s="22"/>
      <c r="C108" s="22"/>
      <c r="D108" s="22"/>
      <c r="E108" s="23" t="str">
        <f>IF($D108="","",IFERROR(VLOOKUP($D108,'ACAS Capital Tracker'!$A:$H,8,FALSE()),""))</f>
        <v/>
      </c>
      <c r="F108" s="24"/>
      <c r="G108" s="25" t="str">
        <f>IF($D108="","",IFERROR(VLOOKUP($D108,'ACAS Capital Tracker'!$A:$D,4,FALSE()),""))</f>
        <v/>
      </c>
      <c r="H108" s="22"/>
    </row>
    <row r="109" spans="1:8">
      <c r="A109" s="21"/>
      <c r="B109" s="22"/>
      <c r="C109" s="22"/>
      <c r="D109" s="22"/>
      <c r="E109" s="23" t="str">
        <f>IF($D109="","",IFERROR(VLOOKUP($D109,'ACAS Capital Tracker'!$A:$H,8,FALSE()),""))</f>
        <v/>
      </c>
      <c r="F109" s="24"/>
      <c r="G109" s="25" t="str">
        <f>IF($D109="","",IFERROR(VLOOKUP($D109,'ACAS Capital Tracker'!$A:$D,4,FALSE()),""))</f>
        <v/>
      </c>
      <c r="H109" s="22"/>
    </row>
    <row r="110" spans="1:8">
      <c r="A110" s="21"/>
      <c r="B110" s="22"/>
      <c r="C110" s="22"/>
      <c r="D110" s="22"/>
      <c r="E110" s="23" t="str">
        <f>IF($D110="","",IFERROR(VLOOKUP($D110,'ACAS Capital Tracker'!$A:$H,8,FALSE()),""))</f>
        <v/>
      </c>
      <c r="F110" s="24"/>
      <c r="G110" s="25" t="str">
        <f>IF($D110="","",IFERROR(VLOOKUP($D110,'ACAS Capital Tracker'!$A:$D,4,FALSE()),""))</f>
        <v/>
      </c>
      <c r="H110" s="22"/>
    </row>
    <row r="111" spans="1:8">
      <c r="A111" s="21"/>
      <c r="B111" s="22"/>
      <c r="C111" s="22"/>
      <c r="D111" s="22"/>
      <c r="E111" s="23" t="str">
        <f>IF($D111="","",IFERROR(VLOOKUP($D111,'ACAS Capital Tracker'!$A:$H,8,FALSE()),""))</f>
        <v/>
      </c>
      <c r="F111" s="24"/>
      <c r="G111" s="25" t="str">
        <f>IF($D111="","",IFERROR(VLOOKUP($D111,'ACAS Capital Tracker'!$A:$D,4,FALSE()),""))</f>
        <v/>
      </c>
      <c r="H111" s="22"/>
    </row>
    <row r="112" spans="1:8">
      <c r="A112" s="21"/>
      <c r="B112" s="22"/>
      <c r="C112" s="22"/>
      <c r="D112" s="22"/>
      <c r="E112" s="23" t="str">
        <f>IF($D112="","",IFERROR(VLOOKUP($D112,'ACAS Capital Tracker'!$A:$H,8,FALSE()),""))</f>
        <v/>
      </c>
      <c r="F112" s="24"/>
      <c r="G112" s="25" t="str">
        <f>IF($D112="","",IFERROR(VLOOKUP($D112,'ACAS Capital Tracker'!$A:$D,4,FALSE()),""))</f>
        <v/>
      </c>
      <c r="H112" s="22"/>
    </row>
    <row r="113" spans="1:8">
      <c r="A113" s="21"/>
      <c r="B113" s="22"/>
      <c r="C113" s="22"/>
      <c r="D113" s="22"/>
      <c r="E113" s="23" t="str">
        <f>IF($D113="","",IFERROR(VLOOKUP($D113,'ACAS Capital Tracker'!$A:$H,8,FALSE()),""))</f>
        <v/>
      </c>
      <c r="F113" s="24"/>
      <c r="G113" s="25" t="str">
        <f>IF($D113="","",IFERROR(VLOOKUP($D113,'ACAS Capital Tracker'!$A:$D,4,FALSE()),""))</f>
        <v/>
      </c>
      <c r="H113" s="22"/>
    </row>
    <row r="114" spans="1:8">
      <c r="A114" s="21"/>
      <c r="B114" s="22"/>
      <c r="C114" s="22"/>
      <c r="D114" s="22"/>
      <c r="E114" s="23" t="str">
        <f>IF($D114="","",IFERROR(VLOOKUP($D114,'ACAS Capital Tracker'!$A:$H,8,FALSE()),""))</f>
        <v/>
      </c>
      <c r="F114" s="24"/>
      <c r="G114" s="25" t="str">
        <f>IF($D114="","",IFERROR(VLOOKUP($D114,'ACAS Capital Tracker'!$A:$D,4,FALSE()),""))</f>
        <v/>
      </c>
      <c r="H114" s="22"/>
    </row>
    <row r="115" spans="1:8">
      <c r="A115" s="21"/>
      <c r="B115" s="22"/>
      <c r="C115" s="22"/>
      <c r="D115" s="22"/>
      <c r="E115" s="23" t="str">
        <f>IF($D115="","",IFERROR(VLOOKUP($D115,'ACAS Capital Tracker'!$A:$H,8,FALSE()),""))</f>
        <v/>
      </c>
      <c r="F115" s="24"/>
      <c r="G115" s="25" t="str">
        <f>IF($D115="","",IFERROR(VLOOKUP($D115,'ACAS Capital Tracker'!$A:$D,4,FALSE()),""))</f>
        <v/>
      </c>
      <c r="H115" s="22"/>
    </row>
    <row r="116" spans="1:8">
      <c r="A116" s="21"/>
      <c r="B116" s="22"/>
      <c r="C116" s="22"/>
      <c r="D116" s="22"/>
      <c r="E116" s="23" t="str">
        <f>IF($D116="","",IFERROR(VLOOKUP($D116,'ACAS Capital Tracker'!$A:$H,8,FALSE()),""))</f>
        <v/>
      </c>
      <c r="F116" s="24"/>
      <c r="G116" s="25" t="str">
        <f>IF($D116="","",IFERROR(VLOOKUP($D116,'ACAS Capital Tracker'!$A:$D,4,FALSE()),""))</f>
        <v/>
      </c>
      <c r="H116" s="22"/>
    </row>
    <row r="117" spans="1:8">
      <c r="A117" s="21"/>
      <c r="B117" s="22"/>
      <c r="C117" s="22"/>
      <c r="D117" s="22"/>
      <c r="E117" s="23" t="str">
        <f>IF($D117="","",IFERROR(VLOOKUP($D117,'ACAS Capital Tracker'!$A:$H,8,FALSE()),""))</f>
        <v/>
      </c>
      <c r="F117" s="24"/>
      <c r="G117" s="25" t="str">
        <f>IF($D117="","",IFERROR(VLOOKUP($D117,'ACAS Capital Tracker'!$A:$D,4,FALSE()),""))</f>
        <v/>
      </c>
      <c r="H117" s="22"/>
    </row>
    <row r="118" spans="1:8">
      <c r="A118" s="21"/>
      <c r="B118" s="22"/>
      <c r="C118" s="22"/>
      <c r="D118" s="22"/>
      <c r="E118" s="23" t="str">
        <f>IF($D118="","",IFERROR(VLOOKUP($D118,'ACAS Capital Tracker'!$A:$H,8,FALSE()),""))</f>
        <v/>
      </c>
      <c r="F118" s="24"/>
      <c r="G118" s="25" t="str">
        <f>IF($D118="","",IFERROR(VLOOKUP($D118,'ACAS Capital Tracker'!$A:$D,4,FALSE()),""))</f>
        <v/>
      </c>
      <c r="H118" s="22"/>
    </row>
    <row r="119" spans="1:8">
      <c r="A119" s="21"/>
      <c r="B119" s="22"/>
      <c r="C119" s="22"/>
      <c r="D119" s="22"/>
      <c r="E119" s="23" t="str">
        <f>IF($D119="","",IFERROR(VLOOKUP($D119,'ACAS Capital Tracker'!$A:$H,8,FALSE()),""))</f>
        <v/>
      </c>
      <c r="F119" s="24"/>
      <c r="G119" s="25" t="str">
        <f>IF($D119="","",IFERROR(VLOOKUP($D119,'ACAS Capital Tracker'!$A:$D,4,FALSE()),""))</f>
        <v/>
      </c>
      <c r="H119" s="22"/>
    </row>
    <row r="120" spans="1:8">
      <c r="A120" s="21"/>
      <c r="B120" s="22"/>
      <c r="C120" s="22"/>
      <c r="D120" s="22"/>
      <c r="E120" s="23" t="str">
        <f>IF($D120="","",IFERROR(VLOOKUP($D120,'ACAS Capital Tracker'!$A:$H,8,FALSE()),""))</f>
        <v/>
      </c>
      <c r="F120" s="24"/>
      <c r="G120" s="25" t="str">
        <f>IF($D120="","",IFERROR(VLOOKUP($D120,'ACAS Capital Tracker'!$A:$D,4,FALSE()),""))</f>
        <v/>
      </c>
      <c r="H120" s="22"/>
    </row>
    <row r="121" spans="1:8">
      <c r="A121" s="21"/>
      <c r="B121" s="22"/>
      <c r="C121" s="22"/>
      <c r="D121" s="22"/>
      <c r="E121" s="23" t="str">
        <f>IF($D121="","",IFERROR(VLOOKUP($D121,'ACAS Capital Tracker'!$A:$H,8,FALSE()),""))</f>
        <v/>
      </c>
      <c r="F121" s="24"/>
      <c r="G121" s="25" t="str">
        <f>IF($D121="","",IFERROR(VLOOKUP($D121,'ACAS Capital Tracker'!$A:$D,4,FALSE()),""))</f>
        <v/>
      </c>
      <c r="H121" s="22"/>
    </row>
    <row r="122" spans="1:8">
      <c r="A122" s="21"/>
      <c r="B122" s="22"/>
      <c r="C122" s="22"/>
      <c r="D122" s="22"/>
      <c r="E122" s="23" t="str">
        <f>IF($D122="","",IFERROR(VLOOKUP($D122,'ACAS Capital Tracker'!$A:$H,8,FALSE()),""))</f>
        <v/>
      </c>
      <c r="F122" s="24"/>
      <c r="G122" s="25" t="str">
        <f>IF($D122="","",IFERROR(VLOOKUP($D122,'ACAS Capital Tracker'!$A:$D,4,FALSE()),""))</f>
        <v/>
      </c>
      <c r="H122" s="22"/>
    </row>
    <row r="123" spans="1:8">
      <c r="A123" s="21"/>
      <c r="B123" s="22"/>
      <c r="C123" s="22"/>
      <c r="D123" s="22"/>
      <c r="E123" s="23" t="str">
        <f>IF($D123="","",IFERROR(VLOOKUP($D123,'ACAS Capital Tracker'!$A:$H,8,FALSE()),""))</f>
        <v/>
      </c>
      <c r="F123" s="24"/>
      <c r="G123" s="25" t="str">
        <f>IF($D123="","",IFERROR(VLOOKUP($D123,'ACAS Capital Tracker'!$A:$D,4,FALSE()),""))</f>
        <v/>
      </c>
      <c r="H123" s="22"/>
    </row>
    <row r="124" spans="1:8">
      <c r="A124" s="21"/>
      <c r="B124" s="22"/>
      <c r="C124" s="22"/>
      <c r="D124" s="22"/>
      <c r="E124" s="23" t="str">
        <f>IF($D124="","",IFERROR(VLOOKUP($D124,'ACAS Capital Tracker'!$A:$H,8,FALSE()),""))</f>
        <v/>
      </c>
      <c r="F124" s="24"/>
      <c r="G124" s="25" t="str">
        <f>IF($D124="","",IFERROR(VLOOKUP($D124,'ACAS Capital Tracker'!$A:$D,4,FALSE()),""))</f>
        <v/>
      </c>
      <c r="H124" s="22"/>
    </row>
    <row r="125" spans="1:8">
      <c r="A125" s="21"/>
      <c r="B125" s="22"/>
      <c r="C125" s="22"/>
      <c r="D125" s="22"/>
      <c r="E125" s="23" t="str">
        <f>IF($D125="","",IFERROR(VLOOKUP($D125,'ACAS Capital Tracker'!$A:$H,8,FALSE()),""))</f>
        <v/>
      </c>
      <c r="F125" s="24"/>
      <c r="G125" s="25" t="str">
        <f>IF($D125="","",IFERROR(VLOOKUP($D125,'ACAS Capital Tracker'!$A:$D,4,FALSE()),""))</f>
        <v/>
      </c>
      <c r="H125" s="22"/>
    </row>
    <row r="126" spans="1:8">
      <c r="A126" s="21"/>
      <c r="B126" s="22"/>
      <c r="C126" s="22"/>
      <c r="D126" s="22"/>
      <c r="E126" s="23" t="str">
        <f>IF($D126="","",IFERROR(VLOOKUP($D126,'ACAS Capital Tracker'!$A:$H,8,FALSE()),""))</f>
        <v/>
      </c>
      <c r="F126" s="24"/>
      <c r="G126" s="25" t="str">
        <f>IF($D126="","",IFERROR(VLOOKUP($D126,'ACAS Capital Tracker'!$A:$D,4,FALSE()),""))</f>
        <v/>
      </c>
      <c r="H126" s="22"/>
    </row>
    <row r="127" spans="1:8">
      <c r="A127" s="21"/>
      <c r="B127" s="22"/>
      <c r="C127" s="22"/>
      <c r="D127" s="22"/>
      <c r="E127" s="23" t="str">
        <f>IF($D127="","",IFERROR(VLOOKUP($D127,'ACAS Capital Tracker'!$A:$H,8,FALSE()),""))</f>
        <v/>
      </c>
      <c r="F127" s="24"/>
      <c r="G127" s="25" t="str">
        <f>IF($D127="","",IFERROR(VLOOKUP($D127,'ACAS Capital Tracker'!$A:$D,4,FALSE()),""))</f>
        <v/>
      </c>
      <c r="H127" s="22"/>
    </row>
    <row r="128" spans="1:8">
      <c r="A128" s="21"/>
      <c r="B128" s="22"/>
      <c r="C128" s="22"/>
      <c r="D128" s="22"/>
      <c r="E128" s="23" t="str">
        <f>IF($D128="","",IFERROR(VLOOKUP($D128,'ACAS Capital Tracker'!$A:$H,8,FALSE()),""))</f>
        <v/>
      </c>
      <c r="F128" s="24"/>
      <c r="G128" s="25" t="str">
        <f>IF($D128="","",IFERROR(VLOOKUP($D128,'ACAS Capital Tracker'!$A:$D,4,FALSE()),""))</f>
        <v/>
      </c>
      <c r="H128" s="22"/>
    </row>
    <row r="129" spans="1:8">
      <c r="A129" s="21"/>
      <c r="B129" s="22"/>
      <c r="C129" s="22"/>
      <c r="D129" s="22"/>
      <c r="E129" s="23" t="str">
        <f>IF($D129="","",IFERROR(VLOOKUP($D129,'ACAS Capital Tracker'!$A:$H,8,FALSE()),""))</f>
        <v/>
      </c>
      <c r="F129" s="24"/>
      <c r="G129" s="25" t="str">
        <f>IF($D129="","",IFERROR(VLOOKUP($D129,'ACAS Capital Tracker'!$A:$D,4,FALSE()),""))</f>
        <v/>
      </c>
      <c r="H129" s="22"/>
    </row>
    <row r="130" spans="1:8">
      <c r="A130" s="21"/>
      <c r="B130" s="22"/>
      <c r="C130" s="22"/>
      <c r="D130" s="22"/>
      <c r="E130" s="23" t="str">
        <f>IF($D130="","",IFERROR(VLOOKUP($D130,'ACAS Capital Tracker'!$A:$H,8,FALSE()),""))</f>
        <v/>
      </c>
      <c r="F130" s="24"/>
      <c r="G130" s="25" t="str">
        <f>IF($D130="","",IFERROR(VLOOKUP($D130,'ACAS Capital Tracker'!$A:$D,4,FALSE()),""))</f>
        <v/>
      </c>
      <c r="H130" s="22"/>
    </row>
    <row r="131" spans="1:8">
      <c r="A131" s="21"/>
      <c r="B131" s="22"/>
      <c r="C131" s="22"/>
      <c r="D131" s="22"/>
      <c r="E131" s="23" t="str">
        <f>IF($D131="","",IFERROR(VLOOKUP($D131,'ACAS Capital Tracker'!$A:$H,8,FALSE()),""))</f>
        <v/>
      </c>
      <c r="F131" s="24"/>
      <c r="G131" s="25" t="str">
        <f>IF($D131="","",IFERROR(VLOOKUP($D131,'ACAS Capital Tracker'!$A:$D,4,FALSE()),""))</f>
        <v/>
      </c>
      <c r="H131" s="22"/>
    </row>
    <row r="132" spans="1:8">
      <c r="A132" s="21"/>
      <c r="B132" s="22"/>
      <c r="C132" s="22"/>
      <c r="D132" s="22"/>
      <c r="E132" s="23" t="str">
        <f>IF($D132="","",IFERROR(VLOOKUP($D132,'ACAS Capital Tracker'!$A:$H,8,FALSE()),""))</f>
        <v/>
      </c>
      <c r="F132" s="24"/>
      <c r="G132" s="25" t="str">
        <f>IF($D132="","",IFERROR(VLOOKUP($D132,'ACAS Capital Tracker'!$A:$D,4,FALSE()),""))</f>
        <v/>
      </c>
      <c r="H132" s="22"/>
    </row>
    <row r="133" spans="1:8">
      <c r="A133" s="21"/>
      <c r="B133" s="22"/>
      <c r="C133" s="22"/>
      <c r="D133" s="22"/>
      <c r="E133" s="23" t="str">
        <f>IF($D133="","",IFERROR(VLOOKUP($D133,'ACAS Capital Tracker'!$A:$H,8,FALSE()),""))</f>
        <v/>
      </c>
      <c r="F133" s="24"/>
      <c r="G133" s="25" t="str">
        <f>IF($D133="","",IFERROR(VLOOKUP($D133,'ACAS Capital Tracker'!$A:$D,4,FALSE()),""))</f>
        <v/>
      </c>
      <c r="H133" s="22"/>
    </row>
    <row r="134" spans="1:8">
      <c r="A134" s="21"/>
      <c r="B134" s="22"/>
      <c r="C134" s="22"/>
      <c r="D134" s="22"/>
      <c r="E134" s="23" t="str">
        <f>IF($D134="","",IFERROR(VLOOKUP($D134,'ACAS Capital Tracker'!$A:$H,8,FALSE()),""))</f>
        <v/>
      </c>
      <c r="F134" s="24"/>
      <c r="G134" s="25" t="str">
        <f>IF($D134="","",IFERROR(VLOOKUP($D134,'ACAS Capital Tracker'!$A:$D,4,FALSE()),""))</f>
        <v/>
      </c>
      <c r="H134" s="22"/>
    </row>
    <row r="135" spans="1:8">
      <c r="A135" s="21"/>
      <c r="B135" s="22"/>
      <c r="C135" s="22"/>
      <c r="D135" s="22"/>
      <c r="E135" s="23" t="str">
        <f>IF($D135="","",IFERROR(VLOOKUP($D135,'ACAS Capital Tracker'!$A:$H,8,FALSE()),""))</f>
        <v/>
      </c>
      <c r="F135" s="24"/>
      <c r="G135" s="25" t="str">
        <f>IF($D135="","",IFERROR(VLOOKUP($D135,'ACAS Capital Tracker'!$A:$D,4,FALSE()),""))</f>
        <v/>
      </c>
      <c r="H135" s="22"/>
    </row>
    <row r="136" spans="1:8">
      <c r="A136" s="21"/>
      <c r="B136" s="22"/>
      <c r="C136" s="22"/>
      <c r="D136" s="22"/>
      <c r="E136" s="23" t="str">
        <f>IF($D136="","",IFERROR(VLOOKUP($D136,'ACAS Capital Tracker'!$A:$H,8,FALSE()),""))</f>
        <v/>
      </c>
      <c r="F136" s="24"/>
      <c r="G136" s="25" t="str">
        <f>IF($D136="","",IFERROR(VLOOKUP($D136,'ACAS Capital Tracker'!$A:$D,4,FALSE()),""))</f>
        <v/>
      </c>
      <c r="H136" s="22"/>
    </row>
    <row r="137" spans="1:8">
      <c r="A137" s="21"/>
      <c r="B137" s="22"/>
      <c r="C137" s="22"/>
      <c r="D137" s="22"/>
      <c r="E137" s="23" t="str">
        <f>IF($D137="","",IFERROR(VLOOKUP($D137,'ACAS Capital Tracker'!$A:$H,8,FALSE()),""))</f>
        <v/>
      </c>
      <c r="F137" s="24"/>
      <c r="G137" s="25" t="str">
        <f>IF($D137="","",IFERROR(VLOOKUP($D137,'ACAS Capital Tracker'!$A:$D,4,FALSE()),""))</f>
        <v/>
      </c>
      <c r="H137" s="22"/>
    </row>
    <row r="138" spans="1:8">
      <c r="A138" s="21"/>
      <c r="B138" s="22"/>
      <c r="C138" s="22"/>
      <c r="D138" s="22"/>
      <c r="E138" s="23" t="str">
        <f>IF($D138="","",IFERROR(VLOOKUP($D138,'ACAS Capital Tracker'!$A:$H,8,FALSE()),""))</f>
        <v/>
      </c>
      <c r="F138" s="24"/>
      <c r="G138" s="25" t="str">
        <f>IF($D138="","",IFERROR(VLOOKUP($D138,'ACAS Capital Tracker'!$A:$D,4,FALSE()),""))</f>
        <v/>
      </c>
      <c r="H138" s="22"/>
    </row>
    <row r="139" spans="1:8">
      <c r="A139" s="21"/>
      <c r="B139" s="22"/>
      <c r="C139" s="22"/>
      <c r="D139" s="22"/>
      <c r="E139" s="23" t="str">
        <f>IF($D139="","",IFERROR(VLOOKUP($D139,'ACAS Capital Tracker'!$A:$H,8,FALSE()),""))</f>
        <v/>
      </c>
      <c r="F139" s="24"/>
      <c r="G139" s="25" t="str">
        <f>IF($D139="","",IFERROR(VLOOKUP($D139,'ACAS Capital Tracker'!$A:$D,4,FALSE()),""))</f>
        <v/>
      </c>
      <c r="H139" s="22"/>
    </row>
    <row r="140" spans="1:8">
      <c r="A140" s="21"/>
      <c r="B140" s="22"/>
      <c r="C140" s="22"/>
      <c r="D140" s="22"/>
      <c r="E140" s="23" t="str">
        <f>IF($D140="","",IFERROR(VLOOKUP($D140,'ACAS Capital Tracker'!$A:$H,8,FALSE()),""))</f>
        <v/>
      </c>
      <c r="F140" s="24"/>
      <c r="G140" s="25" t="str">
        <f>IF($D140="","",IFERROR(VLOOKUP($D140,'ACAS Capital Tracker'!$A:$D,4,FALSE()),""))</f>
        <v/>
      </c>
      <c r="H140" s="22"/>
    </row>
    <row r="141" spans="1:8">
      <c r="A141" s="21"/>
      <c r="B141" s="22"/>
      <c r="C141" s="22"/>
      <c r="D141" s="22"/>
      <c r="E141" s="23" t="str">
        <f>IF($D141="","",IFERROR(VLOOKUP($D141,'ACAS Capital Tracker'!$A:$H,8,FALSE()),""))</f>
        <v/>
      </c>
      <c r="F141" s="24"/>
      <c r="G141" s="25" t="str">
        <f>IF($D141="","",IFERROR(VLOOKUP($D141,'ACAS Capital Tracker'!$A:$D,4,FALSE()),""))</f>
        <v/>
      </c>
      <c r="H141" s="22"/>
    </row>
    <row r="142" spans="1:8">
      <c r="A142" s="21"/>
      <c r="B142" s="22"/>
      <c r="C142" s="22"/>
      <c r="D142" s="22"/>
      <c r="E142" s="23" t="str">
        <f>IF($D142="","",IFERROR(VLOOKUP($D142,'ACAS Capital Tracker'!$A:$H,8,FALSE()),""))</f>
        <v/>
      </c>
      <c r="F142" s="24"/>
      <c r="G142" s="25" t="str">
        <f>IF($D142="","",IFERROR(VLOOKUP($D142,'ACAS Capital Tracker'!$A:$D,4,FALSE()),""))</f>
        <v/>
      </c>
      <c r="H142" s="22"/>
    </row>
    <row r="143" spans="1:8">
      <c r="A143" s="21"/>
      <c r="B143" s="22"/>
      <c r="C143" s="22"/>
      <c r="D143" s="22"/>
      <c r="E143" s="23" t="str">
        <f>IF($D143="","",IFERROR(VLOOKUP($D143,'ACAS Capital Tracker'!$A:$H,8,FALSE()),""))</f>
        <v/>
      </c>
      <c r="F143" s="24"/>
      <c r="G143" s="25" t="str">
        <f>IF($D143="","",IFERROR(VLOOKUP($D143,'ACAS Capital Tracker'!$A:$D,4,FALSE()),""))</f>
        <v/>
      </c>
      <c r="H143" s="22"/>
    </row>
    <row r="144" spans="1:8">
      <c r="A144" s="21"/>
      <c r="B144" s="22"/>
      <c r="C144" s="22"/>
      <c r="D144" s="22"/>
      <c r="E144" s="23" t="str">
        <f>IF($D144="","",IFERROR(VLOOKUP($D144,'ACAS Capital Tracker'!$A:$H,8,FALSE()),""))</f>
        <v/>
      </c>
      <c r="F144" s="24"/>
      <c r="G144" s="25" t="str">
        <f>IF($D144="","",IFERROR(VLOOKUP($D144,'ACAS Capital Tracker'!$A:$D,4,FALSE()),""))</f>
        <v/>
      </c>
      <c r="H144" s="22"/>
    </row>
    <row r="145" spans="1:8">
      <c r="A145" s="21"/>
      <c r="B145" s="22"/>
      <c r="C145" s="22"/>
      <c r="D145" s="22"/>
      <c r="E145" s="23" t="str">
        <f>IF($D145="","",IFERROR(VLOOKUP($D145,'ACAS Capital Tracker'!$A:$H,8,FALSE()),""))</f>
        <v/>
      </c>
      <c r="F145" s="24"/>
      <c r="G145" s="25" t="str">
        <f>IF($D145="","",IFERROR(VLOOKUP($D145,'ACAS Capital Tracker'!$A:$D,4,FALSE()),""))</f>
        <v/>
      </c>
      <c r="H145" s="22"/>
    </row>
    <row r="146" spans="1:8">
      <c r="A146" s="21"/>
      <c r="B146" s="22"/>
      <c r="C146" s="22"/>
      <c r="D146" s="22"/>
      <c r="E146" s="23" t="str">
        <f>IF($D146="","",IFERROR(VLOOKUP($D146,'ACAS Capital Tracker'!$A:$H,8,FALSE()),""))</f>
        <v/>
      </c>
      <c r="F146" s="24"/>
      <c r="G146" s="25" t="str">
        <f>IF($D146="","",IFERROR(VLOOKUP($D146,'ACAS Capital Tracker'!$A:$D,4,FALSE()),""))</f>
        <v/>
      </c>
      <c r="H146" s="22"/>
    </row>
    <row r="147" spans="1:8">
      <c r="A147" s="21"/>
      <c r="B147" s="22"/>
      <c r="C147" s="22"/>
      <c r="D147" s="22"/>
      <c r="E147" s="23" t="str">
        <f>IF($D147="","",IFERROR(VLOOKUP($D147,'ACAS Capital Tracker'!$A:$H,8,FALSE()),""))</f>
        <v/>
      </c>
      <c r="F147" s="24"/>
      <c r="G147" s="25" t="str">
        <f>IF($D147="","",IFERROR(VLOOKUP($D147,'ACAS Capital Tracker'!$A:$D,4,FALSE()),""))</f>
        <v/>
      </c>
      <c r="H147" s="22"/>
    </row>
    <row r="148" spans="1:8">
      <c r="A148" s="21"/>
      <c r="B148" s="22"/>
      <c r="C148" s="22"/>
      <c r="D148" s="22"/>
      <c r="E148" s="23" t="str">
        <f>IF($D148="","",IFERROR(VLOOKUP($D148,'ACAS Capital Tracker'!$A:$H,8,FALSE()),""))</f>
        <v/>
      </c>
      <c r="F148" s="24"/>
      <c r="G148" s="25" t="str">
        <f>IF($D148="","",IFERROR(VLOOKUP($D148,'ACAS Capital Tracker'!$A:$D,4,FALSE()),""))</f>
        <v/>
      </c>
      <c r="H148" s="22"/>
    </row>
    <row r="149" spans="1:8">
      <c r="A149" s="21"/>
      <c r="B149" s="22"/>
      <c r="C149" s="22"/>
      <c r="D149" s="22"/>
      <c r="E149" s="23" t="str">
        <f>IF($D149="","",IFERROR(VLOOKUP($D149,'ACAS Capital Tracker'!$A:$H,8,FALSE()),""))</f>
        <v/>
      </c>
      <c r="F149" s="24"/>
      <c r="G149" s="25" t="str">
        <f>IF($D149="","",IFERROR(VLOOKUP($D149,'ACAS Capital Tracker'!$A:$D,4,FALSE()),""))</f>
        <v/>
      </c>
      <c r="H149" s="22"/>
    </row>
    <row r="150" spans="1:8">
      <c r="A150" s="21"/>
      <c r="B150" s="22"/>
      <c r="C150" s="22"/>
      <c r="D150" s="22"/>
      <c r="E150" s="23" t="str">
        <f>IF($D150="","",IFERROR(VLOOKUP($D150,'ACAS Capital Tracker'!$A:$H,8,FALSE()),""))</f>
        <v/>
      </c>
      <c r="F150" s="24"/>
      <c r="G150" s="25" t="str">
        <f>IF($D150="","",IFERROR(VLOOKUP($D150,'ACAS Capital Tracker'!$A:$D,4,FALSE()),""))</f>
        <v/>
      </c>
      <c r="H150" s="22"/>
    </row>
    <row r="151" spans="1:8">
      <c r="A151" s="21"/>
      <c r="B151" s="22"/>
      <c r="C151" s="22"/>
      <c r="D151" s="22"/>
      <c r="E151" s="23" t="str">
        <f>IF($D151="","",IFERROR(VLOOKUP($D151,'ACAS Capital Tracker'!$A:$H,8,FALSE()),""))</f>
        <v/>
      </c>
      <c r="F151" s="24"/>
      <c r="G151" s="25" t="str">
        <f>IF($D151="","",IFERROR(VLOOKUP($D151,'ACAS Capital Tracker'!$A:$D,4,FALSE()),""))</f>
        <v/>
      </c>
      <c r="H151" s="22"/>
    </row>
    <row r="152" spans="1:8">
      <c r="A152" s="21"/>
      <c r="B152" s="22"/>
      <c r="C152" s="22"/>
      <c r="D152" s="22"/>
      <c r="E152" s="23" t="str">
        <f>IF($D152="","",IFERROR(VLOOKUP($D152,'ACAS Capital Tracker'!$A:$H,8,FALSE()),""))</f>
        <v/>
      </c>
      <c r="F152" s="24"/>
      <c r="G152" s="25" t="str">
        <f>IF($D152="","",IFERROR(VLOOKUP($D152,'ACAS Capital Tracker'!$A:$D,4,FALSE()),""))</f>
        <v/>
      </c>
      <c r="H152" s="22"/>
    </row>
    <row r="153" spans="1:8">
      <c r="A153" s="21"/>
      <c r="B153" s="22"/>
      <c r="C153" s="22"/>
      <c r="D153" s="22"/>
      <c r="E153" s="23" t="str">
        <f>IF($D153="","",IFERROR(VLOOKUP($D153,'ACAS Capital Tracker'!$A:$H,8,FALSE()),""))</f>
        <v/>
      </c>
      <c r="F153" s="24"/>
      <c r="G153" s="25" t="str">
        <f>IF($D153="","",IFERROR(VLOOKUP($D153,'ACAS Capital Tracker'!$A:$D,4,FALSE()),""))</f>
        <v/>
      </c>
      <c r="H153" s="22"/>
    </row>
    <row r="154" spans="1:8">
      <c r="A154" s="21"/>
      <c r="B154" s="22"/>
      <c r="C154" s="22"/>
      <c r="D154" s="22"/>
      <c r="E154" s="23" t="str">
        <f>IF($D154="","",IFERROR(VLOOKUP($D154,'ACAS Capital Tracker'!$A:$H,8,FALSE()),""))</f>
        <v/>
      </c>
      <c r="F154" s="24"/>
      <c r="G154" s="25" t="str">
        <f>IF($D154="","",IFERROR(VLOOKUP($D154,'ACAS Capital Tracker'!$A:$D,4,FALSE()),""))</f>
        <v/>
      </c>
      <c r="H154" s="22"/>
    </row>
    <row r="155" spans="1:8">
      <c r="A155" s="21"/>
      <c r="B155" s="22"/>
      <c r="C155" s="22"/>
      <c r="D155" s="22"/>
      <c r="E155" s="23" t="str">
        <f>IF($D155="","",IFERROR(VLOOKUP($D155,'ACAS Capital Tracker'!$A:$H,8,FALSE()),""))</f>
        <v/>
      </c>
      <c r="F155" s="24"/>
      <c r="G155" s="25" t="str">
        <f>IF($D155="","",IFERROR(VLOOKUP($D155,'ACAS Capital Tracker'!$A:$D,4,FALSE()),""))</f>
        <v/>
      </c>
      <c r="H155" s="22"/>
    </row>
    <row r="156" spans="1:8">
      <c r="A156" s="21"/>
      <c r="B156" s="22"/>
      <c r="C156" s="22"/>
      <c r="D156" s="22"/>
      <c r="E156" s="23" t="str">
        <f>IF($D156="","",IFERROR(VLOOKUP($D156,'ACAS Capital Tracker'!$A:$H,8,FALSE()),""))</f>
        <v/>
      </c>
      <c r="F156" s="24"/>
      <c r="G156" s="25" t="str">
        <f>IF($D156="","",IFERROR(VLOOKUP($D156,'ACAS Capital Tracker'!$A:$D,4,FALSE()),""))</f>
        <v/>
      </c>
      <c r="H156" s="22"/>
    </row>
    <row r="157" spans="1:8">
      <c r="A157" s="21"/>
      <c r="B157" s="22"/>
      <c r="C157" s="22"/>
      <c r="D157" s="22"/>
      <c r="E157" s="23" t="str">
        <f>IF($D157="","",IFERROR(VLOOKUP($D157,'ACAS Capital Tracker'!$A:$H,8,FALSE()),""))</f>
        <v/>
      </c>
      <c r="F157" s="24"/>
      <c r="G157" s="25" t="str">
        <f>IF($D157="","",IFERROR(VLOOKUP($D157,'ACAS Capital Tracker'!$A:$D,4,FALSE()),""))</f>
        <v/>
      </c>
      <c r="H157" s="22"/>
    </row>
    <row r="158" spans="1:8">
      <c r="A158" s="21"/>
      <c r="B158" s="22"/>
      <c r="C158" s="22"/>
      <c r="D158" s="22"/>
      <c r="E158" s="23" t="str">
        <f>IF($D158="","",IFERROR(VLOOKUP($D158,'ACAS Capital Tracker'!$A:$H,8,FALSE()),""))</f>
        <v/>
      </c>
      <c r="F158" s="24"/>
      <c r="G158" s="25" t="str">
        <f>IF($D158="","",IFERROR(VLOOKUP($D158,'ACAS Capital Tracker'!$A:$D,4,FALSE()),""))</f>
        <v/>
      </c>
      <c r="H158" s="22"/>
    </row>
    <row r="159" spans="1:8">
      <c r="A159" s="21"/>
      <c r="B159" s="22"/>
      <c r="C159" s="22"/>
      <c r="D159" s="22"/>
      <c r="E159" s="23" t="str">
        <f>IF($D159="","",IFERROR(VLOOKUP($D159,'ACAS Capital Tracker'!$A:$H,8,FALSE()),""))</f>
        <v/>
      </c>
      <c r="F159" s="24"/>
      <c r="G159" s="25" t="str">
        <f>IF($D159="","",IFERROR(VLOOKUP($D159,'ACAS Capital Tracker'!$A:$D,4,FALSE()),""))</f>
        <v/>
      </c>
      <c r="H159" s="22"/>
    </row>
    <row r="160" spans="1:8">
      <c r="A160" s="21"/>
      <c r="B160" s="22"/>
      <c r="C160" s="22"/>
      <c r="D160" s="22"/>
      <c r="E160" s="23" t="str">
        <f>IF($D160="","",IFERROR(VLOOKUP($D160,'ACAS Capital Tracker'!$A:$H,8,FALSE()),""))</f>
        <v/>
      </c>
      <c r="F160" s="24"/>
      <c r="G160" s="25" t="str">
        <f>IF($D160="","",IFERROR(VLOOKUP($D160,'ACAS Capital Tracker'!$A:$D,4,FALSE()),""))</f>
        <v/>
      </c>
      <c r="H160" s="22"/>
    </row>
    <row r="161" spans="1:8">
      <c r="A161" s="21"/>
      <c r="B161" s="22"/>
      <c r="C161" s="22"/>
      <c r="D161" s="22"/>
      <c r="E161" s="23" t="str">
        <f>IF($D161="","",IFERROR(VLOOKUP($D161,'ACAS Capital Tracker'!$A:$H,8,FALSE()),""))</f>
        <v/>
      </c>
      <c r="F161" s="24"/>
      <c r="G161" s="25" t="str">
        <f>IF($D161="","",IFERROR(VLOOKUP($D161,'ACAS Capital Tracker'!$A:$D,4,FALSE()),""))</f>
        <v/>
      </c>
      <c r="H161" s="22"/>
    </row>
    <row r="162" spans="1:8">
      <c r="A162" s="21"/>
      <c r="B162" s="22"/>
      <c r="C162" s="22"/>
      <c r="D162" s="22"/>
      <c r="E162" s="23" t="str">
        <f>IF($D162="","",IFERROR(VLOOKUP($D162,'ACAS Capital Tracker'!$A:$H,8,FALSE()),""))</f>
        <v/>
      </c>
      <c r="F162" s="24"/>
      <c r="G162" s="25" t="str">
        <f>IF($D162="","",IFERROR(VLOOKUP($D162,'ACAS Capital Tracker'!$A:$D,4,FALSE()),""))</f>
        <v/>
      </c>
      <c r="H162" s="22"/>
    </row>
    <row r="163" spans="1:8">
      <c r="A163" s="21"/>
      <c r="B163" s="22"/>
      <c r="C163" s="22"/>
      <c r="D163" s="22"/>
      <c r="E163" s="23" t="str">
        <f>IF($D163="","",IFERROR(VLOOKUP($D163,'ACAS Capital Tracker'!$A:$H,8,FALSE()),""))</f>
        <v/>
      </c>
      <c r="F163" s="24"/>
      <c r="G163" s="25" t="str">
        <f>IF($D163="","",IFERROR(VLOOKUP($D163,'ACAS Capital Tracker'!$A:$D,4,FALSE()),""))</f>
        <v/>
      </c>
      <c r="H163" s="22"/>
    </row>
    <row r="164" spans="1:8">
      <c r="A164" s="21"/>
      <c r="B164" s="22"/>
      <c r="C164" s="22"/>
      <c r="D164" s="22"/>
      <c r="E164" s="23" t="str">
        <f>IF($D164="","",IFERROR(VLOOKUP($D164,'ACAS Capital Tracker'!$A:$H,8,FALSE()),""))</f>
        <v/>
      </c>
      <c r="F164" s="24"/>
      <c r="G164" s="25" t="str">
        <f>IF($D164="","",IFERROR(VLOOKUP($D164,'ACAS Capital Tracker'!$A:$D,4,FALSE()),""))</f>
        <v/>
      </c>
      <c r="H164" s="22"/>
    </row>
    <row r="165" spans="1:8">
      <c r="A165" s="21"/>
      <c r="B165" s="22"/>
      <c r="C165" s="22"/>
      <c r="D165" s="22"/>
      <c r="E165" s="23" t="str">
        <f>IF($D165="","",IFERROR(VLOOKUP($D165,'ACAS Capital Tracker'!$A:$H,8,FALSE()),""))</f>
        <v/>
      </c>
      <c r="F165" s="24"/>
      <c r="G165" s="25" t="str">
        <f>IF($D165="","",IFERROR(VLOOKUP($D165,'ACAS Capital Tracker'!$A:$D,4,FALSE()),""))</f>
        <v/>
      </c>
      <c r="H165" s="22"/>
    </row>
    <row r="166" spans="1:8">
      <c r="A166" s="21"/>
      <c r="B166" s="22"/>
      <c r="C166" s="22"/>
      <c r="D166" s="22"/>
      <c r="E166" s="23" t="str">
        <f>IF($D166="","",IFERROR(VLOOKUP($D166,'ACAS Capital Tracker'!$A:$H,8,FALSE()),""))</f>
        <v/>
      </c>
      <c r="F166" s="24"/>
      <c r="G166" s="25" t="str">
        <f>IF($D166="","",IFERROR(VLOOKUP($D166,'ACAS Capital Tracker'!$A:$D,4,FALSE()),""))</f>
        <v/>
      </c>
      <c r="H166" s="22"/>
    </row>
    <row r="167" spans="1:8">
      <c r="A167" s="21"/>
      <c r="B167" s="22"/>
      <c r="C167" s="22"/>
      <c r="D167" s="22"/>
      <c r="E167" s="23" t="str">
        <f>IF($D167="","",IFERROR(VLOOKUP($D167,'ACAS Capital Tracker'!$A:$H,8,FALSE()),""))</f>
        <v/>
      </c>
      <c r="F167" s="24"/>
      <c r="G167" s="25" t="str">
        <f>IF($D167="","",IFERROR(VLOOKUP($D167,'ACAS Capital Tracker'!$A:$D,4,FALSE()),""))</f>
        <v/>
      </c>
      <c r="H167" s="22"/>
    </row>
    <row r="168" spans="1:8">
      <c r="A168" s="21"/>
      <c r="B168" s="22"/>
      <c r="C168" s="22"/>
      <c r="D168" s="22"/>
      <c r="E168" s="23" t="str">
        <f>IF($D168="","",IFERROR(VLOOKUP($D168,'ACAS Capital Tracker'!$A:$H,8,FALSE()),""))</f>
        <v/>
      </c>
      <c r="F168" s="24"/>
      <c r="G168" s="25" t="str">
        <f>IF($D168="","",IFERROR(VLOOKUP($D168,'ACAS Capital Tracker'!$A:$D,4,FALSE()),""))</f>
        <v/>
      </c>
      <c r="H168" s="22"/>
    </row>
    <row r="169" spans="1:8">
      <c r="A169" s="21"/>
      <c r="B169" s="22"/>
      <c r="C169" s="22"/>
      <c r="D169" s="22"/>
      <c r="E169" s="23" t="str">
        <f>IF($D169="","",IFERROR(VLOOKUP($D169,'ACAS Capital Tracker'!$A:$H,8,FALSE()),""))</f>
        <v/>
      </c>
      <c r="F169" s="24"/>
      <c r="G169" s="25" t="str">
        <f>IF($D169="","",IFERROR(VLOOKUP($D169,'ACAS Capital Tracker'!$A:$D,4,FALSE()),""))</f>
        <v/>
      </c>
      <c r="H169" s="22"/>
    </row>
    <row r="170" spans="1:8">
      <c r="A170" s="21"/>
      <c r="B170" s="22"/>
      <c r="C170" s="22"/>
      <c r="D170" s="22"/>
      <c r="E170" s="23" t="str">
        <f>IF($D170="","",IFERROR(VLOOKUP($D170,'ACAS Capital Tracker'!$A:$H,8,FALSE()),""))</f>
        <v/>
      </c>
      <c r="F170" s="24"/>
      <c r="G170" s="25" t="str">
        <f>IF($D170="","",IFERROR(VLOOKUP($D170,'ACAS Capital Tracker'!$A:$D,4,FALSE()),""))</f>
        <v/>
      </c>
      <c r="H170" s="22"/>
    </row>
    <row r="171" spans="1:8">
      <c r="A171" s="21"/>
      <c r="B171" s="22"/>
      <c r="C171" s="22"/>
      <c r="D171" s="22"/>
      <c r="E171" s="23" t="str">
        <f>IF($D171="","",IFERROR(VLOOKUP($D171,'ACAS Capital Tracker'!$A:$H,8,FALSE()),""))</f>
        <v/>
      </c>
      <c r="F171" s="24"/>
      <c r="G171" s="25" t="str">
        <f>IF($D171="","",IFERROR(VLOOKUP($D171,'ACAS Capital Tracker'!$A:$D,4,FALSE()),""))</f>
        <v/>
      </c>
      <c r="H171" s="22"/>
    </row>
    <row r="172" spans="1:8">
      <c r="A172" s="21"/>
      <c r="B172" s="22"/>
      <c r="C172" s="22"/>
      <c r="D172" s="22"/>
      <c r="E172" s="23" t="str">
        <f>IF($D172="","",IFERROR(VLOOKUP($D172,'ACAS Capital Tracker'!$A:$H,8,FALSE()),""))</f>
        <v/>
      </c>
      <c r="F172" s="24"/>
      <c r="G172" s="25" t="str">
        <f>IF($D172="","",IFERROR(VLOOKUP($D172,'ACAS Capital Tracker'!$A:$D,4,FALSE()),""))</f>
        <v/>
      </c>
      <c r="H172" s="22"/>
    </row>
    <row r="173" spans="1:8">
      <c r="A173" s="21"/>
      <c r="B173" s="22"/>
      <c r="C173" s="22"/>
      <c r="D173" s="22"/>
      <c r="E173" s="23" t="str">
        <f>IF($D173="","",IFERROR(VLOOKUP($D173,'ACAS Capital Tracker'!$A:$H,8,FALSE()),""))</f>
        <v/>
      </c>
      <c r="F173" s="24"/>
      <c r="G173" s="25" t="str">
        <f>IF($D173="","",IFERROR(VLOOKUP($D173,'ACAS Capital Tracker'!$A:$D,4,FALSE()),""))</f>
        <v/>
      </c>
      <c r="H173" s="22"/>
    </row>
    <row r="174" spans="1:8">
      <c r="A174" s="21"/>
      <c r="B174" s="22"/>
      <c r="C174" s="22"/>
      <c r="D174" s="22"/>
      <c r="E174" s="23" t="str">
        <f>IF($D174="","",IFERROR(VLOOKUP($D174,'ACAS Capital Tracker'!$A:$H,8,FALSE()),""))</f>
        <v/>
      </c>
      <c r="F174" s="24"/>
      <c r="G174" s="25" t="str">
        <f>IF($D174="","",IFERROR(VLOOKUP($D174,'ACAS Capital Tracker'!$A:$D,4,FALSE()),""))</f>
        <v/>
      </c>
      <c r="H174" s="22"/>
    </row>
    <row r="175" spans="1:8">
      <c r="A175" s="21"/>
      <c r="B175" s="22"/>
      <c r="C175" s="22"/>
      <c r="D175" s="22"/>
      <c r="E175" s="23" t="str">
        <f>IF($D175="","",IFERROR(VLOOKUP($D175,'ACAS Capital Tracker'!$A:$H,8,FALSE()),""))</f>
        <v/>
      </c>
      <c r="F175" s="24"/>
      <c r="G175" s="25" t="str">
        <f>IF($D175="","",IFERROR(VLOOKUP($D175,'ACAS Capital Tracker'!$A:$D,4,FALSE()),""))</f>
        <v/>
      </c>
      <c r="H175" s="22"/>
    </row>
    <row r="176" spans="1:8">
      <c r="A176" s="21"/>
      <c r="B176" s="22"/>
      <c r="C176" s="22"/>
      <c r="D176" s="22"/>
      <c r="E176" s="23" t="str">
        <f>IF($D176="","",IFERROR(VLOOKUP($D176,'ACAS Capital Tracker'!$A:$H,8,FALSE()),""))</f>
        <v/>
      </c>
      <c r="F176" s="24"/>
      <c r="G176" s="25" t="str">
        <f>IF($D176="","",IFERROR(VLOOKUP($D176,'ACAS Capital Tracker'!$A:$D,4,FALSE()),""))</f>
        <v/>
      </c>
      <c r="H176" s="22"/>
    </row>
    <row r="177" spans="1:8">
      <c r="A177" s="21"/>
      <c r="B177" s="22"/>
      <c r="C177" s="22"/>
      <c r="D177" s="22"/>
      <c r="E177" s="23" t="str">
        <f>IF($D177="","",IFERROR(VLOOKUP($D177,'ACAS Capital Tracker'!$A:$H,8,FALSE()),""))</f>
        <v/>
      </c>
      <c r="F177" s="24"/>
      <c r="G177" s="25" t="str">
        <f>IF($D177="","",IFERROR(VLOOKUP($D177,'ACAS Capital Tracker'!$A:$D,4,FALSE()),""))</f>
        <v/>
      </c>
      <c r="H177" s="22"/>
    </row>
    <row r="178" spans="1:8">
      <c r="A178" s="21"/>
      <c r="B178" s="22"/>
      <c r="C178" s="22"/>
      <c r="D178" s="22"/>
      <c r="E178" s="23" t="str">
        <f>IF($D178="","",IFERROR(VLOOKUP($D178,'ACAS Capital Tracker'!$A:$H,8,FALSE()),""))</f>
        <v/>
      </c>
      <c r="F178" s="24"/>
      <c r="G178" s="25" t="str">
        <f>IF($D178="","",IFERROR(VLOOKUP($D178,'ACAS Capital Tracker'!$A:$D,4,FALSE()),""))</f>
        <v/>
      </c>
      <c r="H178" s="22"/>
    </row>
    <row r="179" spans="1:8">
      <c r="A179" s="21"/>
      <c r="B179" s="22"/>
      <c r="C179" s="22"/>
      <c r="D179" s="22"/>
      <c r="E179" s="23" t="str">
        <f>IF($D179="","",IFERROR(VLOOKUP($D179,'ACAS Capital Tracker'!$A:$H,8,FALSE()),""))</f>
        <v/>
      </c>
      <c r="F179" s="24"/>
      <c r="G179" s="25" t="str">
        <f>IF($D179="","",IFERROR(VLOOKUP($D179,'ACAS Capital Tracker'!$A:$D,4,FALSE()),""))</f>
        <v/>
      </c>
      <c r="H179" s="22"/>
    </row>
    <row r="180" spans="1:8">
      <c r="A180" s="21"/>
      <c r="B180" s="22"/>
      <c r="C180" s="22"/>
      <c r="D180" s="22"/>
      <c r="E180" s="23" t="str">
        <f>IF($D180="","",IFERROR(VLOOKUP($D180,'ACAS Capital Tracker'!$A:$H,8,FALSE()),""))</f>
        <v/>
      </c>
      <c r="F180" s="24"/>
      <c r="G180" s="25" t="str">
        <f>IF($D180="","",IFERROR(VLOOKUP($D180,'ACAS Capital Tracker'!$A:$D,4,FALSE()),""))</f>
        <v/>
      </c>
      <c r="H180" s="22"/>
    </row>
    <row r="181" spans="1:8">
      <c r="A181" s="21"/>
      <c r="B181" s="22"/>
      <c r="C181" s="22"/>
      <c r="D181" s="22"/>
      <c r="E181" s="23" t="str">
        <f>IF($D181="","",IFERROR(VLOOKUP($D181,'ACAS Capital Tracker'!$A:$H,8,FALSE()),""))</f>
        <v/>
      </c>
      <c r="F181" s="24"/>
      <c r="G181" s="25" t="str">
        <f>IF($D181="","",IFERROR(VLOOKUP($D181,'ACAS Capital Tracker'!$A:$D,4,FALSE()),""))</f>
        <v/>
      </c>
      <c r="H181" s="22"/>
    </row>
    <row r="182" spans="1:8">
      <c r="A182" s="21"/>
      <c r="B182" s="22"/>
      <c r="C182" s="22"/>
      <c r="D182" s="22"/>
      <c r="E182" s="23" t="str">
        <f>IF($D182="","",IFERROR(VLOOKUP($D182,'ACAS Capital Tracker'!$A:$H,8,FALSE()),""))</f>
        <v/>
      </c>
      <c r="F182" s="24"/>
      <c r="G182" s="25" t="str">
        <f>IF($D182="","",IFERROR(VLOOKUP($D182,'ACAS Capital Tracker'!$A:$D,4,FALSE()),""))</f>
        <v/>
      </c>
      <c r="H182" s="22"/>
    </row>
    <row r="183" spans="1:8">
      <c r="A183" s="21"/>
      <c r="B183" s="22"/>
      <c r="C183" s="22"/>
      <c r="D183" s="22"/>
      <c r="E183" s="23" t="str">
        <f>IF($D183="","",IFERROR(VLOOKUP($D183,'ACAS Capital Tracker'!$A:$H,8,FALSE()),""))</f>
        <v/>
      </c>
      <c r="F183" s="24"/>
      <c r="G183" s="25" t="str">
        <f>IF($D183="","",IFERROR(VLOOKUP($D183,'ACAS Capital Tracker'!$A:$D,4,FALSE()),""))</f>
        <v/>
      </c>
      <c r="H183" s="22"/>
    </row>
    <row r="184" spans="1:8">
      <c r="A184" s="21"/>
      <c r="B184" s="22"/>
      <c r="C184" s="22"/>
      <c r="D184" s="22"/>
      <c r="E184" s="23" t="str">
        <f>IF($D184="","",IFERROR(VLOOKUP($D184,'ACAS Capital Tracker'!$A:$H,8,FALSE()),""))</f>
        <v/>
      </c>
      <c r="F184" s="24"/>
      <c r="G184" s="25" t="str">
        <f>IF($D184="","",IFERROR(VLOOKUP($D184,'ACAS Capital Tracker'!$A:$D,4,FALSE()),""))</f>
        <v/>
      </c>
      <c r="H184" s="22"/>
    </row>
    <row r="185" spans="1:8">
      <c r="A185" s="21"/>
      <c r="B185" s="22"/>
      <c r="C185" s="22"/>
      <c r="D185" s="22"/>
      <c r="E185" s="23" t="str">
        <f>IF($D185="","",IFERROR(VLOOKUP($D185,'ACAS Capital Tracker'!$A:$H,8,FALSE()),""))</f>
        <v/>
      </c>
      <c r="F185" s="24"/>
      <c r="G185" s="25" t="str">
        <f>IF($D185="","",IFERROR(VLOOKUP($D185,'ACAS Capital Tracker'!$A:$D,4,FALSE()),""))</f>
        <v/>
      </c>
      <c r="H185" s="22"/>
    </row>
    <row r="186" spans="1:8">
      <c r="A186" s="21"/>
      <c r="B186" s="22"/>
      <c r="C186" s="22"/>
      <c r="D186" s="22"/>
      <c r="E186" s="23" t="str">
        <f>IF($D186="","",IFERROR(VLOOKUP($D186,'ACAS Capital Tracker'!$A:$H,8,FALSE()),""))</f>
        <v/>
      </c>
      <c r="F186" s="24"/>
      <c r="G186" s="25" t="str">
        <f>IF($D186="","",IFERROR(VLOOKUP($D186,'ACAS Capital Tracker'!$A:$D,4,FALSE()),""))</f>
        <v/>
      </c>
      <c r="H186" s="22"/>
    </row>
    <row r="187" spans="1:8">
      <c r="A187" s="21"/>
      <c r="B187" s="22"/>
      <c r="C187" s="22"/>
      <c r="D187" s="22"/>
      <c r="E187" s="23" t="str">
        <f>IF($D187="","",IFERROR(VLOOKUP($D187,'ACAS Capital Tracker'!$A:$H,8,FALSE()),""))</f>
        <v/>
      </c>
      <c r="F187" s="24"/>
      <c r="G187" s="25" t="str">
        <f>IF($D187="","",IFERROR(VLOOKUP($D187,'ACAS Capital Tracker'!$A:$D,4,FALSE()),""))</f>
        <v/>
      </c>
      <c r="H187" s="22"/>
    </row>
    <row r="188" spans="1:8">
      <c r="A188" s="21"/>
      <c r="B188" s="22"/>
      <c r="C188" s="22"/>
      <c r="D188" s="22"/>
      <c r="E188" s="23" t="str">
        <f>IF($D188="","",IFERROR(VLOOKUP($D188,'ACAS Capital Tracker'!$A:$H,8,FALSE()),""))</f>
        <v/>
      </c>
      <c r="F188" s="24"/>
      <c r="G188" s="25" t="str">
        <f>IF($D188="","",IFERROR(VLOOKUP($D188,'ACAS Capital Tracker'!$A:$D,4,FALSE()),""))</f>
        <v/>
      </c>
      <c r="H188" s="22"/>
    </row>
    <row r="189" spans="1:8">
      <c r="A189" s="21"/>
      <c r="B189" s="22"/>
      <c r="C189" s="22"/>
      <c r="D189" s="22"/>
      <c r="E189" s="23" t="str">
        <f>IF($D189="","",IFERROR(VLOOKUP($D189,'ACAS Capital Tracker'!$A:$H,8,FALSE()),""))</f>
        <v/>
      </c>
      <c r="F189" s="24"/>
      <c r="G189" s="25" t="str">
        <f>IF($D189="","",IFERROR(VLOOKUP($D189,'ACAS Capital Tracker'!$A:$D,4,FALSE()),""))</f>
        <v/>
      </c>
      <c r="H189" s="22"/>
    </row>
    <row r="190" spans="1:8">
      <c r="A190" s="21"/>
      <c r="B190" s="22"/>
      <c r="C190" s="22"/>
      <c r="D190" s="22"/>
      <c r="E190" s="23" t="str">
        <f>IF($D190="","",IFERROR(VLOOKUP($D190,'ACAS Capital Tracker'!$A:$H,8,FALSE()),""))</f>
        <v/>
      </c>
      <c r="F190" s="24"/>
      <c r="G190" s="25" t="str">
        <f>IF($D190="","",IFERROR(VLOOKUP($D190,'ACAS Capital Tracker'!$A:$D,4,FALSE()),""))</f>
        <v/>
      </c>
      <c r="H190" s="22"/>
    </row>
    <row r="191" spans="1:8">
      <c r="A191" s="21"/>
      <c r="B191" s="22"/>
      <c r="C191" s="22"/>
      <c r="D191" s="22"/>
      <c r="E191" s="23" t="str">
        <f>IF($D191="","",IFERROR(VLOOKUP($D191,'ACAS Capital Tracker'!$A:$H,8,FALSE()),""))</f>
        <v/>
      </c>
      <c r="F191" s="24"/>
      <c r="G191" s="25" t="str">
        <f>IF($D191="","",IFERROR(VLOOKUP($D191,'ACAS Capital Tracker'!$A:$D,4,FALSE()),""))</f>
        <v/>
      </c>
      <c r="H191" s="22"/>
    </row>
    <row r="192" spans="1:8">
      <c r="A192" s="21"/>
      <c r="B192" s="22"/>
      <c r="C192" s="22"/>
      <c r="D192" s="22"/>
      <c r="E192" s="23" t="str">
        <f>IF($D192="","",IFERROR(VLOOKUP($D192,'ACAS Capital Tracker'!$A:$H,8,FALSE()),""))</f>
        <v/>
      </c>
      <c r="F192" s="24"/>
      <c r="G192" s="25" t="str">
        <f>IF($D192="","",IFERROR(VLOOKUP($D192,'ACAS Capital Tracker'!$A:$D,4,FALSE()),""))</f>
        <v/>
      </c>
      <c r="H192" s="22"/>
    </row>
    <row r="193" spans="1:8">
      <c r="A193" s="21"/>
      <c r="B193" s="22"/>
      <c r="C193" s="22"/>
      <c r="D193" s="22"/>
      <c r="E193" s="23" t="str">
        <f>IF($D193="","",IFERROR(VLOOKUP($D193,'ACAS Capital Tracker'!$A:$H,8,FALSE()),""))</f>
        <v/>
      </c>
      <c r="F193" s="24"/>
      <c r="G193" s="25" t="str">
        <f>IF($D193="","",IFERROR(VLOOKUP($D193,'ACAS Capital Tracker'!$A:$D,4,FALSE()),""))</f>
        <v/>
      </c>
      <c r="H193" s="22"/>
    </row>
    <row r="194" spans="1:8">
      <c r="A194" s="21"/>
      <c r="B194" s="22"/>
      <c r="C194" s="22"/>
      <c r="D194" s="22"/>
      <c r="E194" s="23" t="str">
        <f>IF($D194="","",IFERROR(VLOOKUP($D194,'ACAS Capital Tracker'!$A:$H,8,FALSE()),""))</f>
        <v/>
      </c>
      <c r="F194" s="24"/>
      <c r="G194" s="25" t="str">
        <f>IF($D194="","",IFERROR(VLOOKUP($D194,'ACAS Capital Tracker'!$A:$D,4,FALSE()),""))</f>
        <v/>
      </c>
      <c r="H194" s="22"/>
    </row>
    <row r="195" spans="1:8">
      <c r="A195" s="21"/>
      <c r="B195" s="22"/>
      <c r="C195" s="22"/>
      <c r="D195" s="22"/>
      <c r="E195" s="23" t="str">
        <f>IF($D195="","",IFERROR(VLOOKUP($D195,'ACAS Capital Tracker'!$A:$H,8,FALSE()),""))</f>
        <v/>
      </c>
      <c r="F195" s="24"/>
      <c r="G195" s="25" t="str">
        <f>IF($D195="","",IFERROR(VLOOKUP($D195,'ACAS Capital Tracker'!$A:$D,4,FALSE()),""))</f>
        <v/>
      </c>
      <c r="H195" s="22"/>
    </row>
    <row r="196" spans="1:8">
      <c r="A196" s="21"/>
      <c r="B196" s="22"/>
      <c r="C196" s="22"/>
      <c r="D196" s="22"/>
      <c r="E196" s="23" t="str">
        <f>IF($D196="","",IFERROR(VLOOKUP($D196,'ACAS Capital Tracker'!$A:$H,8,FALSE()),""))</f>
        <v/>
      </c>
      <c r="F196" s="24"/>
      <c r="G196" s="25" t="str">
        <f>IF($D196="","",IFERROR(VLOOKUP($D196,'ACAS Capital Tracker'!$A:$D,4,FALSE()),""))</f>
        <v/>
      </c>
      <c r="H196" s="22"/>
    </row>
    <row r="197" spans="1:8">
      <c r="A197" s="21"/>
      <c r="B197" s="22"/>
      <c r="C197" s="22"/>
      <c r="D197" s="22"/>
      <c r="E197" s="23" t="str">
        <f>IF($D197="","",IFERROR(VLOOKUP($D197,'ACAS Capital Tracker'!$A:$H,8,FALSE()),""))</f>
        <v/>
      </c>
      <c r="F197" s="24"/>
      <c r="G197" s="25" t="str">
        <f>IF($D197="","",IFERROR(VLOOKUP($D197,'ACAS Capital Tracker'!$A:$D,4,FALSE()),""))</f>
        <v/>
      </c>
      <c r="H197" s="22"/>
    </row>
    <row r="198" spans="1:8">
      <c r="A198" s="21"/>
      <c r="B198" s="22"/>
      <c r="C198" s="22"/>
      <c r="D198" s="22"/>
      <c r="E198" s="23" t="str">
        <f>IF($D198="","",IFERROR(VLOOKUP($D198,'ACAS Capital Tracker'!$A:$H,8,FALSE()),""))</f>
        <v/>
      </c>
      <c r="F198" s="24"/>
      <c r="G198" s="25" t="str">
        <f>IF($D198="","",IFERROR(VLOOKUP($D198,'ACAS Capital Tracker'!$A:$D,4,FALSE()),""))</f>
        <v/>
      </c>
      <c r="H198" s="22"/>
    </row>
    <row r="199" spans="1:8">
      <c r="A199" s="21"/>
      <c r="B199" s="22"/>
      <c r="C199" s="22"/>
      <c r="D199" s="22"/>
      <c r="E199" s="23" t="str">
        <f>IF($D199="","",IFERROR(VLOOKUP($D199,'ACAS Capital Tracker'!$A:$H,8,FALSE()),""))</f>
        <v/>
      </c>
      <c r="F199" s="24"/>
      <c r="G199" s="25" t="str">
        <f>IF($D199="","",IFERROR(VLOOKUP($D199,'ACAS Capital Tracker'!$A:$D,4,FALSE()),""))</f>
        <v/>
      </c>
      <c r="H199" s="22"/>
    </row>
    <row r="200" spans="1:8">
      <c r="A200" s="21"/>
      <c r="B200" s="22"/>
      <c r="C200" s="22"/>
      <c r="D200" s="22"/>
      <c r="E200" s="23" t="str">
        <f>IF($D200="","",IFERROR(VLOOKUP($D200,'ACAS Capital Tracker'!$A:$H,8,FALSE()),""))</f>
        <v/>
      </c>
      <c r="F200" s="24"/>
      <c r="G200" s="25" t="str">
        <f>IF($D200="","",IFERROR(VLOOKUP($D200,'ACAS Capital Tracker'!$A:$D,4,FALSE()),""))</f>
        <v/>
      </c>
      <c r="H200" s="22"/>
    </row>
    <row r="201" spans="1:8">
      <c r="A201" s="21"/>
      <c r="B201" s="22"/>
      <c r="C201" s="22"/>
      <c r="D201" s="22"/>
      <c r="E201" s="23" t="str">
        <f>IF($D201="","",IFERROR(VLOOKUP($D201,'ACAS Capital Tracker'!$A:$H,8,FALSE()),""))</f>
        <v/>
      </c>
      <c r="F201" s="24"/>
      <c r="G201" s="25" t="str">
        <f>IF($D201="","",IFERROR(VLOOKUP($D201,'ACAS Capital Tracker'!$A:$D,4,FALSE()),""))</f>
        <v/>
      </c>
      <c r="H201" s="22"/>
    </row>
    <row r="202" spans="1:8">
      <c r="A202" s="21"/>
      <c r="B202" s="22"/>
      <c r="C202" s="22"/>
      <c r="D202" s="22"/>
      <c r="E202" s="23" t="str">
        <f>IF($D202="","",IFERROR(VLOOKUP($D202,'ACAS Capital Tracker'!$A:$H,8,FALSE()),""))</f>
        <v/>
      </c>
      <c r="F202" s="24"/>
      <c r="G202" s="25" t="str">
        <f>IF($D202="","",IFERROR(VLOOKUP($D202,'ACAS Capital Tracker'!$A:$D,4,FALSE()),""))</f>
        <v/>
      </c>
      <c r="H202" s="22"/>
    </row>
    <row r="203" spans="1:8">
      <c r="A203" s="21"/>
      <c r="B203" s="22"/>
      <c r="C203" s="22"/>
      <c r="D203" s="22"/>
      <c r="E203" s="23" t="str">
        <f>IF($D203="","",IFERROR(VLOOKUP($D203,'ACAS Capital Tracker'!$A:$H,8,FALSE()),""))</f>
        <v/>
      </c>
      <c r="F203" s="24"/>
      <c r="G203" s="25" t="str">
        <f>IF($D203="","",IFERROR(VLOOKUP($D203,'ACAS Capital Tracker'!$A:$D,4,FALSE()),""))</f>
        <v/>
      </c>
      <c r="H203" s="22"/>
    </row>
    <row r="204" spans="1:8">
      <c r="A204" s="21"/>
      <c r="B204" s="22"/>
      <c r="C204" s="22"/>
      <c r="D204" s="22"/>
      <c r="E204" s="23" t="str">
        <f>IF($D204="","",IFERROR(VLOOKUP($D204,'ACAS Capital Tracker'!$A:$H,8,FALSE()),""))</f>
        <v/>
      </c>
      <c r="F204" s="24"/>
      <c r="G204" s="25" t="str">
        <f>IF($D204="","",IFERROR(VLOOKUP($D204,'ACAS Capital Tracker'!$A:$D,4,FALSE()),""))</f>
        <v/>
      </c>
      <c r="H204" s="22"/>
    </row>
    <row r="205" spans="1:8">
      <c r="A205" s="21"/>
      <c r="B205" s="22"/>
      <c r="C205" s="22"/>
      <c r="D205" s="22"/>
      <c r="E205" s="23" t="str">
        <f>IF($D205="","",IFERROR(VLOOKUP($D205,'ACAS Capital Tracker'!$A:$H,8,FALSE()),""))</f>
        <v/>
      </c>
      <c r="F205" s="24"/>
      <c r="G205" s="25" t="str">
        <f>IF($D205="","",IFERROR(VLOOKUP($D205,'ACAS Capital Tracker'!$A:$D,4,FALSE()),""))</f>
        <v/>
      </c>
      <c r="H205" s="22"/>
    </row>
    <row r="206" spans="1:8">
      <c r="A206" s="21"/>
      <c r="B206" s="22"/>
      <c r="C206" s="22"/>
      <c r="D206" s="22"/>
      <c r="E206" s="23" t="str">
        <f>IF($D206="","",IFERROR(VLOOKUP($D206,'ACAS Capital Tracker'!$A:$H,8,FALSE()),""))</f>
        <v/>
      </c>
      <c r="F206" s="24"/>
      <c r="G206" s="25" t="str">
        <f>IF($D206="","",IFERROR(VLOOKUP($D206,'ACAS Capital Tracker'!$A:$D,4,FALSE()),""))</f>
        <v/>
      </c>
      <c r="H206" s="22"/>
    </row>
    <row r="207" spans="1:8">
      <c r="A207" s="21"/>
      <c r="B207" s="22"/>
      <c r="C207" s="22"/>
      <c r="D207" s="22"/>
      <c r="E207" s="23" t="str">
        <f>IF($D207="","",IFERROR(VLOOKUP($D207,'ACAS Capital Tracker'!$A:$H,8,FALSE()),""))</f>
        <v/>
      </c>
      <c r="F207" s="24"/>
      <c r="G207" s="25" t="str">
        <f>IF($D207="","",IFERROR(VLOOKUP($D207,'ACAS Capital Tracker'!$A:$D,4,FALSE()),""))</f>
        <v/>
      </c>
      <c r="H207" s="22"/>
    </row>
    <row r="208" spans="1:8">
      <c r="A208" s="21"/>
      <c r="B208" s="22"/>
      <c r="C208" s="22"/>
      <c r="D208" s="22"/>
      <c r="E208" s="23" t="str">
        <f>IF($D208="","",IFERROR(VLOOKUP($D208,'ACAS Capital Tracker'!$A:$H,8,FALSE()),""))</f>
        <v/>
      </c>
      <c r="F208" s="24"/>
      <c r="G208" s="25" t="str">
        <f>IF($D208="","",IFERROR(VLOOKUP($D208,'ACAS Capital Tracker'!$A:$D,4,FALSE()),""))</f>
        <v/>
      </c>
      <c r="H208" s="22"/>
    </row>
    <row r="209" spans="1:8">
      <c r="A209" s="21"/>
      <c r="B209" s="22"/>
      <c r="C209" s="22"/>
      <c r="D209" s="22"/>
      <c r="E209" s="23" t="str">
        <f>IF($D209="","",IFERROR(VLOOKUP($D209,'ACAS Capital Tracker'!$A:$H,8,FALSE()),""))</f>
        <v/>
      </c>
      <c r="F209" s="24"/>
      <c r="G209" s="25" t="str">
        <f>IF($D209="","",IFERROR(VLOOKUP($D209,'ACAS Capital Tracker'!$A:$D,4,FALSE()),""))</f>
        <v/>
      </c>
      <c r="H209" s="22"/>
    </row>
    <row r="210" spans="1:8">
      <c r="A210" s="21"/>
      <c r="B210" s="22"/>
      <c r="C210" s="22"/>
      <c r="D210" s="22"/>
      <c r="E210" s="23" t="str">
        <f>IF($D210="","",IFERROR(VLOOKUP($D210,'ACAS Capital Tracker'!$A:$H,8,FALSE()),""))</f>
        <v/>
      </c>
      <c r="F210" s="24"/>
      <c r="G210" s="25" t="str">
        <f>IF($D210="","",IFERROR(VLOOKUP($D210,'ACAS Capital Tracker'!$A:$D,4,FALSE()),""))</f>
        <v/>
      </c>
      <c r="H210" s="22"/>
    </row>
    <row r="211" spans="1:8">
      <c r="A211" s="21"/>
      <c r="B211" s="22"/>
      <c r="C211" s="22"/>
      <c r="D211" s="22"/>
      <c r="E211" s="23" t="str">
        <f>IF($D211="","",IFERROR(VLOOKUP($D211,'ACAS Capital Tracker'!$A:$H,8,FALSE()),""))</f>
        <v/>
      </c>
      <c r="F211" s="24"/>
      <c r="G211" s="25" t="str">
        <f>IF($D211="","",IFERROR(VLOOKUP($D211,'ACAS Capital Tracker'!$A:$D,4,FALSE()),""))</f>
        <v/>
      </c>
      <c r="H211" s="22"/>
    </row>
    <row r="212" spans="1:8">
      <c r="A212" s="21"/>
      <c r="B212" s="22"/>
      <c r="C212" s="22"/>
      <c r="D212" s="22"/>
      <c r="E212" s="23" t="str">
        <f>IF($D212="","",IFERROR(VLOOKUP($D212,'ACAS Capital Tracker'!$A:$H,8,FALSE()),""))</f>
        <v/>
      </c>
      <c r="F212" s="24"/>
      <c r="G212" s="25" t="str">
        <f>IF($D212="","",IFERROR(VLOOKUP($D212,'ACAS Capital Tracker'!$A:$D,4,FALSE()),""))</f>
        <v/>
      </c>
      <c r="H212" s="22"/>
    </row>
    <row r="213" spans="1:8">
      <c r="A213" s="21"/>
      <c r="B213" s="22"/>
      <c r="C213" s="22"/>
      <c r="D213" s="22"/>
      <c r="E213" s="23" t="str">
        <f>IF($D213="","",IFERROR(VLOOKUP($D213,'ACAS Capital Tracker'!$A:$H,8,FALSE()),""))</f>
        <v/>
      </c>
      <c r="F213" s="24"/>
      <c r="G213" s="25" t="str">
        <f>IF($D213="","",IFERROR(VLOOKUP($D213,'ACAS Capital Tracker'!$A:$D,4,FALSE()),""))</f>
        <v/>
      </c>
      <c r="H213" s="22"/>
    </row>
    <row r="214" spans="1:8">
      <c r="A214" s="21"/>
      <c r="B214" s="22"/>
      <c r="C214" s="22"/>
      <c r="D214" s="22"/>
      <c r="E214" s="23" t="str">
        <f>IF($D214="","",IFERROR(VLOOKUP($D214,'ACAS Capital Tracker'!$A:$H,8,FALSE()),""))</f>
        <v/>
      </c>
      <c r="F214" s="24"/>
      <c r="G214" s="25" t="str">
        <f>IF($D214="","",IFERROR(VLOOKUP($D214,'ACAS Capital Tracker'!$A:$D,4,FALSE()),""))</f>
        <v/>
      </c>
      <c r="H214" s="22"/>
    </row>
    <row r="215" spans="1:8">
      <c r="A215" s="21"/>
      <c r="B215" s="22"/>
      <c r="C215" s="22"/>
      <c r="D215" s="22"/>
      <c r="E215" s="23" t="str">
        <f>IF($D215="","",IFERROR(VLOOKUP($D215,'ACAS Capital Tracker'!$A:$H,8,FALSE()),""))</f>
        <v/>
      </c>
      <c r="F215" s="24"/>
      <c r="G215" s="25" t="str">
        <f>IF($D215="","",IFERROR(VLOOKUP($D215,'ACAS Capital Tracker'!$A:$D,4,FALSE()),""))</f>
        <v/>
      </c>
      <c r="H215" s="22"/>
    </row>
    <row r="216" spans="1:8">
      <c r="A216" s="21"/>
      <c r="B216" s="22"/>
      <c r="C216" s="22"/>
      <c r="D216" s="22"/>
      <c r="E216" s="23" t="str">
        <f>IF($D216="","",IFERROR(VLOOKUP($D216,'ACAS Capital Tracker'!$A:$H,8,FALSE()),""))</f>
        <v/>
      </c>
      <c r="F216" s="24"/>
      <c r="G216" s="25" t="str">
        <f>IF($D216="","",IFERROR(VLOOKUP($D216,'ACAS Capital Tracker'!$A:$D,4,FALSE()),""))</f>
        <v/>
      </c>
      <c r="H216" s="22"/>
    </row>
    <row r="217" spans="1:8">
      <c r="A217" s="21"/>
      <c r="B217" s="22"/>
      <c r="C217" s="22"/>
      <c r="D217" s="22"/>
      <c r="E217" s="23" t="str">
        <f>IF($D217="","",IFERROR(VLOOKUP($D217,'ACAS Capital Tracker'!$A:$H,8,FALSE()),""))</f>
        <v/>
      </c>
      <c r="F217" s="24"/>
      <c r="G217" s="25" t="str">
        <f>IF($D217="","",IFERROR(VLOOKUP($D217,'ACAS Capital Tracker'!$A:$D,4,FALSE()),""))</f>
        <v/>
      </c>
      <c r="H217" s="22"/>
    </row>
    <row r="218" spans="1:8">
      <c r="A218" s="21"/>
      <c r="B218" s="22"/>
      <c r="C218" s="22"/>
      <c r="D218" s="22"/>
      <c r="E218" s="23" t="str">
        <f>IF($D218="","",IFERROR(VLOOKUP($D218,'ACAS Capital Tracker'!$A:$H,8,FALSE()),""))</f>
        <v/>
      </c>
      <c r="F218" s="24"/>
      <c r="G218" s="25" t="str">
        <f>IF($D218="","",IFERROR(VLOOKUP($D218,'ACAS Capital Tracker'!$A:$D,4,FALSE()),""))</f>
        <v/>
      </c>
      <c r="H218" s="22"/>
    </row>
    <row r="219" spans="1:8">
      <c r="A219" s="21"/>
      <c r="B219" s="22"/>
      <c r="C219" s="22"/>
      <c r="D219" s="22"/>
      <c r="E219" s="23" t="str">
        <f>IF($D219="","",IFERROR(VLOOKUP($D219,'ACAS Capital Tracker'!$A:$H,8,FALSE()),""))</f>
        <v/>
      </c>
      <c r="F219" s="24"/>
      <c r="G219" s="25" t="str">
        <f>IF($D219="","",IFERROR(VLOOKUP($D219,'ACAS Capital Tracker'!$A:$D,4,FALSE()),""))</f>
        <v/>
      </c>
      <c r="H219" s="22"/>
    </row>
    <row r="220" spans="1:8">
      <c r="A220" s="21"/>
      <c r="B220" s="22"/>
      <c r="C220" s="22"/>
      <c r="D220" s="22"/>
      <c r="E220" s="23" t="str">
        <f>IF($D220="","",IFERROR(VLOOKUP($D220,'ACAS Capital Tracker'!$A:$H,8,FALSE()),""))</f>
        <v/>
      </c>
      <c r="F220" s="24"/>
      <c r="G220" s="25" t="str">
        <f>IF($D220="","",IFERROR(VLOOKUP($D220,'ACAS Capital Tracker'!$A:$D,4,FALSE()),""))</f>
        <v/>
      </c>
      <c r="H220" s="22"/>
    </row>
    <row r="221" spans="1:8">
      <c r="A221" s="21"/>
      <c r="B221" s="22"/>
      <c r="C221" s="22"/>
      <c r="D221" s="22"/>
      <c r="E221" s="23" t="str">
        <f>IF($D221="","",IFERROR(VLOOKUP($D221,'ACAS Capital Tracker'!$A:$H,8,FALSE()),""))</f>
        <v/>
      </c>
      <c r="F221" s="24"/>
      <c r="G221" s="25" t="str">
        <f>IF($D221="","",IFERROR(VLOOKUP($D221,'ACAS Capital Tracker'!$A:$D,4,FALSE()),""))</f>
        <v/>
      </c>
      <c r="H221" s="22"/>
    </row>
    <row r="222" spans="1:8">
      <c r="A222" s="21"/>
      <c r="B222" s="22"/>
      <c r="C222" s="22"/>
      <c r="D222" s="22"/>
      <c r="E222" s="23" t="str">
        <f>IF($D222="","",IFERROR(VLOOKUP($D222,'ACAS Capital Tracker'!$A:$H,8,FALSE()),""))</f>
        <v/>
      </c>
      <c r="F222" s="24"/>
      <c r="G222" s="25" t="str">
        <f>IF($D222="","",IFERROR(VLOOKUP($D222,'ACAS Capital Tracker'!$A:$D,4,FALSE()),""))</f>
        <v/>
      </c>
      <c r="H222" s="22"/>
    </row>
    <row r="223" spans="1:8">
      <c r="A223" s="21"/>
      <c r="B223" s="22"/>
      <c r="C223" s="22"/>
      <c r="D223" s="22"/>
      <c r="E223" s="23" t="str">
        <f>IF($D223="","",IFERROR(VLOOKUP($D223,'ACAS Capital Tracker'!$A:$H,8,FALSE()),""))</f>
        <v/>
      </c>
      <c r="F223" s="24"/>
      <c r="G223" s="25" t="str">
        <f>IF($D223="","",IFERROR(VLOOKUP($D223,'ACAS Capital Tracker'!$A:$D,4,FALSE()),""))</f>
        <v/>
      </c>
      <c r="H223" s="22"/>
    </row>
    <row r="224" spans="1:8">
      <c r="A224" s="21"/>
      <c r="B224" s="22"/>
      <c r="C224" s="22"/>
      <c r="D224" s="22"/>
      <c r="E224" s="23" t="str">
        <f>IF($D224="","",IFERROR(VLOOKUP($D224,'ACAS Capital Tracker'!$A:$H,8,FALSE()),""))</f>
        <v/>
      </c>
      <c r="F224" s="24"/>
      <c r="G224" s="25" t="str">
        <f>IF($D224="","",IFERROR(VLOOKUP($D224,'ACAS Capital Tracker'!$A:$D,4,FALSE()),""))</f>
        <v/>
      </c>
      <c r="H224" s="22"/>
    </row>
    <row r="225" spans="1:8">
      <c r="A225" s="21"/>
      <c r="B225" s="22"/>
      <c r="C225" s="22"/>
      <c r="D225" s="22"/>
      <c r="E225" s="23" t="str">
        <f>IF($D225="","",IFERROR(VLOOKUP($D225,'ACAS Capital Tracker'!$A:$H,8,FALSE()),""))</f>
        <v/>
      </c>
      <c r="F225" s="24"/>
      <c r="G225" s="25" t="str">
        <f>IF($D225="","",IFERROR(VLOOKUP($D225,'ACAS Capital Tracker'!$A:$D,4,FALSE()),""))</f>
        <v/>
      </c>
      <c r="H225" s="22"/>
    </row>
    <row r="226" spans="1:8">
      <c r="A226" s="21"/>
      <c r="B226" s="22"/>
      <c r="C226" s="22"/>
      <c r="D226" s="22"/>
      <c r="E226" s="23" t="str">
        <f>IF($D226="","",IFERROR(VLOOKUP($D226,'ACAS Capital Tracker'!$A:$H,8,FALSE()),""))</f>
        <v/>
      </c>
      <c r="F226" s="24"/>
      <c r="G226" s="25" t="str">
        <f>IF($D226="","",IFERROR(VLOOKUP($D226,'ACAS Capital Tracker'!$A:$D,4,FALSE()),""))</f>
        <v/>
      </c>
      <c r="H226" s="22"/>
    </row>
    <row r="227" spans="1:8">
      <c r="A227" s="21"/>
      <c r="B227" s="22"/>
      <c r="C227" s="22"/>
      <c r="D227" s="22"/>
      <c r="E227" s="23" t="str">
        <f>IF($D227="","",IFERROR(VLOOKUP($D227,'ACAS Capital Tracker'!$A:$H,8,FALSE()),""))</f>
        <v/>
      </c>
      <c r="F227" s="24"/>
      <c r="G227" s="25" t="str">
        <f>IF($D227="","",IFERROR(VLOOKUP($D227,'ACAS Capital Tracker'!$A:$D,4,FALSE()),""))</f>
        <v/>
      </c>
      <c r="H227" s="22"/>
    </row>
    <row r="228" spans="1:8">
      <c r="A228" s="21"/>
      <c r="B228" s="22"/>
      <c r="C228" s="22"/>
      <c r="D228" s="22"/>
      <c r="E228" s="23" t="str">
        <f>IF($D228="","",IFERROR(VLOOKUP($D228,'ACAS Capital Tracker'!$A:$H,8,FALSE()),""))</f>
        <v/>
      </c>
      <c r="F228" s="24"/>
      <c r="G228" s="25" t="str">
        <f>IF($D228="","",IFERROR(VLOOKUP($D228,'ACAS Capital Tracker'!$A:$D,4,FALSE()),""))</f>
        <v/>
      </c>
      <c r="H228" s="22"/>
    </row>
    <row r="229" spans="1:8">
      <c r="A229" s="21"/>
      <c r="B229" s="22"/>
      <c r="C229" s="22"/>
      <c r="D229" s="22"/>
      <c r="E229" s="23" t="str">
        <f>IF($D229="","",IFERROR(VLOOKUP($D229,'ACAS Capital Tracker'!$A:$H,8,FALSE()),""))</f>
        <v/>
      </c>
      <c r="F229" s="24"/>
      <c r="G229" s="25" t="str">
        <f>IF($D229="","",IFERROR(VLOOKUP($D229,'ACAS Capital Tracker'!$A:$D,4,FALSE()),""))</f>
        <v/>
      </c>
      <c r="H229" s="22"/>
    </row>
    <row r="230" spans="1:8">
      <c r="A230" s="21"/>
      <c r="B230" s="22"/>
      <c r="C230" s="22"/>
      <c r="D230" s="22"/>
      <c r="E230" s="23" t="str">
        <f>IF($D230="","",IFERROR(VLOOKUP($D230,'ACAS Capital Tracker'!$A:$H,8,FALSE()),""))</f>
        <v/>
      </c>
      <c r="F230" s="24"/>
      <c r="G230" s="25" t="str">
        <f>IF($D230="","",IFERROR(VLOOKUP($D230,'ACAS Capital Tracker'!$A:$D,4,FALSE()),""))</f>
        <v/>
      </c>
      <c r="H230" s="22"/>
    </row>
    <row r="231" spans="1:8">
      <c r="A231" s="21"/>
      <c r="B231" s="22"/>
      <c r="C231" s="22"/>
      <c r="D231" s="22"/>
      <c r="E231" s="23" t="str">
        <f>IF($D231="","",IFERROR(VLOOKUP($D231,'ACAS Capital Tracker'!$A:$H,8,FALSE()),""))</f>
        <v/>
      </c>
      <c r="F231" s="24"/>
      <c r="G231" s="25" t="str">
        <f>IF($D231="","",IFERROR(VLOOKUP($D231,'ACAS Capital Tracker'!$A:$D,4,FALSE()),""))</f>
        <v/>
      </c>
      <c r="H231" s="22"/>
    </row>
    <row r="232" spans="1:8">
      <c r="A232" s="21"/>
      <c r="B232" s="22"/>
      <c r="C232" s="22"/>
      <c r="D232" s="22"/>
      <c r="E232" s="23" t="str">
        <f>IF($D232="","",IFERROR(VLOOKUP($D232,'ACAS Capital Tracker'!$A:$H,8,FALSE()),""))</f>
        <v/>
      </c>
      <c r="F232" s="24"/>
      <c r="G232" s="25" t="str">
        <f>IF($D232="","",IFERROR(VLOOKUP($D232,'ACAS Capital Tracker'!$A:$D,4,FALSE()),""))</f>
        <v/>
      </c>
      <c r="H232" s="22"/>
    </row>
    <row r="233" spans="1:8">
      <c r="A233" s="21"/>
      <c r="B233" s="22"/>
      <c r="C233" s="22"/>
      <c r="D233" s="22"/>
      <c r="E233" s="23" t="str">
        <f>IF($D233="","",IFERROR(VLOOKUP($D233,'ACAS Capital Tracker'!$A:$H,8,FALSE()),""))</f>
        <v/>
      </c>
      <c r="F233" s="24"/>
      <c r="G233" s="25" t="str">
        <f>IF($D233="","",IFERROR(VLOOKUP($D233,'ACAS Capital Tracker'!$A:$D,4,FALSE()),""))</f>
        <v/>
      </c>
      <c r="H233" s="22"/>
    </row>
    <row r="234" spans="1:8">
      <c r="A234" s="21"/>
      <c r="B234" s="22"/>
      <c r="C234" s="22"/>
      <c r="D234" s="22"/>
      <c r="E234" s="23" t="str">
        <f>IF($D234="","",IFERROR(VLOOKUP($D234,'ACAS Capital Tracker'!$A:$H,8,FALSE()),""))</f>
        <v/>
      </c>
      <c r="F234" s="24"/>
      <c r="G234" s="25" t="str">
        <f>IF($D234="","",IFERROR(VLOOKUP($D234,'ACAS Capital Tracker'!$A:$D,4,FALSE()),""))</f>
        <v/>
      </c>
      <c r="H234" s="22"/>
    </row>
    <row r="235" spans="1:8">
      <c r="A235" s="21"/>
      <c r="B235" s="22"/>
      <c r="C235" s="22"/>
      <c r="D235" s="22"/>
      <c r="E235" s="23" t="str">
        <f>IF($D235="","",IFERROR(VLOOKUP($D235,'ACAS Capital Tracker'!$A:$H,8,FALSE()),""))</f>
        <v/>
      </c>
      <c r="F235" s="24"/>
      <c r="G235" s="25" t="str">
        <f>IF($D235="","",IFERROR(VLOOKUP($D235,'ACAS Capital Tracker'!$A:$D,4,FALSE()),""))</f>
        <v/>
      </c>
      <c r="H235" s="22"/>
    </row>
    <row r="236" spans="1:8">
      <c r="A236" s="21"/>
      <c r="B236" s="22"/>
      <c r="C236" s="22"/>
      <c r="D236" s="22"/>
      <c r="E236" s="23" t="str">
        <f>IF($D236="","",IFERROR(VLOOKUP($D236,'ACAS Capital Tracker'!$A:$H,8,FALSE()),""))</f>
        <v/>
      </c>
      <c r="F236" s="24"/>
      <c r="G236" s="25" t="str">
        <f>IF($D236="","",IFERROR(VLOOKUP($D236,'ACAS Capital Tracker'!$A:$D,4,FALSE()),""))</f>
        <v/>
      </c>
      <c r="H236" s="22"/>
    </row>
    <row r="237" spans="1:8">
      <c r="A237" s="21"/>
      <c r="B237" s="22"/>
      <c r="C237" s="22"/>
      <c r="D237" s="22"/>
      <c r="E237" s="23" t="str">
        <f>IF($D237="","",IFERROR(VLOOKUP($D237,'ACAS Capital Tracker'!$A:$H,8,FALSE()),""))</f>
        <v/>
      </c>
      <c r="F237" s="24"/>
      <c r="G237" s="25" t="str">
        <f>IF($D237="","",IFERROR(VLOOKUP($D237,'ACAS Capital Tracker'!$A:$D,4,FALSE()),""))</f>
        <v/>
      </c>
      <c r="H237" s="22"/>
    </row>
    <row r="238" spans="1:8">
      <c r="A238" s="21"/>
      <c r="B238" s="22"/>
      <c r="C238" s="22"/>
      <c r="D238" s="22"/>
      <c r="E238" s="23" t="str">
        <f>IF($D238="","",IFERROR(VLOOKUP($D238,'ACAS Capital Tracker'!$A:$H,8,FALSE()),""))</f>
        <v/>
      </c>
      <c r="F238" s="24"/>
      <c r="G238" s="25" t="str">
        <f>IF($D238="","",IFERROR(VLOOKUP($D238,'ACAS Capital Tracker'!$A:$D,4,FALSE()),""))</f>
        <v/>
      </c>
      <c r="H238" s="22"/>
    </row>
    <row r="239" spans="1:8">
      <c r="A239" s="21"/>
      <c r="B239" s="22"/>
      <c r="C239" s="22"/>
      <c r="D239" s="22"/>
      <c r="E239" s="23" t="str">
        <f>IF($D239="","",IFERROR(VLOOKUP($D239,'ACAS Capital Tracker'!$A:$H,8,FALSE()),""))</f>
        <v/>
      </c>
      <c r="F239" s="24"/>
      <c r="G239" s="25" t="str">
        <f>IF($D239="","",IFERROR(VLOOKUP($D239,'ACAS Capital Tracker'!$A:$D,4,FALSE()),""))</f>
        <v/>
      </c>
      <c r="H239" s="22"/>
    </row>
    <row r="240" spans="1:8">
      <c r="A240" s="21"/>
      <c r="B240" s="22"/>
      <c r="C240" s="22"/>
      <c r="D240" s="22"/>
      <c r="E240" s="23" t="str">
        <f>IF($D240="","",IFERROR(VLOOKUP($D240,'ACAS Capital Tracker'!$A:$H,8,FALSE()),""))</f>
        <v/>
      </c>
      <c r="F240" s="24"/>
      <c r="G240" s="25" t="str">
        <f>IF($D240="","",IFERROR(VLOOKUP($D240,'ACAS Capital Tracker'!$A:$D,4,FALSE()),""))</f>
        <v/>
      </c>
      <c r="H240" s="22"/>
    </row>
    <row r="241" spans="1:8">
      <c r="A241" s="21"/>
      <c r="B241" s="22"/>
      <c r="C241" s="22"/>
      <c r="D241" s="22"/>
      <c r="E241" s="23" t="str">
        <f>IF($D241="","",IFERROR(VLOOKUP($D241,'ACAS Capital Tracker'!$A:$H,8,FALSE()),""))</f>
        <v/>
      </c>
      <c r="F241" s="24"/>
      <c r="G241" s="25" t="str">
        <f>IF($D241="","",IFERROR(VLOOKUP($D241,'ACAS Capital Tracker'!$A:$D,4,FALSE()),""))</f>
        <v/>
      </c>
      <c r="H241" s="22"/>
    </row>
    <row r="242" spans="1:8">
      <c r="A242" s="21"/>
      <c r="B242" s="22"/>
      <c r="C242" s="22"/>
      <c r="D242" s="22"/>
      <c r="E242" s="23" t="str">
        <f>IF($D242="","",IFERROR(VLOOKUP($D242,'ACAS Capital Tracker'!$A:$H,8,FALSE()),""))</f>
        <v/>
      </c>
      <c r="F242" s="24"/>
      <c r="G242" s="25" t="str">
        <f>IF($D242="","",IFERROR(VLOOKUP($D242,'ACAS Capital Tracker'!$A:$D,4,FALSE()),""))</f>
        <v/>
      </c>
      <c r="H242" s="22"/>
    </row>
    <row r="243" spans="1:8">
      <c r="A243" s="21"/>
      <c r="B243" s="22"/>
      <c r="C243" s="22"/>
      <c r="D243" s="22"/>
      <c r="E243" s="23" t="str">
        <f>IF($D243="","",IFERROR(VLOOKUP($D243,'ACAS Capital Tracker'!$A:$H,8,FALSE()),""))</f>
        <v/>
      </c>
      <c r="F243" s="24"/>
      <c r="G243" s="25" t="str">
        <f>IF($D243="","",IFERROR(VLOOKUP($D243,'ACAS Capital Tracker'!$A:$D,4,FALSE()),""))</f>
        <v/>
      </c>
      <c r="H243" s="22"/>
    </row>
    <row r="244" spans="1:8">
      <c r="A244" s="21"/>
      <c r="B244" s="22"/>
      <c r="C244" s="22"/>
      <c r="D244" s="22"/>
      <c r="E244" s="23" t="str">
        <f>IF($D244="","",IFERROR(VLOOKUP($D244,'ACAS Capital Tracker'!$A:$H,8,FALSE()),""))</f>
        <v/>
      </c>
      <c r="F244" s="24"/>
      <c r="G244" s="25" t="str">
        <f>IF($D244="","",IFERROR(VLOOKUP($D244,'ACAS Capital Tracker'!$A:$D,4,FALSE()),""))</f>
        <v/>
      </c>
      <c r="H244" s="22"/>
    </row>
    <row r="245" spans="1:8">
      <c r="A245" s="21"/>
      <c r="B245" s="22"/>
      <c r="C245" s="22"/>
      <c r="D245" s="22"/>
      <c r="E245" s="23" t="str">
        <f>IF($D245="","",IFERROR(VLOOKUP($D245,'ACAS Capital Tracker'!$A:$H,8,FALSE()),""))</f>
        <v/>
      </c>
      <c r="F245" s="24"/>
      <c r="G245" s="25" t="str">
        <f>IF($D245="","",IFERROR(VLOOKUP($D245,'ACAS Capital Tracker'!$A:$D,4,FALSE()),""))</f>
        <v/>
      </c>
      <c r="H245" s="22"/>
    </row>
    <row r="246" spans="1:8">
      <c r="A246" s="21"/>
      <c r="B246" s="22"/>
      <c r="C246" s="22"/>
      <c r="D246" s="22"/>
      <c r="E246" s="23" t="str">
        <f>IF($D246="","",IFERROR(VLOOKUP($D246,'ACAS Capital Tracker'!$A:$H,8,FALSE()),""))</f>
        <v/>
      </c>
      <c r="F246" s="24"/>
      <c r="G246" s="25" t="str">
        <f>IF($D246="","",IFERROR(VLOOKUP($D246,'ACAS Capital Tracker'!$A:$D,4,FALSE()),""))</f>
        <v/>
      </c>
      <c r="H246" s="22"/>
    </row>
    <row r="247" spans="1:8">
      <c r="A247" s="21"/>
      <c r="B247" s="22"/>
      <c r="C247" s="22"/>
      <c r="D247" s="22"/>
      <c r="E247" s="23" t="str">
        <f>IF($D247="","",IFERROR(VLOOKUP($D247,'ACAS Capital Tracker'!$A:$H,8,FALSE()),""))</f>
        <v/>
      </c>
      <c r="F247" s="24"/>
      <c r="G247" s="25" t="str">
        <f>IF($D247="","",IFERROR(VLOOKUP($D247,'ACAS Capital Tracker'!$A:$D,4,FALSE()),""))</f>
        <v/>
      </c>
      <c r="H247" s="22"/>
    </row>
    <row r="248" spans="1:8">
      <c r="A248" s="21"/>
      <c r="B248" s="22"/>
      <c r="C248" s="22"/>
      <c r="D248" s="22"/>
      <c r="E248" s="23" t="str">
        <f>IF($D248="","",IFERROR(VLOOKUP($D248,'ACAS Capital Tracker'!$A:$H,8,FALSE()),""))</f>
        <v/>
      </c>
      <c r="F248" s="24"/>
      <c r="G248" s="25" t="str">
        <f>IF($D248="","",IFERROR(VLOOKUP($D248,'ACAS Capital Tracker'!$A:$D,4,FALSE()),""))</f>
        <v/>
      </c>
      <c r="H248" s="22"/>
    </row>
    <row r="249" spans="1:8">
      <c r="A249" s="21"/>
      <c r="B249" s="22"/>
      <c r="C249" s="22"/>
      <c r="D249" s="22"/>
      <c r="E249" s="23" t="str">
        <f>IF($D249="","",IFERROR(VLOOKUP($D249,'ACAS Capital Tracker'!$A:$H,8,FALSE()),""))</f>
        <v/>
      </c>
      <c r="F249" s="24"/>
      <c r="G249" s="25" t="str">
        <f>IF($D249="","",IFERROR(VLOOKUP($D249,'ACAS Capital Tracker'!$A:$D,4,FALSE()),""))</f>
        <v/>
      </c>
      <c r="H249" s="22"/>
    </row>
    <row r="250" spans="1:8">
      <c r="A250" s="21"/>
      <c r="B250" s="22"/>
      <c r="C250" s="22"/>
      <c r="D250" s="22"/>
      <c r="E250" s="23" t="str">
        <f>IF($D250="","",IFERROR(VLOOKUP($D250,'ACAS Capital Tracker'!$A:$H,8,FALSE()),""))</f>
        <v/>
      </c>
      <c r="F250" s="24"/>
      <c r="G250" s="25" t="str">
        <f>IF($D250="","",IFERROR(VLOOKUP($D250,'ACAS Capital Tracker'!$A:$D,4,FALSE()),""))</f>
        <v/>
      </c>
      <c r="H250" s="22"/>
    </row>
    <row r="251" spans="1:8">
      <c r="A251" s="21"/>
      <c r="B251" s="22"/>
      <c r="C251" s="22"/>
      <c r="D251" s="22"/>
      <c r="E251" s="23" t="str">
        <f>IF($D251="","",IFERROR(VLOOKUP($D251,'ACAS Capital Tracker'!$A:$H,8,FALSE()),""))</f>
        <v/>
      </c>
      <c r="F251" s="24"/>
      <c r="G251" s="25" t="str">
        <f>IF($D251="","",IFERROR(VLOOKUP($D251,'ACAS Capital Tracker'!$A:$D,4,FALSE()),""))</f>
        <v/>
      </c>
      <c r="H251" s="22"/>
    </row>
    <row r="252" spans="1:8">
      <c r="A252" s="21"/>
      <c r="B252" s="22"/>
      <c r="C252" s="22"/>
      <c r="D252" s="22"/>
      <c r="E252" s="23" t="str">
        <f>IF($D252="","",IFERROR(VLOOKUP($D252,'ACAS Capital Tracker'!$A:$H,8,FALSE()),""))</f>
        <v/>
      </c>
      <c r="F252" s="24"/>
      <c r="G252" s="25" t="str">
        <f>IF($D252="","",IFERROR(VLOOKUP($D252,'ACAS Capital Tracker'!$A:$D,4,FALSE()),""))</f>
        <v/>
      </c>
      <c r="H252" s="22"/>
    </row>
    <row r="253" spans="1:8">
      <c r="A253" s="21"/>
      <c r="B253" s="22"/>
      <c r="C253" s="22"/>
      <c r="D253" s="22"/>
      <c r="E253" s="23" t="str">
        <f>IF($D253="","",IFERROR(VLOOKUP($D253,'ACAS Capital Tracker'!$A:$H,8,FALSE()),""))</f>
        <v/>
      </c>
      <c r="F253" s="24"/>
      <c r="G253" s="25" t="str">
        <f>IF($D253="","",IFERROR(VLOOKUP($D253,'ACAS Capital Tracker'!$A:$D,4,FALSE()),""))</f>
        <v/>
      </c>
      <c r="H253" s="22"/>
    </row>
    <row r="254" spans="1:8">
      <c r="A254" s="21"/>
      <c r="B254" s="22"/>
      <c r="C254" s="22"/>
      <c r="D254" s="22"/>
      <c r="E254" s="23" t="str">
        <f>IF($D254="","",IFERROR(VLOOKUP($D254,'ACAS Capital Tracker'!$A:$H,8,FALSE()),""))</f>
        <v/>
      </c>
      <c r="F254" s="24"/>
      <c r="G254" s="25" t="str">
        <f>IF($D254="","",IFERROR(VLOOKUP($D254,'ACAS Capital Tracker'!$A:$D,4,FALSE()),""))</f>
        <v/>
      </c>
      <c r="H254" s="22"/>
    </row>
    <row r="255" spans="1:8">
      <c r="A255" s="21"/>
      <c r="B255" s="22"/>
      <c r="C255" s="22"/>
      <c r="D255" s="22"/>
      <c r="E255" s="23" t="str">
        <f>IF($D255="","",IFERROR(VLOOKUP($D255,'ACAS Capital Tracker'!$A:$H,8,FALSE()),""))</f>
        <v/>
      </c>
      <c r="F255" s="24"/>
      <c r="G255" s="25" t="str">
        <f>IF($D255="","",IFERROR(VLOOKUP($D255,'ACAS Capital Tracker'!$A:$D,4,FALSE()),""))</f>
        <v/>
      </c>
      <c r="H255" s="22"/>
    </row>
    <row r="256" spans="1:8">
      <c r="A256" s="21"/>
      <c r="B256" s="22"/>
      <c r="C256" s="22"/>
      <c r="D256" s="22"/>
      <c r="E256" s="23" t="str">
        <f>IF($D256="","",IFERROR(VLOOKUP($D256,'ACAS Capital Tracker'!$A:$H,8,FALSE()),""))</f>
        <v/>
      </c>
      <c r="F256" s="24"/>
      <c r="G256" s="25" t="str">
        <f>IF($D256="","",IFERROR(VLOOKUP($D256,'ACAS Capital Tracker'!$A:$D,4,FALSE()),""))</f>
        <v/>
      </c>
      <c r="H256" s="22"/>
    </row>
    <row r="257" spans="1:8">
      <c r="A257" s="21"/>
      <c r="B257" s="22"/>
      <c r="C257" s="22"/>
      <c r="D257" s="22"/>
      <c r="E257" s="23" t="str">
        <f>IF($D257="","",IFERROR(VLOOKUP($D257,'ACAS Capital Tracker'!$A:$H,8,FALSE()),""))</f>
        <v/>
      </c>
      <c r="F257" s="24"/>
      <c r="G257" s="25" t="str">
        <f>IF($D257="","",IFERROR(VLOOKUP($D257,'ACAS Capital Tracker'!$A:$D,4,FALSE()),""))</f>
        <v/>
      </c>
      <c r="H257" s="22"/>
    </row>
    <row r="258" spans="1:8">
      <c r="A258" s="21"/>
      <c r="B258" s="22"/>
      <c r="C258" s="22"/>
      <c r="D258" s="22"/>
      <c r="E258" s="23" t="str">
        <f>IF($D258="","",IFERROR(VLOOKUP($D258,'ACAS Capital Tracker'!$A:$H,8,FALSE()),""))</f>
        <v/>
      </c>
      <c r="F258" s="24"/>
      <c r="G258" s="25" t="str">
        <f>IF($D258="","",IFERROR(VLOOKUP($D258,'ACAS Capital Tracker'!$A:$D,4,FALSE()),""))</f>
        <v/>
      </c>
      <c r="H258" s="22"/>
    </row>
    <row r="259" spans="1:8">
      <c r="A259" s="21"/>
      <c r="B259" s="22"/>
      <c r="C259" s="22"/>
      <c r="D259" s="22"/>
      <c r="E259" s="23" t="str">
        <f>IF($D259="","",IFERROR(VLOOKUP($D259,'ACAS Capital Tracker'!$A:$H,8,FALSE()),""))</f>
        <v/>
      </c>
      <c r="F259" s="24"/>
      <c r="G259" s="25" t="str">
        <f>IF($D259="","",IFERROR(VLOOKUP($D259,'ACAS Capital Tracker'!$A:$D,4,FALSE()),""))</f>
        <v/>
      </c>
      <c r="H259" s="22"/>
    </row>
    <row r="260" spans="1:8">
      <c r="A260" s="21"/>
      <c r="B260" s="22"/>
      <c r="C260" s="22"/>
      <c r="D260" s="22"/>
      <c r="E260" s="23" t="str">
        <f>IF($D260="","",IFERROR(VLOOKUP($D260,'ACAS Capital Tracker'!$A:$H,8,FALSE()),""))</f>
        <v/>
      </c>
      <c r="F260" s="24"/>
      <c r="G260" s="25" t="str">
        <f>IF($D260="","",IFERROR(VLOOKUP($D260,'ACAS Capital Tracker'!$A:$D,4,FALSE()),""))</f>
        <v/>
      </c>
      <c r="H260" s="22"/>
    </row>
    <row r="261" spans="1:8">
      <c r="A261" s="21"/>
      <c r="B261" s="22"/>
      <c r="C261" s="22"/>
      <c r="D261" s="22"/>
      <c r="E261" s="23" t="str">
        <f>IF($D261="","",IFERROR(VLOOKUP($D261,'ACAS Capital Tracker'!$A:$H,8,FALSE()),""))</f>
        <v/>
      </c>
      <c r="F261" s="24"/>
      <c r="G261" s="25" t="str">
        <f>IF($D261="","",IFERROR(VLOOKUP($D261,'ACAS Capital Tracker'!$A:$D,4,FALSE()),""))</f>
        <v/>
      </c>
      <c r="H261" s="22"/>
    </row>
    <row r="262" spans="1:8">
      <c r="A262" s="21"/>
      <c r="B262" s="22"/>
      <c r="C262" s="22"/>
      <c r="D262" s="22"/>
      <c r="E262" s="23" t="str">
        <f>IF($D262="","",IFERROR(VLOOKUP($D262,'ACAS Capital Tracker'!$A:$H,8,FALSE()),""))</f>
        <v/>
      </c>
      <c r="F262" s="24"/>
      <c r="G262" s="25" t="str">
        <f>IF($D262="","",IFERROR(VLOOKUP($D262,'ACAS Capital Tracker'!$A:$D,4,FALSE()),""))</f>
        <v/>
      </c>
      <c r="H262" s="22"/>
    </row>
    <row r="263" spans="1:8">
      <c r="A263" s="21"/>
      <c r="B263" s="22"/>
      <c r="C263" s="22"/>
      <c r="D263" s="22"/>
      <c r="E263" s="23" t="str">
        <f>IF($D263="","",IFERROR(VLOOKUP($D263,'ACAS Capital Tracker'!$A:$H,8,FALSE()),""))</f>
        <v/>
      </c>
      <c r="F263" s="24"/>
      <c r="G263" s="25" t="str">
        <f>IF($D263="","",IFERROR(VLOOKUP($D263,'ACAS Capital Tracker'!$A:$D,4,FALSE()),""))</f>
        <v/>
      </c>
      <c r="H263" s="22"/>
    </row>
    <row r="264" spans="1:8">
      <c r="A264" s="21"/>
      <c r="B264" s="22"/>
      <c r="C264" s="22"/>
      <c r="D264" s="22"/>
      <c r="E264" s="23" t="str">
        <f>IF($D264="","",IFERROR(VLOOKUP($D264,'ACAS Capital Tracker'!$A:$H,8,FALSE()),""))</f>
        <v/>
      </c>
      <c r="F264" s="24"/>
      <c r="G264" s="25" t="str">
        <f>IF($D264="","",IFERROR(VLOOKUP($D264,'ACAS Capital Tracker'!$A:$D,4,FALSE()),""))</f>
        <v/>
      </c>
      <c r="H264" s="22"/>
    </row>
    <row r="265" spans="1:8">
      <c r="A265" s="21"/>
      <c r="B265" s="22"/>
      <c r="C265" s="22"/>
      <c r="D265" s="22"/>
      <c r="E265" s="23" t="str">
        <f>IF($D265="","",IFERROR(VLOOKUP($D265,'ACAS Capital Tracker'!$A:$H,8,FALSE()),""))</f>
        <v/>
      </c>
      <c r="F265" s="24"/>
      <c r="G265" s="25" t="str">
        <f>IF($D265="","",IFERROR(VLOOKUP($D265,'ACAS Capital Tracker'!$A:$D,4,FALSE()),""))</f>
        <v/>
      </c>
      <c r="H265" s="22"/>
    </row>
    <row r="266" spans="1:8">
      <c r="A266" s="21"/>
      <c r="B266" s="22"/>
      <c r="C266" s="22"/>
      <c r="D266" s="22"/>
      <c r="E266" s="23" t="str">
        <f>IF($D266="","",IFERROR(VLOOKUP($D266,'ACAS Capital Tracker'!$A:$H,8,FALSE()),""))</f>
        <v/>
      </c>
      <c r="F266" s="24"/>
      <c r="G266" s="25" t="str">
        <f>IF($D266="","",IFERROR(VLOOKUP($D266,'ACAS Capital Tracker'!$A:$D,4,FALSE()),""))</f>
        <v/>
      </c>
      <c r="H266" s="22"/>
    </row>
    <row r="267" spans="1:8">
      <c r="A267" s="21"/>
      <c r="B267" s="22"/>
      <c r="C267" s="22"/>
      <c r="D267" s="22"/>
      <c r="E267" s="23" t="str">
        <f>IF($D267="","",IFERROR(VLOOKUP($D267,'ACAS Capital Tracker'!$A:$H,8,FALSE()),""))</f>
        <v/>
      </c>
      <c r="F267" s="24"/>
      <c r="G267" s="25" t="str">
        <f>IF($D267="","",IFERROR(VLOOKUP($D267,'ACAS Capital Tracker'!$A:$D,4,FALSE()),""))</f>
        <v/>
      </c>
      <c r="H267" s="22"/>
    </row>
    <row r="268" spans="1:8">
      <c r="A268" s="21"/>
      <c r="B268" s="22"/>
      <c r="C268" s="22"/>
      <c r="D268" s="22"/>
      <c r="E268" s="23" t="str">
        <f>IF($D268="","",IFERROR(VLOOKUP($D268,'ACAS Capital Tracker'!$A:$H,8,FALSE()),""))</f>
        <v/>
      </c>
      <c r="F268" s="24"/>
      <c r="G268" s="25" t="str">
        <f>IF($D268="","",IFERROR(VLOOKUP($D268,'ACAS Capital Tracker'!$A:$D,4,FALSE()),""))</f>
        <v/>
      </c>
      <c r="H268" s="22"/>
    </row>
    <row r="269" spans="1:8">
      <c r="A269" s="21"/>
      <c r="B269" s="22"/>
      <c r="C269" s="22"/>
      <c r="D269" s="22"/>
      <c r="E269" s="23" t="str">
        <f>IF($D269="","",IFERROR(VLOOKUP($D269,'ACAS Capital Tracker'!$A:$H,8,FALSE()),""))</f>
        <v/>
      </c>
      <c r="F269" s="24"/>
      <c r="G269" s="25" t="str">
        <f>IF($D269="","",IFERROR(VLOOKUP($D269,'ACAS Capital Tracker'!$A:$D,4,FALSE()),""))</f>
        <v/>
      </c>
      <c r="H269" s="22"/>
    </row>
    <row r="270" spans="1:8">
      <c r="A270" s="21"/>
      <c r="B270" s="22"/>
      <c r="C270" s="22"/>
      <c r="D270" s="22"/>
      <c r="E270" s="23" t="str">
        <f>IF($D270="","",IFERROR(VLOOKUP($D270,'ACAS Capital Tracker'!$A:$H,8,FALSE()),""))</f>
        <v/>
      </c>
      <c r="F270" s="24"/>
      <c r="G270" s="25" t="str">
        <f>IF($D270="","",IFERROR(VLOOKUP($D270,'ACAS Capital Tracker'!$A:$D,4,FALSE()),""))</f>
        <v/>
      </c>
      <c r="H270" s="22"/>
    </row>
    <row r="271" spans="1:8">
      <c r="A271" s="21"/>
      <c r="B271" s="22"/>
      <c r="C271" s="22"/>
      <c r="D271" s="22"/>
      <c r="E271" s="23" t="str">
        <f>IF($D271="","",IFERROR(VLOOKUP($D271,'ACAS Capital Tracker'!$A:$H,8,FALSE()),""))</f>
        <v/>
      </c>
      <c r="F271" s="24"/>
      <c r="G271" s="25" t="str">
        <f>IF($D271="","",IFERROR(VLOOKUP($D271,'ACAS Capital Tracker'!$A:$D,4,FALSE()),""))</f>
        <v/>
      </c>
      <c r="H271" s="22"/>
    </row>
    <row r="272" spans="1:8">
      <c r="A272" s="21"/>
      <c r="B272" s="22"/>
      <c r="C272" s="22"/>
      <c r="D272" s="22"/>
      <c r="E272" s="23" t="str">
        <f>IF($D272="","",IFERROR(VLOOKUP($D272,'ACAS Capital Tracker'!$A:$H,8,FALSE()),""))</f>
        <v/>
      </c>
      <c r="F272" s="24"/>
      <c r="G272" s="25" t="str">
        <f>IF($D272="","",IFERROR(VLOOKUP($D272,'ACAS Capital Tracker'!$A:$D,4,FALSE()),""))</f>
        <v/>
      </c>
      <c r="H272" s="22"/>
    </row>
    <row r="273" spans="1:8">
      <c r="A273" s="21"/>
      <c r="B273" s="22"/>
      <c r="C273" s="22"/>
      <c r="D273" s="22"/>
      <c r="E273" s="23" t="str">
        <f>IF($D273="","",IFERROR(VLOOKUP($D273,'ACAS Capital Tracker'!$A:$H,8,FALSE()),""))</f>
        <v/>
      </c>
      <c r="F273" s="24"/>
      <c r="G273" s="25" t="str">
        <f>IF($D273="","",IFERROR(VLOOKUP($D273,'ACAS Capital Tracker'!$A:$D,4,FALSE()),""))</f>
        <v/>
      </c>
      <c r="H273" s="22"/>
    </row>
    <row r="274" spans="1:8">
      <c r="A274" s="21"/>
      <c r="B274" s="22"/>
      <c r="C274" s="22"/>
      <c r="D274" s="22"/>
      <c r="E274" s="23" t="str">
        <f>IF($D274="","",IFERROR(VLOOKUP($D274,'ACAS Capital Tracker'!$A:$H,8,FALSE()),""))</f>
        <v/>
      </c>
      <c r="F274" s="24"/>
      <c r="G274" s="25" t="str">
        <f>IF($D274="","",IFERROR(VLOOKUP($D274,'ACAS Capital Tracker'!$A:$D,4,FALSE()),""))</f>
        <v/>
      </c>
      <c r="H274" s="22"/>
    </row>
    <row r="275" spans="1:8">
      <c r="A275" s="21"/>
      <c r="B275" s="22"/>
      <c r="C275" s="22"/>
      <c r="D275" s="22"/>
      <c r="E275" s="23" t="str">
        <f>IF($D275="","",IFERROR(VLOOKUP($D275,'ACAS Capital Tracker'!$A:$H,8,FALSE()),""))</f>
        <v/>
      </c>
      <c r="F275" s="24"/>
      <c r="G275" s="25" t="str">
        <f>IF($D275="","",IFERROR(VLOOKUP($D275,'ACAS Capital Tracker'!$A:$D,4,FALSE()),""))</f>
        <v/>
      </c>
      <c r="H275" s="22"/>
    </row>
    <row r="276" spans="1:8">
      <c r="A276" s="21"/>
      <c r="B276" s="22"/>
      <c r="C276" s="22"/>
      <c r="D276" s="22"/>
      <c r="E276" s="23" t="str">
        <f>IF($D276="","",IFERROR(VLOOKUP($D276,'ACAS Capital Tracker'!$A:$H,8,FALSE()),""))</f>
        <v/>
      </c>
      <c r="F276" s="24"/>
      <c r="G276" s="25" t="str">
        <f>IF($D276="","",IFERROR(VLOOKUP($D276,'ACAS Capital Tracker'!$A:$D,4,FALSE()),""))</f>
        <v/>
      </c>
      <c r="H276" s="22"/>
    </row>
    <row r="277" spans="1:8">
      <c r="A277" s="21"/>
      <c r="B277" s="22"/>
      <c r="C277" s="22"/>
      <c r="D277" s="22"/>
      <c r="E277" s="23" t="str">
        <f>IF($D277="","",IFERROR(VLOOKUP($D277,'ACAS Capital Tracker'!$A:$H,8,FALSE()),""))</f>
        <v/>
      </c>
      <c r="F277" s="24"/>
      <c r="G277" s="25" t="str">
        <f>IF($D277="","",IFERROR(VLOOKUP($D277,'ACAS Capital Tracker'!$A:$D,4,FALSE()),""))</f>
        <v/>
      </c>
      <c r="H277" s="22"/>
    </row>
    <row r="278" spans="1:8">
      <c r="A278" s="21"/>
      <c r="B278" s="22"/>
      <c r="C278" s="22"/>
      <c r="D278" s="22"/>
      <c r="E278" s="23" t="str">
        <f>IF($D278="","",IFERROR(VLOOKUP($D278,'ACAS Capital Tracker'!$A:$H,8,FALSE()),""))</f>
        <v/>
      </c>
      <c r="F278" s="24"/>
      <c r="G278" s="25" t="str">
        <f>IF($D278="","",IFERROR(VLOOKUP($D278,'ACAS Capital Tracker'!$A:$D,4,FALSE()),""))</f>
        <v/>
      </c>
      <c r="H278" s="22"/>
    </row>
    <row r="279" spans="1:8">
      <c r="A279" s="21"/>
      <c r="B279" s="22"/>
      <c r="C279" s="22"/>
      <c r="D279" s="22"/>
      <c r="E279" s="23" t="str">
        <f>IF($D279="","",IFERROR(VLOOKUP($D279,'ACAS Capital Tracker'!$A:$H,8,FALSE()),""))</f>
        <v/>
      </c>
      <c r="F279" s="24"/>
      <c r="G279" s="25" t="str">
        <f>IF($D279="","",IFERROR(VLOOKUP($D279,'ACAS Capital Tracker'!$A:$D,4,FALSE()),""))</f>
        <v/>
      </c>
      <c r="H279" s="22"/>
    </row>
    <row r="280" spans="1:8">
      <c r="A280" s="21"/>
      <c r="B280" s="22"/>
      <c r="C280" s="22"/>
      <c r="D280" s="22"/>
      <c r="E280" s="23" t="str">
        <f>IF($D280="","",IFERROR(VLOOKUP($D280,'ACAS Capital Tracker'!$A:$H,8,FALSE()),""))</f>
        <v/>
      </c>
      <c r="F280" s="24"/>
      <c r="G280" s="25" t="str">
        <f>IF($D280="","",IFERROR(VLOOKUP($D280,'ACAS Capital Tracker'!$A:$D,4,FALSE()),""))</f>
        <v/>
      </c>
      <c r="H280" s="22"/>
    </row>
    <row r="281" spans="1:8">
      <c r="A281" s="21"/>
      <c r="B281" s="22"/>
      <c r="C281" s="22"/>
      <c r="D281" s="22"/>
      <c r="E281" s="23" t="str">
        <f>IF($D281="","",IFERROR(VLOOKUP($D281,'ACAS Capital Tracker'!$A:$H,8,FALSE()),""))</f>
        <v/>
      </c>
      <c r="F281" s="24"/>
      <c r="G281" s="25" t="str">
        <f>IF($D281="","",IFERROR(VLOOKUP($D281,'ACAS Capital Tracker'!$A:$D,4,FALSE()),""))</f>
        <v/>
      </c>
      <c r="H281" s="22"/>
    </row>
    <row r="282" spans="1:8">
      <c r="A282" s="21"/>
      <c r="B282" s="22"/>
      <c r="C282" s="22"/>
      <c r="D282" s="22"/>
      <c r="E282" s="23" t="str">
        <f>IF($D282="","",IFERROR(VLOOKUP($D282,'ACAS Capital Tracker'!$A:$H,8,FALSE()),""))</f>
        <v/>
      </c>
      <c r="F282" s="24"/>
      <c r="G282" s="25" t="str">
        <f>IF($D282="","",IFERROR(VLOOKUP($D282,'ACAS Capital Tracker'!$A:$D,4,FALSE()),""))</f>
        <v/>
      </c>
      <c r="H282" s="22"/>
    </row>
    <row r="283" spans="1:8">
      <c r="A283" s="21"/>
      <c r="B283" s="22"/>
      <c r="C283" s="22"/>
      <c r="D283" s="22"/>
      <c r="E283" s="23" t="str">
        <f>IF($D283="","",IFERROR(VLOOKUP($D283,'ACAS Capital Tracker'!$A:$H,8,FALSE()),""))</f>
        <v/>
      </c>
      <c r="F283" s="24"/>
      <c r="G283" s="25" t="str">
        <f>IF($D283="","",IFERROR(VLOOKUP($D283,'ACAS Capital Tracker'!$A:$D,4,FALSE()),""))</f>
        <v/>
      </c>
      <c r="H283" s="22"/>
    </row>
    <row r="284" spans="1:8">
      <c r="A284" s="21"/>
      <c r="B284" s="22"/>
      <c r="C284" s="22"/>
      <c r="D284" s="22"/>
      <c r="E284" s="23" t="str">
        <f>IF($D284="","",IFERROR(VLOOKUP($D284,'ACAS Capital Tracker'!$A:$H,8,FALSE()),""))</f>
        <v/>
      </c>
      <c r="F284" s="24"/>
      <c r="G284" s="25" t="str">
        <f>IF($D284="","",IFERROR(VLOOKUP($D284,'ACAS Capital Tracker'!$A:$D,4,FALSE()),""))</f>
        <v/>
      </c>
      <c r="H284" s="22"/>
    </row>
    <row r="285" spans="1:8">
      <c r="A285" s="21"/>
      <c r="B285" s="22"/>
      <c r="C285" s="22"/>
      <c r="D285" s="22"/>
      <c r="E285" s="23" t="str">
        <f>IF($D285="","",IFERROR(VLOOKUP($D285,'ACAS Capital Tracker'!$A:$H,8,FALSE()),""))</f>
        <v/>
      </c>
      <c r="F285" s="24"/>
      <c r="G285" s="25" t="str">
        <f>IF($D285="","",IFERROR(VLOOKUP($D285,'ACAS Capital Tracker'!$A:$D,4,FALSE()),""))</f>
        <v/>
      </c>
      <c r="H285" s="22"/>
    </row>
    <row r="286" spans="1:8">
      <c r="A286" s="21"/>
      <c r="B286" s="22"/>
      <c r="C286" s="22"/>
      <c r="D286" s="22"/>
      <c r="E286" s="23" t="str">
        <f>IF($D286="","",IFERROR(VLOOKUP($D286,'ACAS Capital Tracker'!$A:$H,8,FALSE()),""))</f>
        <v/>
      </c>
      <c r="F286" s="24"/>
      <c r="G286" s="25" t="str">
        <f>IF($D286="","",IFERROR(VLOOKUP($D286,'ACAS Capital Tracker'!$A:$D,4,FALSE()),""))</f>
        <v/>
      </c>
      <c r="H286" s="22"/>
    </row>
    <row r="287" spans="1:8">
      <c r="A287" s="21"/>
      <c r="B287" s="22"/>
      <c r="C287" s="22"/>
      <c r="D287" s="22"/>
      <c r="E287" s="23" t="str">
        <f>IF($D287="","",IFERROR(VLOOKUP($D287,'ACAS Capital Tracker'!$A:$H,8,FALSE()),""))</f>
        <v/>
      </c>
      <c r="F287" s="24"/>
      <c r="G287" s="25" t="str">
        <f>IF($D287="","",IFERROR(VLOOKUP($D287,'ACAS Capital Tracker'!$A:$D,4,FALSE()),""))</f>
        <v/>
      </c>
      <c r="H287" s="22"/>
    </row>
    <row r="288" spans="1:8">
      <c r="A288" s="21"/>
      <c r="B288" s="22"/>
      <c r="C288" s="22"/>
      <c r="D288" s="22"/>
      <c r="E288" s="23" t="str">
        <f>IF($D288="","",IFERROR(VLOOKUP($D288,'ACAS Capital Tracker'!$A:$H,8,FALSE()),""))</f>
        <v/>
      </c>
      <c r="F288" s="24"/>
      <c r="G288" s="25" t="str">
        <f>IF($D288="","",IFERROR(VLOOKUP($D288,'ACAS Capital Tracker'!$A:$D,4,FALSE()),""))</f>
        <v/>
      </c>
      <c r="H288" s="22"/>
    </row>
    <row r="289" spans="1:8">
      <c r="A289" s="21"/>
      <c r="B289" s="22"/>
      <c r="C289" s="22"/>
      <c r="D289" s="22"/>
      <c r="E289" s="23" t="str">
        <f>IF($D289="","",IFERROR(VLOOKUP($D289,'ACAS Capital Tracker'!$A:$H,8,FALSE()),""))</f>
        <v/>
      </c>
      <c r="F289" s="24"/>
      <c r="G289" s="25" t="str">
        <f>IF($D289="","",IFERROR(VLOOKUP($D289,'ACAS Capital Tracker'!$A:$D,4,FALSE()),""))</f>
        <v/>
      </c>
      <c r="H289" s="22"/>
    </row>
    <row r="290" spans="1:8">
      <c r="A290" s="21"/>
      <c r="B290" s="22"/>
      <c r="C290" s="22"/>
      <c r="D290" s="22"/>
      <c r="E290" s="23" t="str">
        <f>IF($D290="","",IFERROR(VLOOKUP($D290,'ACAS Capital Tracker'!$A:$H,8,FALSE()),""))</f>
        <v/>
      </c>
      <c r="F290" s="24"/>
      <c r="G290" s="25" t="str">
        <f>IF($D290="","",IFERROR(VLOOKUP($D290,'ACAS Capital Tracker'!$A:$D,4,FALSE()),""))</f>
        <v/>
      </c>
      <c r="H290" s="22"/>
    </row>
    <row r="291" spans="1:8">
      <c r="A291" s="21"/>
      <c r="B291" s="22"/>
      <c r="C291" s="22"/>
      <c r="D291" s="22"/>
      <c r="E291" s="23" t="str">
        <f>IF($D291="","",IFERROR(VLOOKUP($D291,'ACAS Capital Tracker'!$A:$H,8,FALSE()),""))</f>
        <v/>
      </c>
      <c r="F291" s="24"/>
      <c r="G291" s="25" t="str">
        <f>IF($D291="","",IFERROR(VLOOKUP($D291,'ACAS Capital Tracker'!$A:$D,4,FALSE()),""))</f>
        <v/>
      </c>
      <c r="H291" s="22"/>
    </row>
    <row r="292" spans="1:8">
      <c r="A292" s="21"/>
      <c r="B292" s="22"/>
      <c r="C292" s="22"/>
      <c r="D292" s="22"/>
      <c r="E292" s="23" t="str">
        <f>IF($D292="","",IFERROR(VLOOKUP($D292,'ACAS Capital Tracker'!$A:$H,8,FALSE()),""))</f>
        <v/>
      </c>
      <c r="F292" s="24"/>
      <c r="G292" s="25" t="str">
        <f>IF($D292="","",IFERROR(VLOOKUP($D292,'ACAS Capital Tracker'!$A:$D,4,FALSE()),""))</f>
        <v/>
      </c>
      <c r="H292" s="22"/>
    </row>
    <row r="293" spans="1:8">
      <c r="A293" s="21"/>
      <c r="B293" s="22"/>
      <c r="C293" s="22"/>
      <c r="D293" s="22"/>
      <c r="E293" s="23" t="str">
        <f>IF($D293="","",IFERROR(VLOOKUP($D293,'ACAS Capital Tracker'!$A:$H,8,FALSE()),""))</f>
        <v/>
      </c>
      <c r="F293" s="24"/>
      <c r="G293" s="25" t="str">
        <f>IF($D293="","",IFERROR(VLOOKUP($D293,'ACAS Capital Tracker'!$A:$D,4,FALSE()),""))</f>
        <v/>
      </c>
      <c r="H293" s="22"/>
    </row>
    <row r="294" spans="1:8">
      <c r="A294" s="21"/>
      <c r="B294" s="22"/>
      <c r="C294" s="22"/>
      <c r="D294" s="22"/>
      <c r="E294" s="23" t="str">
        <f>IF($D294="","",IFERROR(VLOOKUP($D294,'ACAS Capital Tracker'!$A:$H,8,FALSE()),""))</f>
        <v/>
      </c>
      <c r="F294" s="24"/>
      <c r="G294" s="25" t="str">
        <f>IF($D294="","",IFERROR(VLOOKUP($D294,'ACAS Capital Tracker'!$A:$D,4,FALSE()),""))</f>
        <v/>
      </c>
      <c r="H294" s="22"/>
    </row>
    <row r="295" spans="1:8">
      <c r="A295" s="21"/>
      <c r="B295" s="22"/>
      <c r="C295" s="22"/>
      <c r="D295" s="22"/>
      <c r="E295" s="23" t="str">
        <f>IF($D295="","",IFERROR(VLOOKUP($D295,'ACAS Capital Tracker'!$A:$H,8,FALSE()),""))</f>
        <v/>
      </c>
      <c r="F295" s="24"/>
      <c r="G295" s="25" t="str">
        <f>IF($D295="","",IFERROR(VLOOKUP($D295,'ACAS Capital Tracker'!$A:$D,4,FALSE()),""))</f>
        <v/>
      </c>
      <c r="H295" s="22"/>
    </row>
    <row r="296" spans="1:8">
      <c r="A296" s="21"/>
      <c r="B296" s="22"/>
      <c r="C296" s="22"/>
      <c r="D296" s="22"/>
      <c r="E296" s="23" t="str">
        <f>IF($D296="","",IFERROR(VLOOKUP($D296,'ACAS Capital Tracker'!$A:$H,8,FALSE()),""))</f>
        <v/>
      </c>
      <c r="F296" s="24"/>
      <c r="G296" s="25" t="str">
        <f>IF($D296="","",IFERROR(VLOOKUP($D296,'ACAS Capital Tracker'!$A:$D,4,FALSE()),""))</f>
        <v/>
      </c>
      <c r="H296" s="22"/>
    </row>
    <row r="297" spans="1:8">
      <c r="A297" s="21"/>
      <c r="B297" s="22"/>
      <c r="C297" s="22"/>
      <c r="D297" s="22"/>
      <c r="E297" s="23" t="str">
        <f>IF($D297="","",IFERROR(VLOOKUP($D297,'ACAS Capital Tracker'!$A:$H,8,FALSE()),""))</f>
        <v/>
      </c>
      <c r="F297" s="24"/>
      <c r="G297" s="25" t="str">
        <f>IF($D297="","",IFERROR(VLOOKUP($D297,'ACAS Capital Tracker'!$A:$D,4,FALSE()),""))</f>
        <v/>
      </c>
      <c r="H297" s="22"/>
    </row>
    <row r="298" spans="1:8">
      <c r="A298" s="21"/>
      <c r="B298" s="22"/>
      <c r="C298" s="22"/>
      <c r="D298" s="22"/>
      <c r="E298" s="23" t="str">
        <f>IF($D298="","",IFERROR(VLOOKUP($D298,'ACAS Capital Tracker'!$A:$H,8,FALSE()),""))</f>
        <v/>
      </c>
      <c r="F298" s="24"/>
      <c r="G298" s="25" t="str">
        <f>IF($D298="","",IFERROR(VLOOKUP($D298,'ACAS Capital Tracker'!$A:$D,4,FALSE()),""))</f>
        <v/>
      </c>
      <c r="H298" s="22"/>
    </row>
    <row r="299" spans="1:8">
      <c r="A299" s="21"/>
      <c r="B299" s="22"/>
      <c r="C299" s="22"/>
      <c r="D299" s="22"/>
      <c r="E299" s="23" t="str">
        <f>IF($D299="","",IFERROR(VLOOKUP($D299,'ACAS Capital Tracker'!$A:$H,8,FALSE()),""))</f>
        <v/>
      </c>
      <c r="F299" s="24"/>
      <c r="G299" s="25" t="str">
        <f>IF($D299="","",IFERROR(VLOOKUP($D299,'ACAS Capital Tracker'!$A:$D,4,FALSE()),""))</f>
        <v/>
      </c>
      <c r="H299" s="22"/>
    </row>
    <row r="300" spans="1:8">
      <c r="A300" s="21"/>
      <c r="B300" s="22"/>
      <c r="C300" s="22"/>
      <c r="D300" s="22"/>
      <c r="E300" s="23" t="str">
        <f>IF($D300="","",IFERROR(VLOOKUP($D300,'ACAS Capital Tracker'!$A:$H,8,FALSE()),""))</f>
        <v/>
      </c>
      <c r="F300" s="24"/>
      <c r="G300" s="25" t="str">
        <f>IF($D300="","",IFERROR(VLOOKUP($D300,'ACAS Capital Tracker'!$A:$D,4,FALSE()),""))</f>
        <v/>
      </c>
      <c r="H300" s="22"/>
    </row>
    <row r="301" spans="1:8">
      <c r="A301" s="21"/>
      <c r="B301" s="22"/>
      <c r="C301" s="22"/>
      <c r="D301" s="22"/>
      <c r="E301" s="23" t="str">
        <f>IF($D301="","",IFERROR(VLOOKUP($D301,'ACAS Capital Tracker'!$A:$H,8,FALSE()),""))</f>
        <v/>
      </c>
      <c r="F301" s="24"/>
      <c r="G301" s="25" t="str">
        <f>IF($D301="","",IFERROR(VLOOKUP($D301,'ACAS Capital Tracker'!$A:$D,4,FALSE()),""))</f>
        <v/>
      </c>
      <c r="H301" s="22"/>
    </row>
    <row r="302" spans="1:8">
      <c r="A302" s="21"/>
      <c r="B302" s="22"/>
      <c r="C302" s="22"/>
      <c r="D302" s="22"/>
      <c r="E302" s="23" t="str">
        <f>IF($D302="","",IFERROR(VLOOKUP($D302,'ACAS Capital Tracker'!$A:$H,8,FALSE()),""))</f>
        <v/>
      </c>
      <c r="F302" s="24"/>
      <c r="G302" s="25" t="str">
        <f>IF($D302="","",IFERROR(VLOOKUP($D302,'ACAS Capital Tracker'!$A:$D,4,FALSE()),""))</f>
        <v/>
      </c>
      <c r="H302" s="22"/>
    </row>
    <row r="303" spans="1:8">
      <c r="A303" s="21"/>
      <c r="B303" s="22"/>
      <c r="C303" s="22"/>
      <c r="D303" s="22"/>
      <c r="E303" s="23" t="str">
        <f>IF($D303="","",IFERROR(VLOOKUP($D303,'ACAS Capital Tracker'!$A:$H,8,FALSE()),""))</f>
        <v/>
      </c>
      <c r="F303" s="24"/>
      <c r="G303" s="25" t="str">
        <f>IF($D303="","",IFERROR(VLOOKUP($D303,'ACAS Capital Tracker'!$A:$D,4,FALSE()),""))</f>
        <v/>
      </c>
      <c r="H303" s="22"/>
    </row>
    <row r="304" spans="1:8">
      <c r="A304" s="21"/>
      <c r="B304" s="22"/>
      <c r="C304" s="22"/>
      <c r="D304" s="22"/>
      <c r="E304" s="23" t="str">
        <f>IF($D304="","",IFERROR(VLOOKUP($D304,'ACAS Capital Tracker'!$A:$H,8,FALSE()),""))</f>
        <v/>
      </c>
      <c r="F304" s="24"/>
      <c r="G304" s="25" t="str">
        <f>IF($D304="","",IFERROR(VLOOKUP($D304,'ACAS Capital Tracker'!$A:$D,4,FALSE()),""))</f>
        <v/>
      </c>
      <c r="H304" s="22"/>
    </row>
    <row r="305" spans="1:8">
      <c r="A305" s="21"/>
      <c r="B305" s="22"/>
      <c r="C305" s="22"/>
      <c r="D305" s="22"/>
      <c r="E305" s="23" t="str">
        <f>IF($D305="","",IFERROR(VLOOKUP($D305,'ACAS Capital Tracker'!$A:$H,8,FALSE()),""))</f>
        <v/>
      </c>
      <c r="F305" s="24"/>
      <c r="G305" s="25" t="str">
        <f>IF($D305="","",IFERROR(VLOOKUP($D305,'ACAS Capital Tracker'!$A:$D,4,FALSE()),""))</f>
        <v/>
      </c>
      <c r="H305" s="22"/>
    </row>
    <row r="306" spans="1:8">
      <c r="A306" s="21"/>
      <c r="B306" s="22"/>
      <c r="C306" s="22"/>
      <c r="D306" s="22"/>
      <c r="E306" s="23" t="str">
        <f>IF($D306="","",IFERROR(VLOOKUP($D306,'ACAS Capital Tracker'!$A:$H,8,FALSE()),""))</f>
        <v/>
      </c>
      <c r="F306" s="24"/>
      <c r="G306" s="25" t="str">
        <f>IF($D306="","",IFERROR(VLOOKUP($D306,'ACAS Capital Tracker'!$A:$D,4,FALSE()),""))</f>
        <v/>
      </c>
      <c r="H306" s="22"/>
    </row>
    <row r="307" spans="1:8">
      <c r="A307" s="21"/>
      <c r="B307" s="22"/>
      <c r="C307" s="22"/>
      <c r="D307" s="22"/>
      <c r="E307" s="23" t="str">
        <f>IF($D307="","",IFERROR(VLOOKUP($D307,'ACAS Capital Tracker'!$A:$H,8,FALSE()),""))</f>
        <v/>
      </c>
      <c r="F307" s="24"/>
      <c r="G307" s="25" t="str">
        <f>IF($D307="","",IFERROR(VLOOKUP($D307,'ACAS Capital Tracker'!$A:$D,4,FALSE()),""))</f>
        <v/>
      </c>
      <c r="H307" s="22"/>
    </row>
    <row r="308" spans="1:8">
      <c r="A308" s="21"/>
      <c r="B308" s="22"/>
      <c r="C308" s="22"/>
      <c r="D308" s="22"/>
      <c r="E308" s="23" t="str">
        <f>IF($D308="","",IFERROR(VLOOKUP($D308,'ACAS Capital Tracker'!$A:$H,8,FALSE()),""))</f>
        <v/>
      </c>
      <c r="F308" s="24"/>
      <c r="G308" s="25" t="str">
        <f>IF($D308="","",IFERROR(VLOOKUP($D308,'ACAS Capital Tracker'!$A:$D,4,FALSE()),""))</f>
        <v/>
      </c>
      <c r="H308" s="22"/>
    </row>
    <row r="309" spans="1:8">
      <c r="A309" s="21"/>
      <c r="B309" s="22"/>
      <c r="C309" s="22"/>
      <c r="D309" s="22"/>
      <c r="E309" s="23" t="str">
        <f>IF($D309="","",IFERROR(VLOOKUP($D309,'ACAS Capital Tracker'!$A:$H,8,FALSE()),""))</f>
        <v/>
      </c>
      <c r="F309" s="24"/>
      <c r="G309" s="25" t="str">
        <f>IF($D309="","",IFERROR(VLOOKUP($D309,'ACAS Capital Tracker'!$A:$D,4,FALSE()),""))</f>
        <v/>
      </c>
      <c r="H309" s="22"/>
    </row>
    <row r="310" spans="1:8">
      <c r="A310" s="21"/>
      <c r="B310" s="22"/>
      <c r="C310" s="22"/>
      <c r="D310" s="22"/>
      <c r="E310" s="23" t="str">
        <f>IF($D310="","",IFERROR(VLOOKUP($D310,'ACAS Capital Tracker'!$A:$H,8,FALSE()),""))</f>
        <v/>
      </c>
      <c r="F310" s="24"/>
      <c r="G310" s="25" t="str">
        <f>IF($D310="","",IFERROR(VLOOKUP($D310,'ACAS Capital Tracker'!$A:$D,4,FALSE()),""))</f>
        <v/>
      </c>
      <c r="H310" s="22"/>
    </row>
    <row r="311" spans="1:8">
      <c r="A311" s="21"/>
      <c r="B311" s="22"/>
      <c r="C311" s="22"/>
      <c r="D311" s="22"/>
      <c r="E311" s="23" t="str">
        <f>IF($D311="","",IFERROR(VLOOKUP($D311,'ACAS Capital Tracker'!$A:$H,8,FALSE()),""))</f>
        <v/>
      </c>
      <c r="F311" s="24"/>
      <c r="G311" s="25" t="str">
        <f>IF($D311="","",IFERROR(VLOOKUP($D311,'ACAS Capital Tracker'!$A:$D,4,FALSE()),""))</f>
        <v/>
      </c>
      <c r="H311" s="22"/>
    </row>
    <row r="312" spans="1:8">
      <c r="A312" s="21"/>
      <c r="B312" s="22"/>
      <c r="C312" s="22"/>
      <c r="D312" s="22"/>
      <c r="E312" s="23" t="str">
        <f>IF($D312="","",IFERROR(VLOOKUP($D312,'ACAS Capital Tracker'!$A:$H,8,FALSE()),""))</f>
        <v/>
      </c>
      <c r="F312" s="24"/>
      <c r="G312" s="25" t="str">
        <f>IF($D312="","",IFERROR(VLOOKUP($D312,'ACAS Capital Tracker'!$A:$D,4,FALSE()),""))</f>
        <v/>
      </c>
      <c r="H312" s="22"/>
    </row>
    <row r="313" spans="1:8">
      <c r="A313" s="21"/>
      <c r="B313" s="22"/>
      <c r="C313" s="22"/>
      <c r="D313" s="22"/>
      <c r="E313" s="23" t="str">
        <f>IF($D313="","",IFERROR(VLOOKUP($D313,'ACAS Capital Tracker'!$A:$H,8,FALSE()),""))</f>
        <v/>
      </c>
      <c r="F313" s="24"/>
      <c r="G313" s="25" t="str">
        <f>IF($D313="","",IFERROR(VLOOKUP($D313,'ACAS Capital Tracker'!$A:$D,4,FALSE()),""))</f>
        <v/>
      </c>
      <c r="H313" s="22"/>
    </row>
    <row r="314" spans="1:8">
      <c r="A314" s="21"/>
      <c r="B314" s="22"/>
      <c r="C314" s="22"/>
      <c r="D314" s="22"/>
      <c r="E314" s="23" t="str">
        <f>IF($D314="","",IFERROR(VLOOKUP($D314,'ACAS Capital Tracker'!$A:$H,8,FALSE()),""))</f>
        <v/>
      </c>
      <c r="F314" s="24"/>
      <c r="G314" s="25" t="str">
        <f>IF($D314="","",IFERROR(VLOOKUP($D314,'ACAS Capital Tracker'!$A:$D,4,FALSE()),""))</f>
        <v/>
      </c>
      <c r="H314" s="22"/>
    </row>
    <row r="315" spans="1:8">
      <c r="A315" s="21"/>
      <c r="B315" s="22"/>
      <c r="C315" s="22"/>
      <c r="D315" s="22"/>
      <c r="E315" s="23" t="str">
        <f>IF($D315="","",IFERROR(VLOOKUP($D315,'ACAS Capital Tracker'!$A:$H,8,FALSE()),""))</f>
        <v/>
      </c>
      <c r="F315" s="24"/>
      <c r="G315" s="25" t="str">
        <f>IF($D315="","",IFERROR(VLOOKUP($D315,'ACAS Capital Tracker'!$A:$D,4,FALSE()),""))</f>
        <v/>
      </c>
      <c r="H315" s="22"/>
    </row>
    <row r="316" spans="1:8">
      <c r="A316" s="21"/>
      <c r="B316" s="22"/>
      <c r="C316" s="22"/>
      <c r="D316" s="22"/>
      <c r="E316" s="23" t="str">
        <f>IF($D316="","",IFERROR(VLOOKUP($D316,'ACAS Capital Tracker'!$A:$H,8,FALSE()),""))</f>
        <v/>
      </c>
      <c r="F316" s="24"/>
      <c r="G316" s="25" t="str">
        <f>IF($D316="","",IFERROR(VLOOKUP($D316,'ACAS Capital Tracker'!$A:$D,4,FALSE()),""))</f>
        <v/>
      </c>
      <c r="H316" s="22"/>
    </row>
    <row r="317" spans="1:8">
      <c r="A317" s="21"/>
      <c r="B317" s="22"/>
      <c r="C317" s="22"/>
      <c r="D317" s="22"/>
      <c r="E317" s="23" t="str">
        <f>IF($D317="","",IFERROR(VLOOKUP($D317,'ACAS Capital Tracker'!$A:$H,8,FALSE()),""))</f>
        <v/>
      </c>
      <c r="F317" s="24"/>
      <c r="G317" s="25" t="str">
        <f>IF($D317="","",IFERROR(VLOOKUP($D317,'ACAS Capital Tracker'!$A:$D,4,FALSE()),""))</f>
        <v/>
      </c>
      <c r="H317" s="22"/>
    </row>
    <row r="318" spans="1:8">
      <c r="A318" s="21"/>
      <c r="B318" s="22"/>
      <c r="C318" s="22"/>
      <c r="D318" s="22"/>
      <c r="E318" s="23" t="str">
        <f>IF($D318="","",IFERROR(VLOOKUP($D318,'ACAS Capital Tracker'!$A:$H,8,FALSE()),""))</f>
        <v/>
      </c>
      <c r="F318" s="24"/>
      <c r="G318" s="25" t="str">
        <f>IF($D318="","",IFERROR(VLOOKUP($D318,'ACAS Capital Tracker'!$A:$D,4,FALSE()),""))</f>
        <v/>
      </c>
      <c r="H318" s="22"/>
    </row>
    <row r="319" spans="1:8">
      <c r="A319" s="21"/>
      <c r="B319" s="22"/>
      <c r="C319" s="22"/>
      <c r="D319" s="22"/>
      <c r="E319" s="23" t="str">
        <f>IF($D319="","",IFERROR(VLOOKUP($D319,'ACAS Capital Tracker'!$A:$H,8,FALSE()),""))</f>
        <v/>
      </c>
      <c r="F319" s="24"/>
      <c r="G319" s="25" t="str">
        <f>IF($D319="","",IFERROR(VLOOKUP($D319,'ACAS Capital Tracker'!$A:$D,4,FALSE()),""))</f>
        <v/>
      </c>
      <c r="H319" s="22"/>
    </row>
    <row r="320" spans="1:8">
      <c r="A320" s="21"/>
      <c r="B320" s="22"/>
      <c r="C320" s="22"/>
      <c r="D320" s="22"/>
      <c r="E320" s="23" t="str">
        <f>IF($D320="","",IFERROR(VLOOKUP($D320,'ACAS Capital Tracker'!$A:$H,8,FALSE()),""))</f>
        <v/>
      </c>
      <c r="F320" s="24"/>
      <c r="G320" s="25" t="str">
        <f>IF($D320="","",IFERROR(VLOOKUP($D320,'ACAS Capital Tracker'!$A:$D,4,FALSE()),""))</f>
        <v/>
      </c>
      <c r="H320" s="22"/>
    </row>
    <row r="321" spans="1:8">
      <c r="A321" s="21"/>
      <c r="B321" s="22"/>
      <c r="C321" s="22"/>
      <c r="D321" s="22"/>
      <c r="E321" s="23" t="str">
        <f>IF($D321="","",IFERROR(VLOOKUP($D321,'ACAS Capital Tracker'!$A:$H,8,FALSE()),""))</f>
        <v/>
      </c>
      <c r="F321" s="24"/>
      <c r="G321" s="25" t="str">
        <f>IF($D321="","",IFERROR(VLOOKUP($D321,'ACAS Capital Tracker'!$A:$D,4,FALSE()),""))</f>
        <v/>
      </c>
      <c r="H321" s="22"/>
    </row>
    <row r="322" spans="1:8">
      <c r="A322" s="21"/>
      <c r="B322" s="22"/>
      <c r="C322" s="22"/>
      <c r="D322" s="22"/>
      <c r="E322" s="23" t="str">
        <f>IF($D322="","",IFERROR(VLOOKUP($D322,'ACAS Capital Tracker'!$A:$H,8,FALSE()),""))</f>
        <v/>
      </c>
      <c r="F322" s="24"/>
      <c r="G322" s="25" t="str">
        <f>IF($D322="","",IFERROR(VLOOKUP($D322,'ACAS Capital Tracker'!$A:$D,4,FALSE()),""))</f>
        <v/>
      </c>
      <c r="H322" s="22"/>
    </row>
    <row r="323" spans="1:8">
      <c r="A323" s="21"/>
      <c r="B323" s="22"/>
      <c r="C323" s="22"/>
      <c r="D323" s="22"/>
      <c r="E323" s="23" t="str">
        <f>IF($D323="","",IFERROR(VLOOKUP($D323,'ACAS Capital Tracker'!$A:$H,8,FALSE()),""))</f>
        <v/>
      </c>
      <c r="F323" s="24"/>
      <c r="G323" s="25" t="str">
        <f>IF($D323="","",IFERROR(VLOOKUP($D323,'ACAS Capital Tracker'!$A:$D,4,FALSE()),""))</f>
        <v/>
      </c>
      <c r="H323" s="22"/>
    </row>
    <row r="324" spans="1:8">
      <c r="A324" s="21"/>
      <c r="B324" s="22"/>
      <c r="C324" s="22"/>
      <c r="D324" s="22"/>
      <c r="E324" s="23" t="str">
        <f>IF($D324="","",IFERROR(VLOOKUP($D324,'ACAS Capital Tracker'!$A:$H,8,FALSE()),""))</f>
        <v/>
      </c>
      <c r="F324" s="24"/>
      <c r="G324" s="25" t="str">
        <f>IF($D324="","",IFERROR(VLOOKUP($D324,'ACAS Capital Tracker'!$A:$D,4,FALSE()),""))</f>
        <v/>
      </c>
      <c r="H324" s="22"/>
    </row>
    <row r="325" spans="1:8">
      <c r="A325" s="21"/>
      <c r="B325" s="22"/>
      <c r="C325" s="22"/>
      <c r="D325" s="22"/>
      <c r="E325" s="23" t="str">
        <f>IF($D325="","",IFERROR(VLOOKUP($D325,'ACAS Capital Tracker'!$A:$H,8,FALSE()),""))</f>
        <v/>
      </c>
      <c r="F325" s="24"/>
      <c r="G325" s="25" t="str">
        <f>IF($D325="","",IFERROR(VLOOKUP($D325,'ACAS Capital Tracker'!$A:$D,4,FALSE()),""))</f>
        <v/>
      </c>
      <c r="H325" s="22"/>
    </row>
    <row r="326" spans="1:8">
      <c r="A326" s="21"/>
      <c r="B326" s="22"/>
      <c r="C326" s="22"/>
      <c r="D326" s="22"/>
      <c r="E326" s="23" t="str">
        <f>IF($D326="","",IFERROR(VLOOKUP($D326,'ACAS Capital Tracker'!$A:$H,8,FALSE()),""))</f>
        <v/>
      </c>
      <c r="F326" s="24"/>
      <c r="G326" s="25" t="str">
        <f>IF($D326="","",IFERROR(VLOOKUP($D326,'ACAS Capital Tracker'!$A:$D,4,FALSE()),""))</f>
        <v/>
      </c>
      <c r="H326" s="22"/>
    </row>
    <row r="327" spans="1:8">
      <c r="A327" s="21"/>
      <c r="B327" s="22"/>
      <c r="C327" s="22"/>
      <c r="D327" s="22"/>
      <c r="E327" s="23" t="str">
        <f>IF($D327="","",IFERROR(VLOOKUP($D327,'ACAS Capital Tracker'!$A:$H,8,FALSE()),""))</f>
        <v/>
      </c>
      <c r="F327" s="24"/>
      <c r="G327" s="25" t="str">
        <f>IF($D327="","",IFERROR(VLOOKUP($D327,'ACAS Capital Tracker'!$A:$D,4,FALSE()),""))</f>
        <v/>
      </c>
      <c r="H327" s="22"/>
    </row>
    <row r="328" spans="1:8">
      <c r="A328" s="21"/>
      <c r="B328" s="22"/>
      <c r="C328" s="22"/>
      <c r="D328" s="22"/>
      <c r="E328" s="23" t="str">
        <f>IF($D328="","",IFERROR(VLOOKUP($D328,'ACAS Capital Tracker'!$A:$H,8,FALSE()),""))</f>
        <v/>
      </c>
      <c r="F328" s="24"/>
      <c r="G328" s="25" t="str">
        <f>IF($D328="","",IFERROR(VLOOKUP($D328,'ACAS Capital Tracker'!$A:$D,4,FALSE()),""))</f>
        <v/>
      </c>
      <c r="H328" s="22"/>
    </row>
    <row r="329" spans="1:8">
      <c r="A329" s="21"/>
      <c r="B329" s="22"/>
      <c r="C329" s="22"/>
      <c r="D329" s="22"/>
      <c r="E329" s="23" t="str">
        <f>IF($D329="","",IFERROR(VLOOKUP($D329,'ACAS Capital Tracker'!$A:$H,8,FALSE()),""))</f>
        <v/>
      </c>
      <c r="F329" s="24"/>
      <c r="G329" s="25" t="str">
        <f>IF($D329="","",IFERROR(VLOOKUP($D329,'ACAS Capital Tracker'!$A:$D,4,FALSE()),""))</f>
        <v/>
      </c>
      <c r="H329" s="22"/>
    </row>
    <row r="330" spans="1:8">
      <c r="A330" s="21"/>
      <c r="B330" s="22"/>
      <c r="C330" s="22"/>
      <c r="D330" s="22"/>
      <c r="E330" s="23" t="str">
        <f>IF($D330="","",IFERROR(VLOOKUP($D330,'ACAS Capital Tracker'!$A:$H,8,FALSE()),""))</f>
        <v/>
      </c>
      <c r="F330" s="24"/>
      <c r="G330" s="25" t="str">
        <f>IF($D330="","",IFERROR(VLOOKUP($D330,'ACAS Capital Tracker'!$A:$D,4,FALSE()),""))</f>
        <v/>
      </c>
      <c r="H330" s="22"/>
    </row>
    <row r="331" spans="1:8">
      <c r="A331" s="21"/>
      <c r="B331" s="22"/>
      <c r="C331" s="22"/>
      <c r="D331" s="22"/>
      <c r="E331" s="23" t="str">
        <f>IF($D331="","",IFERROR(VLOOKUP($D331,'ACAS Capital Tracker'!$A:$H,8,FALSE()),""))</f>
        <v/>
      </c>
      <c r="F331" s="24"/>
      <c r="G331" s="25" t="str">
        <f>IF($D331="","",IFERROR(VLOOKUP($D331,'ACAS Capital Tracker'!$A:$D,4,FALSE()),""))</f>
        <v/>
      </c>
      <c r="H331" s="22"/>
    </row>
    <row r="332" spans="1:8">
      <c r="A332" s="21"/>
      <c r="B332" s="22"/>
      <c r="C332" s="22"/>
      <c r="D332" s="22"/>
      <c r="E332" s="23" t="str">
        <f>IF($D332="","",IFERROR(VLOOKUP($D332,'ACAS Capital Tracker'!$A:$H,8,FALSE()),""))</f>
        <v/>
      </c>
      <c r="F332" s="24"/>
      <c r="G332" s="25" t="str">
        <f>IF($D332="","",IFERROR(VLOOKUP($D332,'ACAS Capital Tracker'!$A:$D,4,FALSE()),""))</f>
        <v/>
      </c>
      <c r="H332" s="22"/>
    </row>
    <row r="333" spans="1:8">
      <c r="A333" s="21"/>
      <c r="B333" s="22"/>
      <c r="C333" s="22"/>
      <c r="D333" s="22"/>
      <c r="E333" s="23" t="str">
        <f>IF($D333="","",IFERROR(VLOOKUP($D333,'ACAS Capital Tracker'!$A:$H,8,FALSE()),""))</f>
        <v/>
      </c>
      <c r="F333" s="24"/>
      <c r="G333" s="25" t="str">
        <f>IF($D333="","",IFERROR(VLOOKUP($D333,'ACAS Capital Tracker'!$A:$D,4,FALSE()),""))</f>
        <v/>
      </c>
      <c r="H333" s="22"/>
    </row>
    <row r="334" spans="1:8">
      <c r="A334" s="21"/>
      <c r="B334" s="22"/>
      <c r="C334" s="22"/>
      <c r="D334" s="22"/>
      <c r="E334" s="23" t="str">
        <f>IF($D334="","",IFERROR(VLOOKUP($D334,'ACAS Capital Tracker'!$A:$H,8,FALSE()),""))</f>
        <v/>
      </c>
      <c r="F334" s="24"/>
      <c r="G334" s="25" t="str">
        <f>IF($D334="","",IFERROR(VLOOKUP($D334,'ACAS Capital Tracker'!$A:$D,4,FALSE()),""))</f>
        <v/>
      </c>
      <c r="H334" s="22"/>
    </row>
    <row r="335" spans="1:8">
      <c r="A335" s="21"/>
      <c r="B335" s="22"/>
      <c r="C335" s="22"/>
      <c r="D335" s="22"/>
      <c r="E335" s="23" t="str">
        <f>IF($D335="","",IFERROR(VLOOKUP($D335,'ACAS Capital Tracker'!$A:$H,8,FALSE()),""))</f>
        <v/>
      </c>
      <c r="F335" s="24"/>
      <c r="G335" s="25" t="str">
        <f>IF($D335="","",IFERROR(VLOOKUP($D335,'ACAS Capital Tracker'!$A:$D,4,FALSE()),""))</f>
        <v/>
      </c>
      <c r="H335" s="22"/>
    </row>
    <row r="336" spans="1:8">
      <c r="A336" s="21"/>
      <c r="B336" s="22"/>
      <c r="C336" s="22"/>
      <c r="D336" s="22"/>
      <c r="E336" s="23" t="str">
        <f>IF($D336="","",IFERROR(VLOOKUP($D336,'ACAS Capital Tracker'!$A:$H,8,FALSE()),""))</f>
        <v/>
      </c>
      <c r="F336" s="24"/>
      <c r="G336" s="25" t="str">
        <f>IF($D336="","",IFERROR(VLOOKUP($D336,'ACAS Capital Tracker'!$A:$D,4,FALSE()),""))</f>
        <v/>
      </c>
      <c r="H336" s="22"/>
    </row>
    <row r="337" spans="1:8">
      <c r="A337" s="21"/>
      <c r="B337" s="22"/>
      <c r="C337" s="22"/>
      <c r="D337" s="22"/>
      <c r="E337" s="23" t="str">
        <f>IF($D337="","",IFERROR(VLOOKUP($D337,'ACAS Capital Tracker'!$A:$H,8,FALSE()),""))</f>
        <v/>
      </c>
      <c r="F337" s="24"/>
      <c r="G337" s="25" t="str">
        <f>IF($D337="","",IFERROR(VLOOKUP($D337,'ACAS Capital Tracker'!$A:$D,4,FALSE()),""))</f>
        <v/>
      </c>
      <c r="H337" s="22"/>
    </row>
    <row r="338" spans="1:8">
      <c r="A338" s="21"/>
      <c r="B338" s="22"/>
      <c r="C338" s="22"/>
      <c r="D338" s="22"/>
      <c r="E338" s="23" t="str">
        <f>IF($D338="","",IFERROR(VLOOKUP($D338,'ACAS Capital Tracker'!$A:$H,8,FALSE()),""))</f>
        <v/>
      </c>
      <c r="F338" s="24"/>
      <c r="G338" s="25" t="str">
        <f>IF($D338="","",IFERROR(VLOOKUP($D338,'ACAS Capital Tracker'!$A:$D,4,FALSE()),""))</f>
        <v/>
      </c>
      <c r="H338" s="22"/>
    </row>
    <row r="339" spans="1:8">
      <c r="A339" s="21"/>
      <c r="B339" s="22"/>
      <c r="C339" s="22"/>
      <c r="D339" s="22"/>
      <c r="E339" s="23" t="str">
        <f>IF($D339="","",IFERROR(VLOOKUP($D339,'ACAS Capital Tracker'!$A:$H,8,FALSE()),""))</f>
        <v/>
      </c>
      <c r="F339" s="24"/>
      <c r="G339" s="25" t="str">
        <f>IF($D339="","",IFERROR(VLOOKUP($D339,'ACAS Capital Tracker'!$A:$D,4,FALSE()),""))</f>
        <v/>
      </c>
      <c r="H339" s="22"/>
    </row>
    <row r="340" spans="1:8">
      <c r="A340" s="21"/>
      <c r="B340" s="22"/>
      <c r="C340" s="22"/>
      <c r="D340" s="22"/>
      <c r="E340" s="23" t="str">
        <f>IF($D340="","",IFERROR(VLOOKUP($D340,'ACAS Capital Tracker'!$A:$H,8,FALSE()),""))</f>
        <v/>
      </c>
      <c r="F340" s="24"/>
      <c r="G340" s="25" t="str">
        <f>IF($D340="","",IFERROR(VLOOKUP($D340,'ACAS Capital Tracker'!$A:$D,4,FALSE()),""))</f>
        <v/>
      </c>
      <c r="H340" s="22"/>
    </row>
    <row r="341" spans="1:8">
      <c r="A341" s="21"/>
      <c r="B341" s="22"/>
      <c r="C341" s="22"/>
      <c r="D341" s="22"/>
      <c r="E341" s="23" t="str">
        <f>IF($D341="","",IFERROR(VLOOKUP($D341,'ACAS Capital Tracker'!$A:$H,8,FALSE()),""))</f>
        <v/>
      </c>
      <c r="F341" s="24"/>
      <c r="G341" s="25" t="str">
        <f>IF($D341="","",IFERROR(VLOOKUP($D341,'ACAS Capital Tracker'!$A:$D,4,FALSE()),""))</f>
        <v/>
      </c>
      <c r="H341" s="22"/>
    </row>
    <row r="342" spans="1:8">
      <c r="A342" s="21"/>
      <c r="B342" s="22"/>
      <c r="C342" s="22"/>
      <c r="D342" s="22"/>
      <c r="E342" s="23" t="str">
        <f>IF($D342="","",IFERROR(VLOOKUP($D342,'ACAS Capital Tracker'!$A:$H,8,FALSE()),""))</f>
        <v/>
      </c>
      <c r="F342" s="24"/>
      <c r="G342" s="25" t="str">
        <f>IF($D342="","",IFERROR(VLOOKUP($D342,'ACAS Capital Tracker'!$A:$D,4,FALSE()),""))</f>
        <v/>
      </c>
      <c r="H342" s="22"/>
    </row>
    <row r="343" spans="1:8">
      <c r="A343" s="21"/>
      <c r="B343" s="22"/>
      <c r="C343" s="22"/>
      <c r="D343" s="22"/>
      <c r="E343" s="23" t="str">
        <f>IF($D343="","",IFERROR(VLOOKUP($D343,'ACAS Capital Tracker'!$A:$H,8,FALSE()),""))</f>
        <v/>
      </c>
      <c r="F343" s="24"/>
      <c r="G343" s="25" t="str">
        <f>IF($D343="","",IFERROR(VLOOKUP($D343,'ACAS Capital Tracker'!$A:$D,4,FALSE()),""))</f>
        <v/>
      </c>
      <c r="H343" s="22"/>
    </row>
    <row r="344" spans="1:8">
      <c r="A344" s="21"/>
      <c r="B344" s="22"/>
      <c r="C344" s="22"/>
      <c r="D344" s="22"/>
      <c r="E344" s="23" t="str">
        <f>IF($D344="","",IFERROR(VLOOKUP($D344,'ACAS Capital Tracker'!$A:$H,8,FALSE()),""))</f>
        <v/>
      </c>
      <c r="F344" s="24"/>
      <c r="G344" s="25" t="str">
        <f>IF($D344="","",IFERROR(VLOOKUP($D344,'ACAS Capital Tracker'!$A:$D,4,FALSE()),""))</f>
        <v/>
      </c>
      <c r="H344" s="22"/>
    </row>
    <row r="345" spans="1:8">
      <c r="A345" s="21"/>
      <c r="B345" s="22"/>
      <c r="C345" s="22"/>
      <c r="D345" s="22"/>
      <c r="E345" s="23" t="str">
        <f>IF($D345="","",IFERROR(VLOOKUP($D345,'ACAS Capital Tracker'!$A:$H,8,FALSE()),""))</f>
        <v/>
      </c>
      <c r="F345" s="24"/>
      <c r="G345" s="25" t="str">
        <f>IF($D345="","",IFERROR(VLOOKUP($D345,'ACAS Capital Tracker'!$A:$D,4,FALSE()),""))</f>
        <v/>
      </c>
      <c r="H345" s="22"/>
    </row>
    <row r="346" spans="1:8">
      <c r="A346" s="21"/>
      <c r="B346" s="22"/>
      <c r="C346" s="22"/>
      <c r="D346" s="22"/>
      <c r="E346" s="23" t="str">
        <f>IF($D346="","",IFERROR(VLOOKUP($D346,'ACAS Capital Tracker'!$A:$H,8,FALSE()),""))</f>
        <v/>
      </c>
      <c r="F346" s="24"/>
      <c r="G346" s="25" t="str">
        <f>IF($D346="","",IFERROR(VLOOKUP($D346,'ACAS Capital Tracker'!$A:$D,4,FALSE()),""))</f>
        <v/>
      </c>
      <c r="H346" s="22"/>
    </row>
    <row r="347" spans="1:8">
      <c r="A347" s="21"/>
      <c r="B347" s="22"/>
      <c r="C347" s="22"/>
      <c r="D347" s="22"/>
      <c r="E347" s="23" t="str">
        <f>IF($D347="","",IFERROR(VLOOKUP($D347,'ACAS Capital Tracker'!$A:$H,8,FALSE()),""))</f>
        <v/>
      </c>
      <c r="F347" s="24"/>
      <c r="G347" s="25" t="str">
        <f>IF($D347="","",IFERROR(VLOOKUP($D347,'ACAS Capital Tracker'!$A:$D,4,FALSE()),""))</f>
        <v/>
      </c>
      <c r="H347" s="22"/>
    </row>
    <row r="348" spans="1:8">
      <c r="A348" s="21"/>
      <c r="B348" s="22"/>
      <c r="C348" s="22"/>
      <c r="D348" s="22"/>
      <c r="E348" s="23" t="str">
        <f>IF($D348="","",IFERROR(VLOOKUP($D348,'ACAS Capital Tracker'!$A:$H,8,FALSE()),""))</f>
        <v/>
      </c>
      <c r="F348" s="24"/>
      <c r="G348" s="25" t="str">
        <f>IF($D348="","",IFERROR(VLOOKUP($D348,'ACAS Capital Tracker'!$A:$D,4,FALSE()),""))</f>
        <v/>
      </c>
      <c r="H348" s="22"/>
    </row>
    <row r="349" spans="1:8">
      <c r="A349" s="21"/>
      <c r="B349" s="22"/>
      <c r="C349" s="22"/>
      <c r="D349" s="22"/>
      <c r="E349" s="23" t="str">
        <f>IF($D349="","",IFERROR(VLOOKUP($D349,'ACAS Capital Tracker'!$A:$H,8,FALSE()),""))</f>
        <v/>
      </c>
      <c r="F349" s="24"/>
      <c r="G349" s="25" t="str">
        <f>IF($D349="","",IFERROR(VLOOKUP($D349,'ACAS Capital Tracker'!$A:$D,4,FALSE()),""))</f>
        <v/>
      </c>
      <c r="H349" s="22"/>
    </row>
    <row r="350" spans="1:8">
      <c r="A350" s="21"/>
      <c r="B350" s="22"/>
      <c r="C350" s="22"/>
      <c r="D350" s="22"/>
      <c r="E350" s="23" t="str">
        <f>IF($D350="","",IFERROR(VLOOKUP($D350,'ACAS Capital Tracker'!$A:$H,8,FALSE()),""))</f>
        <v/>
      </c>
      <c r="F350" s="24"/>
      <c r="G350" s="25" t="str">
        <f>IF($D350="","",IFERROR(VLOOKUP($D350,'ACAS Capital Tracker'!$A:$D,4,FALSE()),""))</f>
        <v/>
      </c>
      <c r="H350" s="22"/>
    </row>
    <row r="351" spans="1:8">
      <c r="A351" s="21"/>
      <c r="B351" s="22"/>
      <c r="C351" s="22"/>
      <c r="D351" s="22"/>
      <c r="E351" s="23" t="str">
        <f>IF($D351="","",IFERROR(VLOOKUP($D351,'ACAS Capital Tracker'!$A:$H,8,FALSE()),""))</f>
        <v/>
      </c>
      <c r="F351" s="24"/>
      <c r="G351" s="25" t="str">
        <f>IF($D351="","",IFERROR(VLOOKUP($D351,'ACAS Capital Tracker'!$A:$D,4,FALSE()),""))</f>
        <v/>
      </c>
      <c r="H351" s="22"/>
    </row>
    <row r="352" spans="1:8">
      <c r="A352" s="21"/>
      <c r="B352" s="22"/>
      <c r="C352" s="22"/>
      <c r="D352" s="22"/>
      <c r="E352" s="23" t="str">
        <f>IF($D352="","",IFERROR(VLOOKUP($D352,'ACAS Capital Tracker'!$A:$H,8,FALSE()),""))</f>
        <v/>
      </c>
      <c r="F352" s="24"/>
      <c r="G352" s="25" t="str">
        <f>IF($D352="","",IFERROR(VLOOKUP($D352,'ACAS Capital Tracker'!$A:$D,4,FALSE()),""))</f>
        <v/>
      </c>
      <c r="H352" s="22"/>
    </row>
    <row r="353" spans="1:8">
      <c r="A353" s="21"/>
      <c r="B353" s="22"/>
      <c r="C353" s="22"/>
      <c r="D353" s="22"/>
      <c r="E353" s="23" t="str">
        <f>IF($D353="","",IFERROR(VLOOKUP($D353,'ACAS Capital Tracker'!$A:$H,8,FALSE()),""))</f>
        <v/>
      </c>
      <c r="F353" s="24"/>
      <c r="G353" s="25" t="str">
        <f>IF($D353="","",IFERROR(VLOOKUP($D353,'ACAS Capital Tracker'!$A:$D,4,FALSE()),""))</f>
        <v/>
      </c>
      <c r="H353" s="22"/>
    </row>
    <row r="354" spans="1:8">
      <c r="A354" s="21"/>
      <c r="B354" s="22"/>
      <c r="C354" s="22"/>
      <c r="D354" s="22"/>
      <c r="E354" s="23" t="str">
        <f>IF($D354="","",IFERROR(VLOOKUP($D354,'ACAS Capital Tracker'!$A:$H,8,FALSE()),""))</f>
        <v/>
      </c>
      <c r="F354" s="24"/>
      <c r="G354" s="25" t="str">
        <f>IF($D354="","",IFERROR(VLOOKUP($D354,'ACAS Capital Tracker'!$A:$D,4,FALSE()),""))</f>
        <v/>
      </c>
      <c r="H354" s="22"/>
    </row>
    <row r="355" spans="1:8">
      <c r="A355" s="21"/>
      <c r="B355" s="22"/>
      <c r="C355" s="22"/>
      <c r="D355" s="22"/>
      <c r="E355" s="23" t="str">
        <f>IF($D355="","",IFERROR(VLOOKUP($D355,'ACAS Capital Tracker'!$A:$H,8,FALSE()),""))</f>
        <v/>
      </c>
      <c r="F355" s="24"/>
      <c r="G355" s="25" t="str">
        <f>IF($D355="","",IFERROR(VLOOKUP($D355,'ACAS Capital Tracker'!$A:$D,4,FALSE()),""))</f>
        <v/>
      </c>
      <c r="H355" s="22"/>
    </row>
    <row r="356" spans="1:8">
      <c r="A356" s="21"/>
      <c r="B356" s="22"/>
      <c r="C356" s="22"/>
      <c r="D356" s="22"/>
      <c r="E356" s="23" t="str">
        <f>IF($D356="","",IFERROR(VLOOKUP($D356,'ACAS Capital Tracker'!$A:$H,8,FALSE()),""))</f>
        <v/>
      </c>
      <c r="F356" s="24"/>
      <c r="G356" s="25" t="str">
        <f>IF($D356="","",IFERROR(VLOOKUP($D356,'ACAS Capital Tracker'!$A:$D,4,FALSE()),""))</f>
        <v/>
      </c>
      <c r="H356" s="22"/>
    </row>
    <row r="357" spans="1:8">
      <c r="A357" s="21"/>
      <c r="B357" s="22"/>
      <c r="C357" s="22"/>
      <c r="D357" s="22"/>
      <c r="E357" s="23" t="str">
        <f>IF($D357="","",IFERROR(VLOOKUP($D357,'ACAS Capital Tracker'!$A:$H,8,FALSE()),""))</f>
        <v/>
      </c>
      <c r="F357" s="24"/>
      <c r="G357" s="25" t="str">
        <f>IF($D357="","",IFERROR(VLOOKUP($D357,'ACAS Capital Tracker'!$A:$D,4,FALSE()),""))</f>
        <v/>
      </c>
      <c r="H357" s="22"/>
    </row>
    <row r="358" spans="1:8">
      <c r="A358" s="21"/>
      <c r="B358" s="22"/>
      <c r="C358" s="22"/>
      <c r="D358" s="22"/>
      <c r="E358" s="23" t="str">
        <f>IF($D358="","",IFERROR(VLOOKUP($D358,'ACAS Capital Tracker'!$A:$H,8,FALSE()),""))</f>
        <v/>
      </c>
      <c r="F358" s="24"/>
      <c r="G358" s="25" t="str">
        <f>IF($D358="","",IFERROR(VLOOKUP($D358,'ACAS Capital Tracker'!$A:$D,4,FALSE()),""))</f>
        <v/>
      </c>
      <c r="H358" s="22"/>
    </row>
    <row r="359" spans="1:8">
      <c r="A359" s="21"/>
      <c r="B359" s="22"/>
      <c r="C359" s="22"/>
      <c r="D359" s="22"/>
      <c r="E359" s="23" t="str">
        <f>IF($D359="","",IFERROR(VLOOKUP($D359,'ACAS Capital Tracker'!$A:$H,8,FALSE()),""))</f>
        <v/>
      </c>
      <c r="F359" s="24"/>
      <c r="G359" s="25" t="str">
        <f>IF($D359="","",IFERROR(VLOOKUP($D359,'ACAS Capital Tracker'!$A:$D,4,FALSE()),""))</f>
        <v/>
      </c>
      <c r="H359" s="22"/>
    </row>
    <row r="360" spans="1:8">
      <c r="A360" s="21"/>
      <c r="B360" s="22"/>
      <c r="C360" s="22"/>
      <c r="D360" s="22"/>
      <c r="E360" s="23" t="str">
        <f>IF($D360="","",IFERROR(VLOOKUP($D360,'ACAS Capital Tracker'!$A:$H,8,FALSE()),""))</f>
        <v/>
      </c>
      <c r="F360" s="24"/>
      <c r="G360" s="25" t="str">
        <f>IF($D360="","",IFERROR(VLOOKUP($D360,'ACAS Capital Tracker'!$A:$D,4,FALSE()),""))</f>
        <v/>
      </c>
      <c r="H360" s="22"/>
    </row>
    <row r="361" spans="1:8">
      <c r="A361" s="21"/>
      <c r="B361" s="22"/>
      <c r="C361" s="22"/>
      <c r="D361" s="22"/>
      <c r="E361" s="23" t="str">
        <f>IF($D361="","",IFERROR(VLOOKUP($D361,'ACAS Capital Tracker'!$A:$H,8,FALSE()),""))</f>
        <v/>
      </c>
      <c r="F361" s="24"/>
      <c r="G361" s="25" t="str">
        <f>IF($D361="","",IFERROR(VLOOKUP($D361,'ACAS Capital Tracker'!$A:$D,4,FALSE()),""))</f>
        <v/>
      </c>
      <c r="H361" s="22"/>
    </row>
    <row r="362" spans="1:8">
      <c r="A362" s="21"/>
      <c r="B362" s="22"/>
      <c r="C362" s="22"/>
      <c r="D362" s="22"/>
      <c r="E362" s="23" t="str">
        <f>IF($D362="","",IFERROR(VLOOKUP($D362,'ACAS Capital Tracker'!$A:$H,8,FALSE()),""))</f>
        <v/>
      </c>
      <c r="F362" s="24"/>
      <c r="G362" s="25" t="str">
        <f>IF($D362="","",IFERROR(VLOOKUP($D362,'ACAS Capital Tracker'!$A:$D,4,FALSE()),""))</f>
        <v/>
      </c>
      <c r="H362" s="22"/>
    </row>
    <row r="363" spans="1:8">
      <c r="A363" s="21"/>
      <c r="B363" s="22"/>
      <c r="C363" s="22"/>
      <c r="D363" s="22"/>
      <c r="E363" s="23" t="str">
        <f>IF($D363="","",IFERROR(VLOOKUP($D363,'ACAS Capital Tracker'!$A:$H,8,FALSE()),""))</f>
        <v/>
      </c>
      <c r="F363" s="24"/>
      <c r="G363" s="25" t="str">
        <f>IF($D363="","",IFERROR(VLOOKUP($D363,'ACAS Capital Tracker'!$A:$D,4,FALSE()),""))</f>
        <v/>
      </c>
      <c r="H363" s="22"/>
    </row>
    <row r="364" spans="1:8">
      <c r="A364" s="21"/>
      <c r="B364" s="22"/>
      <c r="C364" s="22"/>
      <c r="D364" s="22"/>
      <c r="E364" s="23" t="str">
        <f>IF($D364="","",IFERROR(VLOOKUP($D364,'ACAS Capital Tracker'!$A:$H,8,FALSE()),""))</f>
        <v/>
      </c>
      <c r="F364" s="24"/>
      <c r="G364" s="25" t="str">
        <f>IF($D364="","",IFERROR(VLOOKUP($D364,'ACAS Capital Tracker'!$A:$D,4,FALSE()),""))</f>
        <v/>
      </c>
      <c r="H364" s="22"/>
    </row>
    <row r="365" spans="1:8">
      <c r="A365" s="21"/>
      <c r="B365" s="22"/>
      <c r="C365" s="22"/>
      <c r="D365" s="22"/>
      <c r="E365" s="23" t="str">
        <f>IF($D365="","",IFERROR(VLOOKUP($D365,'ACAS Capital Tracker'!$A:$H,8,FALSE()),""))</f>
        <v/>
      </c>
      <c r="F365" s="24"/>
      <c r="G365" s="25" t="str">
        <f>IF($D365="","",IFERROR(VLOOKUP($D365,'ACAS Capital Tracker'!$A:$D,4,FALSE()),""))</f>
        <v/>
      </c>
      <c r="H365" s="22"/>
    </row>
    <row r="366" spans="1:8">
      <c r="A366" s="21"/>
      <c r="B366" s="22"/>
      <c r="C366" s="22"/>
      <c r="D366" s="22"/>
      <c r="E366" s="23" t="str">
        <f>IF($D366="","",IFERROR(VLOOKUP($D366,'ACAS Capital Tracker'!$A:$H,8,FALSE()),""))</f>
        <v/>
      </c>
      <c r="F366" s="24"/>
      <c r="G366" s="25" t="str">
        <f>IF($D366="","",IFERROR(VLOOKUP($D366,'ACAS Capital Tracker'!$A:$D,4,FALSE()),""))</f>
        <v/>
      </c>
      <c r="H366" s="22"/>
    </row>
    <row r="367" spans="1:8">
      <c r="A367" s="21"/>
      <c r="B367" s="22"/>
      <c r="C367" s="22"/>
      <c r="D367" s="22"/>
      <c r="E367" s="23" t="str">
        <f>IF($D367="","",IFERROR(VLOOKUP($D367,'ACAS Capital Tracker'!$A:$H,8,FALSE()),""))</f>
        <v/>
      </c>
      <c r="F367" s="24"/>
      <c r="G367" s="25" t="str">
        <f>IF($D367="","",IFERROR(VLOOKUP($D367,'ACAS Capital Tracker'!$A:$D,4,FALSE()),""))</f>
        <v/>
      </c>
      <c r="H367" s="22"/>
    </row>
    <row r="368" spans="1:8">
      <c r="A368" s="21"/>
      <c r="B368" s="22"/>
      <c r="C368" s="22"/>
      <c r="D368" s="22"/>
      <c r="E368" s="23" t="str">
        <f>IF($D368="","",IFERROR(VLOOKUP($D368,'ACAS Capital Tracker'!$A:$H,8,FALSE()),""))</f>
        <v/>
      </c>
      <c r="F368" s="24"/>
      <c r="G368" s="25" t="str">
        <f>IF($D368="","",IFERROR(VLOOKUP($D368,'ACAS Capital Tracker'!$A:$D,4,FALSE()),""))</f>
        <v/>
      </c>
      <c r="H368" s="22"/>
    </row>
    <row r="369" spans="1:8">
      <c r="A369" s="21"/>
      <c r="B369" s="22"/>
      <c r="C369" s="22"/>
      <c r="D369" s="22"/>
      <c r="E369" s="23" t="str">
        <f>IF($D369="","",IFERROR(VLOOKUP($D369,'ACAS Capital Tracker'!$A:$H,8,FALSE()),""))</f>
        <v/>
      </c>
      <c r="F369" s="24"/>
      <c r="G369" s="25" t="str">
        <f>IF($D369="","",IFERROR(VLOOKUP($D369,'ACAS Capital Tracker'!$A:$D,4,FALSE()),""))</f>
        <v/>
      </c>
      <c r="H369" s="22"/>
    </row>
    <row r="370" spans="1:8">
      <c r="A370" s="21"/>
      <c r="B370" s="22"/>
      <c r="C370" s="22"/>
      <c r="D370" s="22"/>
      <c r="E370" s="23" t="str">
        <f>IF($D370="","",IFERROR(VLOOKUP($D370,'ACAS Capital Tracker'!$A:$H,8,FALSE()),""))</f>
        <v/>
      </c>
      <c r="F370" s="24"/>
      <c r="G370" s="25" t="str">
        <f>IF($D370="","",IFERROR(VLOOKUP($D370,'ACAS Capital Tracker'!$A:$D,4,FALSE()),""))</f>
        <v/>
      </c>
      <c r="H370" s="22"/>
    </row>
    <row r="371" spans="1:8">
      <c r="A371" s="21"/>
      <c r="B371" s="22"/>
      <c r="C371" s="22"/>
      <c r="D371" s="22"/>
      <c r="E371" s="23" t="str">
        <f>IF($D371="","",IFERROR(VLOOKUP($D371,'ACAS Capital Tracker'!$A:$H,8,FALSE()),""))</f>
        <v/>
      </c>
      <c r="F371" s="24"/>
      <c r="G371" s="25" t="str">
        <f>IF($D371="","",IFERROR(VLOOKUP($D371,'ACAS Capital Tracker'!$A:$D,4,FALSE()),""))</f>
        <v/>
      </c>
      <c r="H371" s="22"/>
    </row>
    <row r="372" spans="1:8">
      <c r="A372" s="21"/>
      <c r="B372" s="22"/>
      <c r="C372" s="22"/>
      <c r="D372" s="22"/>
      <c r="E372" s="23" t="str">
        <f>IF($D372="","",IFERROR(VLOOKUP($D372,'ACAS Capital Tracker'!$A:$H,8,FALSE()),""))</f>
        <v/>
      </c>
      <c r="F372" s="24"/>
      <c r="G372" s="25" t="str">
        <f>IF($D372="","",IFERROR(VLOOKUP($D372,'ACAS Capital Tracker'!$A:$D,4,FALSE()),""))</f>
        <v/>
      </c>
      <c r="H372" s="22"/>
    </row>
    <row r="373" spans="1:8">
      <c r="A373" s="21"/>
      <c r="B373" s="22"/>
      <c r="C373" s="22"/>
      <c r="D373" s="22"/>
      <c r="E373" s="23" t="str">
        <f>IF($D373="","",IFERROR(VLOOKUP($D373,'ACAS Capital Tracker'!$A:$H,8,FALSE()),""))</f>
        <v/>
      </c>
      <c r="F373" s="24"/>
      <c r="G373" s="25" t="str">
        <f>IF($D373="","",IFERROR(VLOOKUP($D373,'ACAS Capital Tracker'!$A:$D,4,FALSE()),""))</f>
        <v/>
      </c>
      <c r="H373" s="22"/>
    </row>
    <row r="374" spans="1:8">
      <c r="A374" s="21"/>
      <c r="B374" s="22"/>
      <c r="C374" s="22"/>
      <c r="D374" s="22"/>
      <c r="E374" s="23" t="str">
        <f>IF($D374="","",IFERROR(VLOOKUP($D374,'ACAS Capital Tracker'!$A:$H,8,FALSE()),""))</f>
        <v/>
      </c>
      <c r="F374" s="24"/>
      <c r="G374" s="25" t="str">
        <f>IF($D374="","",IFERROR(VLOOKUP($D374,'ACAS Capital Tracker'!$A:$D,4,FALSE()),""))</f>
        <v/>
      </c>
      <c r="H374" s="22"/>
    </row>
    <row r="375" spans="1:8">
      <c r="A375" s="21"/>
      <c r="B375" s="22"/>
      <c r="C375" s="22"/>
      <c r="D375" s="22"/>
      <c r="E375" s="23" t="str">
        <f>IF($D375="","",IFERROR(VLOOKUP($D375,'ACAS Capital Tracker'!$A:$H,8,FALSE()),""))</f>
        <v/>
      </c>
      <c r="F375" s="24"/>
      <c r="G375" s="25" t="str">
        <f>IF($D375="","",IFERROR(VLOOKUP($D375,'ACAS Capital Tracker'!$A:$D,4,FALSE()),""))</f>
        <v/>
      </c>
      <c r="H375" s="22"/>
    </row>
    <row r="376" spans="1:8">
      <c r="A376" s="21"/>
      <c r="B376" s="22"/>
      <c r="C376" s="22"/>
      <c r="D376" s="22"/>
      <c r="E376" s="23" t="str">
        <f>IF($D376="","",IFERROR(VLOOKUP($D376,'ACAS Capital Tracker'!$A:$H,8,FALSE()),""))</f>
        <v/>
      </c>
      <c r="F376" s="24"/>
      <c r="G376" s="25" t="str">
        <f>IF($D376="","",IFERROR(VLOOKUP($D376,'ACAS Capital Tracker'!$A:$D,4,FALSE()),""))</f>
        <v/>
      </c>
      <c r="H376" s="22"/>
    </row>
    <row r="377" spans="1:8">
      <c r="A377" s="21"/>
      <c r="B377" s="22"/>
      <c r="C377" s="22"/>
      <c r="D377" s="22"/>
      <c r="E377" s="23" t="str">
        <f>IF($D377="","",IFERROR(VLOOKUP($D377,'ACAS Capital Tracker'!$A:$H,8,FALSE()),""))</f>
        <v/>
      </c>
      <c r="F377" s="24"/>
      <c r="G377" s="25" t="str">
        <f>IF($D377="","",IFERROR(VLOOKUP($D377,'ACAS Capital Tracker'!$A:$D,4,FALSE()),""))</f>
        <v/>
      </c>
      <c r="H377" s="22"/>
    </row>
    <row r="378" spans="1:8">
      <c r="A378" s="21"/>
      <c r="B378" s="22"/>
      <c r="C378" s="22"/>
      <c r="D378" s="22"/>
      <c r="E378" s="23" t="str">
        <f>IF($D378="","",IFERROR(VLOOKUP($D378,'ACAS Capital Tracker'!$A:$H,8,FALSE()),""))</f>
        <v/>
      </c>
      <c r="F378" s="24"/>
      <c r="G378" s="25" t="str">
        <f>IF($D378="","",IFERROR(VLOOKUP($D378,'ACAS Capital Tracker'!$A:$D,4,FALSE()),""))</f>
        <v/>
      </c>
      <c r="H378" s="22"/>
    </row>
    <row r="379" spans="1:8">
      <c r="A379" s="21"/>
      <c r="B379" s="22"/>
      <c r="C379" s="22"/>
      <c r="D379" s="22"/>
      <c r="E379" s="23" t="str">
        <f>IF($D379="","",IFERROR(VLOOKUP($D379,'ACAS Capital Tracker'!$A:$H,8,FALSE()),""))</f>
        <v/>
      </c>
      <c r="F379" s="24"/>
      <c r="G379" s="25" t="str">
        <f>IF($D379="","",IFERROR(VLOOKUP($D379,'ACAS Capital Tracker'!$A:$D,4,FALSE()),""))</f>
        <v/>
      </c>
      <c r="H379" s="22"/>
    </row>
    <row r="380" spans="1:8">
      <c r="A380" s="21"/>
      <c r="B380" s="22"/>
      <c r="C380" s="22"/>
      <c r="D380" s="22"/>
      <c r="E380" s="23" t="str">
        <f>IF($D380="","",IFERROR(VLOOKUP($D380,'ACAS Capital Tracker'!$A:$H,8,FALSE()),""))</f>
        <v/>
      </c>
      <c r="F380" s="24"/>
      <c r="G380" s="25" t="str">
        <f>IF($D380="","",IFERROR(VLOOKUP($D380,'ACAS Capital Tracker'!$A:$D,4,FALSE()),""))</f>
        <v/>
      </c>
      <c r="H380" s="22"/>
    </row>
    <row r="381" spans="1:8">
      <c r="A381" s="21"/>
      <c r="B381" s="22"/>
      <c r="C381" s="22"/>
      <c r="D381" s="22"/>
      <c r="E381" s="23" t="str">
        <f>IF($D381="","",IFERROR(VLOOKUP($D381,'ACAS Capital Tracker'!$A:$H,8,FALSE()),""))</f>
        <v/>
      </c>
      <c r="F381" s="24"/>
      <c r="G381" s="25" t="str">
        <f>IF($D381="","",IFERROR(VLOOKUP($D381,'ACAS Capital Tracker'!$A:$D,4,FALSE()),""))</f>
        <v/>
      </c>
      <c r="H381" s="22"/>
    </row>
    <row r="382" spans="1:8">
      <c r="A382" s="21"/>
      <c r="B382" s="22"/>
      <c r="C382" s="22"/>
      <c r="D382" s="22"/>
      <c r="E382" s="23" t="str">
        <f>IF($D382="","",IFERROR(VLOOKUP($D382,'ACAS Capital Tracker'!$A:$H,8,FALSE()),""))</f>
        <v/>
      </c>
      <c r="F382" s="24"/>
      <c r="G382" s="25" t="str">
        <f>IF($D382="","",IFERROR(VLOOKUP($D382,'ACAS Capital Tracker'!$A:$D,4,FALSE()),""))</f>
        <v/>
      </c>
      <c r="H382" s="22"/>
    </row>
    <row r="383" spans="1:8">
      <c r="A383" s="21"/>
      <c r="B383" s="22"/>
      <c r="C383" s="22"/>
      <c r="D383" s="22"/>
      <c r="E383" s="23" t="str">
        <f>IF($D383="","",IFERROR(VLOOKUP($D383,'ACAS Capital Tracker'!$A:$H,8,FALSE()),""))</f>
        <v/>
      </c>
      <c r="F383" s="24"/>
      <c r="G383" s="25" t="str">
        <f>IF($D383="","",IFERROR(VLOOKUP($D383,'ACAS Capital Tracker'!$A:$D,4,FALSE()),""))</f>
        <v/>
      </c>
      <c r="H383" s="22"/>
    </row>
    <row r="384" spans="1:8">
      <c r="A384" s="21"/>
      <c r="B384" s="22"/>
      <c r="C384" s="22"/>
      <c r="D384" s="22"/>
      <c r="E384" s="23" t="str">
        <f>IF($D384="","",IFERROR(VLOOKUP($D384,'ACAS Capital Tracker'!$A:$H,8,FALSE()),""))</f>
        <v/>
      </c>
      <c r="F384" s="24"/>
      <c r="G384" s="25" t="str">
        <f>IF($D384="","",IFERROR(VLOOKUP($D384,'ACAS Capital Tracker'!$A:$D,4,FALSE()),""))</f>
        <v/>
      </c>
      <c r="H384" s="22"/>
    </row>
    <row r="385" spans="1:8">
      <c r="A385" s="21"/>
      <c r="B385" s="22"/>
      <c r="C385" s="22"/>
      <c r="D385" s="22"/>
      <c r="E385" s="23" t="str">
        <f>IF($D385="","",IFERROR(VLOOKUP($D385,'ACAS Capital Tracker'!$A:$H,8,FALSE()),""))</f>
        <v/>
      </c>
      <c r="F385" s="24"/>
      <c r="G385" s="25" t="str">
        <f>IF($D385="","",IFERROR(VLOOKUP($D385,'ACAS Capital Tracker'!$A:$D,4,FALSE()),""))</f>
        <v/>
      </c>
      <c r="H385" s="22"/>
    </row>
    <row r="386" spans="1:8">
      <c r="A386" s="21"/>
      <c r="B386" s="22"/>
      <c r="C386" s="22"/>
      <c r="D386" s="22"/>
      <c r="E386" s="23" t="str">
        <f>IF($D386="","",IFERROR(VLOOKUP($D386,'ACAS Capital Tracker'!$A:$H,8,FALSE()),""))</f>
        <v/>
      </c>
      <c r="F386" s="24"/>
      <c r="G386" s="25" t="str">
        <f>IF($D386="","",IFERROR(VLOOKUP($D386,'ACAS Capital Tracker'!$A:$D,4,FALSE()),""))</f>
        <v/>
      </c>
      <c r="H386" s="22"/>
    </row>
    <row r="387" spans="1:8">
      <c r="A387" s="21"/>
      <c r="B387" s="22"/>
      <c r="C387" s="22"/>
      <c r="D387" s="22"/>
      <c r="E387" s="23" t="str">
        <f>IF($D387="","",IFERROR(VLOOKUP($D387,'ACAS Capital Tracker'!$A:$H,8,FALSE()),""))</f>
        <v/>
      </c>
      <c r="F387" s="24"/>
      <c r="G387" s="25" t="str">
        <f>IF($D387="","",IFERROR(VLOOKUP($D387,'ACAS Capital Tracker'!$A:$D,4,FALSE()),""))</f>
        <v/>
      </c>
      <c r="H387" s="22"/>
    </row>
    <row r="388" spans="1:8">
      <c r="A388" s="21"/>
      <c r="B388" s="22"/>
      <c r="C388" s="22"/>
      <c r="D388" s="22"/>
      <c r="E388" s="23" t="str">
        <f>IF($D388="","",IFERROR(VLOOKUP($D388,'ACAS Capital Tracker'!$A:$H,8,FALSE()),""))</f>
        <v/>
      </c>
      <c r="F388" s="24"/>
      <c r="G388" s="25" t="str">
        <f>IF($D388="","",IFERROR(VLOOKUP($D388,'ACAS Capital Tracker'!$A:$D,4,FALSE()),""))</f>
        <v/>
      </c>
      <c r="H388" s="22"/>
    </row>
    <row r="389" spans="1:8">
      <c r="A389" s="21"/>
      <c r="B389" s="22"/>
      <c r="C389" s="22"/>
      <c r="D389" s="22"/>
      <c r="E389" s="23" t="str">
        <f>IF($D389="","",IFERROR(VLOOKUP($D389,'ACAS Capital Tracker'!$A:$H,8,FALSE()),""))</f>
        <v/>
      </c>
      <c r="F389" s="24"/>
      <c r="G389" s="25" t="str">
        <f>IF($D389="","",IFERROR(VLOOKUP($D389,'ACAS Capital Tracker'!$A:$D,4,FALSE()),""))</f>
        <v/>
      </c>
      <c r="H389" s="22"/>
    </row>
    <row r="390" spans="1:8">
      <c r="A390" s="21"/>
      <c r="B390" s="22"/>
      <c r="C390" s="22"/>
      <c r="D390" s="22"/>
      <c r="E390" s="23" t="str">
        <f>IF($D390="","",IFERROR(VLOOKUP($D390,'ACAS Capital Tracker'!$A:$H,8,FALSE()),""))</f>
        <v/>
      </c>
      <c r="F390" s="24"/>
      <c r="G390" s="25" t="str">
        <f>IF($D390="","",IFERROR(VLOOKUP($D390,'ACAS Capital Tracker'!$A:$D,4,FALSE()),""))</f>
        <v/>
      </c>
      <c r="H390" s="22"/>
    </row>
    <row r="391" spans="1:8">
      <c r="A391" s="21"/>
      <c r="B391" s="22"/>
      <c r="C391" s="22"/>
      <c r="D391" s="22"/>
      <c r="E391" s="23" t="str">
        <f>IF($D391="","",IFERROR(VLOOKUP($D391,'ACAS Capital Tracker'!$A:$H,8,FALSE()),""))</f>
        <v/>
      </c>
      <c r="F391" s="24"/>
      <c r="G391" s="25" t="str">
        <f>IF($D391="","",IFERROR(VLOOKUP($D391,'ACAS Capital Tracker'!$A:$D,4,FALSE()),""))</f>
        <v/>
      </c>
      <c r="H391" s="22"/>
    </row>
    <row r="392" spans="1:8">
      <c r="A392" s="21"/>
      <c r="B392" s="22"/>
      <c r="C392" s="22"/>
      <c r="D392" s="22"/>
      <c r="E392" s="23" t="str">
        <f>IF($D392="","",IFERROR(VLOOKUP($D392,'ACAS Capital Tracker'!$A:$H,8,FALSE()),""))</f>
        <v/>
      </c>
      <c r="F392" s="24"/>
      <c r="G392" s="25" t="str">
        <f>IF($D392="","",IFERROR(VLOOKUP($D392,'ACAS Capital Tracker'!$A:$D,4,FALSE()),""))</f>
        <v/>
      </c>
      <c r="H392" s="22"/>
    </row>
    <row r="393" spans="1:8">
      <c r="A393" s="21"/>
      <c r="B393" s="22"/>
      <c r="C393" s="22"/>
      <c r="D393" s="22"/>
      <c r="E393" s="23" t="str">
        <f>IF($D393="","",IFERROR(VLOOKUP($D393,'ACAS Capital Tracker'!$A:$H,8,FALSE()),""))</f>
        <v/>
      </c>
      <c r="F393" s="24"/>
      <c r="G393" s="25" t="str">
        <f>IF($D393="","",IFERROR(VLOOKUP($D393,'ACAS Capital Tracker'!$A:$D,4,FALSE()),""))</f>
        <v/>
      </c>
      <c r="H393" s="22"/>
    </row>
    <row r="394" spans="1:8">
      <c r="A394" s="21"/>
      <c r="B394" s="22"/>
      <c r="C394" s="22"/>
      <c r="D394" s="22"/>
      <c r="E394" s="23" t="str">
        <f>IF($D394="","",IFERROR(VLOOKUP($D394,'ACAS Capital Tracker'!$A:$H,8,FALSE()),""))</f>
        <v/>
      </c>
      <c r="F394" s="24"/>
      <c r="G394" s="25" t="str">
        <f>IF($D394="","",IFERROR(VLOOKUP($D394,'ACAS Capital Tracker'!$A:$D,4,FALSE()),""))</f>
        <v/>
      </c>
      <c r="H394" s="22"/>
    </row>
    <row r="395" spans="1:8">
      <c r="A395" s="21"/>
      <c r="B395" s="22"/>
      <c r="C395" s="22"/>
      <c r="D395" s="22"/>
      <c r="E395" s="23" t="str">
        <f>IF($D395="","",IFERROR(VLOOKUP($D395,'ACAS Capital Tracker'!$A:$H,8,FALSE()),""))</f>
        <v/>
      </c>
      <c r="F395" s="24"/>
      <c r="G395" s="25" t="str">
        <f>IF($D395="","",IFERROR(VLOOKUP($D395,'ACAS Capital Tracker'!$A:$D,4,FALSE()),""))</f>
        <v/>
      </c>
      <c r="H395" s="22"/>
    </row>
    <row r="396" spans="1:8">
      <c r="A396" s="21"/>
      <c r="B396" s="22"/>
      <c r="C396" s="22"/>
      <c r="D396" s="22"/>
      <c r="E396" s="23" t="str">
        <f>IF($D396="","",IFERROR(VLOOKUP($D396,'ACAS Capital Tracker'!$A:$H,8,FALSE()),""))</f>
        <v/>
      </c>
      <c r="F396" s="24"/>
      <c r="G396" s="25" t="str">
        <f>IF($D396="","",IFERROR(VLOOKUP($D396,'ACAS Capital Tracker'!$A:$D,4,FALSE()),""))</f>
        <v/>
      </c>
      <c r="H396" s="22"/>
    </row>
    <row r="397" spans="1:8">
      <c r="A397" s="21"/>
      <c r="B397" s="22"/>
      <c r="C397" s="22"/>
      <c r="D397" s="22"/>
      <c r="E397" s="23" t="str">
        <f>IF($D397="","",IFERROR(VLOOKUP($D397,'ACAS Capital Tracker'!$A:$H,8,FALSE()),""))</f>
        <v/>
      </c>
      <c r="F397" s="24"/>
      <c r="G397" s="25" t="str">
        <f>IF($D397="","",IFERROR(VLOOKUP($D397,'ACAS Capital Tracker'!$A:$D,4,FALSE()),""))</f>
        <v/>
      </c>
      <c r="H397" s="22"/>
    </row>
    <row r="398" spans="1:8">
      <c r="A398" s="21"/>
      <c r="B398" s="22"/>
      <c r="C398" s="22"/>
      <c r="D398" s="22"/>
      <c r="E398" s="23" t="str">
        <f>IF($D398="","",IFERROR(VLOOKUP($D398,'ACAS Capital Tracker'!$A:$H,8,FALSE()),""))</f>
        <v/>
      </c>
      <c r="F398" s="24"/>
      <c r="G398" s="25" t="str">
        <f>IF($D398="","",IFERROR(VLOOKUP($D398,'ACAS Capital Tracker'!$A:$D,4,FALSE()),""))</f>
        <v/>
      </c>
      <c r="H398" s="22"/>
    </row>
    <row r="399" spans="1:8">
      <c r="A399" s="21"/>
      <c r="B399" s="22"/>
      <c r="C399" s="22"/>
      <c r="D399" s="22"/>
      <c r="E399" s="23" t="str">
        <f>IF($D399="","",IFERROR(VLOOKUP($D399,'ACAS Capital Tracker'!$A:$H,8,FALSE()),""))</f>
        <v/>
      </c>
      <c r="F399" s="24"/>
      <c r="G399" s="25" t="str">
        <f>IF($D399="","",IFERROR(VLOOKUP($D399,'ACAS Capital Tracker'!$A:$D,4,FALSE()),""))</f>
        <v/>
      </c>
      <c r="H399" s="22"/>
    </row>
    <row r="400" spans="1:8">
      <c r="A400" s="21"/>
      <c r="B400" s="22"/>
      <c r="C400" s="22"/>
      <c r="D400" s="22"/>
      <c r="E400" s="23" t="str">
        <f>IF($D400="","",IFERROR(VLOOKUP($D400,'ACAS Capital Tracker'!$A:$H,8,FALSE()),""))</f>
        <v/>
      </c>
      <c r="F400" s="24"/>
      <c r="G400" s="25" t="str">
        <f>IF($D400="","",IFERROR(VLOOKUP($D400,'ACAS Capital Tracker'!$A:$D,4,FALSE()),""))</f>
        <v/>
      </c>
      <c r="H400" s="22"/>
    </row>
    <row r="401" spans="1:8">
      <c r="A401" s="21"/>
      <c r="B401" s="22"/>
      <c r="C401" s="22"/>
      <c r="D401" s="22"/>
      <c r="E401" s="23" t="str">
        <f>IF($D401="","",IFERROR(VLOOKUP($D401,'ACAS Capital Tracker'!$A:$H,8,FALSE()),""))</f>
        <v/>
      </c>
      <c r="F401" s="24"/>
      <c r="G401" s="25" t="str">
        <f>IF($D401="","",IFERROR(VLOOKUP($D401,'ACAS Capital Tracker'!$A:$D,4,FALSE()),""))</f>
        <v/>
      </c>
      <c r="H401" s="22"/>
    </row>
    <row r="402" spans="1:8">
      <c r="A402" s="21"/>
      <c r="B402" s="22"/>
      <c r="C402" s="22"/>
      <c r="D402" s="22"/>
      <c r="E402" s="23" t="str">
        <f>IF($D402="","",IFERROR(VLOOKUP($D402,'ACAS Capital Tracker'!$A:$H,8,FALSE()),""))</f>
        <v/>
      </c>
      <c r="F402" s="24"/>
      <c r="G402" s="25" t="str">
        <f>IF($D402="","",IFERROR(VLOOKUP($D402,'ACAS Capital Tracker'!$A:$D,4,FALSE()),""))</f>
        <v/>
      </c>
      <c r="H402" s="22"/>
    </row>
    <row r="403" spans="1:8">
      <c r="A403" s="21"/>
      <c r="B403" s="22"/>
      <c r="C403" s="22"/>
      <c r="D403" s="22"/>
      <c r="E403" s="23" t="str">
        <f>IF($D403="","",IFERROR(VLOOKUP($D403,'ACAS Capital Tracker'!$A:$H,8,FALSE()),""))</f>
        <v/>
      </c>
      <c r="F403" s="24"/>
      <c r="G403" s="25" t="str">
        <f>IF($D403="","",IFERROR(VLOOKUP($D403,'ACAS Capital Tracker'!$A:$D,4,FALSE()),""))</f>
        <v/>
      </c>
      <c r="H403" s="22"/>
    </row>
    <row r="404" spans="1:8">
      <c r="A404" s="21"/>
      <c r="B404" s="22"/>
      <c r="C404" s="22"/>
      <c r="D404" s="22"/>
      <c r="E404" s="23" t="str">
        <f>IF($D404="","",IFERROR(VLOOKUP($D404,'ACAS Capital Tracker'!$A:$H,8,FALSE()),""))</f>
        <v/>
      </c>
      <c r="F404" s="24"/>
      <c r="G404" s="25" t="str">
        <f>IF($D404="","",IFERROR(VLOOKUP($D404,'ACAS Capital Tracker'!$A:$D,4,FALSE()),""))</f>
        <v/>
      </c>
      <c r="H404" s="22"/>
    </row>
    <row r="405" spans="1:8">
      <c r="A405" s="21"/>
      <c r="B405" s="22"/>
      <c r="C405" s="22"/>
      <c r="D405" s="22"/>
      <c r="E405" s="23" t="str">
        <f>IF($D405="","",IFERROR(VLOOKUP($D405,'ACAS Capital Tracker'!$A:$H,8,FALSE()),""))</f>
        <v/>
      </c>
      <c r="F405" s="24"/>
      <c r="G405" s="25" t="str">
        <f>IF($D405="","",IFERROR(VLOOKUP($D405,'ACAS Capital Tracker'!$A:$D,4,FALSE()),""))</f>
        <v/>
      </c>
      <c r="H405" s="22"/>
    </row>
    <row r="406" spans="1:8">
      <c r="A406" s="21"/>
      <c r="B406" s="22"/>
      <c r="C406" s="22"/>
      <c r="D406" s="22"/>
      <c r="E406" s="23" t="str">
        <f>IF($D406="","",IFERROR(VLOOKUP($D406,'ACAS Capital Tracker'!$A:$H,8,FALSE()),""))</f>
        <v/>
      </c>
      <c r="F406" s="24"/>
      <c r="G406" s="25" t="str">
        <f>IF($D406="","",IFERROR(VLOOKUP($D406,'ACAS Capital Tracker'!$A:$D,4,FALSE()),""))</f>
        <v/>
      </c>
      <c r="H406" s="22"/>
    </row>
    <row r="407" spans="1:8">
      <c r="A407" s="21"/>
      <c r="B407" s="22"/>
      <c r="C407" s="22"/>
      <c r="D407" s="22"/>
      <c r="E407" s="23" t="str">
        <f>IF($D407="","",IFERROR(VLOOKUP($D407,'ACAS Capital Tracker'!$A:$H,8,FALSE()),""))</f>
        <v/>
      </c>
      <c r="F407" s="24"/>
      <c r="G407" s="25" t="str">
        <f>IF($D407="","",IFERROR(VLOOKUP($D407,'ACAS Capital Tracker'!$A:$D,4,FALSE()),""))</f>
        <v/>
      </c>
      <c r="H407" s="22"/>
    </row>
    <row r="408" spans="1:8">
      <c r="A408" s="21"/>
      <c r="B408" s="22"/>
      <c r="C408" s="22"/>
      <c r="D408" s="22"/>
      <c r="E408" s="23" t="str">
        <f>IF($D408="","",IFERROR(VLOOKUP($D408,'ACAS Capital Tracker'!$A:$H,8,FALSE()),""))</f>
        <v/>
      </c>
      <c r="F408" s="24"/>
      <c r="G408" s="25" t="str">
        <f>IF($D408="","",IFERROR(VLOOKUP($D408,'ACAS Capital Tracker'!$A:$D,4,FALSE()),""))</f>
        <v/>
      </c>
      <c r="H408" s="22"/>
    </row>
    <row r="409" spans="1:8">
      <c r="A409" s="21"/>
      <c r="B409" s="22"/>
      <c r="C409" s="22"/>
      <c r="D409" s="22"/>
      <c r="E409" s="23" t="str">
        <f>IF($D409="","",IFERROR(VLOOKUP($D409,'ACAS Capital Tracker'!$A:$H,8,FALSE()),""))</f>
        <v/>
      </c>
      <c r="F409" s="24"/>
      <c r="G409" s="25" t="str">
        <f>IF($D409="","",IFERROR(VLOOKUP($D409,'ACAS Capital Tracker'!$A:$D,4,FALSE()),""))</f>
        <v/>
      </c>
      <c r="H409" s="22"/>
    </row>
    <row r="410" spans="1:8">
      <c r="A410" s="21"/>
      <c r="B410" s="22"/>
      <c r="C410" s="22"/>
      <c r="D410" s="22"/>
      <c r="E410" s="23" t="str">
        <f>IF($D410="","",IFERROR(VLOOKUP($D410,'ACAS Capital Tracker'!$A:$H,8,FALSE()),""))</f>
        <v/>
      </c>
      <c r="F410" s="24"/>
      <c r="G410" s="25" t="str">
        <f>IF($D410="","",IFERROR(VLOOKUP($D410,'ACAS Capital Tracker'!$A:$D,4,FALSE()),""))</f>
        <v/>
      </c>
      <c r="H410" s="22"/>
    </row>
    <row r="411" spans="1:8">
      <c r="A411" s="21"/>
      <c r="B411" s="22"/>
      <c r="C411" s="22"/>
      <c r="D411" s="22"/>
      <c r="E411" s="23" t="str">
        <f>IF($D411="","",IFERROR(VLOOKUP($D411,'ACAS Capital Tracker'!$A:$H,8,FALSE()),""))</f>
        <v/>
      </c>
      <c r="F411" s="24"/>
      <c r="G411" s="25" t="str">
        <f>IF($D411="","",IFERROR(VLOOKUP($D411,'ACAS Capital Tracker'!$A:$D,4,FALSE()),""))</f>
        <v/>
      </c>
      <c r="H411" s="22"/>
    </row>
    <row r="412" spans="1:8">
      <c r="A412" s="21"/>
      <c r="B412" s="22"/>
      <c r="C412" s="22"/>
      <c r="D412" s="22"/>
      <c r="E412" s="23" t="str">
        <f>IF($D412="","",IFERROR(VLOOKUP($D412,'ACAS Capital Tracker'!$A:$H,8,FALSE()),""))</f>
        <v/>
      </c>
      <c r="F412" s="24"/>
      <c r="G412" s="25" t="str">
        <f>IF($D412="","",IFERROR(VLOOKUP($D412,'ACAS Capital Tracker'!$A:$D,4,FALSE()),""))</f>
        <v/>
      </c>
      <c r="H412" s="22"/>
    </row>
    <row r="413" spans="1:8">
      <c r="A413" s="21"/>
      <c r="B413" s="22"/>
      <c r="C413" s="22"/>
      <c r="D413" s="22"/>
      <c r="E413" s="23" t="str">
        <f>IF($D413="","",IFERROR(VLOOKUP($D413,'ACAS Capital Tracker'!$A:$H,8,FALSE()),""))</f>
        <v/>
      </c>
      <c r="F413" s="24"/>
      <c r="G413" s="25" t="str">
        <f>IF($D413="","",IFERROR(VLOOKUP($D413,'ACAS Capital Tracker'!$A:$D,4,FALSE()),""))</f>
        <v/>
      </c>
      <c r="H413" s="22"/>
    </row>
    <row r="414" spans="1:8">
      <c r="A414" s="21"/>
      <c r="B414" s="22"/>
      <c r="C414" s="22"/>
      <c r="D414" s="22"/>
      <c r="E414" s="23" t="str">
        <f>IF($D414="","",IFERROR(VLOOKUP($D414,'ACAS Capital Tracker'!$A:$H,8,FALSE()),""))</f>
        <v/>
      </c>
      <c r="F414" s="24"/>
      <c r="G414" s="25" t="str">
        <f>IF($D414="","",IFERROR(VLOOKUP($D414,'ACAS Capital Tracker'!$A:$D,4,FALSE()),""))</f>
        <v/>
      </c>
      <c r="H414" s="22"/>
    </row>
    <row r="415" spans="1:8">
      <c r="A415" s="21"/>
      <c r="B415" s="22"/>
      <c r="C415" s="22"/>
      <c r="D415" s="22"/>
      <c r="E415" s="23" t="str">
        <f>IF($D415="","",IFERROR(VLOOKUP($D415,'ACAS Capital Tracker'!$A:$H,8,FALSE()),""))</f>
        <v/>
      </c>
      <c r="F415" s="24"/>
      <c r="G415" s="25" t="str">
        <f>IF($D415="","",IFERROR(VLOOKUP($D415,'ACAS Capital Tracker'!$A:$D,4,FALSE()),""))</f>
        <v/>
      </c>
      <c r="H415" s="22"/>
    </row>
    <row r="416" spans="1:8">
      <c r="A416" s="21"/>
      <c r="B416" s="22"/>
      <c r="C416" s="22"/>
      <c r="D416" s="22"/>
      <c r="E416" s="23" t="str">
        <f>IF($D416="","",IFERROR(VLOOKUP($D416,'ACAS Capital Tracker'!$A:$H,8,FALSE()),""))</f>
        <v/>
      </c>
      <c r="F416" s="24"/>
      <c r="G416" s="25" t="str">
        <f>IF($D416="","",IFERROR(VLOOKUP($D416,'ACAS Capital Tracker'!$A:$D,4,FALSE()),""))</f>
        <v/>
      </c>
      <c r="H416" s="22"/>
    </row>
    <row r="417" spans="1:8">
      <c r="A417" s="21"/>
      <c r="B417" s="22"/>
      <c r="C417" s="22"/>
      <c r="D417" s="22"/>
      <c r="E417" s="23" t="str">
        <f>IF($D417="","",IFERROR(VLOOKUP($D417,'ACAS Capital Tracker'!$A:$H,8,FALSE()),""))</f>
        <v/>
      </c>
      <c r="F417" s="24"/>
      <c r="G417" s="25" t="str">
        <f>IF($D417="","",IFERROR(VLOOKUP($D417,'ACAS Capital Tracker'!$A:$D,4,FALSE()),""))</f>
        <v/>
      </c>
      <c r="H417" s="22"/>
    </row>
    <row r="418" spans="1:8">
      <c r="A418" s="21"/>
      <c r="B418" s="22"/>
      <c r="C418" s="22"/>
      <c r="D418" s="22"/>
      <c r="E418" s="23" t="str">
        <f>IF($D418="","",IFERROR(VLOOKUP($D418,'ACAS Capital Tracker'!$A:$H,8,FALSE()),""))</f>
        <v/>
      </c>
      <c r="F418" s="24"/>
      <c r="G418" s="25" t="str">
        <f>IF($D418="","",IFERROR(VLOOKUP($D418,'ACAS Capital Tracker'!$A:$D,4,FALSE()),""))</f>
        <v/>
      </c>
      <c r="H418" s="22"/>
    </row>
    <row r="419" spans="1:8">
      <c r="A419" s="21"/>
      <c r="B419" s="22"/>
      <c r="C419" s="22"/>
      <c r="D419" s="22"/>
      <c r="E419" s="23" t="str">
        <f>IF($D419="","",IFERROR(VLOOKUP($D419,'ACAS Capital Tracker'!$A:$H,8,FALSE()),""))</f>
        <v/>
      </c>
      <c r="F419" s="24"/>
      <c r="G419" s="25" t="str">
        <f>IF($D419="","",IFERROR(VLOOKUP($D419,'ACAS Capital Tracker'!$A:$D,4,FALSE()),""))</f>
        <v/>
      </c>
      <c r="H419" s="22"/>
    </row>
    <row r="420" spans="1:8">
      <c r="A420" s="21"/>
      <c r="B420" s="22"/>
      <c r="C420" s="22"/>
      <c r="D420" s="22"/>
      <c r="E420" s="23" t="str">
        <f>IF($D420="","",IFERROR(VLOOKUP($D420,'ACAS Capital Tracker'!$A:$H,8,FALSE()),""))</f>
        <v/>
      </c>
      <c r="F420" s="24"/>
      <c r="G420" s="25" t="str">
        <f>IF($D420="","",IFERROR(VLOOKUP($D420,'ACAS Capital Tracker'!$A:$D,4,FALSE()),""))</f>
        <v/>
      </c>
      <c r="H420" s="22"/>
    </row>
    <row r="421" spans="1:8">
      <c r="A421" s="21"/>
      <c r="B421" s="22"/>
      <c r="C421" s="22"/>
      <c r="D421" s="22"/>
      <c r="E421" s="23" t="str">
        <f>IF($D421="","",IFERROR(VLOOKUP($D421,'ACAS Capital Tracker'!$A:$H,8,FALSE()),""))</f>
        <v/>
      </c>
      <c r="F421" s="24"/>
      <c r="G421" s="25" t="str">
        <f>IF($D421="","",IFERROR(VLOOKUP($D421,'ACAS Capital Tracker'!$A:$D,4,FALSE()),""))</f>
        <v/>
      </c>
      <c r="H421" s="22"/>
    </row>
    <row r="422" spans="1:8">
      <c r="A422" s="21"/>
      <c r="B422" s="22"/>
      <c r="C422" s="22"/>
      <c r="D422" s="22"/>
      <c r="E422" s="23" t="str">
        <f>IF($D422="","",IFERROR(VLOOKUP($D422,'ACAS Capital Tracker'!$A:$H,8,FALSE()),""))</f>
        <v/>
      </c>
      <c r="F422" s="24"/>
      <c r="G422" s="25" t="str">
        <f>IF($D422="","",IFERROR(VLOOKUP($D422,'ACAS Capital Tracker'!$A:$D,4,FALSE()),""))</f>
        <v/>
      </c>
      <c r="H422" s="22"/>
    </row>
    <row r="423" spans="1:8">
      <c r="A423" s="21"/>
      <c r="B423" s="22"/>
      <c r="C423" s="22"/>
      <c r="D423" s="22"/>
      <c r="E423" s="23" t="str">
        <f>IF($D423="","",IFERROR(VLOOKUP($D423,'ACAS Capital Tracker'!$A:$H,8,FALSE()),""))</f>
        <v/>
      </c>
      <c r="F423" s="24"/>
      <c r="G423" s="25" t="str">
        <f>IF($D423="","",IFERROR(VLOOKUP($D423,'ACAS Capital Tracker'!$A:$D,4,FALSE()),""))</f>
        <v/>
      </c>
      <c r="H423" s="22"/>
    </row>
    <row r="424" spans="1:8">
      <c r="A424" s="21"/>
      <c r="B424" s="22"/>
      <c r="C424" s="22"/>
      <c r="D424" s="22"/>
      <c r="E424" s="23" t="str">
        <f>IF($D424="","",IFERROR(VLOOKUP($D424,'ACAS Capital Tracker'!$A:$H,8,FALSE()),""))</f>
        <v/>
      </c>
      <c r="F424" s="24"/>
      <c r="G424" s="25" t="str">
        <f>IF($D424="","",IFERROR(VLOOKUP($D424,'ACAS Capital Tracker'!$A:$D,4,FALSE()),""))</f>
        <v/>
      </c>
      <c r="H424" s="22"/>
    </row>
    <row r="425" spans="1:8">
      <c r="A425" s="21"/>
      <c r="B425" s="22"/>
      <c r="C425" s="22"/>
      <c r="D425" s="22"/>
      <c r="E425" s="23" t="str">
        <f>IF($D425="","",IFERROR(VLOOKUP($D425,'ACAS Capital Tracker'!$A:$H,8,FALSE()),""))</f>
        <v/>
      </c>
      <c r="F425" s="24"/>
      <c r="G425" s="25" t="str">
        <f>IF($D425="","",IFERROR(VLOOKUP($D425,'ACAS Capital Tracker'!$A:$D,4,FALSE()),""))</f>
        <v/>
      </c>
      <c r="H425" s="22"/>
    </row>
    <row r="426" spans="1:8">
      <c r="A426" s="21"/>
      <c r="B426" s="22"/>
      <c r="C426" s="22"/>
      <c r="D426" s="22"/>
      <c r="E426" s="23" t="str">
        <f>IF($D426="","",IFERROR(VLOOKUP($D426,'ACAS Capital Tracker'!$A:$H,8,FALSE()),""))</f>
        <v/>
      </c>
      <c r="F426" s="24"/>
      <c r="G426" s="25" t="str">
        <f>IF($D426="","",IFERROR(VLOOKUP($D426,'ACAS Capital Tracker'!$A:$D,4,FALSE()),""))</f>
        <v/>
      </c>
      <c r="H426" s="22"/>
    </row>
    <row r="427" spans="1:8">
      <c r="A427" s="21"/>
      <c r="B427" s="22"/>
      <c r="C427" s="22"/>
      <c r="D427" s="22"/>
      <c r="E427" s="23" t="str">
        <f>IF($D427="","",IFERROR(VLOOKUP($D427,'ACAS Capital Tracker'!$A:$H,8,FALSE()),""))</f>
        <v/>
      </c>
      <c r="F427" s="24"/>
      <c r="G427" s="25" t="str">
        <f>IF($D427="","",IFERROR(VLOOKUP($D427,'ACAS Capital Tracker'!$A:$D,4,FALSE()),""))</f>
        <v/>
      </c>
      <c r="H427" s="22"/>
    </row>
    <row r="428" spans="1:8">
      <c r="A428" s="21"/>
      <c r="B428" s="22"/>
      <c r="C428" s="22"/>
      <c r="D428" s="22"/>
      <c r="E428" s="23" t="str">
        <f>IF($D428="","",IFERROR(VLOOKUP($D428,'ACAS Capital Tracker'!$A:$H,8,FALSE()),""))</f>
        <v/>
      </c>
      <c r="F428" s="24"/>
      <c r="G428" s="25" t="str">
        <f>IF($D428="","",IFERROR(VLOOKUP($D428,'ACAS Capital Tracker'!$A:$D,4,FALSE()),""))</f>
        <v/>
      </c>
      <c r="H428" s="22"/>
    </row>
    <row r="429" spans="1:8">
      <c r="A429" s="21"/>
      <c r="B429" s="22"/>
      <c r="C429" s="22"/>
      <c r="D429" s="22"/>
      <c r="E429" s="23" t="str">
        <f>IF($D429="","",IFERROR(VLOOKUP($D429,'ACAS Capital Tracker'!$A:$H,8,FALSE()),""))</f>
        <v/>
      </c>
      <c r="F429" s="24"/>
      <c r="G429" s="25" t="str">
        <f>IF($D429="","",IFERROR(VLOOKUP($D429,'ACAS Capital Tracker'!$A:$D,4,FALSE()),""))</f>
        <v/>
      </c>
      <c r="H429" s="22"/>
    </row>
    <row r="430" spans="1:8">
      <c r="A430" s="21"/>
      <c r="B430" s="22"/>
      <c r="C430" s="22"/>
      <c r="D430" s="22"/>
      <c r="E430" s="23" t="str">
        <f>IF($D430="","",IFERROR(VLOOKUP($D430,'ACAS Capital Tracker'!$A:$H,8,FALSE()),""))</f>
        <v/>
      </c>
      <c r="F430" s="24"/>
      <c r="G430" s="25" t="str">
        <f>IF($D430="","",IFERROR(VLOOKUP($D430,'ACAS Capital Tracker'!$A:$D,4,FALSE()),""))</f>
        <v/>
      </c>
      <c r="H430" s="22"/>
    </row>
    <row r="431" spans="1:8">
      <c r="A431" s="21"/>
      <c r="B431" s="22"/>
      <c r="C431" s="22"/>
      <c r="D431" s="22"/>
      <c r="E431" s="23" t="str">
        <f>IF($D431="","",IFERROR(VLOOKUP($D431,'ACAS Capital Tracker'!$A:$H,8,FALSE()),""))</f>
        <v/>
      </c>
      <c r="F431" s="24"/>
      <c r="G431" s="25" t="str">
        <f>IF($D431="","",IFERROR(VLOOKUP($D431,'ACAS Capital Tracker'!$A:$D,4,FALSE()),""))</f>
        <v/>
      </c>
      <c r="H431" s="22"/>
    </row>
    <row r="432" spans="1:8">
      <c r="A432" s="21"/>
      <c r="B432" s="22"/>
      <c r="C432" s="22"/>
      <c r="D432" s="22"/>
      <c r="E432" s="23" t="str">
        <f>IF($D432="","",IFERROR(VLOOKUP($D432,'ACAS Capital Tracker'!$A:$H,8,FALSE()),""))</f>
        <v/>
      </c>
      <c r="F432" s="24"/>
      <c r="G432" s="25" t="str">
        <f>IF($D432="","",IFERROR(VLOOKUP($D432,'ACAS Capital Tracker'!$A:$D,4,FALSE()),""))</f>
        <v/>
      </c>
      <c r="H432" s="22"/>
    </row>
    <row r="433" spans="1:8">
      <c r="A433" s="21"/>
      <c r="B433" s="22"/>
      <c r="C433" s="22"/>
      <c r="D433" s="22"/>
      <c r="E433" s="23" t="str">
        <f>IF($D433="","",IFERROR(VLOOKUP($D433,'ACAS Capital Tracker'!$A:$H,8,FALSE()),""))</f>
        <v/>
      </c>
      <c r="F433" s="24"/>
      <c r="G433" s="25" t="str">
        <f>IF($D433="","",IFERROR(VLOOKUP($D433,'ACAS Capital Tracker'!$A:$D,4,FALSE()),""))</f>
        <v/>
      </c>
      <c r="H433" s="22"/>
    </row>
    <row r="434" spans="1:8">
      <c r="A434" s="21"/>
      <c r="B434" s="22"/>
      <c r="C434" s="22"/>
      <c r="D434" s="22"/>
      <c r="E434" s="23" t="str">
        <f>IF($D434="","",IFERROR(VLOOKUP($D434,'ACAS Capital Tracker'!$A:$H,8,FALSE()),""))</f>
        <v/>
      </c>
      <c r="F434" s="24"/>
      <c r="G434" s="25" t="str">
        <f>IF($D434="","",IFERROR(VLOOKUP($D434,'ACAS Capital Tracker'!$A:$D,4,FALSE()),""))</f>
        <v/>
      </c>
      <c r="H434" s="22"/>
    </row>
    <row r="435" spans="1:8">
      <c r="A435" s="21"/>
      <c r="B435" s="22"/>
      <c r="C435" s="22"/>
      <c r="D435" s="22"/>
      <c r="E435" s="23" t="str">
        <f>IF($D435="","",IFERROR(VLOOKUP($D435,'ACAS Capital Tracker'!$A:$H,8,FALSE()),""))</f>
        <v/>
      </c>
      <c r="F435" s="24"/>
      <c r="G435" s="25" t="str">
        <f>IF($D435="","",IFERROR(VLOOKUP($D435,'ACAS Capital Tracker'!$A:$D,4,FALSE()),""))</f>
        <v/>
      </c>
      <c r="H435" s="22"/>
    </row>
    <row r="436" spans="1:8">
      <c r="A436" s="21"/>
      <c r="B436" s="22"/>
      <c r="C436" s="22"/>
      <c r="D436" s="22"/>
      <c r="E436" s="23" t="str">
        <f>IF($D436="","",IFERROR(VLOOKUP($D436,'ACAS Capital Tracker'!$A:$H,8,FALSE()),""))</f>
        <v/>
      </c>
      <c r="F436" s="24"/>
      <c r="G436" s="25" t="str">
        <f>IF($D436="","",IFERROR(VLOOKUP($D436,'ACAS Capital Tracker'!$A:$D,4,FALSE()),""))</f>
        <v/>
      </c>
      <c r="H436" s="22"/>
    </row>
    <row r="437" spans="1:8">
      <c r="A437" s="21"/>
      <c r="B437" s="22"/>
      <c r="C437" s="22"/>
      <c r="D437" s="22"/>
      <c r="E437" s="23" t="str">
        <f>IF($D437="","",IFERROR(VLOOKUP($D437,'ACAS Capital Tracker'!$A:$H,8,FALSE()),""))</f>
        <v/>
      </c>
      <c r="F437" s="24"/>
      <c r="G437" s="25" t="str">
        <f>IF($D437="","",IFERROR(VLOOKUP($D437,'ACAS Capital Tracker'!$A:$D,4,FALSE()),""))</f>
        <v/>
      </c>
      <c r="H437" s="22"/>
    </row>
    <row r="438" spans="1:8">
      <c r="A438" s="21"/>
      <c r="B438" s="22"/>
      <c r="C438" s="22"/>
      <c r="D438" s="22"/>
      <c r="E438" s="23" t="str">
        <f>IF($D438="","",IFERROR(VLOOKUP($D438,'ACAS Capital Tracker'!$A:$H,8,FALSE()),""))</f>
        <v/>
      </c>
      <c r="F438" s="24"/>
      <c r="G438" s="25" t="str">
        <f>IF($D438="","",IFERROR(VLOOKUP($D438,'ACAS Capital Tracker'!$A:$D,4,FALSE()),""))</f>
        <v/>
      </c>
      <c r="H438" s="22"/>
    </row>
    <row r="439" spans="1:8">
      <c r="A439" s="21"/>
      <c r="B439" s="22"/>
      <c r="C439" s="22"/>
      <c r="D439" s="22"/>
      <c r="E439" s="23" t="str">
        <f>IF($D439="","",IFERROR(VLOOKUP($D439,'ACAS Capital Tracker'!$A:$H,8,FALSE()),""))</f>
        <v/>
      </c>
      <c r="F439" s="24"/>
      <c r="G439" s="25" t="str">
        <f>IF($D439="","",IFERROR(VLOOKUP($D439,'ACAS Capital Tracker'!$A:$D,4,FALSE()),""))</f>
        <v/>
      </c>
      <c r="H439" s="22"/>
    </row>
    <row r="440" spans="1:8">
      <c r="A440" s="21"/>
      <c r="B440" s="22"/>
      <c r="C440" s="22"/>
      <c r="D440" s="22"/>
      <c r="E440" s="23" t="str">
        <f>IF($D440="","",IFERROR(VLOOKUP($D440,'ACAS Capital Tracker'!$A:$H,8,FALSE()),""))</f>
        <v/>
      </c>
      <c r="F440" s="24"/>
      <c r="G440" s="25" t="str">
        <f>IF($D440="","",IFERROR(VLOOKUP($D440,'ACAS Capital Tracker'!$A:$D,4,FALSE()),""))</f>
        <v/>
      </c>
      <c r="H440" s="22"/>
    </row>
    <row r="441" spans="1:8">
      <c r="A441" s="21"/>
      <c r="B441" s="22"/>
      <c r="C441" s="22"/>
      <c r="D441" s="22"/>
      <c r="E441" s="23" t="str">
        <f>IF($D441="","",IFERROR(VLOOKUP($D441,'ACAS Capital Tracker'!$A:$H,8,FALSE()),""))</f>
        <v/>
      </c>
      <c r="F441" s="24"/>
      <c r="G441" s="25" t="str">
        <f>IF($D441="","",IFERROR(VLOOKUP($D441,'ACAS Capital Tracker'!$A:$D,4,FALSE()),""))</f>
        <v/>
      </c>
      <c r="H441" s="22"/>
    </row>
    <row r="442" spans="1:8">
      <c r="A442" s="21"/>
      <c r="B442" s="22"/>
      <c r="C442" s="22"/>
      <c r="D442" s="22"/>
      <c r="E442" s="23" t="str">
        <f>IF($D442="","",IFERROR(VLOOKUP($D442,'ACAS Capital Tracker'!$A:$H,8,FALSE()),""))</f>
        <v/>
      </c>
      <c r="F442" s="24"/>
      <c r="G442" s="25" t="str">
        <f>IF($D442="","",IFERROR(VLOOKUP($D442,'ACAS Capital Tracker'!$A:$D,4,FALSE()),""))</f>
        <v/>
      </c>
      <c r="H442" s="22"/>
    </row>
    <row r="443" spans="1:8">
      <c r="A443" s="21"/>
      <c r="B443" s="22"/>
      <c r="C443" s="22"/>
      <c r="D443" s="22"/>
      <c r="E443" s="23" t="str">
        <f>IF($D443="","",IFERROR(VLOOKUP($D443,'ACAS Capital Tracker'!$A:$H,8,FALSE()),""))</f>
        <v/>
      </c>
      <c r="F443" s="24"/>
      <c r="G443" s="25" t="str">
        <f>IF($D443="","",IFERROR(VLOOKUP($D443,'ACAS Capital Tracker'!$A:$D,4,FALSE()),""))</f>
        <v/>
      </c>
      <c r="H443" s="22"/>
    </row>
    <row r="444" spans="1:8">
      <c r="A444" s="21"/>
      <c r="B444" s="22"/>
      <c r="C444" s="22"/>
      <c r="D444" s="22"/>
      <c r="E444" s="23" t="str">
        <f>IF($D444="","",IFERROR(VLOOKUP($D444,'ACAS Capital Tracker'!$A:$H,8,FALSE()),""))</f>
        <v/>
      </c>
      <c r="F444" s="24"/>
      <c r="G444" s="25" t="str">
        <f>IF($D444="","",IFERROR(VLOOKUP($D444,'ACAS Capital Tracker'!$A:$D,4,FALSE()),""))</f>
        <v/>
      </c>
      <c r="H444" s="22"/>
    </row>
    <row r="445" spans="1:8">
      <c r="A445" s="21"/>
      <c r="B445" s="22"/>
      <c r="C445" s="22"/>
      <c r="D445" s="22"/>
      <c r="E445" s="23" t="str">
        <f>IF($D445="","",IFERROR(VLOOKUP($D445,'ACAS Capital Tracker'!$A:$H,8,FALSE()),""))</f>
        <v/>
      </c>
      <c r="F445" s="24"/>
      <c r="G445" s="25" t="str">
        <f>IF($D445="","",IFERROR(VLOOKUP($D445,'ACAS Capital Tracker'!$A:$D,4,FALSE()),""))</f>
        <v/>
      </c>
      <c r="H445" s="22"/>
    </row>
    <row r="446" spans="1:8">
      <c r="A446" s="21"/>
      <c r="B446" s="22"/>
      <c r="C446" s="22"/>
      <c r="D446" s="22"/>
      <c r="E446" s="23" t="str">
        <f>IF($D446="","",IFERROR(VLOOKUP($D446,'ACAS Capital Tracker'!$A:$H,8,FALSE()),""))</f>
        <v/>
      </c>
      <c r="F446" s="24"/>
      <c r="G446" s="25" t="str">
        <f>IF($D446="","",IFERROR(VLOOKUP($D446,'ACAS Capital Tracker'!$A:$D,4,FALSE()),""))</f>
        <v/>
      </c>
      <c r="H446" s="22"/>
    </row>
    <row r="447" spans="1:8">
      <c r="A447" s="21"/>
      <c r="B447" s="22"/>
      <c r="C447" s="22"/>
      <c r="D447" s="22"/>
      <c r="E447" s="23" t="str">
        <f>IF($D447="","",IFERROR(VLOOKUP($D447,'ACAS Capital Tracker'!$A:$H,8,FALSE()),""))</f>
        <v/>
      </c>
      <c r="F447" s="24"/>
      <c r="G447" s="25" t="str">
        <f>IF($D447="","",IFERROR(VLOOKUP($D447,'ACAS Capital Tracker'!$A:$D,4,FALSE()),""))</f>
        <v/>
      </c>
      <c r="H447" s="22"/>
    </row>
    <row r="448" spans="1:8">
      <c r="A448" s="21"/>
      <c r="B448" s="22"/>
      <c r="C448" s="22"/>
      <c r="D448" s="22"/>
      <c r="E448" s="23" t="str">
        <f>IF($D448="","",IFERROR(VLOOKUP($D448,'ACAS Capital Tracker'!$A:$H,8,FALSE()),""))</f>
        <v/>
      </c>
      <c r="F448" s="24"/>
      <c r="G448" s="25" t="str">
        <f>IF($D448="","",IFERROR(VLOOKUP($D448,'ACAS Capital Tracker'!$A:$D,4,FALSE()),""))</f>
        <v/>
      </c>
      <c r="H448" s="22"/>
    </row>
    <row r="449" spans="1:8">
      <c r="A449" s="21"/>
      <c r="B449" s="22"/>
      <c r="C449" s="22"/>
      <c r="D449" s="22"/>
      <c r="E449" s="23" t="str">
        <f>IF($D449="","",IFERROR(VLOOKUP($D449,'ACAS Capital Tracker'!$A:$H,8,FALSE()),""))</f>
        <v/>
      </c>
      <c r="F449" s="24"/>
      <c r="G449" s="25" t="str">
        <f>IF($D449="","",IFERROR(VLOOKUP($D449,'ACAS Capital Tracker'!$A:$D,4,FALSE()),""))</f>
        <v/>
      </c>
      <c r="H449" s="22"/>
    </row>
    <row r="450" spans="1:8">
      <c r="A450" s="21"/>
      <c r="B450" s="22"/>
      <c r="C450" s="22"/>
      <c r="D450" s="22"/>
      <c r="E450" s="23" t="str">
        <f>IF($D450="","",IFERROR(VLOOKUP($D450,'ACAS Capital Tracker'!$A:$H,8,FALSE()),""))</f>
        <v/>
      </c>
      <c r="F450" s="24"/>
      <c r="G450" s="25" t="str">
        <f>IF($D450="","",IFERROR(VLOOKUP($D450,'ACAS Capital Tracker'!$A:$D,4,FALSE()),""))</f>
        <v/>
      </c>
      <c r="H450" s="22"/>
    </row>
    <row r="451" spans="1:8">
      <c r="A451" s="21"/>
      <c r="B451" s="22"/>
      <c r="C451" s="22"/>
      <c r="D451" s="22"/>
      <c r="E451" s="23" t="str">
        <f>IF($D451="","",IFERROR(VLOOKUP($D451,'ACAS Capital Tracker'!$A:$H,8,FALSE()),""))</f>
        <v/>
      </c>
      <c r="F451" s="24"/>
      <c r="G451" s="25" t="str">
        <f>IF($D451="","",IFERROR(VLOOKUP($D451,'ACAS Capital Tracker'!$A:$D,4,FALSE()),""))</f>
        <v/>
      </c>
      <c r="H451" s="22"/>
    </row>
    <row r="452" spans="1:8">
      <c r="A452" s="21"/>
      <c r="B452" s="22"/>
      <c r="C452" s="22"/>
      <c r="D452" s="22"/>
      <c r="E452" s="23" t="str">
        <f>IF($D452="","",IFERROR(VLOOKUP($D452,'ACAS Capital Tracker'!$A:$H,8,FALSE()),""))</f>
        <v/>
      </c>
      <c r="F452" s="24"/>
      <c r="G452" s="25" t="str">
        <f>IF($D452="","",IFERROR(VLOOKUP($D452,'ACAS Capital Tracker'!$A:$D,4,FALSE()),""))</f>
        <v/>
      </c>
      <c r="H452" s="22"/>
    </row>
    <row r="453" spans="1:8">
      <c r="A453" s="21"/>
      <c r="B453" s="22"/>
      <c r="C453" s="22"/>
      <c r="D453" s="22"/>
      <c r="E453" s="23" t="str">
        <f>IF($D453="","",IFERROR(VLOOKUP($D453,'ACAS Capital Tracker'!$A:$H,8,FALSE()),""))</f>
        <v/>
      </c>
      <c r="F453" s="24"/>
      <c r="G453" s="25" t="str">
        <f>IF($D453="","",IFERROR(VLOOKUP($D453,'ACAS Capital Tracker'!$A:$D,4,FALSE()),""))</f>
        <v/>
      </c>
      <c r="H453" s="22"/>
    </row>
    <row r="454" spans="1:8">
      <c r="A454" s="21"/>
      <c r="B454" s="22"/>
      <c r="C454" s="22"/>
      <c r="D454" s="22"/>
      <c r="E454" s="23" t="str">
        <f>IF($D454="","",IFERROR(VLOOKUP($D454,'ACAS Capital Tracker'!$A:$H,8,FALSE()),""))</f>
        <v/>
      </c>
      <c r="F454" s="24"/>
      <c r="G454" s="25" t="str">
        <f>IF($D454="","",IFERROR(VLOOKUP($D454,'ACAS Capital Tracker'!$A:$D,4,FALSE()),""))</f>
        <v/>
      </c>
      <c r="H454" s="22"/>
    </row>
    <row r="455" spans="1:8">
      <c r="A455" s="21"/>
      <c r="B455" s="22"/>
      <c r="C455" s="22"/>
      <c r="D455" s="22"/>
      <c r="E455" s="23" t="str">
        <f>IF($D455="","",IFERROR(VLOOKUP($D455,'ACAS Capital Tracker'!$A:$H,8,FALSE()),""))</f>
        <v/>
      </c>
      <c r="F455" s="24"/>
      <c r="G455" s="25" t="str">
        <f>IF($D455="","",IFERROR(VLOOKUP($D455,'ACAS Capital Tracker'!$A:$D,4,FALSE()),""))</f>
        <v/>
      </c>
      <c r="H455" s="22"/>
    </row>
    <row r="456" spans="1:8">
      <c r="A456" s="21"/>
      <c r="B456" s="22"/>
      <c r="C456" s="22"/>
      <c r="D456" s="22"/>
      <c r="E456" s="23" t="str">
        <f>IF($D456="","",IFERROR(VLOOKUP($D456,'ACAS Capital Tracker'!$A:$H,8,FALSE()),""))</f>
        <v/>
      </c>
      <c r="F456" s="24"/>
      <c r="G456" s="25" t="str">
        <f>IF($D456="","",IFERROR(VLOOKUP($D456,'ACAS Capital Tracker'!$A:$D,4,FALSE()),""))</f>
        <v/>
      </c>
      <c r="H456" s="22"/>
    </row>
    <row r="457" spans="1:8">
      <c r="A457" s="21"/>
      <c r="B457" s="22"/>
      <c r="C457" s="22"/>
      <c r="D457" s="22"/>
      <c r="E457" s="23" t="str">
        <f>IF($D457="","",IFERROR(VLOOKUP($D457,'ACAS Capital Tracker'!$A:$H,8,FALSE()),""))</f>
        <v/>
      </c>
      <c r="F457" s="24"/>
      <c r="G457" s="25" t="str">
        <f>IF($D457="","",IFERROR(VLOOKUP($D457,'ACAS Capital Tracker'!$A:$D,4,FALSE()),""))</f>
        <v/>
      </c>
      <c r="H457" s="22"/>
    </row>
    <row r="458" spans="1:8">
      <c r="A458" s="21"/>
      <c r="B458" s="22"/>
      <c r="C458" s="22"/>
      <c r="D458" s="22"/>
      <c r="E458" s="23" t="str">
        <f>IF($D458="","",IFERROR(VLOOKUP($D458,'ACAS Capital Tracker'!$A:$H,8,FALSE()),""))</f>
        <v/>
      </c>
      <c r="F458" s="24"/>
      <c r="G458" s="25" t="str">
        <f>IF($D458="","",IFERROR(VLOOKUP($D458,'ACAS Capital Tracker'!$A:$D,4,FALSE()),""))</f>
        <v/>
      </c>
      <c r="H458" s="22"/>
    </row>
    <row r="459" spans="1:8">
      <c r="A459" s="21"/>
      <c r="B459" s="22"/>
      <c r="C459" s="22"/>
      <c r="D459" s="22"/>
      <c r="E459" s="23" t="str">
        <f>IF($D459="","",IFERROR(VLOOKUP($D459,'ACAS Capital Tracker'!$A:$H,8,FALSE()),""))</f>
        <v/>
      </c>
      <c r="F459" s="24"/>
      <c r="G459" s="25" t="str">
        <f>IF($D459="","",IFERROR(VLOOKUP($D459,'ACAS Capital Tracker'!$A:$D,4,FALSE()),""))</f>
        <v/>
      </c>
      <c r="H459" s="22"/>
    </row>
    <row r="460" spans="1:8">
      <c r="A460" s="21"/>
      <c r="B460" s="22"/>
      <c r="C460" s="22"/>
      <c r="D460" s="22"/>
      <c r="E460" s="23" t="str">
        <f>IF($D460="","",IFERROR(VLOOKUP($D460,'ACAS Capital Tracker'!$A:$H,8,FALSE()),""))</f>
        <v/>
      </c>
      <c r="F460" s="24"/>
      <c r="G460" s="25" t="str">
        <f>IF($D460="","",IFERROR(VLOOKUP($D460,'ACAS Capital Tracker'!$A:$D,4,FALSE()),""))</f>
        <v/>
      </c>
      <c r="H460" s="22"/>
    </row>
    <row r="461" spans="1:8">
      <c r="A461" s="21"/>
      <c r="B461" s="22"/>
      <c r="C461" s="22"/>
      <c r="D461" s="22"/>
      <c r="E461" s="23" t="str">
        <f>IF($D461="","",IFERROR(VLOOKUP($D461,'ACAS Capital Tracker'!$A:$H,8,FALSE()),""))</f>
        <v/>
      </c>
      <c r="F461" s="24"/>
      <c r="G461" s="25" t="str">
        <f>IF($D461="","",IFERROR(VLOOKUP($D461,'ACAS Capital Tracker'!$A:$D,4,FALSE()),""))</f>
        <v/>
      </c>
      <c r="H461" s="22"/>
    </row>
    <row r="462" spans="1:8">
      <c r="A462" s="21"/>
      <c r="B462" s="22"/>
      <c r="C462" s="22"/>
      <c r="D462" s="22"/>
      <c r="E462" s="23" t="str">
        <f>IF($D462="","",IFERROR(VLOOKUP($D462,'ACAS Capital Tracker'!$A:$H,8,FALSE()),""))</f>
        <v/>
      </c>
      <c r="F462" s="24"/>
      <c r="G462" s="25" t="str">
        <f>IF($D462="","",IFERROR(VLOOKUP($D462,'ACAS Capital Tracker'!$A:$D,4,FALSE()),""))</f>
        <v/>
      </c>
      <c r="H462" s="22"/>
    </row>
    <row r="463" spans="1:8">
      <c r="A463" s="21"/>
      <c r="B463" s="22"/>
      <c r="C463" s="22"/>
      <c r="D463" s="22"/>
      <c r="E463" s="23" t="str">
        <f>IF($D463="","",IFERROR(VLOOKUP($D463,'ACAS Capital Tracker'!$A:$H,8,FALSE()),""))</f>
        <v/>
      </c>
      <c r="F463" s="24"/>
      <c r="G463" s="25" t="str">
        <f>IF($D463="","",IFERROR(VLOOKUP($D463,'ACAS Capital Tracker'!$A:$D,4,FALSE()),""))</f>
        <v/>
      </c>
      <c r="H463" s="22"/>
    </row>
    <row r="464" spans="1:8">
      <c r="A464" s="21"/>
      <c r="B464" s="22"/>
      <c r="C464" s="22"/>
      <c r="D464" s="22"/>
      <c r="E464" s="23" t="str">
        <f>IF($D464="","",IFERROR(VLOOKUP($D464,'ACAS Capital Tracker'!$A:$H,8,FALSE()),""))</f>
        <v/>
      </c>
      <c r="F464" s="24"/>
      <c r="G464" s="25" t="str">
        <f>IF($D464="","",IFERROR(VLOOKUP($D464,'ACAS Capital Tracker'!$A:$D,4,FALSE()),""))</f>
        <v/>
      </c>
      <c r="H464" s="22"/>
    </row>
    <row r="465" spans="1:8">
      <c r="A465" s="21"/>
      <c r="B465" s="22"/>
      <c r="C465" s="22"/>
      <c r="D465" s="22"/>
      <c r="E465" s="23" t="str">
        <f>IF($D465="","",IFERROR(VLOOKUP($D465,'ACAS Capital Tracker'!$A:$H,8,FALSE()),""))</f>
        <v/>
      </c>
      <c r="F465" s="24"/>
      <c r="G465" s="25" t="str">
        <f>IF($D465="","",IFERROR(VLOOKUP($D465,'ACAS Capital Tracker'!$A:$D,4,FALSE()),""))</f>
        <v/>
      </c>
      <c r="H465" s="22"/>
    </row>
    <row r="466" spans="1:8">
      <c r="A466" s="21"/>
      <c r="B466" s="22"/>
      <c r="C466" s="22"/>
      <c r="D466" s="22"/>
      <c r="E466" s="23" t="str">
        <f>IF($D466="","",IFERROR(VLOOKUP($D466,'ACAS Capital Tracker'!$A:$H,8,FALSE()),""))</f>
        <v/>
      </c>
      <c r="F466" s="24"/>
      <c r="G466" s="25" t="str">
        <f>IF($D466="","",IFERROR(VLOOKUP($D466,'ACAS Capital Tracker'!$A:$D,4,FALSE()),""))</f>
        <v/>
      </c>
      <c r="H466" s="22"/>
    </row>
    <row r="467" spans="1:8">
      <c r="A467" s="21"/>
      <c r="B467" s="22"/>
      <c r="C467" s="22"/>
      <c r="D467" s="22"/>
      <c r="E467" s="23" t="str">
        <f>IF($D467="","",IFERROR(VLOOKUP($D467,'ACAS Capital Tracker'!$A:$H,8,FALSE()),""))</f>
        <v/>
      </c>
      <c r="F467" s="24"/>
      <c r="G467" s="25" t="str">
        <f>IF($D467="","",IFERROR(VLOOKUP($D467,'ACAS Capital Tracker'!$A:$D,4,FALSE()),""))</f>
        <v/>
      </c>
      <c r="H467" s="22"/>
    </row>
    <row r="468" spans="1:8">
      <c r="A468" s="21"/>
      <c r="B468" s="22"/>
      <c r="C468" s="22"/>
      <c r="D468" s="22"/>
      <c r="E468" s="23" t="str">
        <f>IF($D468="","",IFERROR(VLOOKUP($D468,'ACAS Capital Tracker'!$A:$H,8,FALSE()),""))</f>
        <v/>
      </c>
      <c r="F468" s="24"/>
      <c r="G468" s="25" t="str">
        <f>IF($D468="","",IFERROR(VLOOKUP($D468,'ACAS Capital Tracker'!$A:$D,4,FALSE()),""))</f>
        <v/>
      </c>
      <c r="H468" s="22"/>
    </row>
    <row r="469" spans="1:8">
      <c r="A469" s="21"/>
      <c r="B469" s="22"/>
      <c r="C469" s="22"/>
      <c r="D469" s="22"/>
      <c r="E469" s="23" t="str">
        <f>IF($D469="","",IFERROR(VLOOKUP($D469,'ACAS Capital Tracker'!$A:$H,8,FALSE()),""))</f>
        <v/>
      </c>
      <c r="F469" s="24"/>
      <c r="G469" s="25" t="str">
        <f>IF($D469="","",IFERROR(VLOOKUP($D469,'ACAS Capital Tracker'!$A:$D,4,FALSE()),""))</f>
        <v/>
      </c>
      <c r="H469" s="22"/>
    </row>
    <row r="470" spans="1:8">
      <c r="A470" s="21"/>
      <c r="B470" s="22"/>
      <c r="C470" s="22"/>
      <c r="D470" s="22"/>
      <c r="E470" s="23" t="str">
        <f>IF($D470="","",IFERROR(VLOOKUP($D470,'ACAS Capital Tracker'!$A:$H,8,FALSE()),""))</f>
        <v/>
      </c>
      <c r="F470" s="24"/>
      <c r="G470" s="25" t="str">
        <f>IF($D470="","",IFERROR(VLOOKUP($D470,'ACAS Capital Tracker'!$A:$D,4,FALSE()),""))</f>
        <v/>
      </c>
      <c r="H470" s="22"/>
    </row>
    <row r="471" spans="1:8">
      <c r="A471" s="21"/>
      <c r="B471" s="22"/>
      <c r="C471" s="22"/>
      <c r="D471" s="22"/>
      <c r="E471" s="23" t="str">
        <f>IF($D471="","",IFERROR(VLOOKUP($D471,'ACAS Capital Tracker'!$A:$H,8,FALSE()),""))</f>
        <v/>
      </c>
      <c r="F471" s="24"/>
      <c r="G471" s="25" t="str">
        <f>IF($D471="","",IFERROR(VLOOKUP($D471,'ACAS Capital Tracker'!$A:$D,4,FALSE()),""))</f>
        <v/>
      </c>
      <c r="H471" s="22"/>
    </row>
    <row r="472" spans="1:8">
      <c r="A472" s="21"/>
      <c r="B472" s="22"/>
      <c r="C472" s="22"/>
      <c r="D472" s="22"/>
      <c r="E472" s="23" t="str">
        <f>IF($D472="","",IFERROR(VLOOKUP($D472,'ACAS Capital Tracker'!$A:$H,8,FALSE()),""))</f>
        <v/>
      </c>
      <c r="F472" s="24"/>
      <c r="G472" s="25" t="str">
        <f>IF($D472="","",IFERROR(VLOOKUP($D472,'ACAS Capital Tracker'!$A:$D,4,FALSE()),""))</f>
        <v/>
      </c>
      <c r="H472" s="22"/>
    </row>
    <row r="473" spans="1:8">
      <c r="A473" s="21"/>
      <c r="B473" s="22"/>
      <c r="C473" s="22"/>
      <c r="D473" s="22"/>
      <c r="E473" s="23" t="str">
        <f>IF($D473="","",IFERROR(VLOOKUP($D473,'ACAS Capital Tracker'!$A:$H,8,FALSE()),""))</f>
        <v/>
      </c>
      <c r="F473" s="24"/>
      <c r="G473" s="25" t="str">
        <f>IF($D473="","",IFERROR(VLOOKUP($D473,'ACAS Capital Tracker'!$A:$D,4,FALSE()),""))</f>
        <v/>
      </c>
      <c r="H473" s="22"/>
    </row>
    <row r="474" spans="1:8">
      <c r="A474" s="21"/>
      <c r="B474" s="22"/>
      <c r="C474" s="22"/>
      <c r="D474" s="22"/>
      <c r="E474" s="23" t="str">
        <f>IF($D474="","",IFERROR(VLOOKUP($D474,'ACAS Capital Tracker'!$A:$H,8,FALSE()),""))</f>
        <v/>
      </c>
      <c r="F474" s="24"/>
      <c r="G474" s="25" t="str">
        <f>IF($D474="","",IFERROR(VLOOKUP($D474,'ACAS Capital Tracker'!$A:$D,4,FALSE()),""))</f>
        <v/>
      </c>
      <c r="H474" s="22"/>
    </row>
    <row r="475" spans="1:8">
      <c r="A475" s="21"/>
      <c r="B475" s="22"/>
      <c r="C475" s="22"/>
      <c r="D475" s="22"/>
      <c r="E475" s="23" t="str">
        <f>IF($D475="","",IFERROR(VLOOKUP($D475,'ACAS Capital Tracker'!$A:$H,8,FALSE()),""))</f>
        <v/>
      </c>
      <c r="F475" s="24"/>
      <c r="G475" s="25" t="str">
        <f>IF($D475="","",IFERROR(VLOOKUP($D475,'ACAS Capital Tracker'!$A:$D,4,FALSE()),""))</f>
        <v/>
      </c>
      <c r="H475" s="22"/>
    </row>
    <row r="476" spans="1:8">
      <c r="A476" s="21"/>
      <c r="B476" s="22"/>
      <c r="C476" s="22"/>
      <c r="D476" s="22"/>
      <c r="E476" s="23" t="str">
        <f>IF($D476="","",IFERROR(VLOOKUP($D476,'ACAS Capital Tracker'!$A:$H,8,FALSE()),""))</f>
        <v/>
      </c>
      <c r="F476" s="24"/>
      <c r="G476" s="25" t="str">
        <f>IF($D476="","",IFERROR(VLOOKUP($D476,'ACAS Capital Tracker'!$A:$D,4,FALSE()),""))</f>
        <v/>
      </c>
      <c r="H476" s="22"/>
    </row>
    <row r="477" spans="1:8">
      <c r="A477" s="21"/>
      <c r="B477" s="22"/>
      <c r="C477" s="22"/>
      <c r="D477" s="22"/>
      <c r="E477" s="23" t="str">
        <f>IF($D477="","",IFERROR(VLOOKUP($D477,'ACAS Capital Tracker'!$A:$H,8,FALSE()),""))</f>
        <v/>
      </c>
      <c r="F477" s="24"/>
      <c r="G477" s="25" t="str">
        <f>IF($D477="","",IFERROR(VLOOKUP($D477,'ACAS Capital Tracker'!$A:$D,4,FALSE()),""))</f>
        <v/>
      </c>
      <c r="H477" s="22"/>
    </row>
    <row r="478" spans="1:8">
      <c r="A478" s="21"/>
      <c r="B478" s="22"/>
      <c r="C478" s="22"/>
      <c r="D478" s="22"/>
      <c r="E478" s="23" t="str">
        <f>IF($D478="","",IFERROR(VLOOKUP($D478,'ACAS Capital Tracker'!$A:$H,8,FALSE()),""))</f>
        <v/>
      </c>
      <c r="F478" s="24"/>
      <c r="G478" s="25" t="str">
        <f>IF($D478="","",IFERROR(VLOOKUP($D478,'ACAS Capital Tracker'!$A:$D,4,FALSE()),""))</f>
        <v/>
      </c>
      <c r="H478" s="22"/>
    </row>
    <row r="479" spans="1:8">
      <c r="A479" s="21"/>
      <c r="B479" s="22"/>
      <c r="C479" s="22"/>
      <c r="D479" s="22"/>
      <c r="E479" s="23" t="str">
        <f>IF($D479="","",IFERROR(VLOOKUP($D479,'ACAS Capital Tracker'!$A:$H,8,FALSE()),""))</f>
        <v/>
      </c>
      <c r="F479" s="24"/>
      <c r="G479" s="25" t="str">
        <f>IF($D479="","",IFERROR(VLOOKUP($D479,'ACAS Capital Tracker'!$A:$D,4,FALSE()),""))</f>
        <v/>
      </c>
      <c r="H479" s="22"/>
    </row>
    <row r="480" spans="1:8">
      <c r="A480" s="21"/>
      <c r="B480" s="22"/>
      <c r="C480" s="22"/>
      <c r="D480" s="22"/>
      <c r="E480" s="23" t="str">
        <f>IF($D480="","",IFERROR(VLOOKUP($D480,'ACAS Capital Tracker'!$A:$H,8,FALSE()),""))</f>
        <v/>
      </c>
      <c r="F480" s="24"/>
      <c r="G480" s="25" t="str">
        <f>IF($D480="","",IFERROR(VLOOKUP($D480,'ACAS Capital Tracker'!$A:$D,4,FALSE()),""))</f>
        <v/>
      </c>
      <c r="H480" s="22"/>
    </row>
    <row r="481" spans="1:8">
      <c r="A481" s="21"/>
      <c r="B481" s="22"/>
      <c r="C481" s="22"/>
      <c r="D481" s="22"/>
      <c r="E481" s="23" t="str">
        <f>IF($D481="","",IFERROR(VLOOKUP($D481,'ACAS Capital Tracker'!$A:$H,8,FALSE()),""))</f>
        <v/>
      </c>
      <c r="F481" s="24"/>
      <c r="G481" s="25" t="str">
        <f>IF($D481="","",IFERROR(VLOOKUP($D481,'ACAS Capital Tracker'!$A:$D,4,FALSE()),""))</f>
        <v/>
      </c>
      <c r="H481" s="22"/>
    </row>
    <row r="482" spans="1:8">
      <c r="A482" s="21"/>
      <c r="B482" s="22"/>
      <c r="C482" s="22"/>
      <c r="D482" s="22"/>
      <c r="E482" s="23" t="str">
        <f>IF($D482="","",IFERROR(VLOOKUP($D482,'ACAS Capital Tracker'!$A:$H,8,FALSE()),""))</f>
        <v/>
      </c>
      <c r="F482" s="24"/>
      <c r="G482" s="25" t="str">
        <f>IF($D482="","",IFERROR(VLOOKUP($D482,'ACAS Capital Tracker'!$A:$D,4,FALSE()),""))</f>
        <v/>
      </c>
      <c r="H482" s="22"/>
    </row>
    <row r="483" spans="1:8">
      <c r="A483" s="21"/>
      <c r="B483" s="22"/>
      <c r="C483" s="22"/>
      <c r="D483" s="22"/>
      <c r="E483" s="23" t="str">
        <f>IF($D483="","",IFERROR(VLOOKUP($D483,'ACAS Capital Tracker'!$A:$H,8,FALSE()),""))</f>
        <v/>
      </c>
      <c r="F483" s="24"/>
      <c r="G483" s="25" t="str">
        <f>IF($D483="","",IFERROR(VLOOKUP($D483,'ACAS Capital Tracker'!$A:$D,4,FALSE()),""))</f>
        <v/>
      </c>
      <c r="H483" s="22"/>
    </row>
    <row r="484" spans="1:8">
      <c r="A484" s="21"/>
      <c r="B484" s="22"/>
      <c r="C484" s="22"/>
      <c r="D484" s="22"/>
      <c r="E484" s="23" t="str">
        <f>IF($D484="","",IFERROR(VLOOKUP($D484,'ACAS Capital Tracker'!$A:$H,8,FALSE()),""))</f>
        <v/>
      </c>
      <c r="F484" s="24"/>
      <c r="G484" s="25" t="str">
        <f>IF($D484="","",IFERROR(VLOOKUP($D484,'ACAS Capital Tracker'!$A:$D,4,FALSE()),""))</f>
        <v/>
      </c>
      <c r="H484" s="22"/>
    </row>
    <row r="485" spans="1:8">
      <c r="A485" s="21"/>
      <c r="B485" s="22"/>
      <c r="C485" s="22"/>
      <c r="D485" s="22"/>
      <c r="E485" s="23" t="str">
        <f>IF($D485="","",IFERROR(VLOOKUP($D485,'ACAS Capital Tracker'!$A:$H,8,FALSE()),""))</f>
        <v/>
      </c>
      <c r="F485" s="24"/>
      <c r="G485" s="25" t="str">
        <f>IF($D485="","",IFERROR(VLOOKUP($D485,'ACAS Capital Tracker'!$A:$D,4,FALSE()),""))</f>
        <v/>
      </c>
      <c r="H485" s="22"/>
    </row>
    <row r="486" spans="1:8">
      <c r="A486" s="21"/>
      <c r="B486" s="22"/>
      <c r="C486" s="22"/>
      <c r="D486" s="22"/>
      <c r="E486" s="23" t="str">
        <f>IF($D486="","",IFERROR(VLOOKUP($D486,'ACAS Capital Tracker'!$A:$H,8,FALSE()),""))</f>
        <v/>
      </c>
      <c r="F486" s="24"/>
      <c r="G486" s="25" t="str">
        <f>IF($D486="","",IFERROR(VLOOKUP($D486,'ACAS Capital Tracker'!$A:$D,4,FALSE()),""))</f>
        <v/>
      </c>
      <c r="H486" s="22"/>
    </row>
    <row r="487" spans="1:8">
      <c r="A487" s="21"/>
      <c r="B487" s="22"/>
      <c r="C487" s="22"/>
      <c r="D487" s="22"/>
      <c r="E487" s="23" t="str">
        <f>IF($D487="","",IFERROR(VLOOKUP($D487,'ACAS Capital Tracker'!$A:$H,8,FALSE()),""))</f>
        <v/>
      </c>
      <c r="F487" s="24"/>
      <c r="G487" s="25" t="str">
        <f>IF($D487="","",IFERROR(VLOOKUP($D487,'ACAS Capital Tracker'!$A:$D,4,FALSE()),""))</f>
        <v/>
      </c>
      <c r="H487" s="22"/>
    </row>
    <row r="488" spans="1:8">
      <c r="A488" s="21"/>
      <c r="B488" s="22"/>
      <c r="C488" s="22"/>
      <c r="D488" s="22"/>
      <c r="E488" s="23" t="str">
        <f>IF($D488="","",IFERROR(VLOOKUP($D488,'ACAS Capital Tracker'!$A:$H,8,FALSE()),""))</f>
        <v/>
      </c>
      <c r="F488" s="24"/>
      <c r="G488" s="25" t="str">
        <f>IF($D488="","",IFERROR(VLOOKUP($D488,'ACAS Capital Tracker'!$A:$D,4,FALSE()),""))</f>
        <v/>
      </c>
      <c r="H488" s="22"/>
    </row>
    <row r="489" spans="1:8">
      <c r="A489" s="21"/>
      <c r="B489" s="22"/>
      <c r="C489" s="22"/>
      <c r="D489" s="22"/>
      <c r="E489" s="23" t="str">
        <f>IF($D489="","",IFERROR(VLOOKUP($D489,'ACAS Capital Tracker'!$A:$H,8,FALSE()),""))</f>
        <v/>
      </c>
      <c r="F489" s="24"/>
      <c r="G489" s="25" t="str">
        <f>IF($D489="","",IFERROR(VLOOKUP($D489,'ACAS Capital Tracker'!$A:$D,4,FALSE()),""))</f>
        <v/>
      </c>
      <c r="H489" s="22"/>
    </row>
    <row r="490" spans="1:8">
      <c r="A490" s="21"/>
      <c r="B490" s="22"/>
      <c r="C490" s="22"/>
      <c r="D490" s="22"/>
      <c r="E490" s="23" t="str">
        <f>IF($D490="","",IFERROR(VLOOKUP($D490,'ACAS Capital Tracker'!$A:$H,8,FALSE()),""))</f>
        <v/>
      </c>
      <c r="F490" s="24"/>
      <c r="G490" s="25" t="str">
        <f>IF($D490="","",IFERROR(VLOOKUP($D490,'ACAS Capital Tracker'!$A:$D,4,FALSE()),""))</f>
        <v/>
      </c>
      <c r="H490" s="22"/>
    </row>
    <row r="491" spans="1:8">
      <c r="A491" s="21"/>
      <c r="B491" s="22"/>
      <c r="C491" s="22"/>
      <c r="D491" s="22"/>
      <c r="E491" s="23" t="str">
        <f>IF($D491="","",IFERROR(VLOOKUP($D491,'ACAS Capital Tracker'!$A:$H,8,FALSE()),""))</f>
        <v/>
      </c>
      <c r="F491" s="24"/>
      <c r="G491" s="25" t="str">
        <f>IF($D491="","",IFERROR(VLOOKUP($D491,'ACAS Capital Tracker'!$A:$D,4,FALSE()),""))</f>
        <v/>
      </c>
      <c r="H491" s="22"/>
    </row>
    <row r="492" spans="1:8">
      <c r="A492" s="21"/>
      <c r="B492" s="22"/>
      <c r="C492" s="22"/>
      <c r="D492" s="22"/>
      <c r="E492" s="23" t="str">
        <f>IF($D492="","",IFERROR(VLOOKUP($D492,'ACAS Capital Tracker'!$A:$H,8,FALSE()),""))</f>
        <v/>
      </c>
      <c r="F492" s="24"/>
      <c r="G492" s="25" t="str">
        <f>IF($D492="","",IFERROR(VLOOKUP($D492,'ACAS Capital Tracker'!$A:$D,4,FALSE()),""))</f>
        <v/>
      </c>
      <c r="H492" s="22"/>
    </row>
    <row r="493" spans="1:8">
      <c r="A493" s="21"/>
      <c r="B493" s="22"/>
      <c r="C493" s="22"/>
      <c r="D493" s="22"/>
      <c r="E493" s="23" t="str">
        <f>IF($D493="","",IFERROR(VLOOKUP($D493,'ACAS Capital Tracker'!$A:$H,8,FALSE()),""))</f>
        <v/>
      </c>
      <c r="F493" s="24"/>
      <c r="G493" s="25" t="str">
        <f>IF($D493="","",IFERROR(VLOOKUP($D493,'ACAS Capital Tracker'!$A:$D,4,FALSE()),""))</f>
        <v/>
      </c>
      <c r="H493" s="22"/>
    </row>
    <row r="494" spans="1:8">
      <c r="A494" s="21"/>
      <c r="B494" s="22"/>
      <c r="C494" s="22"/>
      <c r="D494" s="22"/>
      <c r="E494" s="23" t="str">
        <f>IF($D494="","",IFERROR(VLOOKUP($D494,'ACAS Capital Tracker'!$A:$H,8,FALSE()),""))</f>
        <v/>
      </c>
      <c r="F494" s="24"/>
      <c r="G494" s="25" t="str">
        <f>IF($D494="","",IFERROR(VLOOKUP($D494,'ACAS Capital Tracker'!$A:$D,4,FALSE()),""))</f>
        <v/>
      </c>
      <c r="H494" s="22"/>
    </row>
    <row r="495" spans="1:8">
      <c r="A495" s="21"/>
      <c r="B495" s="22"/>
      <c r="C495" s="22"/>
      <c r="D495" s="22"/>
      <c r="E495" s="23" t="str">
        <f>IF($D495="","",IFERROR(VLOOKUP($D495,'ACAS Capital Tracker'!$A:$H,8,FALSE()),""))</f>
        <v/>
      </c>
      <c r="F495" s="24"/>
      <c r="G495" s="25" t="str">
        <f>IF($D495="","",IFERROR(VLOOKUP($D495,'ACAS Capital Tracker'!$A:$D,4,FALSE()),""))</f>
        <v/>
      </c>
      <c r="H495" s="22"/>
    </row>
    <row r="496" spans="1:8">
      <c r="A496" s="21"/>
      <c r="B496" s="22"/>
      <c r="C496" s="22"/>
      <c r="D496" s="22"/>
      <c r="E496" s="23" t="str">
        <f>IF($D496="","",IFERROR(VLOOKUP($D496,'ACAS Capital Tracker'!$A:$H,8,FALSE()),""))</f>
        <v/>
      </c>
      <c r="F496" s="24"/>
      <c r="G496" s="25" t="str">
        <f>IF($D496="","",IFERROR(VLOOKUP($D496,'ACAS Capital Tracker'!$A:$D,4,FALSE()),""))</f>
        <v/>
      </c>
      <c r="H496" s="22"/>
    </row>
    <row r="497" spans="1:8">
      <c r="A497" s="21"/>
      <c r="B497" s="22"/>
      <c r="C497" s="22"/>
      <c r="D497" s="22"/>
      <c r="E497" s="23" t="str">
        <f>IF($D497="","",IFERROR(VLOOKUP($D497,'ACAS Capital Tracker'!$A:$H,8,FALSE()),""))</f>
        <v/>
      </c>
      <c r="F497" s="24"/>
      <c r="G497" s="25" t="str">
        <f>IF($D497="","",IFERROR(VLOOKUP($D497,'ACAS Capital Tracker'!$A:$D,4,FALSE()),""))</f>
        <v/>
      </c>
      <c r="H497" s="22"/>
    </row>
    <row r="498" spans="1:8">
      <c r="A498" s="21"/>
      <c r="B498" s="22"/>
      <c r="C498" s="22"/>
      <c r="D498" s="22"/>
      <c r="E498" s="23" t="str">
        <f>IF($D498="","",IFERROR(VLOOKUP($D498,'ACAS Capital Tracker'!$A:$H,8,FALSE()),""))</f>
        <v/>
      </c>
      <c r="F498" s="24"/>
      <c r="G498" s="25" t="str">
        <f>IF($D498="","",IFERROR(VLOOKUP($D498,'ACAS Capital Tracker'!$A:$D,4,FALSE()),""))</f>
        <v/>
      </c>
      <c r="H498" s="22"/>
    </row>
    <row r="499" spans="1:8">
      <c r="A499" s="21"/>
      <c r="B499" s="22"/>
      <c r="C499" s="22"/>
      <c r="D499" s="22"/>
      <c r="E499" s="23" t="str">
        <f>IF($D499="","",IFERROR(VLOOKUP($D499,'ACAS Capital Tracker'!$A:$H,8,FALSE()),""))</f>
        <v/>
      </c>
      <c r="F499" s="24"/>
      <c r="G499" s="25" t="str">
        <f>IF($D499="","",IFERROR(VLOOKUP($D499,'ACAS Capital Tracker'!$A:$D,4,FALSE()),""))</f>
        <v/>
      </c>
      <c r="H499" s="22"/>
    </row>
    <row r="500" spans="1:8">
      <c r="A500" s="21"/>
      <c r="B500" s="22"/>
      <c r="C500" s="22"/>
      <c r="D500" s="22"/>
      <c r="E500" s="23" t="str">
        <f>IF($D500="","",IFERROR(VLOOKUP($D500,'ACAS Capital Tracker'!$A:$H,8,FALSE()),""))</f>
        <v/>
      </c>
      <c r="F500" s="24"/>
      <c r="G500" s="25" t="str">
        <f>IF($D500="","",IFERROR(VLOOKUP($D500,'ACAS Capital Tracker'!$A:$D,4,FALSE()),""))</f>
        <v/>
      </c>
      <c r="H500" s="22"/>
    </row>
    <row r="501" spans="1:8">
      <c r="A501" s="21"/>
      <c r="B501" s="22"/>
      <c r="C501" s="22"/>
      <c r="D501" s="22"/>
      <c r="E501" s="23" t="str">
        <f>IF($D501="","",IFERROR(VLOOKUP($D501,'ACAS Capital Tracker'!$A:$H,8,FALSE()),""))</f>
        <v/>
      </c>
      <c r="F501" s="24"/>
      <c r="G501" s="25" t="str">
        <f>IF($D501="","",IFERROR(VLOOKUP($D501,'ACAS Capital Tracker'!$A:$D,4,FALSE()),""))</f>
        <v/>
      </c>
      <c r="H501" s="22"/>
    </row>
    <row r="502" spans="1:8">
      <c r="A502" s="21"/>
      <c r="B502" s="22"/>
      <c r="C502" s="22"/>
      <c r="D502" s="22"/>
      <c r="E502" s="23" t="str">
        <f>IF($D502="","",IFERROR(VLOOKUP($D502,'ACAS Capital Tracker'!$A:$H,8,FALSE()),""))</f>
        <v/>
      </c>
      <c r="F502" s="24"/>
      <c r="G502" s="25" t="str">
        <f>IF($D502="","",IFERROR(VLOOKUP($D502,'ACAS Capital Tracker'!$A:$D,4,FALSE()),""))</f>
        <v/>
      </c>
      <c r="H502" s="22"/>
    </row>
    <row r="503" spans="1:8">
      <c r="A503" s="21"/>
      <c r="B503" s="22"/>
      <c r="C503" s="22"/>
      <c r="D503" s="22"/>
      <c r="E503" s="23" t="str">
        <f>IF($D503="","",IFERROR(VLOOKUP($D503,'ACAS Capital Tracker'!$A:$H,8,FALSE()),""))</f>
        <v/>
      </c>
      <c r="F503" s="24"/>
      <c r="G503" s="25" t="str">
        <f>IF($D503="","",IFERROR(VLOOKUP($D503,'ACAS Capital Tracker'!$A:$D,4,FALSE()),""))</f>
        <v/>
      </c>
      <c r="H503" s="22"/>
    </row>
    <row r="504" spans="1:8">
      <c r="A504" s="21"/>
      <c r="B504" s="22"/>
      <c r="C504" s="22"/>
      <c r="D504" s="22"/>
      <c r="E504" s="23" t="str">
        <f>IF($D504="","",IFERROR(VLOOKUP($D504,'ACAS Capital Tracker'!$A:$H,8,FALSE()),""))</f>
        <v/>
      </c>
      <c r="F504" s="24"/>
      <c r="G504" s="25" t="str">
        <f>IF($D504="","",IFERROR(VLOOKUP($D504,'ACAS Capital Tracker'!$A:$D,4,FALSE()),""))</f>
        <v/>
      </c>
      <c r="H504" s="22"/>
    </row>
    <row r="505" spans="1:8">
      <c r="A505" s="21"/>
      <c r="B505" s="22"/>
      <c r="C505" s="22"/>
      <c r="D505" s="22"/>
      <c r="E505" s="23" t="str">
        <f>IF($D505="","",IFERROR(VLOOKUP($D505,'ACAS Capital Tracker'!$A:$H,8,FALSE()),""))</f>
        <v/>
      </c>
      <c r="F505" s="24"/>
      <c r="G505" s="25" t="str">
        <f>IF($D505="","",IFERROR(VLOOKUP($D505,'ACAS Capital Tracker'!$A:$D,4,FALSE()),""))</f>
        <v/>
      </c>
      <c r="H505" s="22"/>
    </row>
    <row r="506" spans="1:8">
      <c r="A506" s="21"/>
      <c r="B506" s="22"/>
      <c r="C506" s="22"/>
      <c r="D506" s="22"/>
      <c r="E506" s="23" t="str">
        <f>IF($D506="","",IFERROR(VLOOKUP($D506,'ACAS Capital Tracker'!$A:$H,8,FALSE()),""))</f>
        <v/>
      </c>
      <c r="F506" s="24"/>
      <c r="G506" s="25" t="str">
        <f>IF($D506="","",IFERROR(VLOOKUP($D506,'ACAS Capital Tracker'!$A:$D,4,FALSE()),""))</f>
        <v/>
      </c>
      <c r="H506" s="22"/>
    </row>
    <row r="507" spans="1:8">
      <c r="A507" s="21"/>
      <c r="B507" s="22"/>
      <c r="C507" s="22"/>
      <c r="D507" s="22"/>
      <c r="E507" s="23" t="str">
        <f>IF($D507="","",IFERROR(VLOOKUP($D507,'ACAS Capital Tracker'!$A:$H,8,FALSE()),""))</f>
        <v/>
      </c>
      <c r="F507" s="24"/>
      <c r="G507" s="25" t="str">
        <f>IF($D507="","",IFERROR(VLOOKUP($D507,'ACAS Capital Tracker'!$A:$D,4,FALSE()),""))</f>
        <v/>
      </c>
      <c r="H507" s="22"/>
    </row>
    <row r="508" spans="1:8">
      <c r="A508" s="21"/>
      <c r="B508" s="22"/>
      <c r="C508" s="22"/>
      <c r="D508" s="22"/>
      <c r="E508" s="23" t="str">
        <f>IF($D508="","",IFERROR(VLOOKUP($D508,'ACAS Capital Tracker'!$A:$H,8,FALSE()),""))</f>
        <v/>
      </c>
      <c r="F508" s="24"/>
      <c r="G508" s="25" t="str">
        <f>IF($D508="","",IFERROR(VLOOKUP($D508,'ACAS Capital Tracker'!$A:$D,4,FALSE()),""))</f>
        <v/>
      </c>
      <c r="H508" s="22"/>
    </row>
    <row r="509" spans="1:8">
      <c r="A509" s="21"/>
      <c r="B509" s="22"/>
      <c r="C509" s="22"/>
      <c r="D509" s="22"/>
      <c r="E509" s="23" t="str">
        <f>IF($D509="","",IFERROR(VLOOKUP($D509,'ACAS Capital Tracker'!$A:$H,8,FALSE()),""))</f>
        <v/>
      </c>
      <c r="F509" s="24"/>
      <c r="G509" s="25" t="str">
        <f>IF($D509="","",IFERROR(VLOOKUP($D509,'ACAS Capital Tracker'!$A:$D,4,FALSE()),""))</f>
        <v/>
      </c>
      <c r="H509" s="22"/>
    </row>
    <row r="510" spans="1:8">
      <c r="A510" s="21"/>
      <c r="B510" s="22"/>
      <c r="C510" s="22"/>
      <c r="D510" s="22"/>
      <c r="E510" s="23" t="str">
        <f>IF($D510="","",IFERROR(VLOOKUP($D510,'ACAS Capital Tracker'!$A:$H,8,FALSE()),""))</f>
        <v/>
      </c>
      <c r="F510" s="24"/>
      <c r="G510" s="25" t="str">
        <f>IF($D510="","",IFERROR(VLOOKUP($D510,'ACAS Capital Tracker'!$A:$D,4,FALSE()),""))</f>
        <v/>
      </c>
      <c r="H510" s="22"/>
    </row>
    <row r="511" spans="1:8">
      <c r="A511" s="21"/>
      <c r="B511" s="22"/>
      <c r="C511" s="22"/>
      <c r="D511" s="22"/>
      <c r="E511" s="23" t="str">
        <f>IF($D511="","",IFERROR(VLOOKUP($D511,'ACAS Capital Tracker'!$A:$H,8,FALSE()),""))</f>
        <v/>
      </c>
      <c r="F511" s="24"/>
      <c r="G511" s="25" t="str">
        <f>IF($D511="","",IFERROR(VLOOKUP($D511,'ACAS Capital Tracker'!$A:$D,4,FALSE()),""))</f>
        <v/>
      </c>
      <c r="H511" s="22"/>
    </row>
    <row r="512" spans="1:8">
      <c r="A512" s="21"/>
      <c r="B512" s="22"/>
      <c r="C512" s="22"/>
      <c r="D512" s="22"/>
      <c r="E512" s="23" t="str">
        <f>IF($D512="","",IFERROR(VLOOKUP($D512,'ACAS Capital Tracker'!$A:$H,8,FALSE()),""))</f>
        <v/>
      </c>
      <c r="F512" s="24"/>
      <c r="G512" s="25" t="str">
        <f>IF($D512="","",IFERROR(VLOOKUP($D512,'ACAS Capital Tracker'!$A:$D,4,FALSE()),""))</f>
        <v/>
      </c>
      <c r="H512" s="22"/>
    </row>
    <row r="513" spans="1:8">
      <c r="A513" s="21"/>
      <c r="B513" s="22"/>
      <c r="C513" s="22"/>
      <c r="D513" s="22"/>
      <c r="E513" s="23" t="str">
        <f>IF($D513="","",IFERROR(VLOOKUP($D513,'ACAS Capital Tracker'!$A:$H,8,FALSE()),""))</f>
        <v/>
      </c>
      <c r="F513" s="24"/>
      <c r="G513" s="25" t="str">
        <f>IF($D513="","",IFERROR(VLOOKUP($D513,'ACAS Capital Tracker'!$A:$D,4,FALSE()),""))</f>
        <v/>
      </c>
      <c r="H513" s="22"/>
    </row>
    <row r="514" spans="1:8">
      <c r="A514" s="21"/>
      <c r="B514" s="22"/>
      <c r="C514" s="22"/>
      <c r="D514" s="22"/>
      <c r="E514" s="23" t="str">
        <f>IF($D514="","",IFERROR(VLOOKUP($D514,'ACAS Capital Tracker'!$A:$H,8,FALSE()),""))</f>
        <v/>
      </c>
      <c r="F514" s="24"/>
      <c r="G514" s="25" t="str">
        <f>IF($D514="","",IFERROR(VLOOKUP($D514,'ACAS Capital Tracker'!$A:$D,4,FALSE()),""))</f>
        <v/>
      </c>
      <c r="H514" s="22"/>
    </row>
    <row r="515" spans="1:8">
      <c r="A515" s="21"/>
      <c r="B515" s="22"/>
      <c r="C515" s="22"/>
      <c r="D515" s="22"/>
      <c r="E515" s="23" t="str">
        <f>IF($D515="","",IFERROR(VLOOKUP($D515,'ACAS Capital Tracker'!$A:$H,8,FALSE()),""))</f>
        <v/>
      </c>
      <c r="F515" s="24"/>
      <c r="G515" s="25" t="str">
        <f>IF($D515="","",IFERROR(VLOOKUP($D515,'ACAS Capital Tracker'!$A:$D,4,FALSE()),""))</f>
        <v/>
      </c>
      <c r="H515" s="22"/>
    </row>
    <row r="516" spans="1:8">
      <c r="A516" s="21"/>
      <c r="B516" s="22"/>
      <c r="C516" s="22"/>
      <c r="D516" s="22"/>
      <c r="E516" s="23" t="str">
        <f>IF($D516="","",IFERROR(VLOOKUP($D516,'ACAS Capital Tracker'!$A:$H,8,FALSE()),""))</f>
        <v/>
      </c>
      <c r="F516" s="24"/>
      <c r="G516" s="25" t="str">
        <f>IF($D516="","",IFERROR(VLOOKUP($D516,'ACAS Capital Tracker'!$A:$D,4,FALSE()),""))</f>
        <v/>
      </c>
      <c r="H516" s="22"/>
    </row>
    <row r="517" spans="1:8">
      <c r="A517" s="21"/>
      <c r="B517" s="22"/>
      <c r="C517" s="22"/>
      <c r="D517" s="22"/>
      <c r="E517" s="23" t="str">
        <f>IF($D517="","",IFERROR(VLOOKUP($D517,'ACAS Capital Tracker'!$A:$H,8,FALSE()),""))</f>
        <v/>
      </c>
      <c r="F517" s="24"/>
      <c r="G517" s="25" t="str">
        <f>IF($D517="","",IFERROR(VLOOKUP($D517,'ACAS Capital Tracker'!$A:$D,4,FALSE()),""))</f>
        <v/>
      </c>
      <c r="H517" s="22"/>
    </row>
    <row r="518" spans="1:8">
      <c r="A518" s="21"/>
      <c r="B518" s="22"/>
      <c r="C518" s="22"/>
      <c r="D518" s="22"/>
      <c r="E518" s="23" t="str">
        <f>IF($D518="","",IFERROR(VLOOKUP($D518,'ACAS Capital Tracker'!$A:$H,8,FALSE()),""))</f>
        <v/>
      </c>
      <c r="F518" s="24"/>
      <c r="G518" s="25" t="str">
        <f>IF($D518="","",IFERROR(VLOOKUP($D518,'ACAS Capital Tracker'!$A:$D,4,FALSE()),""))</f>
        <v/>
      </c>
      <c r="H518" s="22"/>
    </row>
    <row r="519" spans="1:8">
      <c r="A519" s="21"/>
      <c r="B519" s="22"/>
      <c r="C519" s="22"/>
      <c r="D519" s="22"/>
      <c r="E519" s="23" t="str">
        <f>IF($D519="","",IFERROR(VLOOKUP($D519,'ACAS Capital Tracker'!$A:$H,8,FALSE()),""))</f>
        <v/>
      </c>
      <c r="F519" s="24"/>
      <c r="G519" s="25" t="str">
        <f>IF($D519="","",IFERROR(VLOOKUP($D519,'ACAS Capital Tracker'!$A:$D,4,FALSE()),""))</f>
        <v/>
      </c>
      <c r="H519" s="22"/>
    </row>
    <row r="520" spans="1:8">
      <c r="A520" s="21"/>
      <c r="B520" s="22"/>
      <c r="C520" s="22"/>
      <c r="D520" s="22"/>
      <c r="E520" s="23" t="str">
        <f>IF($D520="","",IFERROR(VLOOKUP($D520,'ACAS Capital Tracker'!$A:$H,8,FALSE()),""))</f>
        <v/>
      </c>
      <c r="F520" s="24"/>
      <c r="G520" s="25" t="str">
        <f>IF($D520="","",IFERROR(VLOOKUP($D520,'ACAS Capital Tracker'!$A:$D,4,FALSE()),""))</f>
        <v/>
      </c>
      <c r="H520" s="22"/>
    </row>
    <row r="521" spans="1:8">
      <c r="A521" s="21"/>
      <c r="B521" s="22"/>
      <c r="C521" s="22"/>
      <c r="D521" s="22"/>
      <c r="E521" s="23" t="str">
        <f>IF($D521="","",IFERROR(VLOOKUP($D521,'ACAS Capital Tracker'!$A:$H,8,FALSE()),""))</f>
        <v/>
      </c>
      <c r="F521" s="24"/>
      <c r="G521" s="25" t="str">
        <f>IF($D521="","",IFERROR(VLOOKUP($D521,'ACAS Capital Tracker'!$A:$D,4,FALSE()),""))</f>
        <v/>
      </c>
      <c r="H521" s="22"/>
    </row>
    <row r="522" spans="1:8">
      <c r="A522" s="21"/>
      <c r="B522" s="22"/>
      <c r="C522" s="22"/>
      <c r="D522" s="22"/>
      <c r="E522" s="23" t="str">
        <f>IF($D522="","",IFERROR(VLOOKUP($D522,'ACAS Capital Tracker'!$A:$H,8,FALSE()),""))</f>
        <v/>
      </c>
      <c r="F522" s="24"/>
      <c r="G522" s="25" t="str">
        <f>IF($D522="","",IFERROR(VLOOKUP($D522,'ACAS Capital Tracker'!$A:$D,4,FALSE()),""))</f>
        <v/>
      </c>
      <c r="H522" s="22"/>
    </row>
    <row r="523" spans="1:8">
      <c r="A523" s="21"/>
      <c r="B523" s="22"/>
      <c r="C523" s="22"/>
      <c r="D523" s="22"/>
      <c r="E523" s="23" t="str">
        <f>IF($D523="","",IFERROR(VLOOKUP($D523,'ACAS Capital Tracker'!$A:$H,8,FALSE()),""))</f>
        <v/>
      </c>
      <c r="F523" s="24"/>
      <c r="G523" s="25" t="str">
        <f>IF($D523="","",IFERROR(VLOOKUP($D523,'ACAS Capital Tracker'!$A:$D,4,FALSE()),""))</f>
        <v/>
      </c>
      <c r="H523" s="22"/>
    </row>
    <row r="524" spans="1:8">
      <c r="A524" s="21"/>
      <c r="B524" s="22"/>
      <c r="C524" s="22"/>
      <c r="D524" s="22"/>
      <c r="E524" s="23" t="str">
        <f>IF($D524="","",IFERROR(VLOOKUP($D524,'ACAS Capital Tracker'!$A:$H,8,FALSE()),""))</f>
        <v/>
      </c>
      <c r="F524" s="24"/>
      <c r="G524" s="25" t="str">
        <f>IF($D524="","",IFERROR(VLOOKUP($D524,'ACAS Capital Tracker'!$A:$D,4,FALSE()),""))</f>
        <v/>
      </c>
      <c r="H524" s="22"/>
    </row>
    <row r="525" spans="1:8">
      <c r="A525" s="21"/>
      <c r="B525" s="22"/>
      <c r="C525" s="22"/>
      <c r="D525" s="22"/>
      <c r="E525" s="23" t="str">
        <f>IF($D525="","",IFERROR(VLOOKUP($D525,'ACAS Capital Tracker'!$A:$H,8,FALSE()),""))</f>
        <v/>
      </c>
      <c r="F525" s="24"/>
      <c r="G525" s="25" t="str">
        <f>IF($D525="","",IFERROR(VLOOKUP($D525,'ACAS Capital Tracker'!$A:$D,4,FALSE()),""))</f>
        <v/>
      </c>
      <c r="H525" s="22"/>
    </row>
    <row r="526" spans="1:8">
      <c r="A526" s="21"/>
      <c r="B526" s="22"/>
      <c r="C526" s="22"/>
      <c r="D526" s="22"/>
      <c r="E526" s="23" t="str">
        <f>IF($D526="","",IFERROR(VLOOKUP($D526,'ACAS Capital Tracker'!$A:$H,8,FALSE()),""))</f>
        <v/>
      </c>
      <c r="F526" s="24"/>
      <c r="G526" s="25" t="str">
        <f>IF($D526="","",IFERROR(VLOOKUP($D526,'ACAS Capital Tracker'!$A:$D,4,FALSE()),""))</f>
        <v/>
      </c>
      <c r="H526" s="22"/>
    </row>
    <row r="527" spans="1:8">
      <c r="A527" s="21"/>
      <c r="B527" s="22"/>
      <c r="C527" s="22"/>
      <c r="D527" s="22"/>
      <c r="E527" s="23" t="str">
        <f>IF($D527="","",IFERROR(VLOOKUP($D527,'ACAS Capital Tracker'!$A:$H,8,FALSE()),""))</f>
        <v/>
      </c>
      <c r="F527" s="24"/>
      <c r="G527" s="25" t="str">
        <f>IF($D527="","",IFERROR(VLOOKUP($D527,'ACAS Capital Tracker'!$A:$D,4,FALSE()),""))</f>
        <v/>
      </c>
      <c r="H527" s="22"/>
    </row>
    <row r="528" spans="1:8">
      <c r="A528" s="21"/>
      <c r="B528" s="22"/>
      <c r="C528" s="22"/>
      <c r="D528" s="22"/>
      <c r="E528" s="23" t="str">
        <f>IF($D528="","",IFERROR(VLOOKUP($D528,'ACAS Capital Tracker'!$A:$H,8,FALSE()),""))</f>
        <v/>
      </c>
      <c r="F528" s="24"/>
      <c r="G528" s="25" t="str">
        <f>IF($D528="","",IFERROR(VLOOKUP($D528,'ACAS Capital Tracker'!$A:$D,4,FALSE()),""))</f>
        <v/>
      </c>
      <c r="H528" s="22"/>
    </row>
    <row r="529" spans="1:8">
      <c r="A529" s="21"/>
      <c r="B529" s="22"/>
      <c r="C529" s="22"/>
      <c r="D529" s="22"/>
      <c r="E529" s="23" t="str">
        <f>IF($D529="","",IFERROR(VLOOKUP($D529,'ACAS Capital Tracker'!$A:$H,8,FALSE()),""))</f>
        <v/>
      </c>
      <c r="F529" s="24"/>
      <c r="G529" s="25" t="str">
        <f>IF($D529="","",IFERROR(VLOOKUP($D529,'ACAS Capital Tracker'!$A:$D,4,FALSE()),""))</f>
        <v/>
      </c>
      <c r="H529" s="22"/>
    </row>
    <row r="530" spans="1:8">
      <c r="A530" s="21"/>
      <c r="B530" s="22"/>
      <c r="C530" s="22"/>
      <c r="D530" s="22"/>
      <c r="E530" s="23" t="str">
        <f>IF($D530="","",IFERROR(VLOOKUP($D530,'ACAS Capital Tracker'!$A:$H,8,FALSE()),""))</f>
        <v/>
      </c>
      <c r="F530" s="24"/>
      <c r="G530" s="25" t="str">
        <f>IF($D530="","",IFERROR(VLOOKUP($D530,'ACAS Capital Tracker'!$A:$D,4,FALSE()),""))</f>
        <v/>
      </c>
      <c r="H530" s="22"/>
    </row>
    <row r="531" spans="1:8">
      <c r="A531" s="21"/>
      <c r="B531" s="22"/>
      <c r="C531" s="22"/>
      <c r="D531" s="22"/>
      <c r="E531" s="23" t="str">
        <f>IF($D531="","",IFERROR(VLOOKUP($D531,'ACAS Capital Tracker'!$A:$H,8,FALSE()),""))</f>
        <v/>
      </c>
      <c r="F531" s="24"/>
      <c r="G531" s="25" t="str">
        <f>IF($D531="","",IFERROR(VLOOKUP($D531,'ACAS Capital Tracker'!$A:$D,4,FALSE()),""))</f>
        <v/>
      </c>
      <c r="H531" s="22"/>
    </row>
    <row r="532" spans="1:8">
      <c r="A532" s="21"/>
      <c r="B532" s="22"/>
      <c r="C532" s="22"/>
      <c r="D532" s="22"/>
      <c r="E532" s="23" t="str">
        <f>IF($D532="","",IFERROR(VLOOKUP($D532,'ACAS Capital Tracker'!$A:$H,8,FALSE()),""))</f>
        <v/>
      </c>
      <c r="F532" s="24"/>
      <c r="G532" s="25" t="str">
        <f>IF($D532="","",IFERROR(VLOOKUP($D532,'ACAS Capital Tracker'!$A:$D,4,FALSE()),""))</f>
        <v/>
      </c>
      <c r="H532" s="22"/>
    </row>
    <row r="533" spans="1:8">
      <c r="A533" s="21"/>
      <c r="B533" s="22"/>
      <c r="C533" s="22"/>
      <c r="D533" s="22"/>
      <c r="E533" s="23" t="str">
        <f>IF($D533="","",IFERROR(VLOOKUP($D533,'ACAS Capital Tracker'!$A:$H,8,FALSE()),""))</f>
        <v/>
      </c>
      <c r="F533" s="24"/>
      <c r="G533" s="25" t="str">
        <f>IF($D533="","",IFERROR(VLOOKUP($D533,'ACAS Capital Tracker'!$A:$D,4,FALSE()),""))</f>
        <v/>
      </c>
      <c r="H533" s="22"/>
    </row>
    <row r="534" spans="1:8">
      <c r="A534" s="21"/>
      <c r="B534" s="22"/>
      <c r="C534" s="22"/>
      <c r="D534" s="22"/>
      <c r="E534" s="23" t="str">
        <f>IF($D534="","",IFERROR(VLOOKUP($D534,'ACAS Capital Tracker'!$A:$H,8,FALSE()),""))</f>
        <v/>
      </c>
      <c r="F534" s="24"/>
      <c r="G534" s="25" t="str">
        <f>IF($D534="","",IFERROR(VLOOKUP($D534,'ACAS Capital Tracker'!$A:$D,4,FALSE()),""))</f>
        <v/>
      </c>
      <c r="H534" s="22"/>
    </row>
    <row r="535" spans="1:8">
      <c r="A535" s="21"/>
      <c r="B535" s="22"/>
      <c r="C535" s="22"/>
      <c r="D535" s="22"/>
      <c r="E535" s="23" t="str">
        <f>IF($D535="","",IFERROR(VLOOKUP($D535,'ACAS Capital Tracker'!$A:$H,8,FALSE()),""))</f>
        <v/>
      </c>
      <c r="F535" s="24"/>
      <c r="G535" s="25" t="str">
        <f>IF($D535="","",IFERROR(VLOOKUP($D535,'ACAS Capital Tracker'!$A:$D,4,FALSE()),""))</f>
        <v/>
      </c>
      <c r="H535" s="22"/>
    </row>
    <row r="536" spans="1:8">
      <c r="A536" s="21"/>
      <c r="B536" s="22"/>
      <c r="C536" s="22"/>
      <c r="D536" s="22"/>
      <c r="E536" s="23" t="str">
        <f>IF($D536="","",IFERROR(VLOOKUP($D536,'ACAS Capital Tracker'!$A:$H,8,FALSE()),""))</f>
        <v/>
      </c>
      <c r="F536" s="24"/>
      <c r="G536" s="25" t="str">
        <f>IF($D536="","",IFERROR(VLOOKUP($D536,'ACAS Capital Tracker'!$A:$D,4,FALSE()),""))</f>
        <v/>
      </c>
      <c r="H536" s="22"/>
    </row>
    <row r="537" spans="1:8">
      <c r="A537" s="21"/>
      <c r="B537" s="22"/>
      <c r="C537" s="22"/>
      <c r="D537" s="22"/>
      <c r="E537" s="23" t="str">
        <f>IF($D537="","",IFERROR(VLOOKUP($D537,'ACAS Capital Tracker'!$A:$H,8,FALSE()),""))</f>
        <v/>
      </c>
      <c r="F537" s="24"/>
      <c r="G537" s="25" t="str">
        <f>IF($D537="","",IFERROR(VLOOKUP($D537,'ACAS Capital Tracker'!$A:$D,4,FALSE()),""))</f>
        <v/>
      </c>
      <c r="H537" s="22"/>
    </row>
    <row r="538" spans="1:8">
      <c r="A538" s="21"/>
      <c r="B538" s="22"/>
      <c r="C538" s="22"/>
      <c r="D538" s="22"/>
      <c r="E538" s="23" t="str">
        <f>IF($D538="","",IFERROR(VLOOKUP($D538,'ACAS Capital Tracker'!$A:$H,8,FALSE()),""))</f>
        <v/>
      </c>
      <c r="F538" s="24"/>
      <c r="G538" s="25" t="str">
        <f>IF($D538="","",IFERROR(VLOOKUP($D538,'ACAS Capital Tracker'!$A:$D,4,FALSE()),""))</f>
        <v/>
      </c>
      <c r="H538" s="22"/>
    </row>
    <row r="539" spans="1:8">
      <c r="A539" s="21"/>
      <c r="B539" s="22"/>
      <c r="C539" s="22"/>
      <c r="D539" s="22"/>
      <c r="E539" s="23" t="str">
        <f>IF($D539="","",IFERROR(VLOOKUP($D539,'ACAS Capital Tracker'!$A:$H,8,FALSE()),""))</f>
        <v/>
      </c>
      <c r="F539" s="24"/>
      <c r="G539" s="25" t="str">
        <f>IF($D539="","",IFERROR(VLOOKUP($D539,'ACAS Capital Tracker'!$A:$D,4,FALSE()),""))</f>
        <v/>
      </c>
      <c r="H539" s="22"/>
    </row>
    <row r="540" spans="1:8">
      <c r="A540" s="21"/>
      <c r="B540" s="22"/>
      <c r="C540" s="22"/>
      <c r="D540" s="22"/>
      <c r="E540" s="23" t="str">
        <f>IF($D540="","",IFERROR(VLOOKUP($D540,'ACAS Capital Tracker'!$A:$H,8,FALSE()),""))</f>
        <v/>
      </c>
      <c r="F540" s="24"/>
      <c r="G540" s="25" t="str">
        <f>IF($D540="","",IFERROR(VLOOKUP($D540,'ACAS Capital Tracker'!$A:$D,4,FALSE()),""))</f>
        <v/>
      </c>
      <c r="H540" s="22"/>
    </row>
    <row r="541" spans="1:8">
      <c r="A541" s="21"/>
      <c r="B541" s="22"/>
      <c r="C541" s="22"/>
      <c r="D541" s="22"/>
      <c r="E541" s="23" t="str">
        <f>IF($D541="","",IFERROR(VLOOKUP($D541,'ACAS Capital Tracker'!$A:$H,8,FALSE()),""))</f>
        <v/>
      </c>
      <c r="F541" s="24"/>
      <c r="G541" s="25" t="str">
        <f>IF($D541="","",IFERROR(VLOOKUP($D541,'ACAS Capital Tracker'!$A:$D,4,FALSE()),""))</f>
        <v/>
      </c>
      <c r="H541" s="22"/>
    </row>
    <row r="542" spans="1:8">
      <c r="A542" s="21"/>
      <c r="B542" s="22"/>
      <c r="C542" s="22"/>
      <c r="D542" s="22"/>
      <c r="E542" s="23" t="str">
        <f>IF($D542="","",IFERROR(VLOOKUP($D542,'ACAS Capital Tracker'!$A:$H,8,FALSE()),""))</f>
        <v/>
      </c>
      <c r="F542" s="24"/>
      <c r="G542" s="25" t="str">
        <f>IF($D542="","",IFERROR(VLOOKUP($D542,'ACAS Capital Tracker'!$A:$D,4,FALSE()),""))</f>
        <v/>
      </c>
      <c r="H542" s="22"/>
    </row>
    <row r="543" spans="1:8">
      <c r="A543" s="21"/>
      <c r="B543" s="22"/>
      <c r="C543" s="22"/>
      <c r="D543" s="22"/>
      <c r="E543" s="23" t="str">
        <f>IF($D543="","",IFERROR(VLOOKUP($D543,'ACAS Capital Tracker'!$A:$H,8,FALSE()),""))</f>
        <v/>
      </c>
      <c r="F543" s="24"/>
      <c r="G543" s="25" t="str">
        <f>IF($D543="","",IFERROR(VLOOKUP($D543,'ACAS Capital Tracker'!$A:$D,4,FALSE()),""))</f>
        <v/>
      </c>
      <c r="H543" s="22"/>
    </row>
    <row r="544" spans="1:8">
      <c r="A544" s="21"/>
      <c r="B544" s="22"/>
      <c r="C544" s="22"/>
      <c r="D544" s="22"/>
      <c r="E544" s="23" t="str">
        <f>IF($D544="","",IFERROR(VLOOKUP($D544,'ACAS Capital Tracker'!$A:$H,8,FALSE()),""))</f>
        <v/>
      </c>
      <c r="F544" s="24"/>
      <c r="G544" s="25" t="str">
        <f>IF($D544="","",IFERROR(VLOOKUP($D544,'ACAS Capital Tracker'!$A:$D,4,FALSE()),""))</f>
        <v/>
      </c>
      <c r="H544" s="22"/>
    </row>
    <row r="545" spans="1:8">
      <c r="A545" s="21"/>
      <c r="B545" s="22"/>
      <c r="C545" s="22"/>
      <c r="D545" s="22"/>
      <c r="E545" s="23" t="str">
        <f>IF($D545="","",IFERROR(VLOOKUP($D545,'ACAS Capital Tracker'!$A:$H,8,FALSE()),""))</f>
        <v/>
      </c>
      <c r="F545" s="24"/>
      <c r="G545" s="25" t="str">
        <f>IF($D545="","",IFERROR(VLOOKUP($D545,'ACAS Capital Tracker'!$A:$D,4,FALSE()),""))</f>
        <v/>
      </c>
      <c r="H545" s="22"/>
    </row>
    <row r="546" spans="1:8">
      <c r="A546" s="21"/>
      <c r="B546" s="22"/>
      <c r="C546" s="22"/>
      <c r="D546" s="22"/>
      <c r="E546" s="23" t="str">
        <f>IF($D546="","",IFERROR(VLOOKUP($D546,'ACAS Capital Tracker'!$A:$H,8,FALSE()),""))</f>
        <v/>
      </c>
      <c r="F546" s="24"/>
      <c r="G546" s="25" t="str">
        <f>IF($D546="","",IFERROR(VLOOKUP($D546,'ACAS Capital Tracker'!$A:$D,4,FALSE()),""))</f>
        <v/>
      </c>
      <c r="H546" s="22"/>
    </row>
    <row r="547" spans="1:8">
      <c r="A547" s="21"/>
      <c r="B547" s="22"/>
      <c r="C547" s="22"/>
      <c r="D547" s="22"/>
      <c r="E547" s="23" t="str">
        <f>IF($D547="","",IFERROR(VLOOKUP($D547,'ACAS Capital Tracker'!$A:$H,8,FALSE()),""))</f>
        <v/>
      </c>
      <c r="F547" s="24"/>
      <c r="G547" s="25" t="str">
        <f>IF($D547="","",IFERROR(VLOOKUP($D547,'ACAS Capital Tracker'!$A:$D,4,FALSE()),""))</f>
        <v/>
      </c>
      <c r="H547" s="22"/>
    </row>
    <row r="548" spans="1:8">
      <c r="A548" s="21"/>
      <c r="B548" s="22"/>
      <c r="C548" s="22"/>
      <c r="D548" s="22"/>
      <c r="E548" s="23" t="str">
        <f>IF($D548="","",IFERROR(VLOOKUP($D548,'ACAS Capital Tracker'!$A:$H,8,FALSE()),""))</f>
        <v/>
      </c>
      <c r="F548" s="24"/>
      <c r="G548" s="25" t="str">
        <f>IF($D548="","",IFERROR(VLOOKUP($D548,'ACAS Capital Tracker'!$A:$D,4,FALSE()),""))</f>
        <v/>
      </c>
      <c r="H548" s="22"/>
    </row>
    <row r="549" spans="1:8">
      <c r="A549" s="21"/>
      <c r="B549" s="22"/>
      <c r="C549" s="22"/>
      <c r="D549" s="22"/>
      <c r="E549" s="23" t="str">
        <f>IF($D549="","",IFERROR(VLOOKUP($D549,'ACAS Capital Tracker'!$A:$H,8,FALSE()),""))</f>
        <v/>
      </c>
      <c r="F549" s="24"/>
      <c r="G549" s="25" t="str">
        <f>IF($D549="","",IFERROR(VLOOKUP($D549,'ACAS Capital Tracker'!$A:$D,4,FALSE()),""))</f>
        <v/>
      </c>
      <c r="H549" s="22"/>
    </row>
    <row r="550" spans="1:8">
      <c r="A550" s="21"/>
      <c r="B550" s="22"/>
      <c r="C550" s="22"/>
      <c r="D550" s="22"/>
      <c r="E550" s="23" t="str">
        <f>IF($D550="","",IFERROR(VLOOKUP($D550,'ACAS Capital Tracker'!$A:$H,8,FALSE()),""))</f>
        <v/>
      </c>
      <c r="F550" s="24"/>
      <c r="G550" s="25" t="str">
        <f>IF($D550="","",IFERROR(VLOOKUP($D550,'ACAS Capital Tracker'!$A:$D,4,FALSE()),""))</f>
        <v/>
      </c>
      <c r="H550" s="22"/>
    </row>
    <row r="551" spans="1:8">
      <c r="A551" s="21"/>
      <c r="B551" s="22"/>
      <c r="C551" s="22"/>
      <c r="D551" s="22"/>
      <c r="E551" s="23" t="str">
        <f>IF($D551="","",IFERROR(VLOOKUP($D551,'ACAS Capital Tracker'!$A:$H,8,FALSE()),""))</f>
        <v/>
      </c>
      <c r="F551" s="24"/>
      <c r="G551" s="25" t="str">
        <f>IF($D551="","",IFERROR(VLOOKUP($D551,'ACAS Capital Tracker'!$A:$D,4,FALSE()),""))</f>
        <v/>
      </c>
      <c r="H551" s="22"/>
    </row>
    <row r="552" spans="1:8">
      <c r="A552" s="21"/>
      <c r="B552" s="22"/>
      <c r="C552" s="22"/>
      <c r="D552" s="22"/>
      <c r="E552" s="23" t="str">
        <f>IF($D552="","",IFERROR(VLOOKUP($D552,'ACAS Capital Tracker'!$A:$H,8,FALSE()),""))</f>
        <v/>
      </c>
      <c r="F552" s="24"/>
      <c r="G552" s="25" t="str">
        <f>IF($D552="","",IFERROR(VLOOKUP($D552,'ACAS Capital Tracker'!$A:$D,4,FALSE()),""))</f>
        <v/>
      </c>
      <c r="H552" s="22"/>
    </row>
    <row r="553" spans="1:8">
      <c r="A553" s="21"/>
      <c r="B553" s="22"/>
      <c r="C553" s="22"/>
      <c r="D553" s="22"/>
      <c r="E553" s="23" t="str">
        <f>IF($D553="","",IFERROR(VLOOKUP($D553,'ACAS Capital Tracker'!$A:$H,8,FALSE()),""))</f>
        <v/>
      </c>
      <c r="F553" s="24"/>
      <c r="G553" s="25" t="str">
        <f>IF($D553="","",IFERROR(VLOOKUP($D553,'ACAS Capital Tracker'!$A:$D,4,FALSE()),""))</f>
        <v/>
      </c>
      <c r="H553" s="22"/>
    </row>
    <row r="554" spans="1:8">
      <c r="A554" s="21"/>
      <c r="B554" s="22"/>
      <c r="C554" s="22"/>
      <c r="D554" s="22"/>
      <c r="E554" s="23" t="str">
        <f>IF($D554="","",IFERROR(VLOOKUP($D554,'ACAS Capital Tracker'!$A:$H,8,FALSE()),""))</f>
        <v/>
      </c>
      <c r="F554" s="24"/>
      <c r="G554" s="25" t="str">
        <f>IF($D554="","",IFERROR(VLOOKUP($D554,'ACAS Capital Tracker'!$A:$D,4,FALSE()),""))</f>
        <v/>
      </c>
      <c r="H554" s="22"/>
    </row>
    <row r="555" spans="1:8">
      <c r="A555" s="21"/>
      <c r="B555" s="22"/>
      <c r="C555" s="22"/>
      <c r="D555" s="22"/>
      <c r="E555" s="23" t="str">
        <f>IF($D555="","",IFERROR(VLOOKUP($D555,'ACAS Capital Tracker'!$A:$H,8,FALSE()),""))</f>
        <v/>
      </c>
      <c r="F555" s="24"/>
      <c r="G555" s="25" t="str">
        <f>IF($D555="","",IFERROR(VLOOKUP($D555,'ACAS Capital Tracker'!$A:$D,4,FALSE()),""))</f>
        <v/>
      </c>
      <c r="H555" s="22"/>
    </row>
    <row r="556" spans="1:8">
      <c r="A556" s="21"/>
      <c r="B556" s="22"/>
      <c r="C556" s="22"/>
      <c r="D556" s="22"/>
      <c r="E556" s="23" t="str">
        <f>IF($D556="","",IFERROR(VLOOKUP($D556,'ACAS Capital Tracker'!$A:$H,8,FALSE()),""))</f>
        <v/>
      </c>
      <c r="F556" s="24"/>
      <c r="G556" s="25" t="str">
        <f>IF($D556="","",IFERROR(VLOOKUP($D556,'ACAS Capital Tracker'!$A:$D,4,FALSE()),""))</f>
        <v/>
      </c>
      <c r="H556" s="22"/>
    </row>
    <row r="557" spans="1:8">
      <c r="A557" s="21"/>
      <c r="B557" s="22"/>
      <c r="C557" s="22"/>
      <c r="D557" s="22"/>
      <c r="E557" s="23" t="str">
        <f>IF($D557="","",IFERROR(VLOOKUP($D557,'ACAS Capital Tracker'!$A:$H,8,FALSE()),""))</f>
        <v/>
      </c>
      <c r="F557" s="24"/>
      <c r="G557" s="25" t="str">
        <f>IF($D557="","",IFERROR(VLOOKUP($D557,'ACAS Capital Tracker'!$A:$D,4,FALSE()),""))</f>
        <v/>
      </c>
      <c r="H557" s="22"/>
    </row>
    <row r="558" spans="1:8">
      <c r="A558" s="21"/>
      <c r="B558" s="22"/>
      <c r="C558" s="22"/>
      <c r="D558" s="22"/>
      <c r="E558" s="23" t="str">
        <f>IF($D558="","",IFERROR(VLOOKUP($D558,'ACAS Capital Tracker'!$A:$H,8,FALSE()),""))</f>
        <v/>
      </c>
      <c r="F558" s="24"/>
      <c r="G558" s="25" t="str">
        <f>IF($D558="","",IFERROR(VLOOKUP($D558,'ACAS Capital Tracker'!$A:$D,4,FALSE()),""))</f>
        <v/>
      </c>
      <c r="H558" s="22"/>
    </row>
    <row r="559" spans="1:8">
      <c r="A559" s="21"/>
      <c r="B559" s="22"/>
      <c r="C559" s="22"/>
      <c r="D559" s="22"/>
      <c r="E559" s="23" t="str">
        <f>IF($D559="","",IFERROR(VLOOKUP($D559,'ACAS Capital Tracker'!$A:$H,8,FALSE()),""))</f>
        <v/>
      </c>
      <c r="F559" s="24"/>
      <c r="G559" s="25" t="str">
        <f>IF($D559="","",IFERROR(VLOOKUP($D559,'ACAS Capital Tracker'!$A:$D,4,FALSE()),""))</f>
        <v/>
      </c>
      <c r="H559" s="22"/>
    </row>
    <row r="560" spans="1:8">
      <c r="A560" s="21"/>
      <c r="B560" s="22"/>
      <c r="C560" s="22"/>
      <c r="D560" s="22"/>
      <c r="E560" s="23" t="str">
        <f>IF($D560="","",IFERROR(VLOOKUP($D560,'ACAS Capital Tracker'!$A:$H,8,FALSE()),""))</f>
        <v/>
      </c>
      <c r="F560" s="24"/>
      <c r="G560" s="25" t="str">
        <f>IF($D560="","",IFERROR(VLOOKUP($D560,'ACAS Capital Tracker'!$A:$D,4,FALSE()),""))</f>
        <v/>
      </c>
      <c r="H560" s="22"/>
    </row>
    <row r="561" spans="1:8">
      <c r="A561" s="21"/>
      <c r="B561" s="22"/>
      <c r="C561" s="22"/>
      <c r="D561" s="22"/>
      <c r="E561" s="23" t="str">
        <f>IF($D561="","",IFERROR(VLOOKUP($D561,'ACAS Capital Tracker'!$A:$H,8,FALSE()),""))</f>
        <v/>
      </c>
      <c r="F561" s="24"/>
      <c r="G561" s="25" t="str">
        <f>IF($D561="","",IFERROR(VLOOKUP($D561,'ACAS Capital Tracker'!$A:$D,4,FALSE()),""))</f>
        <v/>
      </c>
      <c r="H561" s="22"/>
    </row>
    <row r="562" spans="1:8">
      <c r="A562" s="21"/>
      <c r="B562" s="22"/>
      <c r="C562" s="22"/>
      <c r="D562" s="22"/>
      <c r="E562" s="23" t="str">
        <f>IF($D562="","",IFERROR(VLOOKUP($D562,'ACAS Capital Tracker'!$A:$H,8,FALSE()),""))</f>
        <v/>
      </c>
      <c r="F562" s="24"/>
      <c r="G562" s="25" t="str">
        <f>IF($D562="","",IFERROR(VLOOKUP($D562,'ACAS Capital Tracker'!$A:$D,4,FALSE()),""))</f>
        <v/>
      </c>
      <c r="H562" s="22"/>
    </row>
    <row r="563" spans="1:8">
      <c r="A563" s="21"/>
      <c r="B563" s="22"/>
      <c r="C563" s="22"/>
      <c r="D563" s="22"/>
      <c r="E563" s="23" t="str">
        <f>IF($D563="","",IFERROR(VLOOKUP($D563,'ACAS Capital Tracker'!$A:$H,8,FALSE()),""))</f>
        <v/>
      </c>
      <c r="F563" s="24"/>
      <c r="G563" s="25" t="str">
        <f>IF($D563="","",IFERROR(VLOOKUP($D563,'ACAS Capital Tracker'!$A:$D,4,FALSE()),""))</f>
        <v/>
      </c>
      <c r="H563" s="22"/>
    </row>
    <row r="564" spans="1:8">
      <c r="A564" s="21"/>
      <c r="B564" s="22"/>
      <c r="C564" s="22"/>
      <c r="D564" s="22"/>
      <c r="E564" s="23" t="str">
        <f>IF($D564="","",IFERROR(VLOOKUP($D564,'ACAS Capital Tracker'!$A:$H,8,FALSE()),""))</f>
        <v/>
      </c>
      <c r="F564" s="24"/>
      <c r="G564" s="25" t="str">
        <f>IF($D564="","",IFERROR(VLOOKUP($D564,'ACAS Capital Tracker'!$A:$D,4,FALSE()),""))</f>
        <v/>
      </c>
      <c r="H564" s="22"/>
    </row>
    <row r="565" spans="1:8">
      <c r="A565" s="21"/>
      <c r="B565" s="22"/>
      <c r="C565" s="22"/>
      <c r="D565" s="22"/>
      <c r="E565" s="23" t="str">
        <f>IF($D565="","",IFERROR(VLOOKUP($D565,'ACAS Capital Tracker'!$A:$H,8,FALSE()),""))</f>
        <v/>
      </c>
      <c r="F565" s="24"/>
      <c r="G565" s="25" t="str">
        <f>IF($D565="","",IFERROR(VLOOKUP($D565,'ACAS Capital Tracker'!$A:$D,4,FALSE()),""))</f>
        <v/>
      </c>
      <c r="H565" s="22"/>
    </row>
    <row r="566" spans="1:8">
      <c r="A566" s="21"/>
      <c r="B566" s="22"/>
      <c r="C566" s="22"/>
      <c r="D566" s="22"/>
      <c r="E566" s="23" t="str">
        <f>IF($D566="","",IFERROR(VLOOKUP($D566,'ACAS Capital Tracker'!$A:$H,8,FALSE()),""))</f>
        <v/>
      </c>
      <c r="F566" s="24"/>
      <c r="G566" s="25" t="str">
        <f>IF($D566="","",IFERROR(VLOOKUP($D566,'ACAS Capital Tracker'!$A:$D,4,FALSE()),""))</f>
        <v/>
      </c>
      <c r="H566" s="22"/>
    </row>
    <row r="567" spans="1:8">
      <c r="A567" s="21"/>
      <c r="B567" s="22"/>
      <c r="C567" s="22"/>
      <c r="D567" s="22"/>
      <c r="E567" s="23" t="str">
        <f>IF($D567="","",IFERROR(VLOOKUP($D567,'ACAS Capital Tracker'!$A:$H,8,FALSE()),""))</f>
        <v/>
      </c>
      <c r="F567" s="24"/>
      <c r="G567" s="25" t="str">
        <f>IF($D567="","",IFERROR(VLOOKUP($D567,'ACAS Capital Tracker'!$A:$D,4,FALSE()),""))</f>
        <v/>
      </c>
      <c r="H567" s="22"/>
    </row>
    <row r="568" spans="1:8">
      <c r="A568" s="21"/>
      <c r="B568" s="22"/>
      <c r="C568" s="22"/>
      <c r="D568" s="22"/>
      <c r="E568" s="23" t="str">
        <f>IF($D568="","",IFERROR(VLOOKUP($D568,'ACAS Capital Tracker'!$A:$H,8,FALSE()),""))</f>
        <v/>
      </c>
      <c r="F568" s="24"/>
      <c r="G568" s="25" t="str">
        <f>IF($D568="","",IFERROR(VLOOKUP($D568,'ACAS Capital Tracker'!$A:$D,4,FALSE()),""))</f>
        <v/>
      </c>
      <c r="H568" s="22"/>
    </row>
    <row r="569" spans="1:8">
      <c r="A569" s="21"/>
      <c r="B569" s="22"/>
      <c r="C569" s="22"/>
      <c r="D569" s="22"/>
      <c r="E569" s="23" t="str">
        <f>IF($D569="","",IFERROR(VLOOKUP($D569,'ACAS Capital Tracker'!$A:$H,8,FALSE()),""))</f>
        <v/>
      </c>
      <c r="F569" s="24"/>
      <c r="G569" s="25" t="str">
        <f>IF($D569="","",IFERROR(VLOOKUP($D569,'ACAS Capital Tracker'!$A:$D,4,FALSE()),""))</f>
        <v/>
      </c>
      <c r="H569" s="22"/>
    </row>
    <row r="570" spans="1:8">
      <c r="A570" s="21"/>
      <c r="B570" s="22"/>
      <c r="C570" s="22"/>
      <c r="D570" s="22"/>
      <c r="E570" s="23" t="str">
        <f>IF($D570="","",IFERROR(VLOOKUP($D570,'ACAS Capital Tracker'!$A:$H,8,FALSE()),""))</f>
        <v/>
      </c>
      <c r="F570" s="24"/>
      <c r="G570" s="25" t="str">
        <f>IF($D570="","",IFERROR(VLOOKUP($D570,'ACAS Capital Tracker'!$A:$D,4,FALSE()),""))</f>
        <v/>
      </c>
      <c r="H570" s="22"/>
    </row>
    <row r="571" spans="1:8">
      <c r="A571" s="21"/>
      <c r="B571" s="22"/>
      <c r="C571" s="22"/>
      <c r="D571" s="22"/>
      <c r="E571" s="23" t="str">
        <f>IF($D571="","",IFERROR(VLOOKUP($D571,'ACAS Capital Tracker'!$A:$H,8,FALSE()),""))</f>
        <v/>
      </c>
      <c r="F571" s="24"/>
      <c r="G571" s="25" t="str">
        <f>IF($D571="","",IFERROR(VLOOKUP($D571,'ACAS Capital Tracker'!$A:$D,4,FALSE()),""))</f>
        <v/>
      </c>
      <c r="H571" s="22"/>
    </row>
    <row r="572" spans="1:8">
      <c r="A572" s="21"/>
      <c r="B572" s="22"/>
      <c r="C572" s="22"/>
      <c r="D572" s="22"/>
      <c r="E572" s="23" t="str">
        <f>IF($D572="","",IFERROR(VLOOKUP($D572,'ACAS Capital Tracker'!$A:$H,8,FALSE()),""))</f>
        <v/>
      </c>
      <c r="F572" s="24"/>
      <c r="G572" s="25" t="str">
        <f>IF($D572="","",IFERROR(VLOOKUP($D572,'ACAS Capital Tracker'!$A:$D,4,FALSE()),""))</f>
        <v/>
      </c>
      <c r="H572" s="22"/>
    </row>
    <row r="573" spans="1:8">
      <c r="A573" s="21"/>
      <c r="B573" s="22"/>
      <c r="C573" s="22"/>
      <c r="D573" s="22"/>
      <c r="E573" s="23" t="str">
        <f>IF($D573="","",IFERROR(VLOOKUP($D573,'ACAS Capital Tracker'!$A:$H,8,FALSE()),""))</f>
        <v/>
      </c>
      <c r="F573" s="24"/>
      <c r="G573" s="25" t="str">
        <f>IF($D573="","",IFERROR(VLOOKUP($D573,'ACAS Capital Tracker'!$A:$D,4,FALSE()),""))</f>
        <v/>
      </c>
      <c r="H573" s="22"/>
    </row>
    <row r="574" spans="1:8">
      <c r="A574" s="21"/>
      <c r="B574" s="22"/>
      <c r="C574" s="22"/>
      <c r="D574" s="22"/>
      <c r="E574" s="23" t="str">
        <f>IF($D574="","",IFERROR(VLOOKUP($D574,'ACAS Capital Tracker'!$A:$H,8,FALSE()),""))</f>
        <v/>
      </c>
      <c r="F574" s="24"/>
      <c r="G574" s="25" t="str">
        <f>IF($D574="","",IFERROR(VLOOKUP($D574,'ACAS Capital Tracker'!$A:$D,4,FALSE()),""))</f>
        <v/>
      </c>
      <c r="H574" s="22"/>
    </row>
    <row r="575" spans="1:8">
      <c r="A575" s="21"/>
      <c r="B575" s="22"/>
      <c r="C575" s="22"/>
      <c r="D575" s="22"/>
      <c r="E575" s="23" t="str">
        <f>IF($D575="","",IFERROR(VLOOKUP($D575,'ACAS Capital Tracker'!$A:$H,8,FALSE()),""))</f>
        <v/>
      </c>
      <c r="F575" s="24"/>
      <c r="G575" s="25" t="str">
        <f>IF($D575="","",IFERROR(VLOOKUP($D575,'ACAS Capital Tracker'!$A:$D,4,FALSE()),""))</f>
        <v/>
      </c>
      <c r="H575" s="22"/>
    </row>
    <row r="576" spans="1:8">
      <c r="A576" s="21"/>
      <c r="B576" s="22"/>
      <c r="C576" s="22"/>
      <c r="D576" s="22"/>
      <c r="E576" s="23" t="str">
        <f>IF($D576="","",IFERROR(VLOOKUP($D576,'ACAS Capital Tracker'!$A:$H,8,FALSE()),""))</f>
        <v/>
      </c>
      <c r="F576" s="24"/>
      <c r="G576" s="25" t="str">
        <f>IF($D576="","",IFERROR(VLOOKUP($D576,'ACAS Capital Tracker'!$A:$D,4,FALSE()),""))</f>
        <v/>
      </c>
      <c r="H576" s="22"/>
    </row>
    <row r="577" spans="1:8">
      <c r="A577" s="21"/>
      <c r="B577" s="22"/>
      <c r="C577" s="22"/>
      <c r="D577" s="22"/>
      <c r="E577" s="23" t="str">
        <f>IF($D577="","",IFERROR(VLOOKUP($D577,'ACAS Capital Tracker'!$A:$H,8,FALSE()),""))</f>
        <v/>
      </c>
      <c r="F577" s="24"/>
      <c r="G577" s="25" t="str">
        <f>IF($D577="","",IFERROR(VLOOKUP($D577,'ACAS Capital Tracker'!$A:$D,4,FALSE()),""))</f>
        <v/>
      </c>
      <c r="H577" s="22"/>
    </row>
    <row r="578" spans="1:8">
      <c r="A578" s="21"/>
      <c r="B578" s="22"/>
      <c r="C578" s="22"/>
      <c r="D578" s="22"/>
      <c r="E578" s="23" t="str">
        <f>IF($D578="","",IFERROR(VLOOKUP($D578,'ACAS Capital Tracker'!$A:$H,8,FALSE()),""))</f>
        <v/>
      </c>
      <c r="F578" s="24"/>
      <c r="G578" s="25" t="str">
        <f>IF($D578="","",IFERROR(VLOOKUP($D578,'ACAS Capital Tracker'!$A:$D,4,FALSE()),""))</f>
        <v/>
      </c>
      <c r="H578" s="22"/>
    </row>
    <row r="579" spans="1:8">
      <c r="A579" s="21"/>
      <c r="B579" s="22"/>
      <c r="C579" s="22"/>
      <c r="D579" s="22"/>
      <c r="E579" s="23" t="str">
        <f>IF($D579="","",IFERROR(VLOOKUP($D579,'ACAS Capital Tracker'!$A:$H,8,FALSE()),""))</f>
        <v/>
      </c>
      <c r="F579" s="24"/>
      <c r="G579" s="25" t="str">
        <f>IF($D579="","",IFERROR(VLOOKUP($D579,'ACAS Capital Tracker'!$A:$D,4,FALSE()),""))</f>
        <v/>
      </c>
      <c r="H579" s="22"/>
    </row>
    <row r="580" spans="1:8">
      <c r="A580" s="21"/>
      <c r="B580" s="22"/>
      <c r="C580" s="22"/>
      <c r="D580" s="22"/>
      <c r="E580" s="23" t="str">
        <f>IF($D580="","",IFERROR(VLOOKUP($D580,'ACAS Capital Tracker'!$A:$H,8,FALSE()),""))</f>
        <v/>
      </c>
      <c r="F580" s="24"/>
      <c r="G580" s="25" t="str">
        <f>IF($D580="","",IFERROR(VLOOKUP($D580,'ACAS Capital Tracker'!$A:$D,4,FALSE()),""))</f>
        <v/>
      </c>
      <c r="H580" s="22"/>
    </row>
    <row r="581" spans="1:8">
      <c r="A581" s="21"/>
      <c r="B581" s="22"/>
      <c r="C581" s="22"/>
      <c r="D581" s="22"/>
      <c r="E581" s="23" t="str">
        <f>IF($D581="","",IFERROR(VLOOKUP($D581,'ACAS Capital Tracker'!$A:$H,8,FALSE()),""))</f>
        <v/>
      </c>
      <c r="F581" s="24"/>
      <c r="G581" s="25" t="str">
        <f>IF($D581="","",IFERROR(VLOOKUP($D581,'ACAS Capital Tracker'!$A:$D,4,FALSE()),""))</f>
        <v/>
      </c>
      <c r="H581" s="22"/>
    </row>
    <row r="582" spans="1:8">
      <c r="A582" s="21"/>
      <c r="B582" s="22"/>
      <c r="C582" s="22"/>
      <c r="D582" s="22"/>
      <c r="E582" s="23" t="str">
        <f>IF($D582="","",IFERROR(VLOOKUP($D582,'ACAS Capital Tracker'!$A:$H,8,FALSE()),""))</f>
        <v/>
      </c>
      <c r="F582" s="24"/>
      <c r="G582" s="25" t="str">
        <f>IF($D582="","",IFERROR(VLOOKUP($D582,'ACAS Capital Tracker'!$A:$D,4,FALSE()),""))</f>
        <v/>
      </c>
      <c r="H582" s="22"/>
    </row>
    <row r="583" spans="1:8">
      <c r="A583" s="21"/>
      <c r="B583" s="22"/>
      <c r="C583" s="22"/>
      <c r="D583" s="22"/>
      <c r="E583" s="23" t="str">
        <f>IF($D583="","",IFERROR(VLOOKUP($D583,'ACAS Capital Tracker'!$A:$H,8,FALSE()),""))</f>
        <v/>
      </c>
      <c r="F583" s="24"/>
      <c r="G583" s="25" t="str">
        <f>IF($D583="","",IFERROR(VLOOKUP($D583,'ACAS Capital Tracker'!$A:$D,4,FALSE()),""))</f>
        <v/>
      </c>
      <c r="H583" s="22"/>
    </row>
    <row r="584" spans="1:8">
      <c r="A584" s="21"/>
      <c r="B584" s="22"/>
      <c r="C584" s="22"/>
      <c r="D584" s="22"/>
      <c r="E584" s="23" t="str">
        <f>IF($D584="","",IFERROR(VLOOKUP($D584,'ACAS Capital Tracker'!$A:$H,8,FALSE()),""))</f>
        <v/>
      </c>
      <c r="F584" s="24"/>
      <c r="G584" s="25" t="str">
        <f>IF($D584="","",IFERROR(VLOOKUP($D584,'ACAS Capital Tracker'!$A:$D,4,FALSE()),""))</f>
        <v/>
      </c>
      <c r="H584" s="22"/>
    </row>
    <row r="585" spans="1:8">
      <c r="A585" s="21"/>
      <c r="B585" s="22"/>
      <c r="C585" s="22"/>
      <c r="D585" s="22"/>
      <c r="E585" s="23" t="str">
        <f>IF($D585="","",IFERROR(VLOOKUP($D585,'ACAS Capital Tracker'!$A:$H,8,FALSE()),""))</f>
        <v/>
      </c>
      <c r="F585" s="24"/>
      <c r="G585" s="25" t="str">
        <f>IF($D585="","",IFERROR(VLOOKUP($D585,'ACAS Capital Tracker'!$A:$D,4,FALSE()),""))</f>
        <v/>
      </c>
      <c r="H585" s="22"/>
    </row>
    <row r="586" spans="1:8">
      <c r="A586" s="21"/>
      <c r="B586" s="22"/>
      <c r="C586" s="22"/>
      <c r="D586" s="22"/>
      <c r="E586" s="23" t="str">
        <f>IF($D586="","",IFERROR(VLOOKUP($D586,'ACAS Capital Tracker'!$A:$H,8,FALSE()),""))</f>
        <v/>
      </c>
      <c r="F586" s="24"/>
      <c r="G586" s="25" t="str">
        <f>IF($D586="","",IFERROR(VLOOKUP($D586,'ACAS Capital Tracker'!$A:$D,4,FALSE()),""))</f>
        <v/>
      </c>
      <c r="H586" s="22"/>
    </row>
    <row r="587" spans="1:8">
      <c r="A587" s="21"/>
      <c r="B587" s="22"/>
      <c r="C587" s="22"/>
      <c r="D587" s="22"/>
      <c r="E587" s="23" t="str">
        <f>IF($D587="","",IFERROR(VLOOKUP($D587,'ACAS Capital Tracker'!$A:$H,8,FALSE()),""))</f>
        <v/>
      </c>
      <c r="F587" s="24"/>
      <c r="G587" s="25" t="str">
        <f>IF($D587="","",IFERROR(VLOOKUP($D587,'ACAS Capital Tracker'!$A:$D,4,FALSE()),""))</f>
        <v/>
      </c>
      <c r="H587" s="22"/>
    </row>
    <row r="588" spans="1:8">
      <c r="A588" s="21"/>
      <c r="B588" s="22"/>
      <c r="C588" s="22"/>
      <c r="D588" s="22"/>
      <c r="E588" s="23" t="str">
        <f>IF($D588="","",IFERROR(VLOOKUP($D588,'ACAS Capital Tracker'!$A:$H,8,FALSE()),""))</f>
        <v/>
      </c>
      <c r="F588" s="24"/>
      <c r="G588" s="25" t="str">
        <f>IF($D588="","",IFERROR(VLOOKUP($D588,'ACAS Capital Tracker'!$A:$D,4,FALSE()),""))</f>
        <v/>
      </c>
      <c r="H588" s="22"/>
    </row>
    <row r="589" spans="1:8">
      <c r="A589" s="21"/>
      <c r="B589" s="22"/>
      <c r="C589" s="22"/>
      <c r="D589" s="22"/>
      <c r="E589" s="23" t="str">
        <f>IF($D589="","",IFERROR(VLOOKUP($D589,'ACAS Capital Tracker'!$A:$H,8,FALSE()),""))</f>
        <v/>
      </c>
      <c r="F589" s="24"/>
      <c r="G589" s="25" t="str">
        <f>IF($D589="","",IFERROR(VLOOKUP($D589,'ACAS Capital Tracker'!$A:$D,4,FALSE()),""))</f>
        <v/>
      </c>
      <c r="H589" s="22"/>
    </row>
    <row r="590" spans="1:8">
      <c r="A590" s="21"/>
      <c r="B590" s="22"/>
      <c r="C590" s="22"/>
      <c r="D590" s="22"/>
      <c r="E590" s="23" t="str">
        <f>IF($D590="","",IFERROR(VLOOKUP($D590,'ACAS Capital Tracker'!$A:$H,8,FALSE()),""))</f>
        <v/>
      </c>
      <c r="F590" s="24"/>
      <c r="G590" s="25" t="str">
        <f>IF($D590="","",IFERROR(VLOOKUP($D590,'ACAS Capital Tracker'!$A:$D,4,FALSE()),""))</f>
        <v/>
      </c>
      <c r="H590" s="22"/>
    </row>
    <row r="591" spans="1:8">
      <c r="A591" s="21"/>
      <c r="B591" s="22"/>
      <c r="C591" s="22"/>
      <c r="D591" s="22"/>
      <c r="E591" s="23" t="str">
        <f>IF($D591="","",IFERROR(VLOOKUP($D591,'ACAS Capital Tracker'!$A:$H,8,FALSE()),""))</f>
        <v/>
      </c>
      <c r="F591" s="24"/>
      <c r="G591" s="25" t="str">
        <f>IF($D591="","",IFERROR(VLOOKUP($D591,'ACAS Capital Tracker'!$A:$D,4,FALSE()),""))</f>
        <v/>
      </c>
      <c r="H591" s="22"/>
    </row>
    <row r="592" spans="1:8">
      <c r="A592" s="21"/>
      <c r="B592" s="22"/>
      <c r="C592" s="22"/>
      <c r="D592" s="22"/>
      <c r="E592" s="23" t="str">
        <f>IF($D592="","",IFERROR(VLOOKUP($D592,'ACAS Capital Tracker'!$A:$H,8,FALSE()),""))</f>
        <v/>
      </c>
      <c r="F592" s="24"/>
      <c r="G592" s="25" t="str">
        <f>IF($D592="","",IFERROR(VLOOKUP($D592,'ACAS Capital Tracker'!$A:$D,4,FALSE()),""))</f>
        <v/>
      </c>
      <c r="H592" s="22"/>
    </row>
    <row r="593" spans="1:8">
      <c r="A593" s="21"/>
      <c r="B593" s="22"/>
      <c r="C593" s="22"/>
      <c r="D593" s="22"/>
      <c r="E593" s="23" t="str">
        <f>IF($D593="","",IFERROR(VLOOKUP($D593,'ACAS Capital Tracker'!$A:$H,8,FALSE()),""))</f>
        <v/>
      </c>
      <c r="F593" s="24"/>
      <c r="G593" s="25" t="str">
        <f>IF($D593="","",IFERROR(VLOOKUP($D593,'ACAS Capital Tracker'!$A:$D,4,FALSE()),""))</f>
        <v/>
      </c>
      <c r="H593" s="22"/>
    </row>
    <row r="594" spans="1:8">
      <c r="A594" s="21"/>
      <c r="B594" s="22"/>
      <c r="C594" s="22"/>
      <c r="D594" s="22"/>
      <c r="E594" s="23" t="str">
        <f>IF($D594="","",IFERROR(VLOOKUP($D594,'ACAS Capital Tracker'!$A:$H,8,FALSE()),""))</f>
        <v/>
      </c>
      <c r="F594" s="24"/>
      <c r="G594" s="25" t="str">
        <f>IF($D594="","",IFERROR(VLOOKUP($D594,'ACAS Capital Tracker'!$A:$D,4,FALSE()),""))</f>
        <v/>
      </c>
      <c r="H594" s="22"/>
    </row>
    <row r="595" spans="1:8">
      <c r="A595" s="21"/>
      <c r="B595" s="22"/>
      <c r="C595" s="22"/>
      <c r="D595" s="22"/>
      <c r="E595" s="23" t="str">
        <f>IF($D595="","",IFERROR(VLOOKUP($D595,'ACAS Capital Tracker'!$A:$H,8,FALSE()),""))</f>
        <v/>
      </c>
      <c r="F595" s="24"/>
      <c r="G595" s="25" t="str">
        <f>IF($D595="","",IFERROR(VLOOKUP($D595,'ACAS Capital Tracker'!$A:$D,4,FALSE()),""))</f>
        <v/>
      </c>
      <c r="H595" s="22"/>
    </row>
    <row r="596" spans="1:8">
      <c r="A596" s="21"/>
      <c r="B596" s="22"/>
      <c r="C596" s="22"/>
      <c r="D596" s="22"/>
      <c r="E596" s="23" t="str">
        <f>IF($D596="","",IFERROR(VLOOKUP($D596,'ACAS Capital Tracker'!$A:$H,8,FALSE()),""))</f>
        <v/>
      </c>
      <c r="F596" s="24"/>
      <c r="G596" s="25" t="str">
        <f>IF($D596="","",IFERROR(VLOOKUP($D596,'ACAS Capital Tracker'!$A:$D,4,FALSE()),""))</f>
        <v/>
      </c>
      <c r="H596" s="22"/>
    </row>
    <row r="597" spans="1:8">
      <c r="A597" s="21"/>
      <c r="B597" s="22"/>
      <c r="C597" s="22"/>
      <c r="D597" s="22"/>
      <c r="E597" s="23" t="str">
        <f>IF($D597="","",IFERROR(VLOOKUP($D597,'ACAS Capital Tracker'!$A:$H,8,FALSE()),""))</f>
        <v/>
      </c>
      <c r="F597" s="24"/>
      <c r="G597" s="25" t="str">
        <f>IF($D597="","",IFERROR(VLOOKUP($D597,'ACAS Capital Tracker'!$A:$D,4,FALSE()),""))</f>
        <v/>
      </c>
      <c r="H597" s="22"/>
    </row>
    <row r="598" spans="1:8">
      <c r="A598" s="21"/>
      <c r="B598" s="22"/>
      <c r="C598" s="22"/>
      <c r="D598" s="22"/>
      <c r="E598" s="23" t="str">
        <f>IF($D598="","",IFERROR(VLOOKUP($D598,'ACAS Capital Tracker'!$A:$H,8,FALSE()),""))</f>
        <v/>
      </c>
      <c r="F598" s="24"/>
      <c r="G598" s="25" t="str">
        <f>IF($D598="","",IFERROR(VLOOKUP($D598,'ACAS Capital Tracker'!$A:$D,4,FALSE()),""))</f>
        <v/>
      </c>
      <c r="H598" s="22"/>
    </row>
    <row r="599" spans="1:8">
      <c r="A599" s="21"/>
      <c r="B599" s="22"/>
      <c r="C599" s="22"/>
      <c r="D599" s="22"/>
      <c r="E599" s="23" t="str">
        <f>IF($D599="","",IFERROR(VLOOKUP($D599,'ACAS Capital Tracker'!$A:$H,8,FALSE()),""))</f>
        <v/>
      </c>
      <c r="F599" s="24"/>
      <c r="G599" s="25" t="str">
        <f>IF($D599="","",IFERROR(VLOOKUP($D599,'ACAS Capital Tracker'!$A:$D,4,FALSE()),""))</f>
        <v/>
      </c>
      <c r="H599" s="22"/>
    </row>
    <row r="600" spans="1:8">
      <c r="A600" s="21"/>
      <c r="B600" s="22"/>
      <c r="C600" s="22"/>
      <c r="D600" s="22"/>
      <c r="E600" s="23" t="str">
        <f>IF($D600="","",IFERROR(VLOOKUP($D600,'ACAS Capital Tracker'!$A:$H,8,FALSE()),""))</f>
        <v/>
      </c>
      <c r="F600" s="24"/>
      <c r="G600" s="25" t="str">
        <f>IF($D600="","",IFERROR(VLOOKUP($D600,'ACAS Capital Tracker'!$A:$D,4,FALSE()),""))</f>
        <v/>
      </c>
      <c r="H600" s="22"/>
    </row>
    <row r="601" spans="1:8">
      <c r="A601" s="21"/>
      <c r="B601" s="22"/>
      <c r="C601" s="22"/>
      <c r="D601" s="22"/>
      <c r="E601" s="23" t="str">
        <f>IF($D601="","",IFERROR(VLOOKUP($D601,'ACAS Capital Tracker'!$A:$H,8,FALSE()),""))</f>
        <v/>
      </c>
      <c r="F601" s="24"/>
      <c r="G601" s="25" t="str">
        <f>IF($D601="","",IFERROR(VLOOKUP($D601,'ACAS Capital Tracker'!$A:$D,4,FALSE()),""))</f>
        <v/>
      </c>
      <c r="H601" s="22"/>
    </row>
    <row r="602" spans="1:8">
      <c r="A602" s="21"/>
      <c r="B602" s="22"/>
      <c r="C602" s="22"/>
      <c r="D602" s="22"/>
      <c r="E602" s="23" t="str">
        <f>IF($D602="","",IFERROR(VLOOKUP($D602,'ACAS Capital Tracker'!$A:$H,8,FALSE()),""))</f>
        <v/>
      </c>
      <c r="F602" s="24"/>
      <c r="G602" s="25" t="str">
        <f>IF($D602="","",IFERROR(VLOOKUP($D602,'ACAS Capital Tracker'!$A:$D,4,FALSE()),""))</f>
        <v/>
      </c>
      <c r="H602" s="22"/>
    </row>
    <row r="603" spans="1:8">
      <c r="A603" s="21"/>
      <c r="B603" s="22"/>
      <c r="C603" s="22"/>
      <c r="D603" s="22"/>
      <c r="E603" s="23" t="str">
        <f>IF($D603="","",IFERROR(VLOOKUP($D603,'ACAS Capital Tracker'!$A:$H,8,FALSE()),""))</f>
        <v/>
      </c>
      <c r="F603" s="24"/>
      <c r="G603" s="25" t="str">
        <f>IF($D603="","",IFERROR(VLOOKUP($D603,'ACAS Capital Tracker'!$A:$D,4,FALSE()),""))</f>
        <v/>
      </c>
      <c r="H603" s="22"/>
    </row>
    <row r="604" spans="1:8">
      <c r="A604" s="21"/>
      <c r="B604" s="22"/>
      <c r="C604" s="22"/>
      <c r="D604" s="22"/>
      <c r="E604" s="23" t="str">
        <f>IF($D604="","",IFERROR(VLOOKUP($D604,'ACAS Capital Tracker'!$A:$H,8,FALSE()),""))</f>
        <v/>
      </c>
      <c r="F604" s="24"/>
      <c r="G604" s="25" t="str">
        <f>IF($D604="","",IFERROR(VLOOKUP($D604,'ACAS Capital Tracker'!$A:$D,4,FALSE()),""))</f>
        <v/>
      </c>
      <c r="H604" s="22"/>
    </row>
    <row r="605" spans="1:8">
      <c r="A605" s="21"/>
      <c r="B605" s="22"/>
      <c r="C605" s="22"/>
      <c r="D605" s="22"/>
      <c r="E605" s="23" t="str">
        <f>IF($D605="","",IFERROR(VLOOKUP($D605,'ACAS Capital Tracker'!$A:$H,8,FALSE()),""))</f>
        <v/>
      </c>
      <c r="F605" s="24"/>
      <c r="G605" s="25" t="str">
        <f>IF($D605="","",IFERROR(VLOOKUP($D605,'ACAS Capital Tracker'!$A:$D,4,FALSE()),""))</f>
        <v/>
      </c>
      <c r="H605" s="22"/>
    </row>
    <row r="606" spans="1:8">
      <c r="A606" s="21"/>
      <c r="B606" s="22"/>
      <c r="C606" s="22"/>
      <c r="D606" s="22"/>
      <c r="E606" s="23" t="str">
        <f>IF($D606="","",IFERROR(VLOOKUP($D606,'ACAS Capital Tracker'!$A:$H,8,FALSE()),""))</f>
        <v/>
      </c>
      <c r="F606" s="24"/>
      <c r="G606" s="25" t="str">
        <f>IF($D606="","",IFERROR(VLOOKUP($D606,'ACAS Capital Tracker'!$A:$D,4,FALSE()),""))</f>
        <v/>
      </c>
      <c r="H606" s="22"/>
    </row>
    <row r="607" spans="1:8">
      <c r="A607" s="21"/>
      <c r="B607" s="22"/>
      <c r="C607" s="22"/>
      <c r="D607" s="22"/>
      <c r="E607" s="23" t="str">
        <f>IF($D607="","",IFERROR(VLOOKUP($D607,'ACAS Capital Tracker'!$A:$H,8,FALSE()),""))</f>
        <v/>
      </c>
      <c r="F607" s="24"/>
      <c r="G607" s="25" t="str">
        <f>IF($D607="","",IFERROR(VLOOKUP($D607,'ACAS Capital Tracker'!$A:$D,4,FALSE()),""))</f>
        <v/>
      </c>
      <c r="H607" s="22"/>
    </row>
    <row r="608" spans="1:8">
      <c r="A608" s="21"/>
      <c r="B608" s="22"/>
      <c r="C608" s="22"/>
      <c r="D608" s="22"/>
      <c r="E608" s="23" t="str">
        <f>IF($D608="","",IFERROR(VLOOKUP($D608,'ACAS Capital Tracker'!$A:$H,8,FALSE()),""))</f>
        <v/>
      </c>
      <c r="F608" s="24"/>
      <c r="G608" s="25" t="str">
        <f>IF($D608="","",IFERROR(VLOOKUP($D608,'ACAS Capital Tracker'!$A:$D,4,FALSE()),""))</f>
        <v/>
      </c>
      <c r="H608" s="22"/>
    </row>
    <row r="609" spans="1:8">
      <c r="A609" s="21"/>
      <c r="B609" s="22"/>
      <c r="C609" s="22"/>
      <c r="D609" s="22"/>
      <c r="E609" s="23" t="str">
        <f>IF($D609="","",IFERROR(VLOOKUP($D609,'ACAS Capital Tracker'!$A:$H,8,FALSE()),""))</f>
        <v/>
      </c>
      <c r="F609" s="24"/>
      <c r="G609" s="25" t="str">
        <f>IF($D609="","",IFERROR(VLOOKUP($D609,'ACAS Capital Tracker'!$A:$D,4,FALSE()),""))</f>
        <v/>
      </c>
      <c r="H609" s="22"/>
    </row>
    <row r="610" spans="1:8">
      <c r="A610" s="21"/>
      <c r="B610" s="22"/>
      <c r="C610" s="22"/>
      <c r="D610" s="22"/>
      <c r="E610" s="23" t="str">
        <f>IF($D610="","",IFERROR(VLOOKUP($D610,'ACAS Capital Tracker'!$A:$H,8,FALSE()),""))</f>
        <v/>
      </c>
      <c r="F610" s="24"/>
      <c r="G610" s="25" t="str">
        <f>IF($D610="","",IFERROR(VLOOKUP($D610,'ACAS Capital Tracker'!$A:$D,4,FALSE()),""))</f>
        <v/>
      </c>
      <c r="H610" s="22"/>
    </row>
    <row r="611" spans="1:8">
      <c r="A611" s="21"/>
      <c r="B611" s="22"/>
      <c r="C611" s="22"/>
      <c r="D611" s="22"/>
      <c r="E611" s="23" t="str">
        <f>IF($D611="","",IFERROR(VLOOKUP($D611,'ACAS Capital Tracker'!$A:$H,8,FALSE()),""))</f>
        <v/>
      </c>
      <c r="F611" s="24"/>
      <c r="G611" s="25" t="str">
        <f>IF($D611="","",IFERROR(VLOOKUP($D611,'ACAS Capital Tracker'!$A:$D,4,FALSE()),""))</f>
        <v/>
      </c>
      <c r="H611" s="22"/>
    </row>
    <row r="612" spans="1:8">
      <c r="A612" s="21"/>
      <c r="B612" s="22"/>
      <c r="C612" s="22"/>
      <c r="D612" s="22"/>
      <c r="E612" s="23" t="str">
        <f>IF($D612="","",IFERROR(VLOOKUP($D612,'ACAS Capital Tracker'!$A:$H,8,FALSE()),""))</f>
        <v/>
      </c>
      <c r="F612" s="24"/>
      <c r="G612" s="25" t="str">
        <f>IF($D612="","",IFERROR(VLOOKUP($D612,'ACAS Capital Tracker'!$A:$D,4,FALSE()),""))</f>
        <v/>
      </c>
      <c r="H612" s="22"/>
    </row>
    <row r="613" spans="1:8">
      <c r="A613" s="21"/>
      <c r="B613" s="22"/>
      <c r="C613" s="22"/>
      <c r="D613" s="22"/>
      <c r="E613" s="23" t="str">
        <f>IF($D613="","",IFERROR(VLOOKUP($D613,'ACAS Capital Tracker'!$A:$H,8,FALSE()),""))</f>
        <v/>
      </c>
      <c r="F613" s="24"/>
      <c r="G613" s="25" t="str">
        <f>IF($D613="","",IFERROR(VLOOKUP($D613,'ACAS Capital Tracker'!$A:$D,4,FALSE()),""))</f>
        <v/>
      </c>
      <c r="H613" s="22"/>
    </row>
    <row r="614" spans="1:8">
      <c r="A614" s="21"/>
      <c r="B614" s="22"/>
      <c r="C614" s="22"/>
      <c r="D614" s="22"/>
      <c r="E614" s="23" t="str">
        <f>IF($D614="","",IFERROR(VLOOKUP($D614,'ACAS Capital Tracker'!$A:$H,8,FALSE()),""))</f>
        <v/>
      </c>
      <c r="F614" s="24"/>
      <c r="G614" s="25" t="str">
        <f>IF($D614="","",IFERROR(VLOOKUP($D614,'ACAS Capital Tracker'!$A:$D,4,FALSE()),""))</f>
        <v/>
      </c>
      <c r="H614" s="22"/>
    </row>
    <row r="615" spans="1:8">
      <c r="A615" s="21"/>
      <c r="B615" s="22"/>
      <c r="C615" s="22"/>
      <c r="D615" s="22"/>
      <c r="E615" s="23" t="str">
        <f>IF($D615="","",IFERROR(VLOOKUP($D615,'ACAS Capital Tracker'!$A:$H,8,FALSE()),""))</f>
        <v/>
      </c>
      <c r="F615" s="24"/>
      <c r="G615" s="25" t="str">
        <f>IF($D615="","",IFERROR(VLOOKUP($D615,'ACAS Capital Tracker'!$A:$D,4,FALSE()),""))</f>
        <v/>
      </c>
      <c r="H615" s="22"/>
    </row>
    <row r="616" spans="1:8">
      <c r="A616" s="21"/>
      <c r="B616" s="22"/>
      <c r="C616" s="22"/>
      <c r="D616" s="22"/>
      <c r="E616" s="23" t="str">
        <f>IF($D616="","",IFERROR(VLOOKUP($D616,'ACAS Capital Tracker'!$A:$H,8,FALSE()),""))</f>
        <v/>
      </c>
      <c r="F616" s="24"/>
      <c r="G616" s="25" t="str">
        <f>IF($D616="","",IFERROR(VLOOKUP($D616,'ACAS Capital Tracker'!$A:$D,4,FALSE()),""))</f>
        <v/>
      </c>
      <c r="H616" s="22"/>
    </row>
    <row r="617" spans="1:8">
      <c r="A617" s="21"/>
      <c r="B617" s="22"/>
      <c r="C617" s="22"/>
      <c r="D617" s="22"/>
      <c r="E617" s="23" t="str">
        <f>IF($D617="","",IFERROR(VLOOKUP($D617,'ACAS Capital Tracker'!$A:$H,8,FALSE()),""))</f>
        <v/>
      </c>
      <c r="F617" s="24"/>
      <c r="G617" s="25" t="str">
        <f>IF($D617="","",IFERROR(VLOOKUP($D617,'ACAS Capital Tracker'!$A:$D,4,FALSE()),""))</f>
        <v/>
      </c>
      <c r="H617" s="22"/>
    </row>
    <row r="618" spans="1:8">
      <c r="A618" s="21"/>
      <c r="B618" s="22"/>
      <c r="C618" s="22"/>
      <c r="D618" s="22"/>
      <c r="E618" s="23" t="str">
        <f>IF($D618="","",IFERROR(VLOOKUP($D618,'ACAS Capital Tracker'!$A:$H,8,FALSE()),""))</f>
        <v/>
      </c>
      <c r="F618" s="24"/>
      <c r="G618" s="25" t="str">
        <f>IF($D618="","",IFERROR(VLOOKUP($D618,'ACAS Capital Tracker'!$A:$D,4,FALSE()),""))</f>
        <v/>
      </c>
      <c r="H618" s="22"/>
    </row>
    <row r="619" spans="1:8">
      <c r="A619" s="21"/>
      <c r="B619" s="22"/>
      <c r="C619" s="22"/>
      <c r="D619" s="22"/>
      <c r="E619" s="23" t="str">
        <f>IF($D619="","",IFERROR(VLOOKUP($D619,'ACAS Capital Tracker'!$A:$H,8,FALSE()),""))</f>
        <v/>
      </c>
      <c r="F619" s="24"/>
      <c r="G619" s="25" t="str">
        <f>IF($D619="","",IFERROR(VLOOKUP($D619,'ACAS Capital Tracker'!$A:$D,4,FALSE()),""))</f>
        <v/>
      </c>
      <c r="H619" s="22"/>
    </row>
    <row r="620" spans="1:8">
      <c r="A620" s="21"/>
      <c r="B620" s="22"/>
      <c r="C620" s="22"/>
      <c r="D620" s="22"/>
      <c r="E620" s="23" t="str">
        <f>IF($D620="","",IFERROR(VLOOKUP($D620,'ACAS Capital Tracker'!$A:$H,8,FALSE()),""))</f>
        <v/>
      </c>
      <c r="F620" s="24"/>
      <c r="G620" s="25" t="str">
        <f>IF($D620="","",IFERROR(VLOOKUP($D620,'ACAS Capital Tracker'!$A:$D,4,FALSE()),""))</f>
        <v/>
      </c>
      <c r="H620" s="22"/>
    </row>
    <row r="621" spans="1:8">
      <c r="A621" s="21"/>
      <c r="B621" s="22"/>
      <c r="C621" s="22"/>
      <c r="D621" s="22"/>
      <c r="E621" s="23" t="str">
        <f>IF($D621="","",IFERROR(VLOOKUP($D621,'ACAS Capital Tracker'!$A:$H,8,FALSE()),""))</f>
        <v/>
      </c>
      <c r="F621" s="24"/>
      <c r="G621" s="25" t="str">
        <f>IF($D621="","",IFERROR(VLOOKUP($D621,'ACAS Capital Tracker'!$A:$D,4,FALSE()),""))</f>
        <v/>
      </c>
      <c r="H621" s="22"/>
    </row>
    <row r="622" spans="1:8">
      <c r="A622" s="21"/>
      <c r="B622" s="22"/>
      <c r="C622" s="22"/>
      <c r="D622" s="22"/>
      <c r="E622" s="23" t="str">
        <f>IF($D622="","",IFERROR(VLOOKUP($D622,'ACAS Capital Tracker'!$A:$H,8,FALSE()),""))</f>
        <v/>
      </c>
      <c r="F622" s="24"/>
      <c r="G622" s="25" t="str">
        <f>IF($D622="","",IFERROR(VLOOKUP($D622,'ACAS Capital Tracker'!$A:$D,4,FALSE()),""))</f>
        <v/>
      </c>
      <c r="H622" s="22"/>
    </row>
    <row r="623" spans="1:8">
      <c r="A623" s="21"/>
      <c r="B623" s="22"/>
      <c r="C623" s="22"/>
      <c r="D623" s="22"/>
      <c r="E623" s="23" t="str">
        <f>IF($D623="","",IFERROR(VLOOKUP($D623,'ACAS Capital Tracker'!$A:$H,8,FALSE()),""))</f>
        <v/>
      </c>
      <c r="F623" s="24"/>
      <c r="G623" s="25" t="str">
        <f>IF($D623="","",IFERROR(VLOOKUP($D623,'ACAS Capital Tracker'!$A:$D,4,FALSE()),""))</f>
        <v/>
      </c>
      <c r="H623" s="22"/>
    </row>
    <row r="624" spans="1:8">
      <c r="A624" s="21"/>
      <c r="B624" s="22"/>
      <c r="C624" s="22"/>
      <c r="D624" s="22"/>
      <c r="E624" s="23" t="str">
        <f>IF($D624="","",IFERROR(VLOOKUP($D624,'ACAS Capital Tracker'!$A:$H,8,FALSE()),""))</f>
        <v/>
      </c>
      <c r="F624" s="24"/>
      <c r="G624" s="25" t="str">
        <f>IF($D624="","",IFERROR(VLOOKUP($D624,'ACAS Capital Tracker'!$A:$D,4,FALSE()),""))</f>
        <v/>
      </c>
      <c r="H624" s="22"/>
    </row>
    <row r="625" spans="1:8">
      <c r="A625" s="21"/>
      <c r="B625" s="22"/>
      <c r="C625" s="22"/>
      <c r="D625" s="22"/>
      <c r="E625" s="23" t="str">
        <f>IF($D625="","",IFERROR(VLOOKUP($D625,'ACAS Capital Tracker'!$A:$H,8,FALSE()),""))</f>
        <v/>
      </c>
      <c r="F625" s="24"/>
      <c r="G625" s="25" t="str">
        <f>IF($D625="","",IFERROR(VLOOKUP($D625,'ACAS Capital Tracker'!$A:$D,4,FALSE()),""))</f>
        <v/>
      </c>
      <c r="H625" s="22"/>
    </row>
    <row r="626" spans="1:8">
      <c r="A626" s="21"/>
      <c r="B626" s="22"/>
      <c r="C626" s="22"/>
      <c r="D626" s="22"/>
      <c r="E626" s="23" t="str">
        <f>IF($D626="","",IFERROR(VLOOKUP($D626,'ACAS Capital Tracker'!$A:$H,8,FALSE()),""))</f>
        <v/>
      </c>
      <c r="F626" s="24"/>
      <c r="G626" s="25" t="str">
        <f>IF($D626="","",IFERROR(VLOOKUP($D626,'ACAS Capital Tracker'!$A:$D,4,FALSE()),""))</f>
        <v/>
      </c>
      <c r="H626" s="22"/>
    </row>
    <row r="627" spans="1:8">
      <c r="A627" s="21"/>
      <c r="B627" s="22"/>
      <c r="C627" s="22"/>
      <c r="D627" s="22"/>
      <c r="E627" s="23" t="str">
        <f>IF($D627="","",IFERROR(VLOOKUP($D627,'ACAS Capital Tracker'!$A:$H,8,FALSE()),""))</f>
        <v/>
      </c>
      <c r="F627" s="24"/>
      <c r="G627" s="25" t="str">
        <f>IF($D627="","",IFERROR(VLOOKUP($D627,'ACAS Capital Tracker'!$A:$D,4,FALSE()),""))</f>
        <v/>
      </c>
      <c r="H627" s="22"/>
    </row>
    <row r="628" spans="1:8">
      <c r="A628" s="21"/>
      <c r="B628" s="22"/>
      <c r="C628" s="22"/>
      <c r="D628" s="22"/>
      <c r="E628" s="23" t="str">
        <f>IF($D628="","",IFERROR(VLOOKUP($D628,'ACAS Capital Tracker'!$A:$H,8,FALSE()),""))</f>
        <v/>
      </c>
      <c r="F628" s="24"/>
      <c r="G628" s="25" t="str">
        <f>IF($D628="","",IFERROR(VLOOKUP($D628,'ACAS Capital Tracker'!$A:$D,4,FALSE()),""))</f>
        <v/>
      </c>
      <c r="H628" s="22"/>
    </row>
    <row r="629" spans="1:8">
      <c r="A629" s="21"/>
      <c r="B629" s="22"/>
      <c r="C629" s="22"/>
      <c r="D629" s="22"/>
      <c r="E629" s="23" t="str">
        <f>IF($D629="","",IFERROR(VLOOKUP($D629,'ACAS Capital Tracker'!$A:$H,8,FALSE()),""))</f>
        <v/>
      </c>
      <c r="F629" s="24"/>
      <c r="G629" s="25" t="str">
        <f>IF($D629="","",IFERROR(VLOOKUP($D629,'ACAS Capital Tracker'!$A:$D,4,FALSE()),""))</f>
        <v/>
      </c>
      <c r="H629" s="22"/>
    </row>
    <row r="630" spans="1:8">
      <c r="A630" s="21"/>
      <c r="B630" s="22"/>
      <c r="C630" s="22"/>
      <c r="D630" s="22"/>
      <c r="E630" s="23" t="str">
        <f>IF($D630="","",IFERROR(VLOOKUP($D630,'ACAS Capital Tracker'!$A:$H,8,FALSE()),""))</f>
        <v/>
      </c>
      <c r="F630" s="24"/>
      <c r="G630" s="25" t="str">
        <f>IF($D630="","",IFERROR(VLOOKUP($D630,'ACAS Capital Tracker'!$A:$D,4,FALSE()),""))</f>
        <v/>
      </c>
      <c r="H630" s="22"/>
    </row>
    <row r="631" spans="1:8">
      <c r="A631" s="21"/>
      <c r="B631" s="22"/>
      <c r="C631" s="22"/>
      <c r="D631" s="22"/>
      <c r="E631" s="23" t="str">
        <f>IF($D631="","",IFERROR(VLOOKUP($D631,'ACAS Capital Tracker'!$A:$H,8,FALSE()),""))</f>
        <v/>
      </c>
      <c r="F631" s="24"/>
      <c r="G631" s="25" t="str">
        <f>IF($D631="","",IFERROR(VLOOKUP($D631,'ACAS Capital Tracker'!$A:$D,4,FALSE()),""))</f>
        <v/>
      </c>
      <c r="H631" s="22"/>
    </row>
    <row r="632" spans="1:8">
      <c r="A632" s="21"/>
      <c r="B632" s="22"/>
      <c r="C632" s="22"/>
      <c r="D632" s="22"/>
      <c r="E632" s="23" t="str">
        <f>IF($D632="","",IFERROR(VLOOKUP($D632,'ACAS Capital Tracker'!$A:$H,8,FALSE()),""))</f>
        <v/>
      </c>
      <c r="F632" s="24"/>
      <c r="G632" s="25" t="str">
        <f>IF($D632="","",IFERROR(VLOOKUP($D632,'ACAS Capital Tracker'!$A:$D,4,FALSE()),""))</f>
        <v/>
      </c>
      <c r="H632" s="22"/>
    </row>
    <row r="633" spans="1:8">
      <c r="A633" s="21"/>
      <c r="B633" s="22"/>
      <c r="C633" s="22"/>
      <c r="D633" s="22"/>
      <c r="E633" s="23" t="str">
        <f>IF($D633="","",IFERROR(VLOOKUP($D633,'ACAS Capital Tracker'!$A:$H,8,FALSE()),""))</f>
        <v/>
      </c>
      <c r="F633" s="24"/>
      <c r="G633" s="25" t="str">
        <f>IF($D633="","",IFERROR(VLOOKUP($D633,'ACAS Capital Tracker'!$A:$D,4,FALSE()),""))</f>
        <v/>
      </c>
      <c r="H633" s="22"/>
    </row>
    <row r="634" spans="1:8">
      <c r="A634" s="21"/>
      <c r="B634" s="22"/>
      <c r="C634" s="22"/>
      <c r="D634" s="22"/>
      <c r="E634" s="23" t="str">
        <f>IF($D634="","",IFERROR(VLOOKUP($D634,'ACAS Capital Tracker'!$A:$H,8,FALSE()),""))</f>
        <v/>
      </c>
      <c r="F634" s="24"/>
      <c r="G634" s="25" t="str">
        <f>IF($D634="","",IFERROR(VLOOKUP($D634,'ACAS Capital Tracker'!$A:$D,4,FALSE()),""))</f>
        <v/>
      </c>
      <c r="H634" s="22"/>
    </row>
    <row r="635" spans="1:8">
      <c r="A635" s="21"/>
      <c r="B635" s="22"/>
      <c r="C635" s="22"/>
      <c r="D635" s="22"/>
      <c r="E635" s="23" t="str">
        <f>IF($D635="","",IFERROR(VLOOKUP($D635,'ACAS Capital Tracker'!$A:$H,8,FALSE()),""))</f>
        <v/>
      </c>
      <c r="F635" s="24"/>
      <c r="G635" s="25" t="str">
        <f>IF($D635="","",IFERROR(VLOOKUP($D635,'ACAS Capital Tracker'!$A:$D,4,FALSE()),""))</f>
        <v/>
      </c>
      <c r="H635" s="22"/>
    </row>
    <row r="636" spans="1:8">
      <c r="A636" s="21"/>
      <c r="B636" s="22"/>
      <c r="C636" s="22"/>
      <c r="D636" s="22"/>
      <c r="E636" s="23" t="str">
        <f>IF($D636="","",IFERROR(VLOOKUP($D636,'ACAS Capital Tracker'!$A:$H,8,FALSE()),""))</f>
        <v/>
      </c>
      <c r="F636" s="24"/>
      <c r="G636" s="25" t="str">
        <f>IF($D636="","",IFERROR(VLOOKUP($D636,'ACAS Capital Tracker'!$A:$D,4,FALSE()),""))</f>
        <v/>
      </c>
      <c r="H636" s="22"/>
    </row>
    <row r="637" spans="1:8">
      <c r="A637" s="21"/>
      <c r="B637" s="22"/>
      <c r="C637" s="22"/>
      <c r="D637" s="22"/>
      <c r="E637" s="23" t="str">
        <f>IF($D637="","",IFERROR(VLOOKUP($D637,'ACAS Capital Tracker'!$A:$H,8,FALSE()),""))</f>
        <v/>
      </c>
      <c r="F637" s="24"/>
      <c r="G637" s="25" t="str">
        <f>IF($D637="","",IFERROR(VLOOKUP($D637,'ACAS Capital Tracker'!$A:$D,4,FALSE()),""))</f>
        <v/>
      </c>
      <c r="H637" s="22"/>
    </row>
    <row r="638" spans="1:8">
      <c r="A638" s="21"/>
      <c r="B638" s="22"/>
      <c r="C638" s="22"/>
      <c r="D638" s="22"/>
      <c r="E638" s="23" t="str">
        <f>IF($D638="","",IFERROR(VLOOKUP($D638,'ACAS Capital Tracker'!$A:$H,8,FALSE()),""))</f>
        <v/>
      </c>
      <c r="F638" s="24"/>
      <c r="G638" s="25" t="str">
        <f>IF($D638="","",IFERROR(VLOOKUP($D638,'ACAS Capital Tracker'!$A:$D,4,FALSE()),""))</f>
        <v/>
      </c>
      <c r="H638" s="22"/>
    </row>
    <row r="639" spans="1:8">
      <c r="A639" s="21"/>
      <c r="B639" s="22"/>
      <c r="C639" s="22"/>
      <c r="D639" s="22"/>
      <c r="E639" s="23" t="str">
        <f>IF($D639="","",IFERROR(VLOOKUP($D639,'ACAS Capital Tracker'!$A:$H,8,FALSE()),""))</f>
        <v/>
      </c>
      <c r="F639" s="24"/>
      <c r="G639" s="25" t="str">
        <f>IF($D639="","",IFERROR(VLOOKUP($D639,'ACAS Capital Tracker'!$A:$D,4,FALSE()),""))</f>
        <v/>
      </c>
      <c r="H639" s="22"/>
    </row>
    <row r="640" spans="1:8">
      <c r="A640" s="21"/>
      <c r="B640" s="22"/>
      <c r="C640" s="22"/>
      <c r="D640" s="22"/>
      <c r="E640" s="23" t="str">
        <f>IF($D640="","",IFERROR(VLOOKUP($D640,'ACAS Capital Tracker'!$A:$H,8,FALSE()),""))</f>
        <v/>
      </c>
      <c r="F640" s="24"/>
      <c r="G640" s="25" t="str">
        <f>IF($D640="","",IFERROR(VLOOKUP($D640,'ACAS Capital Tracker'!$A:$D,4,FALSE()),""))</f>
        <v/>
      </c>
      <c r="H640" s="22"/>
    </row>
    <row r="641" spans="1:8">
      <c r="A641" s="21"/>
      <c r="B641" s="22"/>
      <c r="C641" s="22"/>
      <c r="D641" s="22"/>
      <c r="E641" s="23" t="str">
        <f>IF($D641="","",IFERROR(VLOOKUP($D641,'ACAS Capital Tracker'!$A:$H,8,FALSE()),""))</f>
        <v/>
      </c>
      <c r="F641" s="24"/>
      <c r="G641" s="25" t="str">
        <f>IF($D641="","",IFERROR(VLOOKUP($D641,'ACAS Capital Tracker'!$A:$D,4,FALSE()),""))</f>
        <v/>
      </c>
      <c r="H641" s="22"/>
    </row>
    <row r="642" spans="1:8">
      <c r="A642" s="21"/>
      <c r="B642" s="22"/>
      <c r="C642" s="22"/>
      <c r="D642" s="22"/>
      <c r="E642" s="23" t="str">
        <f>IF($D642="","",IFERROR(VLOOKUP($D642,'ACAS Capital Tracker'!$A:$H,8,FALSE()),""))</f>
        <v/>
      </c>
      <c r="F642" s="24"/>
      <c r="G642" s="25" t="str">
        <f>IF($D642="","",IFERROR(VLOOKUP($D642,'ACAS Capital Tracker'!$A:$D,4,FALSE()),""))</f>
        <v/>
      </c>
      <c r="H642" s="22"/>
    </row>
    <row r="643" spans="1:8">
      <c r="A643" s="21"/>
      <c r="B643" s="22"/>
      <c r="C643" s="22"/>
      <c r="D643" s="22"/>
      <c r="E643" s="23" t="str">
        <f>IF($D643="","",IFERROR(VLOOKUP($D643,'ACAS Capital Tracker'!$A:$H,8,FALSE()),""))</f>
        <v/>
      </c>
      <c r="F643" s="24"/>
      <c r="G643" s="25" t="str">
        <f>IF($D643="","",IFERROR(VLOOKUP($D643,'ACAS Capital Tracker'!$A:$D,4,FALSE()),""))</f>
        <v/>
      </c>
      <c r="H643" s="22"/>
    </row>
    <row r="644" spans="1:8">
      <c r="A644" s="21"/>
      <c r="B644" s="22"/>
      <c r="C644" s="22"/>
      <c r="D644" s="22"/>
      <c r="E644" s="23" t="str">
        <f>IF($D644="","",IFERROR(VLOOKUP($D644,'ACAS Capital Tracker'!$A:$H,8,FALSE()),""))</f>
        <v/>
      </c>
      <c r="F644" s="24"/>
      <c r="G644" s="25" t="str">
        <f>IF($D644="","",IFERROR(VLOOKUP($D644,'ACAS Capital Tracker'!$A:$D,4,FALSE()),""))</f>
        <v/>
      </c>
      <c r="H644" s="22"/>
    </row>
    <row r="645" spans="1:8">
      <c r="A645" s="21"/>
      <c r="B645" s="22"/>
      <c r="C645" s="22"/>
      <c r="D645" s="22"/>
      <c r="E645" s="23" t="str">
        <f>IF($D645="","",IFERROR(VLOOKUP($D645,'ACAS Capital Tracker'!$A:$H,8,FALSE()),""))</f>
        <v/>
      </c>
      <c r="F645" s="24"/>
      <c r="G645" s="25" t="str">
        <f>IF($D645="","",IFERROR(VLOOKUP($D645,'ACAS Capital Tracker'!$A:$D,4,FALSE()),""))</f>
        <v/>
      </c>
      <c r="H645" s="22"/>
    </row>
    <row r="646" spans="1:8">
      <c r="A646" s="21"/>
      <c r="B646" s="22"/>
      <c r="C646" s="22"/>
      <c r="D646" s="22"/>
      <c r="E646" s="23" t="str">
        <f>IF($D646="","",IFERROR(VLOOKUP($D646,'ACAS Capital Tracker'!$A:$H,8,FALSE()),""))</f>
        <v/>
      </c>
      <c r="F646" s="24"/>
      <c r="G646" s="25" t="str">
        <f>IF($D646="","",IFERROR(VLOOKUP($D646,'ACAS Capital Tracker'!$A:$D,4,FALSE()),""))</f>
        <v/>
      </c>
      <c r="H646" s="22"/>
    </row>
    <row r="647" spans="1:8">
      <c r="A647" s="21"/>
      <c r="B647" s="22"/>
      <c r="C647" s="22"/>
      <c r="D647" s="22"/>
      <c r="E647" s="23" t="str">
        <f>IF($D647="","",IFERROR(VLOOKUP($D647,'ACAS Capital Tracker'!$A:$H,8,FALSE()),""))</f>
        <v/>
      </c>
      <c r="F647" s="24"/>
      <c r="G647" s="25" t="str">
        <f>IF($D647="","",IFERROR(VLOOKUP($D647,'ACAS Capital Tracker'!$A:$D,4,FALSE()),""))</f>
        <v/>
      </c>
      <c r="H647" s="22"/>
    </row>
    <row r="648" spans="1:8">
      <c r="A648" s="21"/>
      <c r="B648" s="22"/>
      <c r="C648" s="22"/>
      <c r="D648" s="22"/>
      <c r="E648" s="23" t="str">
        <f>IF($D648="","",IFERROR(VLOOKUP($D648,'ACAS Capital Tracker'!$A:$H,8,FALSE()),""))</f>
        <v/>
      </c>
      <c r="F648" s="24"/>
      <c r="G648" s="25" t="str">
        <f>IF($D648="","",IFERROR(VLOOKUP($D648,'ACAS Capital Tracker'!$A:$D,4,FALSE()),""))</f>
        <v/>
      </c>
      <c r="H648" s="22"/>
    </row>
    <row r="649" spans="1:8">
      <c r="A649" s="21"/>
      <c r="B649" s="22"/>
      <c r="C649" s="22"/>
      <c r="D649" s="22"/>
      <c r="E649" s="23" t="str">
        <f>IF($D649="","",IFERROR(VLOOKUP($D649,'ACAS Capital Tracker'!$A:$H,8,FALSE()),""))</f>
        <v/>
      </c>
      <c r="F649" s="24"/>
      <c r="G649" s="25" t="str">
        <f>IF($D649="","",IFERROR(VLOOKUP($D649,'ACAS Capital Tracker'!$A:$D,4,FALSE()),""))</f>
        <v/>
      </c>
      <c r="H649" s="22"/>
    </row>
    <row r="650" spans="1:8">
      <c r="A650" s="21"/>
      <c r="B650" s="22"/>
      <c r="C650" s="22"/>
      <c r="D650" s="22"/>
      <c r="E650" s="23" t="str">
        <f>IF($D650="","",IFERROR(VLOOKUP($D650,'ACAS Capital Tracker'!$A:$H,8,FALSE()),""))</f>
        <v/>
      </c>
      <c r="F650" s="24"/>
      <c r="G650" s="25" t="str">
        <f>IF($D650="","",IFERROR(VLOOKUP($D650,'ACAS Capital Tracker'!$A:$D,4,FALSE()),""))</f>
        <v/>
      </c>
      <c r="H650" s="22"/>
    </row>
    <row r="651" spans="1:8">
      <c r="A651" s="21"/>
      <c r="B651" s="22"/>
      <c r="C651" s="22"/>
      <c r="D651" s="22"/>
      <c r="E651" s="23" t="str">
        <f>IF($D651="","",IFERROR(VLOOKUP($D651,'ACAS Capital Tracker'!$A:$H,8,FALSE()),""))</f>
        <v/>
      </c>
      <c r="F651" s="24"/>
      <c r="G651" s="25" t="str">
        <f>IF($D651="","",IFERROR(VLOOKUP($D651,'ACAS Capital Tracker'!$A:$D,4,FALSE()),""))</f>
        <v/>
      </c>
      <c r="H651" s="22"/>
    </row>
    <row r="652" spans="1:8">
      <c r="A652" s="21"/>
      <c r="B652" s="22"/>
      <c r="C652" s="22"/>
      <c r="D652" s="22"/>
      <c r="E652" s="23" t="str">
        <f>IF($D652="","",IFERROR(VLOOKUP($D652,'ACAS Capital Tracker'!$A:$H,8,FALSE()),""))</f>
        <v/>
      </c>
      <c r="F652" s="24"/>
      <c r="G652" s="25" t="str">
        <f>IF($D652="","",IFERROR(VLOOKUP($D652,'ACAS Capital Tracker'!$A:$D,4,FALSE()),""))</f>
        <v/>
      </c>
      <c r="H652" s="22"/>
    </row>
    <row r="653" spans="1:8">
      <c r="A653" s="21"/>
      <c r="B653" s="22"/>
      <c r="C653" s="22"/>
      <c r="D653" s="22"/>
      <c r="E653" s="23" t="str">
        <f>IF($D653="","",IFERROR(VLOOKUP($D653,'ACAS Capital Tracker'!$A:$H,8,FALSE()),""))</f>
        <v/>
      </c>
      <c r="F653" s="24"/>
      <c r="G653" s="25" t="str">
        <f>IF($D653="","",IFERROR(VLOOKUP($D653,'ACAS Capital Tracker'!$A:$D,4,FALSE()),""))</f>
        <v/>
      </c>
      <c r="H653" s="22"/>
    </row>
    <row r="654" spans="1:8">
      <c r="A654" s="21"/>
      <c r="B654" s="22"/>
      <c r="C654" s="22"/>
      <c r="D654" s="22"/>
      <c r="E654" s="23" t="str">
        <f>IF($D654="","",IFERROR(VLOOKUP($D654,'ACAS Capital Tracker'!$A:$H,8,FALSE()),""))</f>
        <v/>
      </c>
      <c r="F654" s="24"/>
      <c r="G654" s="25" t="str">
        <f>IF($D654="","",IFERROR(VLOOKUP($D654,'ACAS Capital Tracker'!$A:$D,4,FALSE()),""))</f>
        <v/>
      </c>
      <c r="H654" s="22"/>
    </row>
    <row r="655" spans="1:8">
      <c r="A655" s="21"/>
      <c r="B655" s="22"/>
      <c r="C655" s="22"/>
      <c r="D655" s="22"/>
      <c r="E655" s="23" t="str">
        <f>IF($D655="","",IFERROR(VLOOKUP($D655,'ACAS Capital Tracker'!$A:$H,8,FALSE()),""))</f>
        <v/>
      </c>
      <c r="F655" s="24"/>
      <c r="G655" s="25" t="str">
        <f>IF($D655="","",IFERROR(VLOOKUP($D655,'ACAS Capital Tracker'!$A:$D,4,FALSE()),""))</f>
        <v/>
      </c>
      <c r="H655" s="22"/>
    </row>
    <row r="656" spans="1:8">
      <c r="A656" s="21"/>
      <c r="B656" s="22"/>
      <c r="C656" s="22"/>
      <c r="D656" s="22"/>
      <c r="E656" s="23" t="str">
        <f>IF($D656="","",IFERROR(VLOOKUP($D656,'ACAS Capital Tracker'!$A:$H,8,FALSE()),""))</f>
        <v/>
      </c>
      <c r="F656" s="24"/>
      <c r="G656" s="25" t="str">
        <f>IF($D656="","",IFERROR(VLOOKUP($D656,'ACAS Capital Tracker'!$A:$D,4,FALSE()),""))</f>
        <v/>
      </c>
      <c r="H656" s="22"/>
    </row>
    <row r="657" spans="1:8">
      <c r="A657" s="21"/>
      <c r="B657" s="22"/>
      <c r="C657" s="22"/>
      <c r="D657" s="22"/>
      <c r="E657" s="23" t="str">
        <f>IF($D657="","",IFERROR(VLOOKUP($D657,'ACAS Capital Tracker'!$A:$H,8,FALSE()),""))</f>
        <v/>
      </c>
      <c r="F657" s="24"/>
      <c r="G657" s="25" t="str">
        <f>IF($D657="","",IFERROR(VLOOKUP($D657,'ACAS Capital Tracker'!$A:$D,4,FALSE()),""))</f>
        <v/>
      </c>
      <c r="H657" s="22"/>
    </row>
    <row r="658" spans="1:8">
      <c r="A658" s="21"/>
      <c r="B658" s="22"/>
      <c r="C658" s="22"/>
      <c r="D658" s="22"/>
      <c r="E658" s="23" t="str">
        <f>IF($D658="","",IFERROR(VLOOKUP($D658,'ACAS Capital Tracker'!$A:$H,8,FALSE()),""))</f>
        <v/>
      </c>
      <c r="F658" s="24"/>
      <c r="G658" s="25" t="str">
        <f>IF($D658="","",IFERROR(VLOOKUP($D658,'ACAS Capital Tracker'!$A:$D,4,FALSE()),""))</f>
        <v/>
      </c>
      <c r="H658" s="22"/>
    </row>
    <row r="659" spans="1:8">
      <c r="A659" s="21"/>
      <c r="B659" s="22"/>
      <c r="C659" s="22"/>
      <c r="D659" s="22"/>
      <c r="E659" s="23" t="str">
        <f>IF($D659="","",IFERROR(VLOOKUP($D659,'ACAS Capital Tracker'!$A:$H,8,FALSE()),""))</f>
        <v/>
      </c>
      <c r="F659" s="24"/>
      <c r="G659" s="25" t="str">
        <f>IF($D659="","",IFERROR(VLOOKUP($D659,'ACAS Capital Tracker'!$A:$D,4,FALSE()),""))</f>
        <v/>
      </c>
      <c r="H659" s="22"/>
    </row>
    <row r="660" spans="1:8">
      <c r="A660" s="21"/>
      <c r="B660" s="22"/>
      <c r="C660" s="22"/>
      <c r="D660" s="22"/>
      <c r="E660" s="23" t="str">
        <f>IF($D660="","",IFERROR(VLOOKUP($D660,'ACAS Capital Tracker'!$A:$H,8,FALSE()),""))</f>
        <v/>
      </c>
      <c r="F660" s="24"/>
      <c r="G660" s="25" t="str">
        <f>IF($D660="","",IFERROR(VLOOKUP($D660,'ACAS Capital Tracker'!$A:$D,4,FALSE()),""))</f>
        <v/>
      </c>
      <c r="H660" s="22"/>
    </row>
    <row r="661" spans="1:8">
      <c r="A661" s="21"/>
      <c r="B661" s="22"/>
      <c r="C661" s="22"/>
      <c r="D661" s="22"/>
      <c r="E661" s="23" t="str">
        <f>IF($D661="","",IFERROR(VLOOKUP($D661,'ACAS Capital Tracker'!$A:$H,8,FALSE()),""))</f>
        <v/>
      </c>
      <c r="F661" s="24"/>
      <c r="G661" s="25" t="str">
        <f>IF($D661="","",IFERROR(VLOOKUP($D661,'ACAS Capital Tracker'!$A:$D,4,FALSE()),""))</f>
        <v/>
      </c>
      <c r="H661" s="22"/>
    </row>
    <row r="662" spans="1:8">
      <c r="A662" s="21"/>
      <c r="B662" s="22"/>
      <c r="C662" s="22"/>
      <c r="D662" s="22"/>
      <c r="E662" s="23" t="str">
        <f>IF($D662="","",IFERROR(VLOOKUP($D662,'ACAS Capital Tracker'!$A:$H,8,FALSE()),""))</f>
        <v/>
      </c>
      <c r="F662" s="24"/>
      <c r="G662" s="25" t="str">
        <f>IF($D662="","",IFERROR(VLOOKUP($D662,'ACAS Capital Tracker'!$A:$D,4,FALSE()),""))</f>
        <v/>
      </c>
      <c r="H662" s="22"/>
    </row>
    <row r="663" spans="1:8">
      <c r="A663" s="21"/>
      <c r="B663" s="22"/>
      <c r="C663" s="22"/>
      <c r="D663" s="22"/>
      <c r="E663" s="23" t="str">
        <f>IF($D663="","",IFERROR(VLOOKUP($D663,'ACAS Capital Tracker'!$A:$H,8,FALSE()),""))</f>
        <v/>
      </c>
      <c r="F663" s="24"/>
      <c r="G663" s="25" t="str">
        <f>IF($D663="","",IFERROR(VLOOKUP($D663,'ACAS Capital Tracker'!$A:$D,4,FALSE()),""))</f>
        <v/>
      </c>
      <c r="H663" s="22"/>
    </row>
    <row r="664" spans="1:8">
      <c r="A664" s="21"/>
      <c r="B664" s="22"/>
      <c r="C664" s="22"/>
      <c r="D664" s="22"/>
      <c r="E664" s="23" t="str">
        <f>IF($D664="","",IFERROR(VLOOKUP($D664,'ACAS Capital Tracker'!$A:$H,8,FALSE()),""))</f>
        <v/>
      </c>
      <c r="F664" s="24"/>
      <c r="G664" s="25" t="str">
        <f>IF($D664="","",IFERROR(VLOOKUP($D664,'ACAS Capital Tracker'!$A:$D,4,FALSE()),""))</f>
        <v/>
      </c>
      <c r="H664" s="22"/>
    </row>
    <row r="665" spans="1:8">
      <c r="A665" s="21"/>
      <c r="B665" s="22"/>
      <c r="C665" s="22"/>
      <c r="D665" s="22"/>
      <c r="E665" s="23" t="str">
        <f>IF($D665="","",IFERROR(VLOOKUP($D665,'ACAS Capital Tracker'!$A:$H,8,FALSE()),""))</f>
        <v/>
      </c>
      <c r="F665" s="24"/>
      <c r="G665" s="25" t="str">
        <f>IF($D665="","",IFERROR(VLOOKUP($D665,'ACAS Capital Tracker'!$A:$D,4,FALSE()),""))</f>
        <v/>
      </c>
      <c r="H665" s="22"/>
    </row>
    <row r="666" spans="1:8">
      <c r="A666" s="21"/>
      <c r="B666" s="22"/>
      <c r="C666" s="22"/>
      <c r="D666" s="22"/>
      <c r="E666" s="23" t="str">
        <f>IF($D666="","",IFERROR(VLOOKUP($D666,'ACAS Capital Tracker'!$A:$H,8,FALSE()),""))</f>
        <v/>
      </c>
      <c r="F666" s="24"/>
      <c r="G666" s="25" t="str">
        <f>IF($D666="","",IFERROR(VLOOKUP($D666,'ACAS Capital Tracker'!$A:$D,4,FALSE()),""))</f>
        <v/>
      </c>
      <c r="H666" s="22"/>
    </row>
    <row r="667" spans="1:8">
      <c r="A667" s="21"/>
      <c r="B667" s="22"/>
      <c r="C667" s="22"/>
      <c r="D667" s="22"/>
      <c r="E667" s="23" t="str">
        <f>IF($D667="","",IFERROR(VLOOKUP($D667,'ACAS Capital Tracker'!$A:$H,8,FALSE()),""))</f>
        <v/>
      </c>
      <c r="F667" s="24"/>
      <c r="G667" s="25" t="str">
        <f>IF($D667="","",IFERROR(VLOOKUP($D667,'ACAS Capital Tracker'!$A:$D,4,FALSE()),""))</f>
        <v/>
      </c>
      <c r="H667" s="22"/>
    </row>
    <row r="668" spans="1:8">
      <c r="A668" s="21"/>
      <c r="B668" s="22"/>
      <c r="C668" s="22"/>
      <c r="D668" s="22"/>
      <c r="E668" s="23" t="str">
        <f>IF($D668="","",IFERROR(VLOOKUP($D668,'ACAS Capital Tracker'!$A:$H,8,FALSE()),""))</f>
        <v/>
      </c>
      <c r="F668" s="24"/>
      <c r="G668" s="25" t="str">
        <f>IF($D668="","",IFERROR(VLOOKUP($D668,'ACAS Capital Tracker'!$A:$D,4,FALSE()),""))</f>
        <v/>
      </c>
      <c r="H668" s="22"/>
    </row>
    <row r="669" spans="1:8">
      <c r="A669" s="21"/>
      <c r="B669" s="22"/>
      <c r="C669" s="22"/>
      <c r="D669" s="22"/>
      <c r="E669" s="23" t="str">
        <f>IF($D669="","",IFERROR(VLOOKUP($D669,'ACAS Capital Tracker'!$A:$H,8,FALSE()),""))</f>
        <v/>
      </c>
      <c r="F669" s="24"/>
      <c r="G669" s="25" t="str">
        <f>IF($D669="","",IFERROR(VLOOKUP($D669,'ACAS Capital Tracker'!$A:$D,4,FALSE()),""))</f>
        <v/>
      </c>
      <c r="H669" s="22"/>
    </row>
    <row r="670" spans="1:8">
      <c r="A670" s="21"/>
      <c r="B670" s="22"/>
      <c r="C670" s="22"/>
      <c r="D670" s="22"/>
      <c r="E670" s="23" t="str">
        <f>IF($D670="","",IFERROR(VLOOKUP($D670,'ACAS Capital Tracker'!$A:$H,8,FALSE()),""))</f>
        <v/>
      </c>
      <c r="F670" s="24"/>
      <c r="G670" s="25" t="str">
        <f>IF($D670="","",IFERROR(VLOOKUP($D670,'ACAS Capital Tracker'!$A:$D,4,FALSE()),""))</f>
        <v/>
      </c>
      <c r="H670" s="22"/>
    </row>
    <row r="671" spans="1:8">
      <c r="A671" s="21"/>
      <c r="B671" s="22"/>
      <c r="C671" s="22"/>
      <c r="D671" s="22"/>
      <c r="E671" s="23" t="str">
        <f>IF($D671="","",IFERROR(VLOOKUP($D671,'ACAS Capital Tracker'!$A:$H,8,FALSE()),""))</f>
        <v/>
      </c>
      <c r="F671" s="24"/>
      <c r="G671" s="25" t="str">
        <f>IF($D671="","",IFERROR(VLOOKUP($D671,'ACAS Capital Tracker'!$A:$D,4,FALSE()),""))</f>
        <v/>
      </c>
      <c r="H671" s="22"/>
    </row>
    <row r="672" spans="1:8">
      <c r="A672" s="21"/>
      <c r="B672" s="22"/>
      <c r="C672" s="22"/>
      <c r="D672" s="22"/>
      <c r="E672" s="23" t="str">
        <f>IF($D672="","",IFERROR(VLOOKUP($D672,'ACAS Capital Tracker'!$A:$H,8,FALSE()),""))</f>
        <v/>
      </c>
      <c r="F672" s="24"/>
      <c r="G672" s="25" t="str">
        <f>IF($D672="","",IFERROR(VLOOKUP($D672,'ACAS Capital Tracker'!$A:$D,4,FALSE()),""))</f>
        <v/>
      </c>
      <c r="H672" s="22"/>
    </row>
    <row r="673" spans="1:8">
      <c r="A673" s="21"/>
      <c r="B673" s="22"/>
      <c r="C673" s="22"/>
      <c r="D673" s="22"/>
      <c r="E673" s="23" t="str">
        <f>IF($D673="","",IFERROR(VLOOKUP($D673,'ACAS Capital Tracker'!$A:$H,8,FALSE()),""))</f>
        <v/>
      </c>
      <c r="F673" s="24"/>
      <c r="G673" s="25" t="str">
        <f>IF($D673="","",IFERROR(VLOOKUP($D673,'ACAS Capital Tracker'!$A:$D,4,FALSE()),""))</f>
        <v/>
      </c>
      <c r="H673" s="22"/>
    </row>
    <row r="674" spans="1:8">
      <c r="A674" s="21"/>
      <c r="B674" s="22"/>
      <c r="C674" s="22"/>
      <c r="D674" s="22"/>
      <c r="E674" s="23" t="str">
        <f>IF($D674="","",IFERROR(VLOOKUP($D674,'ACAS Capital Tracker'!$A:$H,8,FALSE()),""))</f>
        <v/>
      </c>
      <c r="F674" s="24"/>
      <c r="G674" s="25" t="str">
        <f>IF($D674="","",IFERROR(VLOOKUP($D674,'ACAS Capital Tracker'!$A:$D,4,FALSE()),""))</f>
        <v/>
      </c>
      <c r="H674" s="22"/>
    </row>
    <row r="675" spans="1:8">
      <c r="A675" s="21"/>
      <c r="B675" s="22"/>
      <c r="C675" s="22"/>
      <c r="D675" s="22"/>
      <c r="E675" s="23" t="str">
        <f>IF($D675="","",IFERROR(VLOOKUP($D675,'ACAS Capital Tracker'!$A:$H,8,FALSE()),""))</f>
        <v/>
      </c>
      <c r="F675" s="24"/>
      <c r="G675" s="25" t="str">
        <f>IF($D675="","",IFERROR(VLOOKUP($D675,'ACAS Capital Tracker'!$A:$D,4,FALSE()),""))</f>
        <v/>
      </c>
      <c r="H675" s="22"/>
    </row>
    <row r="676" spans="1:8">
      <c r="A676" s="21"/>
      <c r="B676" s="22"/>
      <c r="C676" s="22"/>
      <c r="D676" s="22"/>
      <c r="E676" s="23" t="str">
        <f>IF($D676="","",IFERROR(VLOOKUP($D676,'ACAS Capital Tracker'!$A:$H,8,FALSE()),""))</f>
        <v/>
      </c>
      <c r="F676" s="24"/>
      <c r="G676" s="25" t="str">
        <f>IF($D676="","",IFERROR(VLOOKUP($D676,'ACAS Capital Tracker'!$A:$D,4,FALSE()),""))</f>
        <v/>
      </c>
      <c r="H676" s="22"/>
    </row>
    <row r="677" spans="1:8">
      <c r="A677" s="21"/>
      <c r="B677" s="22"/>
      <c r="C677" s="22"/>
      <c r="D677" s="22"/>
      <c r="E677" s="23" t="str">
        <f>IF($D677="","",IFERROR(VLOOKUP($D677,'ACAS Capital Tracker'!$A:$H,8,FALSE()),""))</f>
        <v/>
      </c>
      <c r="F677" s="24"/>
      <c r="G677" s="25" t="str">
        <f>IF($D677="","",IFERROR(VLOOKUP($D677,'ACAS Capital Tracker'!$A:$D,4,FALSE()),""))</f>
        <v/>
      </c>
      <c r="H677" s="22"/>
    </row>
    <row r="678" spans="1:8">
      <c r="A678" s="21"/>
      <c r="B678" s="22"/>
      <c r="C678" s="22"/>
      <c r="D678" s="22"/>
      <c r="E678" s="23" t="str">
        <f>IF($D678="","",IFERROR(VLOOKUP($D678,'ACAS Capital Tracker'!$A:$H,8,FALSE()),""))</f>
        <v/>
      </c>
      <c r="F678" s="24"/>
      <c r="G678" s="25" t="str">
        <f>IF($D678="","",IFERROR(VLOOKUP($D678,'ACAS Capital Tracker'!$A:$D,4,FALSE()),""))</f>
        <v/>
      </c>
      <c r="H678" s="22"/>
    </row>
    <row r="679" spans="1:8">
      <c r="A679" s="21"/>
      <c r="B679" s="22"/>
      <c r="C679" s="22"/>
      <c r="D679" s="22"/>
      <c r="E679" s="23" t="str">
        <f>IF($D679="","",IFERROR(VLOOKUP($D679,'ACAS Capital Tracker'!$A:$H,8,FALSE()),""))</f>
        <v/>
      </c>
      <c r="F679" s="24"/>
      <c r="G679" s="25" t="str">
        <f>IF($D679="","",IFERROR(VLOOKUP($D679,'ACAS Capital Tracker'!$A:$D,4,FALSE()),""))</f>
        <v/>
      </c>
      <c r="H679" s="22"/>
    </row>
    <row r="680" spans="1:8">
      <c r="A680" s="21"/>
      <c r="B680" s="22"/>
      <c r="C680" s="22"/>
      <c r="D680" s="22"/>
      <c r="E680" s="23" t="str">
        <f>IF($D680="","",IFERROR(VLOOKUP($D680,'ACAS Capital Tracker'!$A:$H,8,FALSE()),""))</f>
        <v/>
      </c>
      <c r="F680" s="24"/>
      <c r="G680" s="25" t="str">
        <f>IF($D680="","",IFERROR(VLOOKUP($D680,'ACAS Capital Tracker'!$A:$D,4,FALSE()),""))</f>
        <v/>
      </c>
      <c r="H680" s="22"/>
    </row>
    <row r="681" spans="1:8">
      <c r="A681" s="21"/>
      <c r="B681" s="22"/>
      <c r="C681" s="22"/>
      <c r="D681" s="22"/>
      <c r="E681" s="23" t="str">
        <f>IF($D681="","",IFERROR(VLOOKUP($D681,'ACAS Capital Tracker'!$A:$H,8,FALSE()),""))</f>
        <v/>
      </c>
      <c r="F681" s="24"/>
      <c r="G681" s="25" t="str">
        <f>IF($D681="","",IFERROR(VLOOKUP($D681,'ACAS Capital Tracker'!$A:$D,4,FALSE()),""))</f>
        <v/>
      </c>
      <c r="H681" s="22"/>
    </row>
    <row r="682" spans="1:8">
      <c r="A682" s="21"/>
      <c r="B682" s="22"/>
      <c r="C682" s="22"/>
      <c r="D682" s="22"/>
      <c r="E682" s="23" t="str">
        <f>IF($D682="","",IFERROR(VLOOKUP($D682,'ACAS Capital Tracker'!$A:$H,8,FALSE()),""))</f>
        <v/>
      </c>
      <c r="F682" s="24"/>
      <c r="G682" s="25" t="str">
        <f>IF($D682="","",IFERROR(VLOOKUP($D682,'ACAS Capital Tracker'!$A:$D,4,FALSE()),""))</f>
        <v/>
      </c>
      <c r="H682" s="22"/>
    </row>
    <row r="683" spans="1:8">
      <c r="A683" s="21"/>
      <c r="B683" s="22"/>
      <c r="C683" s="22"/>
      <c r="D683" s="22"/>
      <c r="E683" s="23" t="str">
        <f>IF($D683="","",IFERROR(VLOOKUP($D683,'ACAS Capital Tracker'!$A:$H,8,FALSE()),""))</f>
        <v/>
      </c>
      <c r="F683" s="24"/>
      <c r="G683" s="25" t="str">
        <f>IF($D683="","",IFERROR(VLOOKUP($D683,'ACAS Capital Tracker'!$A:$D,4,FALSE()),""))</f>
        <v/>
      </c>
      <c r="H683" s="22"/>
    </row>
    <row r="684" spans="1:8">
      <c r="A684" s="21"/>
      <c r="B684" s="22"/>
      <c r="C684" s="22"/>
      <c r="D684" s="22"/>
      <c r="E684" s="23" t="str">
        <f>IF($D684="","",IFERROR(VLOOKUP($D684,'ACAS Capital Tracker'!$A:$H,8,FALSE()),""))</f>
        <v/>
      </c>
      <c r="F684" s="24"/>
      <c r="G684" s="25" t="str">
        <f>IF($D684="","",IFERROR(VLOOKUP($D684,'ACAS Capital Tracker'!$A:$D,4,FALSE()),""))</f>
        <v/>
      </c>
      <c r="H684" s="22"/>
    </row>
    <row r="685" spans="1:8">
      <c r="A685" s="21"/>
      <c r="B685" s="22"/>
      <c r="C685" s="22"/>
      <c r="D685" s="22"/>
      <c r="E685" s="23" t="str">
        <f>IF($D685="","",IFERROR(VLOOKUP($D685,'ACAS Capital Tracker'!$A:$H,8,FALSE()),""))</f>
        <v/>
      </c>
      <c r="F685" s="24"/>
      <c r="G685" s="25" t="str">
        <f>IF($D685="","",IFERROR(VLOOKUP($D685,'ACAS Capital Tracker'!$A:$D,4,FALSE()),""))</f>
        <v/>
      </c>
      <c r="H685" s="22"/>
    </row>
    <row r="686" spans="1:8">
      <c r="A686" s="21"/>
      <c r="B686" s="22"/>
      <c r="C686" s="22"/>
      <c r="D686" s="22"/>
      <c r="E686" s="23" t="str">
        <f>IF($D686="","",IFERROR(VLOOKUP($D686,'ACAS Capital Tracker'!$A:$H,8,FALSE()),""))</f>
        <v/>
      </c>
      <c r="F686" s="24"/>
      <c r="G686" s="25" t="str">
        <f>IF($D686="","",IFERROR(VLOOKUP($D686,'ACAS Capital Tracker'!$A:$D,4,FALSE()),""))</f>
        <v/>
      </c>
      <c r="H686" s="22"/>
    </row>
    <row r="687" spans="1:8">
      <c r="A687" s="21"/>
      <c r="B687" s="22"/>
      <c r="C687" s="22"/>
      <c r="D687" s="22"/>
      <c r="E687" s="23" t="str">
        <f>IF($D687="","",IFERROR(VLOOKUP($D687,'ACAS Capital Tracker'!$A:$H,8,FALSE()),""))</f>
        <v/>
      </c>
      <c r="F687" s="24"/>
      <c r="G687" s="25" t="str">
        <f>IF($D687="","",IFERROR(VLOOKUP($D687,'ACAS Capital Tracker'!$A:$D,4,FALSE()),""))</f>
        <v/>
      </c>
      <c r="H687" s="22"/>
    </row>
    <row r="688" spans="1:8">
      <c r="A688" s="21"/>
      <c r="B688" s="22"/>
      <c r="C688" s="22"/>
      <c r="D688" s="22"/>
      <c r="E688" s="23" t="str">
        <f>IF($D688="","",IFERROR(VLOOKUP($D688,'ACAS Capital Tracker'!$A:$H,8,FALSE()),""))</f>
        <v/>
      </c>
      <c r="F688" s="24"/>
      <c r="G688" s="25" t="str">
        <f>IF($D688="","",IFERROR(VLOOKUP($D688,'ACAS Capital Tracker'!$A:$D,4,FALSE()),""))</f>
        <v/>
      </c>
      <c r="H688" s="22"/>
    </row>
    <row r="689" spans="1:8">
      <c r="A689" s="21"/>
      <c r="B689" s="22"/>
      <c r="C689" s="22"/>
      <c r="D689" s="22"/>
      <c r="E689" s="23" t="str">
        <f>IF($D689="","",IFERROR(VLOOKUP($D689,'ACAS Capital Tracker'!$A:$H,8,FALSE()),""))</f>
        <v/>
      </c>
      <c r="F689" s="24"/>
      <c r="G689" s="25" t="str">
        <f>IF($D689="","",IFERROR(VLOOKUP($D689,'ACAS Capital Tracker'!$A:$D,4,FALSE()),""))</f>
        <v/>
      </c>
      <c r="H689" s="22"/>
    </row>
    <row r="690" spans="1:8">
      <c r="A690" s="21"/>
      <c r="B690" s="22"/>
      <c r="C690" s="22"/>
      <c r="D690" s="22"/>
      <c r="E690" s="23" t="str">
        <f>IF($D690="","",IFERROR(VLOOKUP($D690,'ACAS Capital Tracker'!$A:$H,8,FALSE()),""))</f>
        <v/>
      </c>
      <c r="F690" s="24"/>
      <c r="G690" s="25" t="str">
        <f>IF($D690="","",IFERROR(VLOOKUP($D690,'ACAS Capital Tracker'!$A:$D,4,FALSE()),""))</f>
        <v/>
      </c>
      <c r="H690" s="22"/>
    </row>
    <row r="691" spans="1:8">
      <c r="A691" s="21"/>
      <c r="B691" s="22"/>
      <c r="C691" s="22"/>
      <c r="D691" s="22"/>
      <c r="E691" s="23" t="str">
        <f>IF($D691="","",IFERROR(VLOOKUP($D691,'ACAS Capital Tracker'!$A:$H,8,FALSE()),""))</f>
        <v/>
      </c>
      <c r="F691" s="24"/>
      <c r="G691" s="25" t="str">
        <f>IF($D691="","",IFERROR(VLOOKUP($D691,'ACAS Capital Tracker'!$A:$D,4,FALSE()),""))</f>
        <v/>
      </c>
      <c r="H691" s="22"/>
    </row>
    <row r="692" spans="1:8">
      <c r="A692" s="21"/>
      <c r="B692" s="22"/>
      <c r="C692" s="22"/>
      <c r="D692" s="22"/>
      <c r="E692" s="23" t="str">
        <f>IF($D692="","",IFERROR(VLOOKUP($D692,'ACAS Capital Tracker'!$A:$H,8,FALSE()),""))</f>
        <v/>
      </c>
      <c r="F692" s="24"/>
      <c r="G692" s="25" t="str">
        <f>IF($D692="","",IFERROR(VLOOKUP($D692,'ACAS Capital Tracker'!$A:$D,4,FALSE()),""))</f>
        <v/>
      </c>
      <c r="H692" s="22"/>
    </row>
    <row r="693" spans="1:8">
      <c r="A693" s="21"/>
      <c r="B693" s="22"/>
      <c r="C693" s="22"/>
      <c r="D693" s="22"/>
      <c r="E693" s="23" t="str">
        <f>IF($D693="","",IFERROR(VLOOKUP($D693,'ACAS Capital Tracker'!$A:$H,8,FALSE()),""))</f>
        <v/>
      </c>
      <c r="F693" s="24"/>
      <c r="G693" s="25" t="str">
        <f>IF($D693="","",IFERROR(VLOOKUP($D693,'ACAS Capital Tracker'!$A:$D,4,FALSE()),""))</f>
        <v/>
      </c>
      <c r="H693" s="22"/>
    </row>
    <row r="694" spans="1:8">
      <c r="A694" s="21"/>
      <c r="B694" s="22"/>
      <c r="C694" s="22"/>
      <c r="D694" s="22"/>
      <c r="E694" s="23" t="str">
        <f>IF($D694="","",IFERROR(VLOOKUP($D694,'ACAS Capital Tracker'!$A:$H,8,FALSE()),""))</f>
        <v/>
      </c>
      <c r="F694" s="24"/>
      <c r="G694" s="25" t="str">
        <f>IF($D694="","",IFERROR(VLOOKUP($D694,'ACAS Capital Tracker'!$A:$D,4,FALSE()),""))</f>
        <v/>
      </c>
      <c r="H694" s="22"/>
    </row>
    <row r="695" spans="1:8">
      <c r="A695" s="21"/>
      <c r="B695" s="22"/>
      <c r="C695" s="22"/>
      <c r="D695" s="22"/>
      <c r="E695" s="23" t="str">
        <f>IF($D695="","",IFERROR(VLOOKUP($D695,'ACAS Capital Tracker'!$A:$H,8,FALSE()),""))</f>
        <v/>
      </c>
      <c r="F695" s="24"/>
      <c r="G695" s="25" t="str">
        <f>IF($D695="","",IFERROR(VLOOKUP($D695,'ACAS Capital Tracker'!$A:$D,4,FALSE()),""))</f>
        <v/>
      </c>
      <c r="H695" s="22"/>
    </row>
    <row r="696" spans="1:8">
      <c r="A696" s="21"/>
      <c r="B696" s="22"/>
      <c r="C696" s="22"/>
      <c r="D696" s="22"/>
      <c r="E696" s="23" t="str">
        <f>IF($D696="","",IFERROR(VLOOKUP($D696,'ACAS Capital Tracker'!$A:$H,8,FALSE()),""))</f>
        <v/>
      </c>
      <c r="F696" s="24"/>
      <c r="G696" s="25" t="str">
        <f>IF($D696="","",IFERROR(VLOOKUP($D696,'ACAS Capital Tracker'!$A:$D,4,FALSE()),""))</f>
        <v/>
      </c>
      <c r="H696" s="22"/>
    </row>
    <row r="697" spans="1:8">
      <c r="A697" s="21"/>
      <c r="B697" s="22"/>
      <c r="C697" s="22"/>
      <c r="D697" s="22"/>
      <c r="E697" s="23" t="str">
        <f>IF($D697="","",IFERROR(VLOOKUP($D697,'ACAS Capital Tracker'!$A:$H,8,FALSE()),""))</f>
        <v/>
      </c>
      <c r="F697" s="24"/>
      <c r="G697" s="25" t="str">
        <f>IF($D697="","",IFERROR(VLOOKUP($D697,'ACAS Capital Tracker'!$A:$D,4,FALSE()),""))</f>
        <v/>
      </c>
      <c r="H697" s="22"/>
    </row>
    <row r="698" spans="1:8">
      <c r="A698" s="21"/>
      <c r="B698" s="22"/>
      <c r="C698" s="22"/>
      <c r="D698" s="22"/>
      <c r="E698" s="23" t="str">
        <f>IF($D698="","",IFERROR(VLOOKUP($D698,'ACAS Capital Tracker'!$A:$H,8,FALSE()),""))</f>
        <v/>
      </c>
      <c r="F698" s="24"/>
      <c r="G698" s="25" t="str">
        <f>IF($D698="","",IFERROR(VLOOKUP($D698,'ACAS Capital Tracker'!$A:$D,4,FALSE()),""))</f>
        <v/>
      </c>
      <c r="H698" s="22"/>
    </row>
    <row r="699" spans="1:8">
      <c r="A699" s="21"/>
      <c r="B699" s="22"/>
      <c r="C699" s="22"/>
      <c r="D699" s="22"/>
      <c r="E699" s="23" t="str">
        <f>IF($D699="","",IFERROR(VLOOKUP($D699,'ACAS Capital Tracker'!$A:$H,8,FALSE()),""))</f>
        <v/>
      </c>
      <c r="F699" s="24"/>
      <c r="G699" s="25" t="str">
        <f>IF($D699="","",IFERROR(VLOOKUP($D699,'ACAS Capital Tracker'!$A:$D,4,FALSE()),""))</f>
        <v/>
      </c>
      <c r="H699" s="22"/>
    </row>
    <row r="700" spans="1:8">
      <c r="A700" s="21"/>
      <c r="B700" s="22"/>
      <c r="C700" s="22"/>
      <c r="D700" s="22"/>
      <c r="E700" s="23" t="str">
        <f>IF($D700="","",IFERROR(VLOOKUP($D700,'ACAS Capital Tracker'!$A:$H,8,FALSE()),""))</f>
        <v/>
      </c>
      <c r="F700" s="24"/>
      <c r="G700" s="25" t="str">
        <f>IF($D700="","",IFERROR(VLOOKUP($D700,'ACAS Capital Tracker'!$A:$D,4,FALSE()),""))</f>
        <v/>
      </c>
      <c r="H700" s="22"/>
    </row>
    <row r="701" spans="1:8">
      <c r="A701" s="21"/>
      <c r="B701" s="22"/>
      <c r="C701" s="22"/>
      <c r="D701" s="22"/>
      <c r="E701" s="23" t="str">
        <f>IF($D701="","",IFERROR(VLOOKUP($D701,'ACAS Capital Tracker'!$A:$H,8,FALSE()),""))</f>
        <v/>
      </c>
      <c r="F701" s="24"/>
      <c r="G701" s="25" t="str">
        <f>IF($D701="","",IFERROR(VLOOKUP($D701,'ACAS Capital Tracker'!$A:$D,4,FALSE()),""))</f>
        <v/>
      </c>
      <c r="H701" s="22"/>
    </row>
    <row r="702" spans="1:8">
      <c r="A702" s="21"/>
      <c r="B702" s="22"/>
      <c r="C702" s="22"/>
      <c r="D702" s="22"/>
      <c r="E702" s="23" t="str">
        <f>IF($D702="","",IFERROR(VLOOKUP($D702,'ACAS Capital Tracker'!$A:$H,8,FALSE()),""))</f>
        <v/>
      </c>
      <c r="F702" s="24"/>
      <c r="G702" s="25" t="str">
        <f>IF($D702="","",IFERROR(VLOOKUP($D702,'ACAS Capital Tracker'!$A:$D,4,FALSE()),""))</f>
        <v/>
      </c>
      <c r="H702" s="22"/>
    </row>
    <row r="703" spans="1:8">
      <c r="A703" s="21"/>
      <c r="B703" s="22"/>
      <c r="C703" s="22"/>
      <c r="D703" s="22"/>
      <c r="E703" s="23" t="str">
        <f>IF($D703="","",IFERROR(VLOOKUP($D703,'ACAS Capital Tracker'!$A:$H,8,FALSE()),""))</f>
        <v/>
      </c>
      <c r="F703" s="24"/>
      <c r="G703" s="25" t="str">
        <f>IF($D703="","",IFERROR(VLOOKUP($D703,'ACAS Capital Tracker'!$A:$D,4,FALSE()),""))</f>
        <v/>
      </c>
      <c r="H703" s="22"/>
    </row>
    <row r="704" spans="1:8">
      <c r="A704" s="21"/>
      <c r="B704" s="22"/>
      <c r="C704" s="22"/>
      <c r="D704" s="22"/>
      <c r="E704" s="23" t="str">
        <f>IF($D704="","",IFERROR(VLOOKUP($D704,'ACAS Capital Tracker'!$A:$H,8,FALSE()),""))</f>
        <v/>
      </c>
      <c r="F704" s="24"/>
      <c r="G704" s="25" t="str">
        <f>IF($D704="","",IFERROR(VLOOKUP($D704,'ACAS Capital Tracker'!$A:$D,4,FALSE()),""))</f>
        <v/>
      </c>
      <c r="H704" s="22"/>
    </row>
    <row r="705" spans="1:8">
      <c r="A705" s="21"/>
      <c r="B705" s="22"/>
      <c r="C705" s="22"/>
      <c r="D705" s="22"/>
      <c r="E705" s="23" t="str">
        <f>IF($D705="","",IFERROR(VLOOKUP($D705,'ACAS Capital Tracker'!$A:$H,8,FALSE()),""))</f>
        <v/>
      </c>
      <c r="F705" s="24"/>
      <c r="G705" s="25" t="str">
        <f>IF($D705="","",IFERROR(VLOOKUP($D705,'ACAS Capital Tracker'!$A:$D,4,FALSE()),""))</f>
        <v/>
      </c>
      <c r="H705" s="22"/>
    </row>
    <row r="706" spans="1:8">
      <c r="A706" s="21"/>
      <c r="B706" s="22"/>
      <c r="C706" s="22"/>
      <c r="D706" s="22"/>
      <c r="E706" s="23" t="str">
        <f>IF($D706="","",IFERROR(VLOOKUP($D706,'ACAS Capital Tracker'!$A:$H,8,FALSE()),""))</f>
        <v/>
      </c>
      <c r="F706" s="24"/>
      <c r="G706" s="25" t="str">
        <f>IF($D706="","",IFERROR(VLOOKUP($D706,'ACAS Capital Tracker'!$A:$D,4,FALSE()),""))</f>
        <v/>
      </c>
      <c r="H706" s="22"/>
    </row>
    <row r="707" spans="1:8">
      <c r="A707" s="21"/>
      <c r="B707" s="22"/>
      <c r="C707" s="22"/>
      <c r="D707" s="22"/>
      <c r="E707" s="23" t="str">
        <f>IF($D707="","",IFERROR(VLOOKUP($D707,'ACAS Capital Tracker'!$A:$H,8,FALSE()),""))</f>
        <v/>
      </c>
      <c r="F707" s="24"/>
      <c r="G707" s="25" t="str">
        <f>IF($D707="","",IFERROR(VLOOKUP($D707,'ACAS Capital Tracker'!$A:$D,4,FALSE()),""))</f>
        <v/>
      </c>
      <c r="H707" s="22"/>
    </row>
    <row r="708" spans="1:8">
      <c r="A708" s="21"/>
      <c r="B708" s="22"/>
      <c r="C708" s="22"/>
      <c r="D708" s="22"/>
      <c r="E708" s="23" t="str">
        <f>IF($D708="","",IFERROR(VLOOKUP($D708,'ACAS Capital Tracker'!$A:$H,8,FALSE()),""))</f>
        <v/>
      </c>
      <c r="F708" s="24"/>
      <c r="G708" s="25" t="str">
        <f>IF($D708="","",IFERROR(VLOOKUP($D708,'ACAS Capital Tracker'!$A:$D,4,FALSE()),""))</f>
        <v/>
      </c>
      <c r="H708" s="22"/>
    </row>
    <row r="709" spans="1:8">
      <c r="A709" s="21"/>
      <c r="B709" s="22"/>
      <c r="C709" s="22"/>
      <c r="D709" s="22"/>
      <c r="E709" s="23" t="str">
        <f>IF($D709="","",IFERROR(VLOOKUP($D709,'ACAS Capital Tracker'!$A:$H,8,FALSE()),""))</f>
        <v/>
      </c>
      <c r="F709" s="24"/>
      <c r="G709" s="25" t="str">
        <f>IF($D709="","",IFERROR(VLOOKUP($D709,'ACAS Capital Tracker'!$A:$D,4,FALSE()),""))</f>
        <v/>
      </c>
      <c r="H709" s="22"/>
    </row>
    <row r="710" spans="1:8">
      <c r="A710" s="21"/>
      <c r="B710" s="22"/>
      <c r="C710" s="22"/>
      <c r="D710" s="22"/>
      <c r="E710" s="23" t="str">
        <f>IF($D710="","",IFERROR(VLOOKUP($D710,'ACAS Capital Tracker'!$A:$H,8,FALSE()),""))</f>
        <v/>
      </c>
      <c r="F710" s="24"/>
      <c r="G710" s="25" t="str">
        <f>IF($D710="","",IFERROR(VLOOKUP($D710,'ACAS Capital Tracker'!$A:$D,4,FALSE()),""))</f>
        <v/>
      </c>
      <c r="H710" s="22"/>
    </row>
    <row r="711" spans="1:8">
      <c r="A711" s="21"/>
      <c r="B711" s="22"/>
      <c r="C711" s="22"/>
      <c r="D711" s="22"/>
      <c r="E711" s="23" t="str">
        <f>IF($D711="","",IFERROR(VLOOKUP($D711,'ACAS Capital Tracker'!$A:$H,8,FALSE()),""))</f>
        <v/>
      </c>
      <c r="F711" s="24"/>
      <c r="G711" s="25" t="str">
        <f>IF($D711="","",IFERROR(VLOOKUP($D711,'ACAS Capital Tracker'!$A:$D,4,FALSE()),""))</f>
        <v/>
      </c>
      <c r="H711" s="22"/>
    </row>
    <row r="712" spans="1:8">
      <c r="A712" s="21"/>
      <c r="B712" s="22"/>
      <c r="C712" s="22"/>
      <c r="D712" s="22"/>
      <c r="E712" s="23" t="str">
        <f>IF($D712="","",IFERROR(VLOOKUP($D712,'ACAS Capital Tracker'!$A:$H,8,FALSE()),""))</f>
        <v/>
      </c>
      <c r="F712" s="24"/>
      <c r="G712" s="25" t="str">
        <f>IF($D712="","",IFERROR(VLOOKUP($D712,'ACAS Capital Tracker'!$A:$D,4,FALSE()),""))</f>
        <v/>
      </c>
      <c r="H712" s="22"/>
    </row>
    <row r="713" spans="1:8">
      <c r="A713" s="21"/>
      <c r="B713" s="22"/>
      <c r="C713" s="22"/>
      <c r="D713" s="22"/>
      <c r="E713" s="23" t="str">
        <f>IF($D713="","",IFERROR(VLOOKUP($D713,'ACAS Capital Tracker'!$A:$H,8,FALSE()),""))</f>
        <v/>
      </c>
      <c r="F713" s="24"/>
      <c r="G713" s="25" t="str">
        <f>IF($D713="","",IFERROR(VLOOKUP($D713,'ACAS Capital Tracker'!$A:$D,4,FALSE()),""))</f>
        <v/>
      </c>
      <c r="H713" s="22"/>
    </row>
    <row r="714" spans="1:8">
      <c r="A714" s="21"/>
      <c r="B714" s="22"/>
      <c r="C714" s="22"/>
      <c r="D714" s="22"/>
      <c r="E714" s="23" t="str">
        <f>IF($D714="","",IFERROR(VLOOKUP($D714,'ACAS Capital Tracker'!$A:$H,8,FALSE()),""))</f>
        <v/>
      </c>
      <c r="F714" s="24"/>
      <c r="G714" s="25" t="str">
        <f>IF($D714="","",IFERROR(VLOOKUP($D714,'ACAS Capital Tracker'!$A:$D,4,FALSE()),""))</f>
        <v/>
      </c>
      <c r="H714" s="22"/>
    </row>
    <row r="715" spans="1:8">
      <c r="A715" s="21"/>
      <c r="B715" s="22"/>
      <c r="C715" s="22"/>
      <c r="D715" s="22"/>
      <c r="E715" s="23" t="str">
        <f>IF($D715="","",IFERROR(VLOOKUP($D715,'ACAS Capital Tracker'!$A:$H,8,FALSE()),""))</f>
        <v/>
      </c>
      <c r="F715" s="24"/>
      <c r="G715" s="25" t="str">
        <f>IF($D715="","",IFERROR(VLOOKUP($D715,'ACAS Capital Tracker'!$A:$D,4,FALSE()),""))</f>
        <v/>
      </c>
      <c r="H715" s="22"/>
    </row>
    <row r="716" spans="1:8">
      <c r="A716" s="21"/>
      <c r="B716" s="22"/>
      <c r="C716" s="22"/>
      <c r="D716" s="22"/>
      <c r="E716" s="23" t="str">
        <f>IF($D716="","",IFERROR(VLOOKUP($D716,'ACAS Capital Tracker'!$A:$H,8,FALSE()),""))</f>
        <v/>
      </c>
      <c r="F716" s="24"/>
      <c r="G716" s="25" t="str">
        <f>IF($D716="","",IFERROR(VLOOKUP($D716,'ACAS Capital Tracker'!$A:$D,4,FALSE()),""))</f>
        <v/>
      </c>
      <c r="H716" s="22"/>
    </row>
    <row r="717" spans="1:8">
      <c r="A717" s="21"/>
      <c r="B717" s="22"/>
      <c r="C717" s="22"/>
      <c r="D717" s="22"/>
      <c r="E717" s="23" t="str">
        <f>IF($D717="","",IFERROR(VLOOKUP($D717,'ACAS Capital Tracker'!$A:$H,8,FALSE()),""))</f>
        <v/>
      </c>
      <c r="F717" s="24"/>
      <c r="G717" s="25" t="str">
        <f>IF($D717="","",IFERROR(VLOOKUP($D717,'ACAS Capital Tracker'!$A:$D,4,FALSE()),""))</f>
        <v/>
      </c>
      <c r="H717" s="22"/>
    </row>
    <row r="718" spans="1:8">
      <c r="A718" s="21"/>
      <c r="B718" s="22"/>
      <c r="C718" s="22"/>
      <c r="D718" s="22"/>
      <c r="E718" s="23" t="str">
        <f>IF($D718="","",IFERROR(VLOOKUP($D718,'ACAS Capital Tracker'!$A:$H,8,FALSE()),""))</f>
        <v/>
      </c>
      <c r="F718" s="24"/>
      <c r="G718" s="25" t="str">
        <f>IF($D718="","",IFERROR(VLOOKUP($D718,'ACAS Capital Tracker'!$A:$D,4,FALSE()),""))</f>
        <v/>
      </c>
      <c r="H718" s="22"/>
    </row>
    <row r="719" spans="1:8">
      <c r="A719" s="21"/>
      <c r="B719" s="22"/>
      <c r="C719" s="22"/>
      <c r="D719" s="22"/>
      <c r="E719" s="23" t="str">
        <f>IF($D719="","",IFERROR(VLOOKUP($D719,'ACAS Capital Tracker'!$A:$H,8,FALSE()),""))</f>
        <v/>
      </c>
      <c r="F719" s="24"/>
      <c r="G719" s="25" t="str">
        <f>IF($D719="","",IFERROR(VLOOKUP($D719,'ACAS Capital Tracker'!$A:$D,4,FALSE()),""))</f>
        <v/>
      </c>
      <c r="H719" s="22"/>
    </row>
    <row r="720" spans="1:8">
      <c r="A720" s="21"/>
      <c r="B720" s="22"/>
      <c r="C720" s="22"/>
      <c r="D720" s="22"/>
      <c r="E720" s="23" t="str">
        <f>IF($D720="","",IFERROR(VLOOKUP($D720,'ACAS Capital Tracker'!$A:$H,8,FALSE()),""))</f>
        <v/>
      </c>
      <c r="F720" s="24"/>
      <c r="G720" s="25" t="str">
        <f>IF($D720="","",IFERROR(VLOOKUP($D720,'ACAS Capital Tracker'!$A:$D,4,FALSE()),""))</f>
        <v/>
      </c>
      <c r="H720" s="22"/>
    </row>
    <row r="721" spans="1:8">
      <c r="A721" s="21"/>
      <c r="B721" s="22"/>
      <c r="C721" s="22"/>
      <c r="D721" s="22"/>
      <c r="E721" s="23" t="str">
        <f>IF($D721="","",IFERROR(VLOOKUP($D721,'ACAS Capital Tracker'!$A:$H,8,FALSE()),""))</f>
        <v/>
      </c>
      <c r="F721" s="24"/>
      <c r="G721" s="25" t="str">
        <f>IF($D721="","",IFERROR(VLOOKUP($D721,'ACAS Capital Tracker'!$A:$D,4,FALSE()),""))</f>
        <v/>
      </c>
      <c r="H721" s="22"/>
    </row>
    <row r="722" spans="1:8">
      <c r="A722" s="21"/>
      <c r="B722" s="22"/>
      <c r="C722" s="22"/>
      <c r="D722" s="22"/>
      <c r="E722" s="23" t="str">
        <f>IF($D722="","",IFERROR(VLOOKUP($D722,'ACAS Capital Tracker'!$A:$H,8,FALSE()),""))</f>
        <v/>
      </c>
      <c r="F722" s="24"/>
      <c r="G722" s="25" t="str">
        <f>IF($D722="","",IFERROR(VLOOKUP($D722,'ACAS Capital Tracker'!$A:$D,4,FALSE()),""))</f>
        <v/>
      </c>
      <c r="H722" s="22"/>
    </row>
    <row r="723" spans="1:8">
      <c r="A723" s="21"/>
      <c r="B723" s="22"/>
      <c r="C723" s="22"/>
      <c r="D723" s="22"/>
      <c r="E723" s="23" t="str">
        <f>IF($D723="","",IFERROR(VLOOKUP($D723,'ACAS Capital Tracker'!$A:$H,8,FALSE()),""))</f>
        <v/>
      </c>
      <c r="F723" s="24"/>
      <c r="G723" s="25" t="str">
        <f>IF($D723="","",IFERROR(VLOOKUP($D723,'ACAS Capital Tracker'!$A:$D,4,FALSE()),""))</f>
        <v/>
      </c>
      <c r="H723" s="22"/>
    </row>
    <row r="724" spans="1:8">
      <c r="A724" s="21"/>
      <c r="B724" s="22"/>
      <c r="C724" s="22"/>
      <c r="D724" s="22"/>
      <c r="E724" s="23" t="str">
        <f>IF($D724="","",IFERROR(VLOOKUP($D724,'ACAS Capital Tracker'!$A:$H,8,FALSE()),""))</f>
        <v/>
      </c>
      <c r="F724" s="24"/>
      <c r="G724" s="25" t="str">
        <f>IF($D724="","",IFERROR(VLOOKUP($D724,'ACAS Capital Tracker'!$A:$D,4,FALSE()),""))</f>
        <v/>
      </c>
      <c r="H724" s="22"/>
    </row>
    <row r="725" spans="1:8">
      <c r="A725" s="21"/>
      <c r="B725" s="22"/>
      <c r="C725" s="22"/>
      <c r="D725" s="22"/>
      <c r="E725" s="23" t="str">
        <f>IF($D725="","",IFERROR(VLOOKUP($D725,'ACAS Capital Tracker'!$A:$H,8,FALSE()),""))</f>
        <v/>
      </c>
      <c r="F725" s="24"/>
      <c r="G725" s="25" t="str">
        <f>IF($D725="","",IFERROR(VLOOKUP($D725,'ACAS Capital Tracker'!$A:$D,4,FALSE()),""))</f>
        <v/>
      </c>
      <c r="H725" s="22"/>
    </row>
    <row r="726" spans="1:8">
      <c r="A726" s="21"/>
      <c r="B726" s="22"/>
      <c r="C726" s="22"/>
      <c r="D726" s="22"/>
      <c r="E726" s="23" t="str">
        <f>IF($D726="","",IFERROR(VLOOKUP($D726,'ACAS Capital Tracker'!$A:$H,8,FALSE()),""))</f>
        <v/>
      </c>
      <c r="F726" s="24"/>
      <c r="G726" s="25" t="str">
        <f>IF($D726="","",IFERROR(VLOOKUP($D726,'ACAS Capital Tracker'!$A:$D,4,FALSE()),""))</f>
        <v/>
      </c>
      <c r="H726" s="22"/>
    </row>
    <row r="727" spans="1:8">
      <c r="A727" s="21"/>
      <c r="B727" s="22"/>
      <c r="C727" s="22"/>
      <c r="D727" s="22"/>
      <c r="E727" s="23" t="str">
        <f>IF($D727="","",IFERROR(VLOOKUP($D727,'ACAS Capital Tracker'!$A:$H,8,FALSE()),""))</f>
        <v/>
      </c>
      <c r="F727" s="24"/>
      <c r="G727" s="25" t="str">
        <f>IF($D727="","",IFERROR(VLOOKUP($D727,'ACAS Capital Tracker'!$A:$D,4,FALSE()),""))</f>
        <v/>
      </c>
      <c r="H727" s="22"/>
    </row>
    <row r="728" spans="1:8">
      <c r="A728" s="21"/>
      <c r="B728" s="22"/>
      <c r="C728" s="22"/>
      <c r="D728" s="22"/>
      <c r="E728" s="23" t="str">
        <f>IF($D728="","",IFERROR(VLOOKUP($D728,'ACAS Capital Tracker'!$A:$H,8,FALSE()),""))</f>
        <v/>
      </c>
      <c r="F728" s="24"/>
      <c r="G728" s="25" t="str">
        <f>IF($D728="","",IFERROR(VLOOKUP($D728,'ACAS Capital Tracker'!$A:$D,4,FALSE()),""))</f>
        <v/>
      </c>
      <c r="H728" s="22"/>
    </row>
    <row r="729" spans="1:8">
      <c r="A729" s="21"/>
      <c r="B729" s="22"/>
      <c r="C729" s="22"/>
      <c r="D729" s="22"/>
      <c r="E729" s="23" t="str">
        <f>IF($D729="","",IFERROR(VLOOKUP($D729,'ACAS Capital Tracker'!$A:$H,8,FALSE()),""))</f>
        <v/>
      </c>
      <c r="F729" s="24"/>
      <c r="G729" s="25" t="str">
        <f>IF($D729="","",IFERROR(VLOOKUP($D729,'ACAS Capital Tracker'!$A:$D,4,FALSE()),""))</f>
        <v/>
      </c>
      <c r="H729" s="22"/>
    </row>
    <row r="730" spans="1:8">
      <c r="A730" s="21"/>
      <c r="B730" s="22"/>
      <c r="C730" s="22"/>
      <c r="D730" s="22"/>
      <c r="E730" s="23" t="str">
        <f>IF($D730="","",IFERROR(VLOOKUP($D730,'ACAS Capital Tracker'!$A:$H,8,FALSE()),""))</f>
        <v/>
      </c>
      <c r="F730" s="24"/>
      <c r="G730" s="25" t="str">
        <f>IF($D730="","",IFERROR(VLOOKUP($D730,'ACAS Capital Tracker'!$A:$D,4,FALSE()),""))</f>
        <v/>
      </c>
      <c r="H730" s="22"/>
    </row>
    <row r="731" spans="1:8">
      <c r="A731" s="21"/>
      <c r="B731" s="22"/>
      <c r="C731" s="22"/>
      <c r="D731" s="22"/>
      <c r="E731" s="23" t="str">
        <f>IF($D731="","",IFERROR(VLOOKUP($D731,'ACAS Capital Tracker'!$A:$H,8,FALSE()),""))</f>
        <v/>
      </c>
      <c r="F731" s="24"/>
      <c r="G731" s="25" t="str">
        <f>IF($D731="","",IFERROR(VLOOKUP($D731,'ACAS Capital Tracker'!$A:$D,4,FALSE()),""))</f>
        <v/>
      </c>
      <c r="H731" s="22"/>
    </row>
    <row r="732" spans="1:8">
      <c r="A732" s="21"/>
      <c r="B732" s="22"/>
      <c r="C732" s="22"/>
      <c r="D732" s="22"/>
      <c r="E732" s="23" t="str">
        <f>IF($D732="","",IFERROR(VLOOKUP($D732,'ACAS Capital Tracker'!$A:$H,8,FALSE()),""))</f>
        <v/>
      </c>
      <c r="F732" s="24"/>
      <c r="G732" s="25" t="str">
        <f>IF($D732="","",IFERROR(VLOOKUP($D732,'ACAS Capital Tracker'!$A:$D,4,FALSE()),""))</f>
        <v/>
      </c>
      <c r="H732" s="22"/>
    </row>
    <row r="733" spans="1:8">
      <c r="A733" s="21"/>
      <c r="B733" s="22"/>
      <c r="C733" s="22"/>
      <c r="D733" s="22"/>
      <c r="E733" s="23" t="str">
        <f>IF($D733="","",IFERROR(VLOOKUP($D733,'ACAS Capital Tracker'!$A:$H,8,FALSE()),""))</f>
        <v/>
      </c>
      <c r="F733" s="24"/>
      <c r="G733" s="25" t="str">
        <f>IF($D733="","",IFERROR(VLOOKUP($D733,'ACAS Capital Tracker'!$A:$D,4,FALSE()),""))</f>
        <v/>
      </c>
      <c r="H733" s="22"/>
    </row>
    <row r="734" spans="1:8">
      <c r="A734" s="21"/>
      <c r="B734" s="22"/>
      <c r="C734" s="22"/>
      <c r="D734" s="22"/>
      <c r="E734" s="23" t="str">
        <f>IF($D734="","",IFERROR(VLOOKUP($D734,'ACAS Capital Tracker'!$A:$H,8,FALSE()),""))</f>
        <v/>
      </c>
      <c r="F734" s="24"/>
      <c r="G734" s="25" t="str">
        <f>IF($D734="","",IFERROR(VLOOKUP($D734,'ACAS Capital Tracker'!$A:$D,4,FALSE()),""))</f>
        <v/>
      </c>
      <c r="H734" s="22"/>
    </row>
    <row r="735" spans="1:8">
      <c r="A735" s="21"/>
      <c r="B735" s="22"/>
      <c r="C735" s="22"/>
      <c r="D735" s="22"/>
      <c r="E735" s="23" t="str">
        <f>IF($D735="","",IFERROR(VLOOKUP($D735,'ACAS Capital Tracker'!$A:$H,8,FALSE()),""))</f>
        <v/>
      </c>
      <c r="F735" s="24"/>
      <c r="G735" s="25" t="str">
        <f>IF($D735="","",IFERROR(VLOOKUP($D735,'ACAS Capital Tracker'!$A:$D,4,FALSE()),""))</f>
        <v/>
      </c>
      <c r="H735" s="22"/>
    </row>
    <row r="736" spans="1:8">
      <c r="A736" s="21"/>
      <c r="B736" s="22"/>
      <c r="C736" s="22"/>
      <c r="D736" s="22"/>
      <c r="E736" s="23" t="str">
        <f>IF($D736="","",IFERROR(VLOOKUP($D736,'ACAS Capital Tracker'!$A:$H,8,FALSE()),""))</f>
        <v/>
      </c>
      <c r="F736" s="24"/>
      <c r="G736" s="25" t="str">
        <f>IF($D736="","",IFERROR(VLOOKUP($D736,'ACAS Capital Tracker'!$A:$D,4,FALSE()),""))</f>
        <v/>
      </c>
      <c r="H736" s="22"/>
    </row>
    <row r="737" spans="1:8">
      <c r="A737" s="21"/>
      <c r="B737" s="22"/>
      <c r="C737" s="22"/>
      <c r="D737" s="22"/>
      <c r="E737" s="23" t="str">
        <f>IF($D737="","",IFERROR(VLOOKUP($D737,'ACAS Capital Tracker'!$A:$H,8,FALSE()),""))</f>
        <v/>
      </c>
      <c r="F737" s="24"/>
      <c r="G737" s="25" t="str">
        <f>IF($D737="","",IFERROR(VLOOKUP($D737,'ACAS Capital Tracker'!$A:$D,4,FALSE()),""))</f>
        <v/>
      </c>
      <c r="H737" s="22"/>
    </row>
    <row r="738" spans="1:8">
      <c r="A738" s="21"/>
      <c r="B738" s="22"/>
      <c r="C738" s="22"/>
      <c r="D738" s="22"/>
      <c r="E738" s="23" t="str">
        <f>IF($D738="","",IFERROR(VLOOKUP($D738,'ACAS Capital Tracker'!$A:$H,8,FALSE()),""))</f>
        <v/>
      </c>
      <c r="F738" s="24"/>
      <c r="G738" s="25" t="str">
        <f>IF($D738="","",IFERROR(VLOOKUP($D738,'ACAS Capital Tracker'!$A:$D,4,FALSE()),""))</f>
        <v/>
      </c>
      <c r="H738" s="22"/>
    </row>
    <row r="739" spans="1:8">
      <c r="A739" s="21"/>
      <c r="B739" s="22"/>
      <c r="C739" s="22"/>
      <c r="D739" s="22"/>
      <c r="E739" s="23" t="str">
        <f>IF($D739="","",IFERROR(VLOOKUP($D739,'ACAS Capital Tracker'!$A:$H,8,FALSE()),""))</f>
        <v/>
      </c>
      <c r="F739" s="24"/>
      <c r="G739" s="25" t="str">
        <f>IF($D739="","",IFERROR(VLOOKUP($D739,'ACAS Capital Tracker'!$A:$D,4,FALSE()),""))</f>
        <v/>
      </c>
      <c r="H739" s="22"/>
    </row>
    <row r="740" spans="1:8">
      <c r="A740" s="21"/>
      <c r="B740" s="22"/>
      <c r="C740" s="22"/>
      <c r="D740" s="22"/>
      <c r="E740" s="23" t="str">
        <f>IF($D740="","",IFERROR(VLOOKUP($D740,'ACAS Capital Tracker'!$A:$H,8,FALSE()),""))</f>
        <v/>
      </c>
      <c r="F740" s="24"/>
      <c r="G740" s="25" t="str">
        <f>IF($D740="","",IFERROR(VLOOKUP($D740,'ACAS Capital Tracker'!$A:$D,4,FALSE()),""))</f>
        <v/>
      </c>
      <c r="H740" s="22"/>
    </row>
    <row r="741" spans="1:8">
      <c r="A741" s="21"/>
      <c r="B741" s="22"/>
      <c r="C741" s="22"/>
      <c r="D741" s="22"/>
      <c r="E741" s="23" t="str">
        <f>IF($D741="","",IFERROR(VLOOKUP($D741,'ACAS Capital Tracker'!$A:$H,8,FALSE()),""))</f>
        <v/>
      </c>
      <c r="F741" s="24"/>
      <c r="G741" s="25" t="str">
        <f>IF($D741="","",IFERROR(VLOOKUP($D741,'ACAS Capital Tracker'!$A:$D,4,FALSE()),""))</f>
        <v/>
      </c>
      <c r="H741" s="22"/>
    </row>
    <row r="742" spans="1:8">
      <c r="A742" s="21"/>
      <c r="B742" s="22"/>
      <c r="C742" s="22"/>
      <c r="D742" s="22"/>
      <c r="E742" s="23" t="str">
        <f>IF($D742="","",IFERROR(VLOOKUP($D742,'ACAS Capital Tracker'!$A:$H,8,FALSE()),""))</f>
        <v/>
      </c>
      <c r="F742" s="24"/>
      <c r="G742" s="25" t="str">
        <f>IF($D742="","",IFERROR(VLOOKUP($D742,'ACAS Capital Tracker'!$A:$D,4,FALSE()),""))</f>
        <v/>
      </c>
      <c r="H742" s="22"/>
    </row>
    <row r="743" spans="1:8">
      <c r="A743" s="21"/>
      <c r="B743" s="22"/>
      <c r="C743" s="22"/>
      <c r="D743" s="22"/>
      <c r="E743" s="23" t="str">
        <f>IF($D743="","",IFERROR(VLOOKUP($D743,'ACAS Capital Tracker'!$A:$H,8,FALSE()),""))</f>
        <v/>
      </c>
      <c r="F743" s="24"/>
      <c r="G743" s="25" t="str">
        <f>IF($D743="","",IFERROR(VLOOKUP($D743,'ACAS Capital Tracker'!$A:$D,4,FALSE()),""))</f>
        <v/>
      </c>
      <c r="H743" s="22"/>
    </row>
    <row r="744" spans="1:8">
      <c r="A744" s="21"/>
      <c r="B744" s="22"/>
      <c r="C744" s="22"/>
      <c r="D744" s="22"/>
      <c r="E744" s="23" t="str">
        <f>IF($D744="","",IFERROR(VLOOKUP($D744,'ACAS Capital Tracker'!$A:$H,8,FALSE()),""))</f>
        <v/>
      </c>
      <c r="F744" s="24"/>
      <c r="G744" s="25" t="str">
        <f>IF($D744="","",IFERROR(VLOOKUP($D744,'ACAS Capital Tracker'!$A:$D,4,FALSE()),""))</f>
        <v/>
      </c>
      <c r="H744" s="22"/>
    </row>
    <row r="745" spans="1:8">
      <c r="A745" s="21"/>
      <c r="B745" s="22"/>
      <c r="C745" s="22"/>
      <c r="D745" s="22"/>
      <c r="E745" s="23" t="str">
        <f>IF($D745="","",IFERROR(VLOOKUP($D745,'ACAS Capital Tracker'!$A:$H,8,FALSE()),""))</f>
        <v/>
      </c>
      <c r="F745" s="24"/>
      <c r="G745" s="25" t="str">
        <f>IF($D745="","",IFERROR(VLOOKUP($D745,'ACAS Capital Tracker'!$A:$D,4,FALSE()),""))</f>
        <v/>
      </c>
      <c r="H745" s="22"/>
    </row>
    <row r="746" spans="1:8">
      <c r="A746" s="21"/>
      <c r="B746" s="22"/>
      <c r="C746" s="22"/>
      <c r="D746" s="22"/>
      <c r="E746" s="23" t="str">
        <f>IF($D746="","",IFERROR(VLOOKUP($D746,'ACAS Capital Tracker'!$A:$H,8,FALSE()),""))</f>
        <v/>
      </c>
      <c r="F746" s="24"/>
      <c r="G746" s="25" t="str">
        <f>IF($D746="","",IFERROR(VLOOKUP($D746,'ACAS Capital Tracker'!$A:$D,4,FALSE()),""))</f>
        <v/>
      </c>
      <c r="H746" s="22"/>
    </row>
    <row r="747" spans="1:8">
      <c r="A747" s="21"/>
      <c r="B747" s="22"/>
      <c r="C747" s="22"/>
      <c r="D747" s="22"/>
      <c r="E747" s="23" t="str">
        <f>IF($D747="","",IFERROR(VLOOKUP($D747,'ACAS Capital Tracker'!$A:$H,8,FALSE()),""))</f>
        <v/>
      </c>
      <c r="F747" s="24"/>
      <c r="G747" s="25" t="str">
        <f>IF($D747="","",IFERROR(VLOOKUP($D747,'ACAS Capital Tracker'!$A:$D,4,FALSE()),""))</f>
        <v/>
      </c>
      <c r="H747" s="22"/>
    </row>
    <row r="748" spans="1:8">
      <c r="A748" s="21"/>
      <c r="B748" s="22"/>
      <c r="C748" s="22"/>
      <c r="D748" s="22"/>
      <c r="E748" s="23" t="str">
        <f>IF($D748="","",IFERROR(VLOOKUP($D748,'ACAS Capital Tracker'!$A:$H,8,FALSE()),""))</f>
        <v/>
      </c>
      <c r="F748" s="24"/>
      <c r="G748" s="25" t="str">
        <f>IF($D748="","",IFERROR(VLOOKUP($D748,'ACAS Capital Tracker'!$A:$D,4,FALSE()),""))</f>
        <v/>
      </c>
      <c r="H748" s="22"/>
    </row>
    <row r="749" spans="1:8">
      <c r="A749" s="21"/>
      <c r="B749" s="22"/>
      <c r="C749" s="22"/>
      <c r="D749" s="22"/>
      <c r="E749" s="23" t="str">
        <f>IF($D749="","",IFERROR(VLOOKUP($D749,'ACAS Capital Tracker'!$A:$H,8,FALSE()),""))</f>
        <v/>
      </c>
      <c r="F749" s="24"/>
      <c r="G749" s="25" t="str">
        <f>IF($D749="","",IFERROR(VLOOKUP($D749,'ACAS Capital Tracker'!$A:$D,4,FALSE()),""))</f>
        <v/>
      </c>
      <c r="H749" s="22"/>
    </row>
    <row r="750" spans="1:8">
      <c r="A750" s="21"/>
      <c r="B750" s="22"/>
      <c r="C750" s="22"/>
      <c r="D750" s="22"/>
      <c r="E750" s="23" t="str">
        <f>IF($D750="","",IFERROR(VLOOKUP($D750,'ACAS Capital Tracker'!$A:$H,8,FALSE()),""))</f>
        <v/>
      </c>
      <c r="F750" s="24"/>
      <c r="G750" s="25" t="str">
        <f>IF($D750="","",IFERROR(VLOOKUP($D750,'ACAS Capital Tracker'!$A:$D,4,FALSE()),""))</f>
        <v/>
      </c>
      <c r="H750" s="22"/>
    </row>
    <row r="751" spans="1:8">
      <c r="A751" s="21"/>
      <c r="B751" s="22"/>
      <c r="C751" s="22"/>
      <c r="D751" s="22"/>
      <c r="E751" s="23" t="str">
        <f>IF($D751="","",IFERROR(VLOOKUP($D751,'ACAS Capital Tracker'!$A:$H,8,FALSE()),""))</f>
        <v/>
      </c>
      <c r="F751" s="24"/>
      <c r="G751" s="25" t="str">
        <f>IF($D751="","",IFERROR(VLOOKUP($D751,'ACAS Capital Tracker'!$A:$D,4,FALSE()),""))</f>
        <v/>
      </c>
      <c r="H751" s="22"/>
    </row>
    <row r="752" spans="1:8">
      <c r="A752" s="21"/>
      <c r="B752" s="22"/>
      <c r="C752" s="22"/>
      <c r="D752" s="22"/>
      <c r="E752" s="23" t="str">
        <f>IF($D752="","",IFERROR(VLOOKUP($D752,'ACAS Capital Tracker'!$A:$H,8,FALSE()),""))</f>
        <v/>
      </c>
      <c r="F752" s="24"/>
      <c r="G752" s="25" t="str">
        <f>IF($D752="","",IFERROR(VLOOKUP($D752,'ACAS Capital Tracker'!$A:$D,4,FALSE()),""))</f>
        <v/>
      </c>
      <c r="H752" s="22"/>
    </row>
    <row r="753" spans="1:8">
      <c r="A753" s="21"/>
      <c r="B753" s="22"/>
      <c r="C753" s="22"/>
      <c r="D753" s="22"/>
      <c r="E753" s="23" t="str">
        <f>IF($D753="","",IFERROR(VLOOKUP($D753,'ACAS Capital Tracker'!$A:$H,8,FALSE()),""))</f>
        <v/>
      </c>
      <c r="F753" s="24"/>
      <c r="G753" s="25" t="str">
        <f>IF($D753="","",IFERROR(VLOOKUP($D753,'ACAS Capital Tracker'!$A:$D,4,FALSE()),""))</f>
        <v/>
      </c>
      <c r="H753" s="22"/>
    </row>
    <row r="754" spans="1:8">
      <c r="A754" s="21"/>
      <c r="B754" s="22"/>
      <c r="C754" s="22"/>
      <c r="D754" s="22"/>
      <c r="E754" s="23" t="str">
        <f>IF($D754="","",IFERROR(VLOOKUP($D754,'ACAS Capital Tracker'!$A:$H,8,FALSE()),""))</f>
        <v/>
      </c>
      <c r="F754" s="24"/>
      <c r="G754" s="25" t="str">
        <f>IF($D754="","",IFERROR(VLOOKUP($D754,'ACAS Capital Tracker'!$A:$D,4,FALSE()),""))</f>
        <v/>
      </c>
      <c r="H754" s="22"/>
    </row>
    <row r="755" spans="1:8">
      <c r="A755" s="21"/>
      <c r="B755" s="22"/>
      <c r="C755" s="22"/>
      <c r="D755" s="22"/>
      <c r="E755" s="23" t="str">
        <f>IF($D755="","",IFERROR(VLOOKUP($D755,'ACAS Capital Tracker'!$A:$H,8,FALSE()),""))</f>
        <v/>
      </c>
      <c r="F755" s="24"/>
      <c r="G755" s="25" t="str">
        <f>IF($D755="","",IFERROR(VLOOKUP($D755,'ACAS Capital Tracker'!$A:$D,4,FALSE()),""))</f>
        <v/>
      </c>
      <c r="H755" s="22"/>
    </row>
    <row r="756" spans="1:8">
      <c r="A756" s="21"/>
      <c r="B756" s="22"/>
      <c r="C756" s="22"/>
      <c r="D756" s="22"/>
      <c r="E756" s="23" t="str">
        <f>IF($D756="","",IFERROR(VLOOKUP($D756,'ACAS Capital Tracker'!$A:$H,8,FALSE()),""))</f>
        <v/>
      </c>
      <c r="F756" s="24"/>
      <c r="G756" s="25" t="str">
        <f>IF($D756="","",IFERROR(VLOOKUP($D756,'ACAS Capital Tracker'!$A:$D,4,FALSE()),""))</f>
        <v/>
      </c>
      <c r="H756" s="22"/>
    </row>
    <row r="757" spans="1:8">
      <c r="A757" s="21"/>
      <c r="B757" s="22"/>
      <c r="C757" s="22"/>
      <c r="D757" s="22"/>
      <c r="E757" s="23" t="str">
        <f>IF($D757="","",IFERROR(VLOOKUP($D757,'ACAS Capital Tracker'!$A:$H,8,FALSE()),""))</f>
        <v/>
      </c>
      <c r="F757" s="24"/>
      <c r="G757" s="25" t="str">
        <f>IF($D757="","",IFERROR(VLOOKUP($D757,'ACAS Capital Tracker'!$A:$D,4,FALSE()),""))</f>
        <v/>
      </c>
      <c r="H757" s="22"/>
    </row>
    <row r="758" spans="1:8">
      <c r="A758" s="21"/>
      <c r="B758" s="22"/>
      <c r="C758" s="22"/>
      <c r="D758" s="22"/>
      <c r="E758" s="23" t="str">
        <f>IF($D758="","",IFERROR(VLOOKUP($D758,'ACAS Capital Tracker'!$A:$H,8,FALSE()),""))</f>
        <v/>
      </c>
      <c r="F758" s="24"/>
      <c r="G758" s="25" t="str">
        <f>IF($D758="","",IFERROR(VLOOKUP($D758,'ACAS Capital Tracker'!$A:$D,4,FALSE()),""))</f>
        <v/>
      </c>
      <c r="H758" s="22"/>
    </row>
    <row r="759" spans="1:8">
      <c r="A759" s="21"/>
      <c r="B759" s="22"/>
      <c r="C759" s="22"/>
      <c r="D759" s="22"/>
      <c r="E759" s="23" t="str">
        <f>IF($D759="","",IFERROR(VLOOKUP($D759,'ACAS Capital Tracker'!$A:$H,8,FALSE()),""))</f>
        <v/>
      </c>
      <c r="F759" s="24"/>
      <c r="G759" s="25" t="str">
        <f>IF($D759="","",IFERROR(VLOOKUP($D759,'ACAS Capital Tracker'!$A:$D,4,FALSE()),""))</f>
        <v/>
      </c>
      <c r="H759" s="22"/>
    </row>
    <row r="760" spans="1:8">
      <c r="A760" s="21"/>
      <c r="B760" s="22"/>
      <c r="C760" s="22"/>
      <c r="D760" s="22"/>
      <c r="E760" s="23" t="str">
        <f>IF($D760="","",IFERROR(VLOOKUP($D760,'ACAS Capital Tracker'!$A:$H,8,FALSE()),""))</f>
        <v/>
      </c>
      <c r="F760" s="24"/>
      <c r="G760" s="25" t="str">
        <f>IF($D760="","",IFERROR(VLOOKUP($D760,'ACAS Capital Tracker'!$A:$D,4,FALSE()),""))</f>
        <v/>
      </c>
      <c r="H760" s="22"/>
    </row>
    <row r="761" spans="1:8">
      <c r="A761" s="21"/>
      <c r="B761" s="22"/>
      <c r="C761" s="22"/>
      <c r="D761" s="22"/>
      <c r="E761" s="23" t="str">
        <f>IF($D761="","",IFERROR(VLOOKUP($D761,'ACAS Capital Tracker'!$A:$H,8,FALSE()),""))</f>
        <v/>
      </c>
      <c r="F761" s="24"/>
      <c r="G761" s="25" t="str">
        <f>IF($D761="","",IFERROR(VLOOKUP($D761,'ACAS Capital Tracker'!$A:$D,4,FALSE()),""))</f>
        <v/>
      </c>
      <c r="H761" s="22"/>
    </row>
    <row r="762" spans="1:8">
      <c r="A762" s="21"/>
      <c r="B762" s="22"/>
      <c r="C762" s="22"/>
      <c r="D762" s="22"/>
      <c r="E762" s="23" t="str">
        <f>IF($D762="","",IFERROR(VLOOKUP($D762,'ACAS Capital Tracker'!$A:$H,8,FALSE()),""))</f>
        <v/>
      </c>
      <c r="F762" s="24"/>
      <c r="G762" s="25" t="str">
        <f>IF($D762="","",IFERROR(VLOOKUP($D762,'ACAS Capital Tracker'!$A:$D,4,FALSE()),""))</f>
        <v/>
      </c>
      <c r="H762" s="22"/>
    </row>
    <row r="763" spans="1:8">
      <c r="A763" s="21"/>
      <c r="B763" s="22"/>
      <c r="C763" s="22"/>
      <c r="D763" s="22"/>
      <c r="E763" s="23" t="str">
        <f>IF($D763="","",IFERROR(VLOOKUP($D763,'ACAS Capital Tracker'!$A:$H,8,FALSE()),""))</f>
        <v/>
      </c>
      <c r="F763" s="24"/>
      <c r="G763" s="25" t="str">
        <f>IF($D763="","",IFERROR(VLOOKUP($D763,'ACAS Capital Tracker'!$A:$D,4,FALSE()),""))</f>
        <v/>
      </c>
      <c r="H763" s="22"/>
    </row>
    <row r="764" spans="1:8">
      <c r="A764" s="21"/>
      <c r="B764" s="22"/>
      <c r="C764" s="22"/>
      <c r="D764" s="22"/>
      <c r="E764" s="23" t="str">
        <f>IF($D764="","",IFERROR(VLOOKUP($D764,'ACAS Capital Tracker'!$A:$H,8,FALSE()),""))</f>
        <v/>
      </c>
      <c r="F764" s="24"/>
      <c r="G764" s="25" t="str">
        <f>IF($D764="","",IFERROR(VLOOKUP($D764,'ACAS Capital Tracker'!$A:$D,4,FALSE()),""))</f>
        <v/>
      </c>
      <c r="H764" s="22"/>
    </row>
    <row r="765" spans="1:8">
      <c r="A765" s="21"/>
      <c r="B765" s="22"/>
      <c r="C765" s="22"/>
      <c r="D765" s="22"/>
      <c r="E765" s="23" t="str">
        <f>IF($D765="","",IFERROR(VLOOKUP($D765,'ACAS Capital Tracker'!$A:$H,8,FALSE()),""))</f>
        <v/>
      </c>
      <c r="F765" s="24"/>
      <c r="G765" s="25" t="str">
        <f>IF($D765="","",IFERROR(VLOOKUP($D765,'ACAS Capital Tracker'!$A:$D,4,FALSE()),""))</f>
        <v/>
      </c>
      <c r="H765" s="22"/>
    </row>
    <row r="766" spans="1:8">
      <c r="A766" s="21"/>
      <c r="B766" s="22"/>
      <c r="C766" s="22"/>
      <c r="D766" s="22"/>
      <c r="E766" s="23" t="str">
        <f>IF($D766="","",IFERROR(VLOOKUP($D766,'ACAS Capital Tracker'!$A:$H,8,FALSE()),""))</f>
        <v/>
      </c>
      <c r="F766" s="24"/>
      <c r="G766" s="25" t="str">
        <f>IF($D766="","",IFERROR(VLOOKUP($D766,'ACAS Capital Tracker'!$A:$D,4,FALSE()),""))</f>
        <v/>
      </c>
      <c r="H766" s="22"/>
    </row>
    <row r="767" spans="1:8">
      <c r="A767" s="21"/>
      <c r="B767" s="22"/>
      <c r="C767" s="22"/>
      <c r="D767" s="22"/>
      <c r="E767" s="23" t="str">
        <f>IF($D767="","",IFERROR(VLOOKUP($D767,'ACAS Capital Tracker'!$A:$H,8,FALSE()),""))</f>
        <v/>
      </c>
      <c r="F767" s="24"/>
      <c r="G767" s="25" t="str">
        <f>IF($D767="","",IFERROR(VLOOKUP($D767,'ACAS Capital Tracker'!$A:$D,4,FALSE()),""))</f>
        <v/>
      </c>
      <c r="H767" s="22"/>
    </row>
    <row r="768" spans="1:8">
      <c r="A768" s="21"/>
      <c r="B768" s="22"/>
      <c r="C768" s="22"/>
      <c r="D768" s="22"/>
      <c r="E768" s="23" t="str">
        <f>IF($D768="","",IFERROR(VLOOKUP($D768,'ACAS Capital Tracker'!$A:$H,8,FALSE()),""))</f>
        <v/>
      </c>
      <c r="F768" s="24"/>
      <c r="G768" s="25" t="str">
        <f>IF($D768="","",IFERROR(VLOOKUP($D768,'ACAS Capital Tracker'!$A:$D,4,FALSE()),""))</f>
        <v/>
      </c>
      <c r="H768" s="22"/>
    </row>
    <row r="769" spans="1:8">
      <c r="A769" s="21"/>
      <c r="B769" s="22"/>
      <c r="C769" s="22"/>
      <c r="D769" s="22"/>
      <c r="E769" s="23" t="str">
        <f>IF($D769="","",IFERROR(VLOOKUP($D769,'ACAS Capital Tracker'!$A:$H,8,FALSE()),""))</f>
        <v/>
      </c>
      <c r="F769" s="24"/>
      <c r="G769" s="25" t="str">
        <f>IF($D769="","",IFERROR(VLOOKUP($D769,'ACAS Capital Tracker'!$A:$D,4,FALSE()),""))</f>
        <v/>
      </c>
      <c r="H769" s="22"/>
    </row>
    <row r="770" spans="1:8">
      <c r="A770" s="21"/>
      <c r="B770" s="22"/>
      <c r="C770" s="22"/>
      <c r="D770" s="22"/>
      <c r="E770" s="23" t="str">
        <f>IF($D770="","",IFERROR(VLOOKUP($D770,'ACAS Capital Tracker'!$A:$H,8,FALSE()),""))</f>
        <v/>
      </c>
      <c r="F770" s="24"/>
      <c r="G770" s="25" t="str">
        <f>IF($D770="","",IFERROR(VLOOKUP($D770,'ACAS Capital Tracker'!$A:$D,4,FALSE()),""))</f>
        <v/>
      </c>
      <c r="H770" s="22"/>
    </row>
    <row r="771" spans="1:8">
      <c r="A771" s="21"/>
      <c r="B771" s="22"/>
      <c r="C771" s="22"/>
      <c r="D771" s="22"/>
      <c r="E771" s="23" t="str">
        <f>IF($D771="","",IFERROR(VLOOKUP($D771,'ACAS Capital Tracker'!$A:$H,8,FALSE()),""))</f>
        <v/>
      </c>
      <c r="F771" s="24"/>
      <c r="G771" s="25" t="str">
        <f>IF($D771="","",IFERROR(VLOOKUP($D771,'ACAS Capital Tracker'!$A:$D,4,FALSE()),""))</f>
        <v/>
      </c>
      <c r="H771" s="22"/>
    </row>
    <row r="772" spans="1:8">
      <c r="A772" s="21"/>
      <c r="B772" s="22"/>
      <c r="C772" s="22"/>
      <c r="D772" s="22"/>
      <c r="E772" s="23" t="str">
        <f>IF($D772="","",IFERROR(VLOOKUP($D772,'ACAS Capital Tracker'!$A:$H,8,FALSE()),""))</f>
        <v/>
      </c>
      <c r="F772" s="24"/>
      <c r="G772" s="25" t="str">
        <f>IF($D772="","",IFERROR(VLOOKUP($D772,'ACAS Capital Tracker'!$A:$D,4,FALSE()),""))</f>
        <v/>
      </c>
      <c r="H772" s="22"/>
    </row>
    <row r="773" spans="1:8">
      <c r="A773" s="21"/>
      <c r="B773" s="22"/>
      <c r="C773" s="22"/>
      <c r="D773" s="22"/>
      <c r="E773" s="23" t="str">
        <f>IF($D773="","",IFERROR(VLOOKUP($D773,'ACAS Capital Tracker'!$A:$H,8,FALSE()),""))</f>
        <v/>
      </c>
      <c r="F773" s="24"/>
      <c r="G773" s="25" t="str">
        <f>IF($D773="","",IFERROR(VLOOKUP($D773,'ACAS Capital Tracker'!$A:$D,4,FALSE()),""))</f>
        <v/>
      </c>
      <c r="H773" s="22"/>
    </row>
    <row r="774" spans="1:8">
      <c r="A774" s="21"/>
      <c r="B774" s="22"/>
      <c r="C774" s="22"/>
      <c r="D774" s="22"/>
      <c r="E774" s="23" t="str">
        <f>IF($D774="","",IFERROR(VLOOKUP($D774,'ACAS Capital Tracker'!$A:$H,8,FALSE()),""))</f>
        <v/>
      </c>
      <c r="F774" s="24"/>
      <c r="G774" s="25" t="str">
        <f>IF($D774="","",IFERROR(VLOOKUP($D774,'ACAS Capital Tracker'!$A:$D,4,FALSE()),""))</f>
        <v/>
      </c>
      <c r="H774" s="22"/>
    </row>
    <row r="775" spans="1:8">
      <c r="A775" s="21"/>
      <c r="B775" s="22"/>
      <c r="C775" s="22"/>
      <c r="D775" s="22"/>
      <c r="E775" s="23" t="str">
        <f>IF($D775="","",IFERROR(VLOOKUP($D775,'ACAS Capital Tracker'!$A:$H,8,FALSE()),""))</f>
        <v/>
      </c>
      <c r="F775" s="24"/>
      <c r="G775" s="25" t="str">
        <f>IF($D775="","",IFERROR(VLOOKUP($D775,'ACAS Capital Tracker'!$A:$D,4,FALSE()),""))</f>
        <v/>
      </c>
      <c r="H775" s="22"/>
    </row>
    <row r="776" spans="1:8">
      <c r="A776" s="21"/>
      <c r="B776" s="22"/>
      <c r="C776" s="22"/>
      <c r="D776" s="22"/>
      <c r="E776" s="23" t="str">
        <f>IF($D776="","",IFERROR(VLOOKUP($D776,'ACAS Capital Tracker'!$A:$H,8,FALSE()),""))</f>
        <v/>
      </c>
      <c r="F776" s="24"/>
      <c r="G776" s="25" t="str">
        <f>IF($D776="","",IFERROR(VLOOKUP($D776,'ACAS Capital Tracker'!$A:$D,4,FALSE()),""))</f>
        <v/>
      </c>
      <c r="H776" s="22"/>
    </row>
    <row r="777" spans="1:8">
      <c r="A777" s="21"/>
      <c r="B777" s="22"/>
      <c r="C777" s="22"/>
      <c r="D777" s="22"/>
      <c r="E777" s="23" t="str">
        <f>IF($D777="","",IFERROR(VLOOKUP($D777,'ACAS Capital Tracker'!$A:$H,8,FALSE()),""))</f>
        <v/>
      </c>
      <c r="F777" s="24"/>
      <c r="G777" s="25" t="str">
        <f>IF($D777="","",IFERROR(VLOOKUP($D777,'ACAS Capital Tracker'!$A:$D,4,FALSE()),""))</f>
        <v/>
      </c>
      <c r="H777" s="22"/>
    </row>
    <row r="778" spans="1:8">
      <c r="A778" s="21"/>
      <c r="B778" s="22"/>
      <c r="C778" s="22"/>
      <c r="D778" s="22"/>
      <c r="E778" s="23" t="str">
        <f>IF($D778="","",IFERROR(VLOOKUP($D778,'ACAS Capital Tracker'!$A:$H,8,FALSE()),""))</f>
        <v/>
      </c>
      <c r="F778" s="24"/>
      <c r="G778" s="25" t="str">
        <f>IF($D778="","",IFERROR(VLOOKUP($D778,'ACAS Capital Tracker'!$A:$D,4,FALSE()),""))</f>
        <v/>
      </c>
      <c r="H778" s="22"/>
    </row>
    <row r="779" spans="1:8">
      <c r="A779" s="21"/>
      <c r="B779" s="22"/>
      <c r="C779" s="22"/>
      <c r="D779" s="22"/>
      <c r="E779" s="23" t="str">
        <f>IF($D779="","",IFERROR(VLOOKUP($D779,'ACAS Capital Tracker'!$A:$H,8,FALSE()),""))</f>
        <v/>
      </c>
      <c r="F779" s="24"/>
      <c r="G779" s="25" t="str">
        <f>IF($D779="","",IFERROR(VLOOKUP($D779,'ACAS Capital Tracker'!$A:$D,4,FALSE()),""))</f>
        <v/>
      </c>
      <c r="H779" s="22"/>
    </row>
    <row r="780" spans="1:8">
      <c r="A780" s="21"/>
      <c r="B780" s="22"/>
      <c r="C780" s="22"/>
      <c r="D780" s="22"/>
      <c r="E780" s="23" t="str">
        <f>IF($D780="","",IFERROR(VLOOKUP($D780,'ACAS Capital Tracker'!$A:$H,8,FALSE()),""))</f>
        <v/>
      </c>
      <c r="F780" s="24"/>
      <c r="G780" s="25" t="str">
        <f>IF($D780="","",IFERROR(VLOOKUP($D780,'ACAS Capital Tracker'!$A:$D,4,FALSE()),""))</f>
        <v/>
      </c>
      <c r="H780" s="22"/>
    </row>
    <row r="781" spans="1:8">
      <c r="A781" s="21"/>
      <c r="B781" s="22"/>
      <c r="C781" s="22"/>
      <c r="D781" s="22"/>
      <c r="E781" s="23" t="str">
        <f>IF($D781="","",IFERROR(VLOOKUP($D781,'ACAS Capital Tracker'!$A:$H,8,FALSE()),""))</f>
        <v/>
      </c>
      <c r="F781" s="24"/>
      <c r="G781" s="25" t="str">
        <f>IF($D781="","",IFERROR(VLOOKUP($D781,'ACAS Capital Tracker'!$A:$D,4,FALSE()),""))</f>
        <v/>
      </c>
      <c r="H781" s="22"/>
    </row>
    <row r="782" spans="1:8">
      <c r="A782" s="21"/>
      <c r="B782" s="22"/>
      <c r="C782" s="22"/>
      <c r="D782" s="22"/>
      <c r="E782" s="23" t="str">
        <f>IF($D782="","",IFERROR(VLOOKUP($D782,'ACAS Capital Tracker'!$A:$H,8,FALSE()),""))</f>
        <v/>
      </c>
      <c r="F782" s="24"/>
      <c r="G782" s="25" t="str">
        <f>IF($D782="","",IFERROR(VLOOKUP($D782,'ACAS Capital Tracker'!$A:$D,4,FALSE()),""))</f>
        <v/>
      </c>
      <c r="H782" s="22"/>
    </row>
    <row r="783" spans="1:8">
      <c r="A783" s="21"/>
      <c r="B783" s="22"/>
      <c r="C783" s="22"/>
      <c r="D783" s="22"/>
      <c r="E783" s="23" t="str">
        <f>IF($D783="","",IFERROR(VLOOKUP($D783,'ACAS Capital Tracker'!$A:$H,8,FALSE()),""))</f>
        <v/>
      </c>
      <c r="F783" s="24"/>
      <c r="G783" s="25" t="str">
        <f>IF($D783="","",IFERROR(VLOOKUP($D783,'ACAS Capital Tracker'!$A:$D,4,FALSE()),""))</f>
        <v/>
      </c>
      <c r="H783" s="22"/>
    </row>
    <row r="784" spans="1:8">
      <c r="A784" s="21"/>
      <c r="B784" s="22"/>
      <c r="C784" s="22"/>
      <c r="D784" s="22"/>
      <c r="E784" s="23" t="str">
        <f>IF($D784="","",IFERROR(VLOOKUP($D784,'ACAS Capital Tracker'!$A:$H,8,FALSE()),""))</f>
        <v/>
      </c>
      <c r="F784" s="24"/>
      <c r="G784" s="25" t="str">
        <f>IF($D784="","",IFERROR(VLOOKUP($D784,'ACAS Capital Tracker'!$A:$D,4,FALSE()),""))</f>
        <v/>
      </c>
      <c r="H784" s="22"/>
    </row>
    <row r="785" spans="1:8">
      <c r="A785" s="21"/>
      <c r="B785" s="22"/>
      <c r="C785" s="22"/>
      <c r="D785" s="22"/>
      <c r="E785" s="23" t="str">
        <f>IF($D785="","",IFERROR(VLOOKUP($D785,'ACAS Capital Tracker'!$A:$H,8,FALSE()),""))</f>
        <v/>
      </c>
      <c r="F785" s="24"/>
      <c r="G785" s="25" t="str">
        <f>IF($D785="","",IFERROR(VLOOKUP($D785,'ACAS Capital Tracker'!$A:$D,4,FALSE()),""))</f>
        <v/>
      </c>
      <c r="H785" s="22"/>
    </row>
    <row r="786" spans="1:8">
      <c r="A786" s="21"/>
      <c r="B786" s="22"/>
      <c r="C786" s="22"/>
      <c r="D786" s="22"/>
      <c r="E786" s="23" t="str">
        <f>IF($D786="","",IFERROR(VLOOKUP($D786,'ACAS Capital Tracker'!$A:$H,8,FALSE()),""))</f>
        <v/>
      </c>
      <c r="F786" s="24"/>
      <c r="G786" s="25" t="str">
        <f>IF($D786="","",IFERROR(VLOOKUP($D786,'ACAS Capital Tracker'!$A:$D,4,FALSE()),""))</f>
        <v/>
      </c>
      <c r="H786" s="22"/>
    </row>
    <row r="787" spans="1:8">
      <c r="A787" s="21"/>
      <c r="B787" s="22"/>
      <c r="C787" s="22"/>
      <c r="D787" s="22"/>
      <c r="E787" s="23" t="str">
        <f>IF($D787="","",IFERROR(VLOOKUP($D787,'ACAS Capital Tracker'!$A:$H,8,FALSE()),""))</f>
        <v/>
      </c>
      <c r="F787" s="24"/>
      <c r="G787" s="25" t="str">
        <f>IF($D787="","",IFERROR(VLOOKUP($D787,'ACAS Capital Tracker'!$A:$D,4,FALSE()),""))</f>
        <v/>
      </c>
      <c r="H787" s="22"/>
    </row>
    <row r="788" spans="1:8">
      <c r="A788" s="21"/>
      <c r="B788" s="22"/>
      <c r="C788" s="22"/>
      <c r="D788" s="22"/>
      <c r="E788" s="23" t="str">
        <f>IF($D788="","",IFERROR(VLOOKUP($D788,'ACAS Capital Tracker'!$A:$H,8,FALSE()),""))</f>
        <v/>
      </c>
      <c r="F788" s="24"/>
      <c r="G788" s="25" t="str">
        <f>IF($D788="","",IFERROR(VLOOKUP($D788,'ACAS Capital Tracker'!$A:$D,4,FALSE()),""))</f>
        <v/>
      </c>
      <c r="H788" s="22"/>
    </row>
    <row r="789" spans="1:8">
      <c r="A789" s="21"/>
      <c r="B789" s="22"/>
      <c r="C789" s="22"/>
      <c r="D789" s="22"/>
      <c r="E789" s="23" t="str">
        <f>IF($D789="","",IFERROR(VLOOKUP($D789,'ACAS Capital Tracker'!$A:$H,8,FALSE()),""))</f>
        <v/>
      </c>
      <c r="F789" s="24"/>
      <c r="G789" s="25" t="str">
        <f>IF($D789="","",IFERROR(VLOOKUP($D789,'ACAS Capital Tracker'!$A:$D,4,FALSE()),""))</f>
        <v/>
      </c>
      <c r="H789" s="22"/>
    </row>
    <row r="790" spans="1:8">
      <c r="A790" s="21"/>
      <c r="B790" s="22"/>
      <c r="C790" s="22"/>
      <c r="D790" s="22"/>
      <c r="E790" s="23" t="str">
        <f>IF($D790="","",IFERROR(VLOOKUP($D790,'ACAS Capital Tracker'!$A:$H,8,FALSE()),""))</f>
        <v/>
      </c>
      <c r="F790" s="24"/>
      <c r="G790" s="25" t="str">
        <f>IF($D790="","",IFERROR(VLOOKUP($D790,'ACAS Capital Tracker'!$A:$D,4,FALSE()),""))</f>
        <v/>
      </c>
      <c r="H790" s="22"/>
    </row>
    <row r="791" spans="1:8">
      <c r="A791" s="21"/>
      <c r="B791" s="22"/>
      <c r="C791" s="22"/>
      <c r="D791" s="22"/>
      <c r="E791" s="23" t="str">
        <f>IF($D791="","",IFERROR(VLOOKUP($D791,'ACAS Capital Tracker'!$A:$H,8,FALSE()),""))</f>
        <v/>
      </c>
      <c r="F791" s="24"/>
      <c r="G791" s="25" t="str">
        <f>IF($D791="","",IFERROR(VLOOKUP($D791,'ACAS Capital Tracker'!$A:$D,4,FALSE()),""))</f>
        <v/>
      </c>
      <c r="H791" s="22"/>
    </row>
    <row r="792" spans="1:8">
      <c r="A792" s="21"/>
      <c r="B792" s="22"/>
      <c r="C792" s="22"/>
      <c r="D792" s="22"/>
      <c r="E792" s="23" t="str">
        <f>IF($D792="","",IFERROR(VLOOKUP($D792,'ACAS Capital Tracker'!$A:$H,8,FALSE()),""))</f>
        <v/>
      </c>
      <c r="F792" s="24"/>
      <c r="G792" s="25" t="str">
        <f>IF($D792="","",IFERROR(VLOOKUP($D792,'ACAS Capital Tracker'!$A:$D,4,FALSE()),""))</f>
        <v/>
      </c>
      <c r="H792" s="22"/>
    </row>
    <row r="793" spans="1:8">
      <c r="A793" s="21"/>
      <c r="B793" s="22"/>
      <c r="C793" s="22"/>
      <c r="D793" s="22"/>
      <c r="E793" s="23" t="str">
        <f>IF($D793="","",IFERROR(VLOOKUP($D793,'ACAS Capital Tracker'!$A:$H,8,FALSE()),""))</f>
        <v/>
      </c>
      <c r="F793" s="24"/>
      <c r="G793" s="25" t="str">
        <f>IF($D793="","",IFERROR(VLOOKUP($D793,'ACAS Capital Tracker'!$A:$D,4,FALSE()),""))</f>
        <v/>
      </c>
      <c r="H793" s="22"/>
    </row>
    <row r="794" spans="1:8">
      <c r="A794" s="21"/>
      <c r="B794" s="22"/>
      <c r="C794" s="22"/>
      <c r="D794" s="22"/>
      <c r="E794" s="23" t="str">
        <f>IF($D794="","",IFERROR(VLOOKUP($D794,'ACAS Capital Tracker'!$A:$H,8,FALSE()),""))</f>
        <v/>
      </c>
      <c r="F794" s="24"/>
      <c r="G794" s="25" t="str">
        <f>IF($D794="","",IFERROR(VLOOKUP($D794,'ACAS Capital Tracker'!$A:$D,4,FALSE()),""))</f>
        <v/>
      </c>
      <c r="H794" s="22"/>
    </row>
    <row r="795" spans="1:8">
      <c r="A795" s="21"/>
      <c r="B795" s="22"/>
      <c r="C795" s="22"/>
      <c r="D795" s="22"/>
      <c r="E795" s="23" t="str">
        <f>IF($D795="","",IFERROR(VLOOKUP($D795,'ACAS Capital Tracker'!$A:$H,8,FALSE()),""))</f>
        <v/>
      </c>
      <c r="F795" s="24"/>
      <c r="G795" s="25" t="str">
        <f>IF($D795="","",IFERROR(VLOOKUP($D795,'ACAS Capital Tracker'!$A:$D,4,FALSE()),""))</f>
        <v/>
      </c>
      <c r="H795" s="22"/>
    </row>
    <row r="796" spans="1:8">
      <c r="A796" s="21"/>
      <c r="B796" s="22"/>
      <c r="C796" s="22"/>
      <c r="D796" s="22"/>
      <c r="E796" s="23" t="str">
        <f>IF($D796="","",IFERROR(VLOOKUP($D796,'ACAS Capital Tracker'!$A:$H,8,FALSE()),""))</f>
        <v/>
      </c>
      <c r="F796" s="24"/>
      <c r="G796" s="25" t="str">
        <f>IF($D796="","",IFERROR(VLOOKUP($D796,'ACAS Capital Tracker'!$A:$D,4,FALSE()),""))</f>
        <v/>
      </c>
      <c r="H796" s="22"/>
    </row>
    <row r="797" spans="1:8">
      <c r="A797" s="21"/>
      <c r="B797" s="22"/>
      <c r="C797" s="22"/>
      <c r="D797" s="22"/>
      <c r="E797" s="23" t="str">
        <f>IF($D797="","",IFERROR(VLOOKUP($D797,'ACAS Capital Tracker'!$A:$H,8,FALSE()),""))</f>
        <v/>
      </c>
      <c r="F797" s="24"/>
      <c r="G797" s="25" t="str">
        <f>IF($D797="","",IFERROR(VLOOKUP($D797,'ACAS Capital Tracker'!$A:$D,4,FALSE()),""))</f>
        <v/>
      </c>
      <c r="H797" s="22"/>
    </row>
    <row r="798" spans="1:8">
      <c r="A798" s="21"/>
      <c r="B798" s="22"/>
      <c r="C798" s="22"/>
      <c r="D798" s="22"/>
      <c r="E798" s="23" t="str">
        <f>IF($D798="","",IFERROR(VLOOKUP($D798,'ACAS Capital Tracker'!$A:$H,8,FALSE()),""))</f>
        <v/>
      </c>
      <c r="F798" s="24"/>
      <c r="G798" s="25" t="str">
        <f>IF($D798="","",IFERROR(VLOOKUP($D798,'ACAS Capital Tracker'!$A:$D,4,FALSE()),""))</f>
        <v/>
      </c>
      <c r="H798" s="22"/>
    </row>
    <row r="799" spans="1:8">
      <c r="A799" s="21"/>
      <c r="B799" s="22"/>
      <c r="C799" s="22"/>
      <c r="D799" s="22"/>
      <c r="E799" s="23" t="str">
        <f>IF($D799="","",IFERROR(VLOOKUP($D799,'ACAS Capital Tracker'!$A:$H,8,FALSE()),""))</f>
        <v/>
      </c>
      <c r="F799" s="24"/>
      <c r="G799" s="25" t="str">
        <f>IF($D799="","",IFERROR(VLOOKUP($D799,'ACAS Capital Tracker'!$A:$D,4,FALSE()),""))</f>
        <v/>
      </c>
      <c r="H799" s="22"/>
    </row>
    <row r="800" spans="1:8">
      <c r="A800" s="21"/>
      <c r="B800" s="22"/>
      <c r="C800" s="22"/>
      <c r="D800" s="22"/>
      <c r="E800" s="23" t="str">
        <f>IF($D800="","",IFERROR(VLOOKUP($D800,'ACAS Capital Tracker'!$A:$H,8,FALSE()),""))</f>
        <v/>
      </c>
      <c r="F800" s="24"/>
      <c r="G800" s="25" t="str">
        <f>IF($D800="","",IFERROR(VLOOKUP($D800,'ACAS Capital Tracker'!$A:$D,4,FALSE()),""))</f>
        <v/>
      </c>
      <c r="H800" s="22"/>
    </row>
    <row r="801" spans="1:8">
      <c r="A801" s="21"/>
      <c r="B801" s="22"/>
      <c r="C801" s="22"/>
      <c r="D801" s="22"/>
      <c r="E801" s="23" t="str">
        <f>IF($D801="","",IFERROR(VLOOKUP($D801,'ACAS Capital Tracker'!$A:$H,8,FALSE()),""))</f>
        <v/>
      </c>
      <c r="F801" s="24"/>
      <c r="G801" s="25" t="str">
        <f>IF($D801="","",IFERROR(VLOOKUP($D801,'ACAS Capital Tracker'!$A:$D,4,FALSE()),""))</f>
        <v/>
      </c>
      <c r="H801" s="22"/>
    </row>
    <row r="802" spans="1:8">
      <c r="A802" s="21"/>
      <c r="B802" s="22"/>
      <c r="C802" s="22"/>
      <c r="D802" s="22"/>
      <c r="E802" s="23" t="str">
        <f>IF($D802="","",IFERROR(VLOOKUP($D802,'ACAS Capital Tracker'!$A:$H,8,FALSE()),""))</f>
        <v/>
      </c>
      <c r="F802" s="24"/>
      <c r="G802" s="25" t="str">
        <f>IF($D802="","",IFERROR(VLOOKUP($D802,'ACAS Capital Tracker'!$A:$D,4,FALSE()),""))</f>
        <v/>
      </c>
      <c r="H802" s="22"/>
    </row>
    <row r="803" spans="1:8">
      <c r="A803" s="21"/>
      <c r="B803" s="22"/>
      <c r="C803" s="22"/>
      <c r="D803" s="22"/>
      <c r="E803" s="23" t="str">
        <f>IF($D803="","",IFERROR(VLOOKUP($D803,'ACAS Capital Tracker'!$A:$H,8,FALSE()),""))</f>
        <v/>
      </c>
      <c r="F803" s="24"/>
      <c r="G803" s="25" t="str">
        <f>IF($D803="","",IFERROR(VLOOKUP($D803,'ACAS Capital Tracker'!$A:$D,4,FALSE()),""))</f>
        <v/>
      </c>
      <c r="H803" s="22"/>
    </row>
    <row r="804" spans="1:8">
      <c r="A804" s="21"/>
      <c r="B804" s="22"/>
      <c r="C804" s="22"/>
      <c r="D804" s="22"/>
      <c r="E804" s="23" t="str">
        <f>IF($D804="","",IFERROR(VLOOKUP($D804,'ACAS Capital Tracker'!$A:$H,8,FALSE()),""))</f>
        <v/>
      </c>
      <c r="F804" s="24"/>
      <c r="G804" s="25" t="str">
        <f>IF($D804="","",IFERROR(VLOOKUP($D804,'ACAS Capital Tracker'!$A:$D,4,FALSE()),""))</f>
        <v/>
      </c>
      <c r="H804" s="22"/>
    </row>
    <row r="805" spans="1:8">
      <c r="A805" s="21"/>
      <c r="B805" s="22"/>
      <c r="C805" s="22"/>
      <c r="D805" s="22"/>
      <c r="E805" s="23" t="str">
        <f>IF($D805="","",IFERROR(VLOOKUP($D805,'ACAS Capital Tracker'!$A:$H,8,FALSE()),""))</f>
        <v/>
      </c>
      <c r="F805" s="24"/>
      <c r="G805" s="25" t="str">
        <f>IF($D805="","",IFERROR(VLOOKUP($D805,'ACAS Capital Tracker'!$A:$D,4,FALSE()),""))</f>
        <v/>
      </c>
      <c r="H805" s="22"/>
    </row>
    <row r="806" spans="1:8">
      <c r="A806" s="21"/>
      <c r="B806" s="22"/>
      <c r="C806" s="22"/>
      <c r="D806" s="22"/>
      <c r="E806" s="23" t="str">
        <f>IF($D806="","",IFERROR(VLOOKUP($D806,'ACAS Capital Tracker'!$A:$H,8,FALSE()),""))</f>
        <v/>
      </c>
      <c r="F806" s="24"/>
      <c r="G806" s="25" t="str">
        <f>IF($D806="","",IFERROR(VLOOKUP($D806,'ACAS Capital Tracker'!$A:$D,4,FALSE()),""))</f>
        <v/>
      </c>
      <c r="H806" s="22"/>
    </row>
    <row r="807" spans="1:8">
      <c r="A807" s="21"/>
      <c r="B807" s="22"/>
      <c r="C807" s="22"/>
      <c r="D807" s="22"/>
      <c r="E807" s="23" t="str">
        <f>IF($D807="","",IFERROR(VLOOKUP($D807,'ACAS Capital Tracker'!$A:$H,8,FALSE()),""))</f>
        <v/>
      </c>
      <c r="F807" s="24"/>
      <c r="G807" s="25" t="str">
        <f>IF($D807="","",IFERROR(VLOOKUP($D807,'ACAS Capital Tracker'!$A:$D,4,FALSE()),""))</f>
        <v/>
      </c>
      <c r="H807" s="22"/>
    </row>
    <row r="808" spans="1:8">
      <c r="A808" s="21"/>
      <c r="B808" s="22"/>
      <c r="C808" s="22"/>
      <c r="D808" s="22"/>
      <c r="E808" s="23" t="str">
        <f>IF($D808="","",IFERROR(VLOOKUP($D808,'ACAS Capital Tracker'!$A:$H,8,FALSE()),""))</f>
        <v/>
      </c>
      <c r="F808" s="24"/>
      <c r="G808" s="25" t="str">
        <f>IF($D808="","",IFERROR(VLOOKUP($D808,'ACAS Capital Tracker'!$A:$D,4,FALSE()),""))</f>
        <v/>
      </c>
      <c r="H808" s="22"/>
    </row>
    <row r="809" spans="1:8">
      <c r="A809" s="21"/>
      <c r="B809" s="22"/>
      <c r="C809" s="22"/>
      <c r="D809" s="22"/>
      <c r="E809" s="23" t="str">
        <f>IF($D809="","",IFERROR(VLOOKUP($D809,'ACAS Capital Tracker'!$A:$H,8,FALSE()),""))</f>
        <v/>
      </c>
      <c r="F809" s="24"/>
      <c r="G809" s="25" t="str">
        <f>IF($D809="","",IFERROR(VLOOKUP($D809,'ACAS Capital Tracker'!$A:$D,4,FALSE()),""))</f>
        <v/>
      </c>
      <c r="H809" s="22"/>
    </row>
    <row r="810" spans="1:8">
      <c r="A810" s="21"/>
      <c r="B810" s="22"/>
      <c r="C810" s="22"/>
      <c r="D810" s="22"/>
      <c r="E810" s="23" t="str">
        <f>IF($D810="","",IFERROR(VLOOKUP($D810,'ACAS Capital Tracker'!$A:$H,8,FALSE()),""))</f>
        <v/>
      </c>
      <c r="F810" s="24"/>
      <c r="G810" s="25" t="str">
        <f>IF($D810="","",IFERROR(VLOOKUP($D810,'ACAS Capital Tracker'!$A:$D,4,FALSE()),""))</f>
        <v/>
      </c>
      <c r="H810" s="22"/>
    </row>
    <row r="811" spans="1:8">
      <c r="A811" s="21"/>
      <c r="B811" s="22"/>
      <c r="C811" s="22"/>
      <c r="D811" s="22"/>
      <c r="E811" s="23" t="str">
        <f>IF($D811="","",IFERROR(VLOOKUP($D811,'ACAS Capital Tracker'!$A:$H,8,FALSE()),""))</f>
        <v/>
      </c>
      <c r="F811" s="24"/>
      <c r="G811" s="25" t="str">
        <f>IF($D811="","",IFERROR(VLOOKUP($D811,'ACAS Capital Tracker'!$A:$D,4,FALSE()),""))</f>
        <v/>
      </c>
      <c r="H811" s="22"/>
    </row>
    <row r="812" spans="1:8">
      <c r="A812" s="21"/>
      <c r="B812" s="22"/>
      <c r="C812" s="22"/>
      <c r="D812" s="22"/>
      <c r="E812" s="23" t="str">
        <f>IF($D812="","",IFERROR(VLOOKUP($D812,'ACAS Capital Tracker'!$A:$H,8,FALSE()),""))</f>
        <v/>
      </c>
      <c r="F812" s="24"/>
      <c r="G812" s="25" t="str">
        <f>IF($D812="","",IFERROR(VLOOKUP($D812,'ACAS Capital Tracker'!$A:$D,4,FALSE()),""))</f>
        <v/>
      </c>
      <c r="H812" s="22"/>
    </row>
    <row r="813" spans="1:8">
      <c r="A813" s="21"/>
      <c r="B813" s="22"/>
      <c r="C813" s="22"/>
      <c r="D813" s="22"/>
      <c r="E813" s="23" t="str">
        <f>IF($D813="","",IFERROR(VLOOKUP($D813,'ACAS Capital Tracker'!$A:$H,8,FALSE()),""))</f>
        <v/>
      </c>
      <c r="F813" s="24"/>
      <c r="G813" s="25" t="str">
        <f>IF($D813="","",IFERROR(VLOOKUP($D813,'ACAS Capital Tracker'!$A:$D,4,FALSE()),""))</f>
        <v/>
      </c>
      <c r="H813" s="22"/>
    </row>
    <row r="814" spans="1:8">
      <c r="A814" s="21"/>
      <c r="B814" s="22"/>
      <c r="C814" s="22"/>
      <c r="D814" s="22"/>
      <c r="E814" s="23" t="str">
        <f>IF($D814="","",IFERROR(VLOOKUP($D814,'ACAS Capital Tracker'!$A:$H,8,FALSE()),""))</f>
        <v/>
      </c>
      <c r="F814" s="24"/>
      <c r="G814" s="25" t="str">
        <f>IF($D814="","",IFERROR(VLOOKUP($D814,'ACAS Capital Tracker'!$A:$D,4,FALSE()),""))</f>
        <v/>
      </c>
      <c r="H814" s="22"/>
    </row>
    <row r="815" spans="1:8">
      <c r="A815" s="21"/>
      <c r="B815" s="22"/>
      <c r="C815" s="22"/>
      <c r="D815" s="22"/>
      <c r="E815" s="23" t="str">
        <f>IF($D815="","",IFERROR(VLOOKUP($D815,'ACAS Capital Tracker'!$A:$H,8,FALSE()),""))</f>
        <v/>
      </c>
      <c r="F815" s="24"/>
      <c r="G815" s="25" t="str">
        <f>IF($D815="","",IFERROR(VLOOKUP($D815,'ACAS Capital Tracker'!$A:$D,4,FALSE()),""))</f>
        <v/>
      </c>
      <c r="H815" s="22"/>
    </row>
    <row r="816" spans="1:8">
      <c r="A816" s="21"/>
      <c r="B816" s="22"/>
      <c r="C816" s="22"/>
      <c r="D816" s="22"/>
      <c r="E816" s="23" t="str">
        <f>IF($D816="","",IFERROR(VLOOKUP($D816,'ACAS Capital Tracker'!$A:$H,8,FALSE()),""))</f>
        <v/>
      </c>
      <c r="F816" s="24"/>
      <c r="G816" s="25" t="str">
        <f>IF($D816="","",IFERROR(VLOOKUP($D816,'ACAS Capital Tracker'!$A:$D,4,FALSE()),""))</f>
        <v/>
      </c>
      <c r="H816" s="22"/>
    </row>
    <row r="817" spans="1:8">
      <c r="A817" s="21"/>
      <c r="B817" s="22"/>
      <c r="C817" s="22"/>
      <c r="D817" s="22"/>
      <c r="E817" s="23" t="str">
        <f>IF($D817="","",IFERROR(VLOOKUP($D817,'ACAS Capital Tracker'!$A:$H,8,FALSE()),""))</f>
        <v/>
      </c>
      <c r="F817" s="24"/>
      <c r="G817" s="25" t="str">
        <f>IF($D817="","",IFERROR(VLOOKUP($D817,'ACAS Capital Tracker'!$A:$D,4,FALSE()),""))</f>
        <v/>
      </c>
      <c r="H817" s="22"/>
    </row>
    <row r="818" spans="1:8">
      <c r="A818" s="21"/>
      <c r="B818" s="22"/>
      <c r="C818" s="22"/>
      <c r="D818" s="22"/>
      <c r="E818" s="23" t="str">
        <f>IF($D818="","",IFERROR(VLOOKUP($D818,'ACAS Capital Tracker'!$A:$H,8,FALSE()),""))</f>
        <v/>
      </c>
      <c r="F818" s="24"/>
      <c r="G818" s="25" t="str">
        <f>IF($D818="","",IFERROR(VLOOKUP($D818,'ACAS Capital Tracker'!$A:$D,4,FALSE()),""))</f>
        <v/>
      </c>
      <c r="H818" s="22"/>
    </row>
    <row r="819" spans="1:8">
      <c r="A819" s="21"/>
      <c r="B819" s="22"/>
      <c r="C819" s="22"/>
      <c r="D819" s="22"/>
      <c r="E819" s="23" t="str">
        <f>IF($D819="","",IFERROR(VLOOKUP($D819,'ACAS Capital Tracker'!$A:$H,8,FALSE()),""))</f>
        <v/>
      </c>
      <c r="F819" s="24"/>
      <c r="G819" s="25" t="str">
        <f>IF($D819="","",IFERROR(VLOOKUP($D819,'ACAS Capital Tracker'!$A:$D,4,FALSE()),""))</f>
        <v/>
      </c>
      <c r="H819" s="22"/>
    </row>
    <row r="820" spans="1:8">
      <c r="A820" s="21"/>
      <c r="B820" s="22"/>
      <c r="C820" s="22"/>
      <c r="D820" s="22"/>
      <c r="E820" s="23" t="str">
        <f>IF($D820="","",IFERROR(VLOOKUP($D820,'ACAS Capital Tracker'!$A:$H,8,FALSE()),""))</f>
        <v/>
      </c>
      <c r="F820" s="24"/>
      <c r="G820" s="25" t="str">
        <f>IF($D820="","",IFERROR(VLOOKUP($D820,'ACAS Capital Tracker'!$A:$D,4,FALSE()),""))</f>
        <v/>
      </c>
      <c r="H820" s="22"/>
    </row>
    <row r="821" spans="1:8">
      <c r="A821" s="21"/>
      <c r="B821" s="22"/>
      <c r="C821" s="22"/>
      <c r="D821" s="22"/>
      <c r="E821" s="23" t="str">
        <f>IF($D821="","",IFERROR(VLOOKUP($D821,'ACAS Capital Tracker'!$A:$H,8,FALSE()),""))</f>
        <v/>
      </c>
      <c r="F821" s="24"/>
      <c r="G821" s="25" t="str">
        <f>IF($D821="","",IFERROR(VLOOKUP($D821,'ACAS Capital Tracker'!$A:$D,4,FALSE()),""))</f>
        <v/>
      </c>
      <c r="H821" s="22"/>
    </row>
    <row r="822" spans="1:8">
      <c r="A822" s="21"/>
      <c r="B822" s="22"/>
      <c r="C822" s="22"/>
      <c r="D822" s="22"/>
      <c r="E822" s="23" t="str">
        <f>IF($D822="","",IFERROR(VLOOKUP($D822,'ACAS Capital Tracker'!$A:$H,8,FALSE()),""))</f>
        <v/>
      </c>
      <c r="F822" s="24"/>
      <c r="G822" s="25" t="str">
        <f>IF($D822="","",IFERROR(VLOOKUP($D822,'ACAS Capital Tracker'!$A:$D,4,FALSE()),""))</f>
        <v/>
      </c>
      <c r="H822" s="22"/>
    </row>
    <row r="823" spans="1:8">
      <c r="A823" s="21"/>
      <c r="B823" s="22"/>
      <c r="C823" s="22"/>
      <c r="D823" s="22"/>
      <c r="E823" s="23" t="str">
        <f>IF($D823="","",IFERROR(VLOOKUP($D823,'ACAS Capital Tracker'!$A:$H,8,FALSE()),""))</f>
        <v/>
      </c>
      <c r="F823" s="24"/>
      <c r="G823" s="25" t="str">
        <f>IF($D823="","",IFERROR(VLOOKUP($D823,'ACAS Capital Tracker'!$A:$D,4,FALSE()),""))</f>
        <v/>
      </c>
      <c r="H823" s="22"/>
    </row>
    <row r="824" spans="1:8">
      <c r="A824" s="21"/>
      <c r="B824" s="22"/>
      <c r="C824" s="22"/>
      <c r="D824" s="22"/>
      <c r="E824" s="23" t="str">
        <f>IF($D824="","",IFERROR(VLOOKUP($D824,'ACAS Capital Tracker'!$A:$H,8,FALSE()),""))</f>
        <v/>
      </c>
      <c r="F824" s="24"/>
      <c r="G824" s="25" t="str">
        <f>IF($D824="","",IFERROR(VLOOKUP($D824,'ACAS Capital Tracker'!$A:$D,4,FALSE()),""))</f>
        <v/>
      </c>
      <c r="H824" s="22"/>
    </row>
    <row r="825" spans="1:8">
      <c r="A825" s="21"/>
      <c r="B825" s="22"/>
      <c r="C825" s="22"/>
      <c r="D825" s="22"/>
      <c r="E825" s="23" t="str">
        <f>IF($D825="","",IFERROR(VLOOKUP($D825,'ACAS Capital Tracker'!$A:$H,8,FALSE()),""))</f>
        <v/>
      </c>
      <c r="F825" s="24"/>
      <c r="G825" s="25" t="str">
        <f>IF($D825="","",IFERROR(VLOOKUP($D825,'ACAS Capital Tracker'!$A:$D,4,FALSE()),""))</f>
        <v/>
      </c>
      <c r="H825" s="22"/>
    </row>
    <row r="826" spans="1:8">
      <c r="A826" s="21"/>
      <c r="B826" s="22"/>
      <c r="C826" s="22"/>
      <c r="D826" s="22"/>
      <c r="E826" s="23" t="str">
        <f>IF($D826="","",IFERROR(VLOOKUP($D826,'ACAS Capital Tracker'!$A:$H,8,FALSE()),""))</f>
        <v/>
      </c>
      <c r="F826" s="24"/>
      <c r="G826" s="25" t="str">
        <f>IF($D826="","",IFERROR(VLOOKUP($D826,'ACAS Capital Tracker'!$A:$D,4,FALSE()),""))</f>
        <v/>
      </c>
      <c r="H826" s="22"/>
    </row>
    <row r="827" spans="1:8">
      <c r="A827" s="21"/>
      <c r="B827" s="22"/>
      <c r="C827" s="22"/>
      <c r="D827" s="22"/>
      <c r="E827" s="23" t="str">
        <f>IF($D827="","",IFERROR(VLOOKUP($D827,'ACAS Capital Tracker'!$A:$H,8,FALSE()),""))</f>
        <v/>
      </c>
      <c r="F827" s="24"/>
      <c r="G827" s="25" t="str">
        <f>IF($D827="","",IFERROR(VLOOKUP($D827,'ACAS Capital Tracker'!$A:$D,4,FALSE()),""))</f>
        <v/>
      </c>
      <c r="H827" s="22"/>
    </row>
    <row r="828" spans="1:8">
      <c r="A828" s="21"/>
      <c r="B828" s="22"/>
      <c r="C828" s="22"/>
      <c r="D828" s="22"/>
      <c r="E828" s="23" t="str">
        <f>IF($D828="","",IFERROR(VLOOKUP($D828,'ACAS Capital Tracker'!$A:$H,8,FALSE()),""))</f>
        <v/>
      </c>
      <c r="F828" s="24"/>
      <c r="G828" s="25" t="str">
        <f>IF($D828="","",IFERROR(VLOOKUP($D828,'ACAS Capital Tracker'!$A:$D,4,FALSE()),""))</f>
        <v/>
      </c>
      <c r="H828" s="22"/>
    </row>
    <row r="829" spans="1:8">
      <c r="A829" s="21"/>
      <c r="B829" s="22"/>
      <c r="C829" s="22"/>
      <c r="D829" s="22"/>
      <c r="E829" s="23" t="str">
        <f>IF($D829="","",IFERROR(VLOOKUP($D829,'ACAS Capital Tracker'!$A:$H,8,FALSE()),""))</f>
        <v/>
      </c>
      <c r="F829" s="24"/>
      <c r="G829" s="25" t="str">
        <f>IF($D829="","",IFERROR(VLOOKUP($D829,'ACAS Capital Tracker'!$A:$D,4,FALSE()),""))</f>
        <v/>
      </c>
      <c r="H829" s="22"/>
    </row>
    <row r="830" spans="1:8">
      <c r="A830" s="21"/>
      <c r="B830" s="22"/>
      <c r="C830" s="22"/>
      <c r="D830" s="22"/>
      <c r="E830" s="23" t="str">
        <f>IF($D830="","",IFERROR(VLOOKUP($D830,'ACAS Capital Tracker'!$A:$H,8,FALSE()),""))</f>
        <v/>
      </c>
      <c r="F830" s="24"/>
      <c r="G830" s="25" t="str">
        <f>IF($D830="","",IFERROR(VLOOKUP($D830,'ACAS Capital Tracker'!$A:$D,4,FALSE()),""))</f>
        <v/>
      </c>
      <c r="H830" s="22"/>
    </row>
    <row r="831" spans="1:8">
      <c r="A831" s="21"/>
      <c r="B831" s="22"/>
      <c r="C831" s="22"/>
      <c r="D831" s="22"/>
      <c r="E831" s="23" t="str">
        <f>IF($D831="","",IFERROR(VLOOKUP($D831,'ACAS Capital Tracker'!$A:$H,8,FALSE()),""))</f>
        <v/>
      </c>
      <c r="F831" s="24"/>
      <c r="G831" s="25" t="str">
        <f>IF($D831="","",IFERROR(VLOOKUP($D831,'ACAS Capital Tracker'!$A:$D,4,FALSE()),""))</f>
        <v/>
      </c>
      <c r="H831" s="22"/>
    </row>
    <row r="832" spans="1:8">
      <c r="A832" s="21"/>
      <c r="B832" s="22"/>
      <c r="C832" s="22"/>
      <c r="D832" s="22"/>
      <c r="E832" s="23" t="str">
        <f>IF($D832="","",IFERROR(VLOOKUP($D832,'ACAS Capital Tracker'!$A:$H,8,FALSE()),""))</f>
        <v/>
      </c>
      <c r="F832" s="24"/>
      <c r="G832" s="25" t="str">
        <f>IF($D832="","",IFERROR(VLOOKUP($D832,'ACAS Capital Tracker'!$A:$D,4,FALSE()),""))</f>
        <v/>
      </c>
      <c r="H832" s="22"/>
    </row>
    <row r="833" spans="1:8">
      <c r="A833" s="21"/>
      <c r="B833" s="22"/>
      <c r="C833" s="22"/>
      <c r="D833" s="22"/>
      <c r="E833" s="23" t="str">
        <f>IF($D833="","",IFERROR(VLOOKUP($D833,'ACAS Capital Tracker'!$A:$H,8,FALSE()),""))</f>
        <v/>
      </c>
      <c r="F833" s="24"/>
      <c r="G833" s="25" t="str">
        <f>IF($D833="","",IFERROR(VLOOKUP($D833,'ACAS Capital Tracker'!$A:$D,4,FALSE()),""))</f>
        <v/>
      </c>
      <c r="H833" s="22"/>
    </row>
    <row r="834" spans="1:8">
      <c r="A834" s="21"/>
      <c r="B834" s="22"/>
      <c r="C834" s="22"/>
      <c r="D834" s="22"/>
      <c r="E834" s="23" t="str">
        <f>IF($D834="","",IFERROR(VLOOKUP($D834,'ACAS Capital Tracker'!$A:$H,8,FALSE()),""))</f>
        <v/>
      </c>
      <c r="F834" s="24"/>
      <c r="G834" s="25" t="str">
        <f>IF($D834="","",IFERROR(VLOOKUP($D834,'ACAS Capital Tracker'!$A:$D,4,FALSE()),""))</f>
        <v/>
      </c>
      <c r="H834" s="22"/>
    </row>
    <row r="835" spans="1:8">
      <c r="A835" s="21"/>
      <c r="B835" s="22"/>
      <c r="C835" s="22"/>
      <c r="D835" s="22"/>
      <c r="E835" s="23" t="str">
        <f>IF($D835="","",IFERROR(VLOOKUP($D835,'ACAS Capital Tracker'!$A:$H,8,FALSE()),""))</f>
        <v/>
      </c>
      <c r="F835" s="24"/>
      <c r="G835" s="25" t="str">
        <f>IF($D835="","",IFERROR(VLOOKUP($D835,'ACAS Capital Tracker'!$A:$D,4,FALSE()),""))</f>
        <v/>
      </c>
      <c r="H835" s="22"/>
    </row>
    <row r="836" spans="1:8">
      <c r="A836" s="21"/>
      <c r="B836" s="22"/>
      <c r="C836" s="22"/>
      <c r="D836" s="22"/>
      <c r="E836" s="23" t="str">
        <f>IF($D836="","",IFERROR(VLOOKUP($D836,'ACAS Capital Tracker'!$A:$H,8,FALSE()),""))</f>
        <v/>
      </c>
      <c r="F836" s="24"/>
      <c r="G836" s="25" t="str">
        <f>IF($D836="","",IFERROR(VLOOKUP($D836,'ACAS Capital Tracker'!$A:$D,4,FALSE()),""))</f>
        <v/>
      </c>
      <c r="H836" s="22"/>
    </row>
    <row r="837" spans="1:8">
      <c r="A837" s="21"/>
      <c r="B837" s="22"/>
      <c r="C837" s="22"/>
      <c r="D837" s="22"/>
      <c r="E837" s="23" t="str">
        <f>IF($D837="","",IFERROR(VLOOKUP($D837,'ACAS Capital Tracker'!$A:$H,8,FALSE()),""))</f>
        <v/>
      </c>
      <c r="F837" s="24"/>
      <c r="G837" s="25" t="str">
        <f>IF($D837="","",IFERROR(VLOOKUP($D837,'ACAS Capital Tracker'!$A:$D,4,FALSE()),""))</f>
        <v/>
      </c>
      <c r="H837" s="22"/>
    </row>
    <row r="838" spans="1:8">
      <c r="A838" s="21"/>
      <c r="B838" s="22"/>
      <c r="C838" s="22"/>
      <c r="D838" s="22"/>
      <c r="E838" s="23" t="str">
        <f>IF($D838="","",IFERROR(VLOOKUP($D838,'ACAS Capital Tracker'!$A:$H,8,FALSE()),""))</f>
        <v/>
      </c>
      <c r="F838" s="24"/>
      <c r="G838" s="25" t="str">
        <f>IF($D838="","",IFERROR(VLOOKUP($D838,'ACAS Capital Tracker'!$A:$D,4,FALSE()),""))</f>
        <v/>
      </c>
      <c r="H838" s="22"/>
    </row>
    <row r="839" spans="1:8">
      <c r="A839" s="21"/>
      <c r="B839" s="22"/>
      <c r="C839" s="22"/>
      <c r="D839" s="22"/>
      <c r="E839" s="23" t="str">
        <f>IF($D839="","",IFERROR(VLOOKUP($D839,'ACAS Capital Tracker'!$A:$H,8,FALSE()),""))</f>
        <v/>
      </c>
      <c r="F839" s="24"/>
      <c r="G839" s="25" t="str">
        <f>IF($D839="","",IFERROR(VLOOKUP($D839,'ACAS Capital Tracker'!$A:$D,4,FALSE()),""))</f>
        <v/>
      </c>
      <c r="H839" s="22"/>
    </row>
    <row r="840" spans="1:8">
      <c r="A840" s="21"/>
      <c r="B840" s="22"/>
      <c r="C840" s="22"/>
      <c r="D840" s="22"/>
      <c r="E840" s="23" t="str">
        <f>IF($D840="","",IFERROR(VLOOKUP($D840,'ACAS Capital Tracker'!$A:$H,8,FALSE()),""))</f>
        <v/>
      </c>
      <c r="F840" s="24"/>
      <c r="G840" s="25" t="str">
        <f>IF($D840="","",IFERROR(VLOOKUP($D840,'ACAS Capital Tracker'!$A:$D,4,FALSE()),""))</f>
        <v/>
      </c>
      <c r="H840" s="22"/>
    </row>
    <row r="841" spans="1:8">
      <c r="A841" s="21"/>
      <c r="B841" s="22"/>
      <c r="C841" s="22"/>
      <c r="D841" s="22"/>
      <c r="E841" s="23" t="str">
        <f>IF($D841="","",IFERROR(VLOOKUP($D841,'ACAS Capital Tracker'!$A:$H,8,FALSE()),""))</f>
        <v/>
      </c>
      <c r="F841" s="24"/>
      <c r="G841" s="25" t="str">
        <f>IF($D841="","",IFERROR(VLOOKUP($D841,'ACAS Capital Tracker'!$A:$D,4,FALSE()),""))</f>
        <v/>
      </c>
      <c r="H841" s="22"/>
    </row>
    <row r="842" spans="1:8">
      <c r="A842" s="21"/>
      <c r="B842" s="22"/>
      <c r="C842" s="22"/>
      <c r="D842" s="22"/>
      <c r="E842" s="23" t="str">
        <f>IF($D842="","",IFERROR(VLOOKUP($D842,'ACAS Capital Tracker'!$A:$H,8,FALSE()),""))</f>
        <v/>
      </c>
      <c r="F842" s="24"/>
      <c r="G842" s="25" t="str">
        <f>IF($D842="","",IFERROR(VLOOKUP($D842,'ACAS Capital Tracker'!$A:$D,4,FALSE()),""))</f>
        <v/>
      </c>
      <c r="H842" s="22"/>
    </row>
    <row r="843" spans="1:8">
      <c r="A843" s="21"/>
      <c r="B843" s="22"/>
      <c r="C843" s="22"/>
      <c r="D843" s="22"/>
      <c r="E843" s="23" t="str">
        <f>IF($D843="","",IFERROR(VLOOKUP($D843,'ACAS Capital Tracker'!$A:$H,8,FALSE()),""))</f>
        <v/>
      </c>
      <c r="F843" s="24"/>
      <c r="G843" s="25" t="str">
        <f>IF($D843="","",IFERROR(VLOOKUP($D843,'ACAS Capital Tracker'!$A:$D,4,FALSE()),""))</f>
        <v/>
      </c>
      <c r="H843" s="22"/>
    </row>
    <row r="844" spans="1:8">
      <c r="A844" s="21"/>
      <c r="B844" s="22"/>
      <c r="C844" s="22"/>
      <c r="D844" s="22"/>
      <c r="E844" s="23" t="str">
        <f>IF($D844="","",IFERROR(VLOOKUP($D844,'ACAS Capital Tracker'!$A:$H,8,FALSE()),""))</f>
        <v/>
      </c>
      <c r="F844" s="24"/>
      <c r="G844" s="25" t="str">
        <f>IF($D844="","",IFERROR(VLOOKUP($D844,'ACAS Capital Tracker'!$A:$D,4,FALSE()),""))</f>
        <v/>
      </c>
      <c r="H844" s="22"/>
    </row>
    <row r="845" spans="1:8">
      <c r="A845" s="21"/>
      <c r="B845" s="22"/>
      <c r="C845" s="22"/>
      <c r="D845" s="22"/>
      <c r="E845" s="23" t="str">
        <f>IF($D845="","",IFERROR(VLOOKUP($D845,'ACAS Capital Tracker'!$A:$H,8,FALSE()),""))</f>
        <v/>
      </c>
      <c r="F845" s="24"/>
      <c r="G845" s="25" t="str">
        <f>IF($D845="","",IFERROR(VLOOKUP($D845,'ACAS Capital Tracker'!$A:$D,4,FALSE()),""))</f>
        <v/>
      </c>
      <c r="H845" s="22"/>
    </row>
    <row r="846" spans="1:8">
      <c r="A846" s="21"/>
      <c r="B846" s="22"/>
      <c r="C846" s="22"/>
      <c r="D846" s="22"/>
      <c r="E846" s="23" t="str">
        <f>IF($D846="","",IFERROR(VLOOKUP($D846,'ACAS Capital Tracker'!$A:$H,8,FALSE()),""))</f>
        <v/>
      </c>
      <c r="F846" s="24"/>
      <c r="G846" s="25" t="str">
        <f>IF($D846="","",IFERROR(VLOOKUP($D846,'ACAS Capital Tracker'!$A:$D,4,FALSE()),""))</f>
        <v/>
      </c>
      <c r="H846" s="22"/>
    </row>
    <row r="847" spans="1:8">
      <c r="A847" s="21"/>
      <c r="B847" s="22"/>
      <c r="C847" s="22"/>
      <c r="D847" s="22"/>
      <c r="E847" s="23" t="str">
        <f>IF($D847="","",IFERROR(VLOOKUP($D847,'ACAS Capital Tracker'!$A:$H,8,FALSE()),""))</f>
        <v/>
      </c>
      <c r="F847" s="24"/>
      <c r="G847" s="25" t="str">
        <f>IF($D847="","",IFERROR(VLOOKUP($D847,'ACAS Capital Tracker'!$A:$D,4,FALSE()),""))</f>
        <v/>
      </c>
      <c r="H847" s="22"/>
    </row>
    <row r="848" spans="1:8">
      <c r="A848" s="21"/>
      <c r="B848" s="22"/>
      <c r="C848" s="22"/>
      <c r="D848" s="22"/>
      <c r="E848" s="23" t="str">
        <f>IF($D848="","",IFERROR(VLOOKUP($D848,'ACAS Capital Tracker'!$A:$H,8,FALSE()),""))</f>
        <v/>
      </c>
      <c r="F848" s="24"/>
      <c r="G848" s="25" t="str">
        <f>IF($D848="","",IFERROR(VLOOKUP($D848,'ACAS Capital Tracker'!$A:$D,4,FALSE()),""))</f>
        <v/>
      </c>
      <c r="H848" s="22"/>
    </row>
    <row r="849" spans="1:8">
      <c r="A849" s="21"/>
      <c r="B849" s="22"/>
      <c r="C849" s="22"/>
      <c r="D849" s="22"/>
      <c r="E849" s="23" t="str">
        <f>IF($D849="","",IFERROR(VLOOKUP($D849,'ACAS Capital Tracker'!$A:$H,8,FALSE()),""))</f>
        <v/>
      </c>
      <c r="F849" s="24"/>
      <c r="G849" s="25" t="str">
        <f>IF($D849="","",IFERROR(VLOOKUP($D849,'ACAS Capital Tracker'!$A:$D,4,FALSE()),""))</f>
        <v/>
      </c>
      <c r="H849" s="22"/>
    </row>
    <row r="850" spans="1:8">
      <c r="A850" s="21"/>
      <c r="B850" s="22"/>
      <c r="C850" s="22"/>
      <c r="D850" s="22"/>
      <c r="E850" s="23" t="str">
        <f>IF($D850="","",IFERROR(VLOOKUP($D850,'ACAS Capital Tracker'!$A:$H,8,FALSE()),""))</f>
        <v/>
      </c>
      <c r="F850" s="24"/>
      <c r="G850" s="25" t="str">
        <f>IF($D850="","",IFERROR(VLOOKUP($D850,'ACAS Capital Tracker'!$A:$D,4,FALSE()),""))</f>
        <v/>
      </c>
      <c r="H850" s="22"/>
    </row>
    <row r="851" spans="1:8">
      <c r="A851" s="21"/>
      <c r="B851" s="22"/>
      <c r="C851" s="22"/>
      <c r="D851" s="22"/>
      <c r="E851" s="23" t="str">
        <f>IF($D851="","",IFERROR(VLOOKUP($D851,'ACAS Capital Tracker'!$A:$H,8,FALSE()),""))</f>
        <v/>
      </c>
      <c r="F851" s="24"/>
      <c r="G851" s="25" t="str">
        <f>IF($D851="","",IFERROR(VLOOKUP($D851,'ACAS Capital Tracker'!$A:$D,4,FALSE()),""))</f>
        <v/>
      </c>
      <c r="H851" s="22"/>
    </row>
    <row r="852" spans="1:8">
      <c r="A852" s="21"/>
      <c r="B852" s="22"/>
      <c r="C852" s="22"/>
      <c r="D852" s="22"/>
      <c r="E852" s="23" t="str">
        <f>IF($D852="","",IFERROR(VLOOKUP($D852,'ACAS Capital Tracker'!$A:$H,8,FALSE()),""))</f>
        <v/>
      </c>
      <c r="F852" s="24"/>
      <c r="G852" s="25" t="str">
        <f>IF($D852="","",IFERROR(VLOOKUP($D852,'ACAS Capital Tracker'!$A:$D,4,FALSE()),""))</f>
        <v/>
      </c>
      <c r="H852" s="22"/>
    </row>
    <row r="853" spans="1:8">
      <c r="A853" s="21"/>
      <c r="B853" s="22"/>
      <c r="C853" s="22"/>
      <c r="D853" s="22"/>
      <c r="E853" s="23" t="str">
        <f>IF($D853="","",IFERROR(VLOOKUP($D853,'ACAS Capital Tracker'!$A:$H,8,FALSE()),""))</f>
        <v/>
      </c>
      <c r="F853" s="24"/>
      <c r="G853" s="25" t="str">
        <f>IF($D853="","",IFERROR(VLOOKUP($D853,'ACAS Capital Tracker'!$A:$D,4,FALSE()),""))</f>
        <v/>
      </c>
      <c r="H853" s="22"/>
    </row>
    <row r="854" spans="1:8">
      <c r="A854" s="21"/>
      <c r="B854" s="22"/>
      <c r="C854" s="22"/>
      <c r="D854" s="22"/>
      <c r="E854" s="23" t="str">
        <f>IF($D854="","",IFERROR(VLOOKUP($D854,'ACAS Capital Tracker'!$A:$H,8,FALSE()),""))</f>
        <v/>
      </c>
      <c r="F854" s="24"/>
      <c r="G854" s="25" t="str">
        <f>IF($D854="","",IFERROR(VLOOKUP($D854,'ACAS Capital Tracker'!$A:$D,4,FALSE()),""))</f>
        <v/>
      </c>
      <c r="H854" s="22"/>
    </row>
    <row r="855" spans="1:8">
      <c r="A855" s="21"/>
      <c r="B855" s="22"/>
      <c r="C855" s="22"/>
      <c r="D855" s="22"/>
      <c r="E855" s="23" t="str">
        <f>IF($D855="","",IFERROR(VLOOKUP($D855,'ACAS Capital Tracker'!$A:$H,8,FALSE()),""))</f>
        <v/>
      </c>
      <c r="F855" s="24"/>
      <c r="G855" s="25" t="str">
        <f>IF($D855="","",IFERROR(VLOOKUP($D855,'ACAS Capital Tracker'!$A:$D,4,FALSE()),""))</f>
        <v/>
      </c>
      <c r="H855" s="22"/>
    </row>
    <row r="856" spans="1:8">
      <c r="A856" s="21"/>
      <c r="B856" s="22"/>
      <c r="C856" s="22"/>
      <c r="D856" s="22"/>
      <c r="E856" s="23" t="str">
        <f>IF($D856="","",IFERROR(VLOOKUP($D856,'ACAS Capital Tracker'!$A:$H,8,FALSE()),""))</f>
        <v/>
      </c>
      <c r="F856" s="24"/>
      <c r="G856" s="25" t="str">
        <f>IF($D856="","",IFERROR(VLOOKUP($D856,'ACAS Capital Tracker'!$A:$D,4,FALSE()),""))</f>
        <v/>
      </c>
      <c r="H856" s="22"/>
    </row>
    <row r="857" spans="1:8">
      <c r="A857" s="21"/>
      <c r="B857" s="22"/>
      <c r="C857" s="22"/>
      <c r="D857" s="22"/>
      <c r="E857" s="23" t="str">
        <f>IF($D857="","",IFERROR(VLOOKUP($D857,'ACAS Capital Tracker'!$A:$H,8,FALSE()),""))</f>
        <v/>
      </c>
      <c r="F857" s="24"/>
      <c r="G857" s="25" t="str">
        <f>IF($D857="","",IFERROR(VLOOKUP($D857,'ACAS Capital Tracker'!$A:$D,4,FALSE()),""))</f>
        <v/>
      </c>
      <c r="H857" s="22"/>
    </row>
    <row r="858" spans="1:8">
      <c r="A858" s="21"/>
      <c r="B858" s="22"/>
      <c r="C858" s="22"/>
      <c r="D858" s="22"/>
      <c r="E858" s="23" t="str">
        <f>IF($D858="","",IFERROR(VLOOKUP($D858,'ACAS Capital Tracker'!$A:$H,8,FALSE()),""))</f>
        <v/>
      </c>
      <c r="F858" s="24"/>
      <c r="G858" s="25" t="str">
        <f>IF($D858="","",IFERROR(VLOOKUP($D858,'ACAS Capital Tracker'!$A:$D,4,FALSE()),""))</f>
        <v/>
      </c>
      <c r="H858" s="22"/>
    </row>
    <row r="859" spans="1:8">
      <c r="A859" s="21"/>
      <c r="B859" s="22"/>
      <c r="C859" s="22"/>
      <c r="D859" s="22"/>
      <c r="E859" s="23" t="str">
        <f>IF($D859="","",IFERROR(VLOOKUP($D859,'ACAS Capital Tracker'!$A:$H,8,FALSE()),""))</f>
        <v/>
      </c>
      <c r="F859" s="24"/>
      <c r="G859" s="25" t="str">
        <f>IF($D859="","",IFERROR(VLOOKUP($D859,'ACAS Capital Tracker'!$A:$D,4,FALSE()),""))</f>
        <v/>
      </c>
      <c r="H859" s="22"/>
    </row>
    <row r="860" spans="1:8">
      <c r="A860" s="21"/>
      <c r="B860" s="22"/>
      <c r="C860" s="22"/>
      <c r="D860" s="22"/>
      <c r="E860" s="23" t="str">
        <f>IF($D860="","",IFERROR(VLOOKUP($D860,'ACAS Capital Tracker'!$A:$H,8,FALSE()),""))</f>
        <v/>
      </c>
      <c r="F860" s="24"/>
      <c r="G860" s="25" t="str">
        <f>IF($D860="","",IFERROR(VLOOKUP($D860,'ACAS Capital Tracker'!$A:$D,4,FALSE()),""))</f>
        <v/>
      </c>
      <c r="H860" s="22"/>
    </row>
    <row r="861" spans="1:8">
      <c r="A861" s="21"/>
      <c r="B861" s="22"/>
      <c r="C861" s="22"/>
      <c r="D861" s="22"/>
      <c r="E861" s="23" t="str">
        <f>IF($D861="","",IFERROR(VLOOKUP($D861,'ACAS Capital Tracker'!$A:$H,8,FALSE()),""))</f>
        <v/>
      </c>
      <c r="F861" s="24"/>
      <c r="G861" s="25" t="str">
        <f>IF($D861="","",IFERROR(VLOOKUP($D861,'ACAS Capital Tracker'!$A:$D,4,FALSE()),""))</f>
        <v/>
      </c>
      <c r="H861" s="22"/>
    </row>
    <row r="862" spans="1:8">
      <c r="A862" s="21"/>
      <c r="B862" s="22"/>
      <c r="C862" s="22"/>
      <c r="D862" s="22"/>
      <c r="E862" s="23" t="str">
        <f>IF($D862="","",IFERROR(VLOOKUP($D862,'ACAS Capital Tracker'!$A:$H,8,FALSE()),""))</f>
        <v/>
      </c>
      <c r="F862" s="24"/>
      <c r="G862" s="25" t="str">
        <f>IF($D862="","",IFERROR(VLOOKUP($D862,'ACAS Capital Tracker'!$A:$D,4,FALSE()),""))</f>
        <v/>
      </c>
      <c r="H862" s="22"/>
    </row>
    <row r="863" spans="1:8">
      <c r="A863" s="21"/>
      <c r="B863" s="22"/>
      <c r="C863" s="22"/>
      <c r="D863" s="22"/>
      <c r="E863" s="23" t="str">
        <f>IF($D863="","",IFERROR(VLOOKUP($D863,'ACAS Capital Tracker'!$A:$H,8,FALSE()),""))</f>
        <v/>
      </c>
      <c r="F863" s="24"/>
      <c r="G863" s="25" t="str">
        <f>IF($D863="","",IFERROR(VLOOKUP($D863,'ACAS Capital Tracker'!$A:$D,4,FALSE()),""))</f>
        <v/>
      </c>
      <c r="H863" s="22"/>
    </row>
    <row r="864" spans="1:8">
      <c r="A864" s="21"/>
      <c r="B864" s="22"/>
      <c r="C864" s="22"/>
      <c r="D864" s="22"/>
      <c r="E864" s="23" t="str">
        <f>IF($D864="","",IFERROR(VLOOKUP($D864,'ACAS Capital Tracker'!$A:$H,8,FALSE()),""))</f>
        <v/>
      </c>
      <c r="F864" s="24"/>
      <c r="G864" s="25" t="str">
        <f>IF($D864="","",IFERROR(VLOOKUP($D864,'ACAS Capital Tracker'!$A:$D,4,FALSE()),""))</f>
        <v/>
      </c>
      <c r="H864" s="22"/>
    </row>
    <row r="865" spans="1:8">
      <c r="A865" s="21"/>
      <c r="B865" s="22"/>
      <c r="C865" s="22"/>
      <c r="D865" s="22"/>
      <c r="E865" s="23" t="str">
        <f>IF($D865="","",IFERROR(VLOOKUP($D865,'ACAS Capital Tracker'!$A:$H,8,FALSE()),""))</f>
        <v/>
      </c>
      <c r="F865" s="24"/>
      <c r="G865" s="25" t="str">
        <f>IF($D865="","",IFERROR(VLOOKUP($D865,'ACAS Capital Tracker'!$A:$D,4,FALSE()),""))</f>
        <v/>
      </c>
      <c r="H865" s="22"/>
    </row>
    <row r="866" spans="1:8">
      <c r="A866" s="21"/>
      <c r="B866" s="22"/>
      <c r="C866" s="22"/>
      <c r="D866" s="22"/>
      <c r="E866" s="23" t="str">
        <f>IF($D866="","",IFERROR(VLOOKUP($D866,'ACAS Capital Tracker'!$A:$H,8,FALSE()),""))</f>
        <v/>
      </c>
      <c r="F866" s="24"/>
      <c r="G866" s="25" t="str">
        <f>IF($D866="","",IFERROR(VLOOKUP($D866,'ACAS Capital Tracker'!$A:$D,4,FALSE()),""))</f>
        <v/>
      </c>
      <c r="H866" s="22"/>
    </row>
    <row r="867" spans="1:8">
      <c r="A867" s="21"/>
      <c r="B867" s="22"/>
      <c r="C867" s="22"/>
      <c r="D867" s="22"/>
      <c r="E867" s="23" t="str">
        <f>IF($D867="","",IFERROR(VLOOKUP($D867,'ACAS Capital Tracker'!$A:$H,8,FALSE()),""))</f>
        <v/>
      </c>
      <c r="F867" s="24"/>
      <c r="G867" s="25" t="str">
        <f>IF($D867="","",IFERROR(VLOOKUP($D867,'ACAS Capital Tracker'!$A:$D,4,FALSE()),""))</f>
        <v/>
      </c>
      <c r="H867" s="22"/>
    </row>
    <row r="868" spans="1:8">
      <c r="A868" s="21"/>
      <c r="B868" s="22"/>
      <c r="C868" s="22"/>
      <c r="D868" s="22"/>
      <c r="E868" s="23" t="str">
        <f>IF($D868="","",IFERROR(VLOOKUP($D868,'ACAS Capital Tracker'!$A:$H,8,FALSE()),""))</f>
        <v/>
      </c>
      <c r="F868" s="24"/>
      <c r="G868" s="25" t="str">
        <f>IF($D868="","",IFERROR(VLOOKUP($D868,'ACAS Capital Tracker'!$A:$D,4,FALSE()),""))</f>
        <v/>
      </c>
      <c r="H868" s="22"/>
    </row>
    <row r="869" spans="1:8">
      <c r="A869" s="21"/>
      <c r="B869" s="22"/>
      <c r="C869" s="22"/>
      <c r="D869" s="22"/>
      <c r="E869" s="23" t="str">
        <f>IF($D869="","",IFERROR(VLOOKUP($D869,'ACAS Capital Tracker'!$A:$H,8,FALSE()),""))</f>
        <v/>
      </c>
      <c r="F869" s="24"/>
      <c r="G869" s="25" t="str">
        <f>IF($D869="","",IFERROR(VLOOKUP($D869,'ACAS Capital Tracker'!$A:$D,4,FALSE()),""))</f>
        <v/>
      </c>
      <c r="H869" s="22"/>
    </row>
    <row r="870" spans="1:8">
      <c r="A870" s="21"/>
      <c r="B870" s="22"/>
      <c r="C870" s="22"/>
      <c r="D870" s="22"/>
      <c r="E870" s="23" t="str">
        <f>IF($D870="","",IFERROR(VLOOKUP($D870,'ACAS Capital Tracker'!$A:$H,8,FALSE()),""))</f>
        <v/>
      </c>
      <c r="F870" s="24"/>
      <c r="G870" s="25" t="str">
        <f>IF($D870="","",IFERROR(VLOOKUP($D870,'ACAS Capital Tracker'!$A:$D,4,FALSE()),""))</f>
        <v/>
      </c>
      <c r="H870" s="22"/>
    </row>
    <row r="871" spans="1:8">
      <c r="A871" s="21"/>
      <c r="B871" s="22"/>
      <c r="C871" s="22"/>
      <c r="D871" s="22"/>
      <c r="E871" s="23" t="str">
        <f>IF($D871="","",IFERROR(VLOOKUP($D871,'ACAS Capital Tracker'!$A:$H,8,FALSE()),""))</f>
        <v/>
      </c>
      <c r="F871" s="24"/>
      <c r="G871" s="25" t="str">
        <f>IF($D871="","",IFERROR(VLOOKUP($D871,'ACAS Capital Tracker'!$A:$D,4,FALSE()),""))</f>
        <v/>
      </c>
      <c r="H871" s="22"/>
    </row>
    <row r="872" spans="1:8">
      <c r="A872" s="21"/>
      <c r="B872" s="22"/>
      <c r="C872" s="22"/>
      <c r="D872" s="22"/>
      <c r="E872" s="23" t="str">
        <f>IF($D872="","",IFERROR(VLOOKUP($D872,'ACAS Capital Tracker'!$A:$H,8,FALSE()),""))</f>
        <v/>
      </c>
      <c r="F872" s="24"/>
      <c r="G872" s="25" t="str">
        <f>IF($D872="","",IFERROR(VLOOKUP($D872,'ACAS Capital Tracker'!$A:$D,4,FALSE()),""))</f>
        <v/>
      </c>
      <c r="H872" s="22"/>
    </row>
    <row r="873" spans="1:8">
      <c r="A873" s="21"/>
      <c r="B873" s="22"/>
      <c r="C873" s="22"/>
      <c r="D873" s="22"/>
      <c r="E873" s="23" t="str">
        <f>IF($D873="","",IFERROR(VLOOKUP($D873,'ACAS Capital Tracker'!$A:$H,8,FALSE()),""))</f>
        <v/>
      </c>
      <c r="F873" s="24"/>
      <c r="G873" s="25" t="str">
        <f>IF($D873="","",IFERROR(VLOOKUP($D873,'ACAS Capital Tracker'!$A:$D,4,FALSE()),""))</f>
        <v/>
      </c>
      <c r="H873" s="22"/>
    </row>
    <row r="874" spans="1:8">
      <c r="A874" s="21"/>
      <c r="B874" s="22"/>
      <c r="C874" s="22"/>
      <c r="D874" s="22"/>
      <c r="E874" s="23" t="str">
        <f>IF($D874="","",IFERROR(VLOOKUP($D874,'ACAS Capital Tracker'!$A:$H,8,FALSE()),""))</f>
        <v/>
      </c>
      <c r="F874" s="24"/>
      <c r="G874" s="25" t="str">
        <f>IF($D874="","",IFERROR(VLOOKUP($D874,'ACAS Capital Tracker'!$A:$D,4,FALSE()),""))</f>
        <v/>
      </c>
      <c r="H874" s="22"/>
    </row>
    <row r="875" spans="1:8">
      <c r="A875" s="21"/>
      <c r="B875" s="22"/>
      <c r="C875" s="22"/>
      <c r="D875" s="22"/>
      <c r="E875" s="23" t="str">
        <f>IF($D875="","",IFERROR(VLOOKUP($D875,'ACAS Capital Tracker'!$A:$H,8,FALSE()),""))</f>
        <v/>
      </c>
      <c r="F875" s="24"/>
      <c r="G875" s="25" t="str">
        <f>IF($D875="","",IFERROR(VLOOKUP($D875,'ACAS Capital Tracker'!$A:$D,4,FALSE()),""))</f>
        <v/>
      </c>
      <c r="H875" s="22"/>
    </row>
    <row r="876" spans="1:8">
      <c r="A876" s="21"/>
      <c r="B876" s="22"/>
      <c r="C876" s="22"/>
      <c r="D876" s="22"/>
      <c r="E876" s="23" t="str">
        <f>IF($D876="","",IFERROR(VLOOKUP($D876,'ACAS Capital Tracker'!$A:$H,8,FALSE()),""))</f>
        <v/>
      </c>
      <c r="F876" s="24"/>
      <c r="G876" s="25" t="str">
        <f>IF($D876="","",IFERROR(VLOOKUP($D876,'ACAS Capital Tracker'!$A:$D,4,FALSE()),""))</f>
        <v/>
      </c>
      <c r="H876" s="22"/>
    </row>
    <row r="877" spans="1:8">
      <c r="A877" s="21"/>
      <c r="B877" s="22"/>
      <c r="C877" s="22"/>
      <c r="D877" s="22"/>
      <c r="E877" s="23" t="str">
        <f>IF($D877="","",IFERROR(VLOOKUP($D877,'ACAS Capital Tracker'!$A:$H,8,FALSE()),""))</f>
        <v/>
      </c>
      <c r="F877" s="24"/>
      <c r="G877" s="25" t="str">
        <f>IF($D877="","",IFERROR(VLOOKUP($D877,'ACAS Capital Tracker'!$A:$D,4,FALSE()),""))</f>
        <v/>
      </c>
      <c r="H877" s="22"/>
    </row>
    <row r="878" spans="1:8">
      <c r="A878" s="21"/>
      <c r="B878" s="22"/>
      <c r="C878" s="22"/>
      <c r="D878" s="22"/>
      <c r="E878" s="23" t="str">
        <f>IF($D878="","",IFERROR(VLOOKUP($D878,'ACAS Capital Tracker'!$A:$H,8,FALSE()),""))</f>
        <v/>
      </c>
      <c r="F878" s="24"/>
      <c r="G878" s="25" t="str">
        <f>IF($D878="","",IFERROR(VLOOKUP($D878,'ACAS Capital Tracker'!$A:$D,4,FALSE()),""))</f>
        <v/>
      </c>
      <c r="H878" s="22"/>
    </row>
    <row r="879" spans="1:8">
      <c r="A879" s="21"/>
      <c r="B879" s="22"/>
      <c r="C879" s="22"/>
      <c r="D879" s="22"/>
      <c r="E879" s="23" t="str">
        <f>IF($D879="","",IFERROR(VLOOKUP($D879,'ACAS Capital Tracker'!$A:$H,8,FALSE()),""))</f>
        <v/>
      </c>
      <c r="F879" s="24"/>
      <c r="G879" s="25" t="str">
        <f>IF($D879="","",IFERROR(VLOOKUP($D879,'ACAS Capital Tracker'!$A:$D,4,FALSE()),""))</f>
        <v/>
      </c>
      <c r="H879" s="22"/>
    </row>
    <row r="880" spans="1:8">
      <c r="A880" s="21"/>
      <c r="B880" s="22"/>
      <c r="C880" s="22"/>
      <c r="D880" s="22"/>
      <c r="E880" s="23" t="str">
        <f>IF($D880="","",IFERROR(VLOOKUP($D880,'ACAS Capital Tracker'!$A:$H,8,FALSE()),""))</f>
        <v/>
      </c>
      <c r="F880" s="24"/>
      <c r="G880" s="25" t="str">
        <f>IF($D880="","",IFERROR(VLOOKUP($D880,'ACAS Capital Tracker'!$A:$D,4,FALSE()),""))</f>
        <v/>
      </c>
      <c r="H880" s="22"/>
    </row>
    <row r="881" spans="1:8">
      <c r="A881" s="21"/>
      <c r="B881" s="22"/>
      <c r="C881" s="22"/>
      <c r="D881" s="22"/>
      <c r="E881" s="23" t="str">
        <f>IF($D881="","",IFERROR(VLOOKUP($D881,'ACAS Capital Tracker'!$A:$H,8,FALSE()),""))</f>
        <v/>
      </c>
      <c r="F881" s="24"/>
      <c r="G881" s="25" t="str">
        <f>IF($D881="","",IFERROR(VLOOKUP($D881,'ACAS Capital Tracker'!$A:$D,4,FALSE()),""))</f>
        <v/>
      </c>
      <c r="H881" s="22"/>
    </row>
    <row r="882" spans="1:8">
      <c r="A882" s="21"/>
      <c r="B882" s="22"/>
      <c r="C882" s="22"/>
      <c r="D882" s="22"/>
      <c r="E882" s="23" t="str">
        <f>IF($D882="","",IFERROR(VLOOKUP($D882,'ACAS Capital Tracker'!$A:$H,8,FALSE()),""))</f>
        <v/>
      </c>
      <c r="F882" s="24"/>
      <c r="G882" s="25" t="str">
        <f>IF($D882="","",IFERROR(VLOOKUP($D882,'ACAS Capital Tracker'!$A:$D,4,FALSE()),""))</f>
        <v/>
      </c>
      <c r="H882" s="22"/>
    </row>
    <row r="883" spans="1:8">
      <c r="A883" s="21"/>
      <c r="B883" s="22"/>
      <c r="C883" s="22"/>
      <c r="D883" s="22"/>
      <c r="E883" s="23" t="str">
        <f>IF($D883="","",IFERROR(VLOOKUP($D883,'ACAS Capital Tracker'!$A:$H,8,FALSE()),""))</f>
        <v/>
      </c>
      <c r="F883" s="24"/>
      <c r="G883" s="25" t="str">
        <f>IF($D883="","",IFERROR(VLOOKUP($D883,'ACAS Capital Tracker'!$A:$D,4,FALSE()),""))</f>
        <v/>
      </c>
      <c r="H883" s="22"/>
    </row>
    <row r="884" spans="1:8">
      <c r="A884" s="21"/>
      <c r="B884" s="22"/>
      <c r="C884" s="22"/>
      <c r="D884" s="22"/>
      <c r="E884" s="23" t="str">
        <f>IF($D884="","",IFERROR(VLOOKUP($D884,'ACAS Capital Tracker'!$A:$H,8,FALSE()),""))</f>
        <v/>
      </c>
      <c r="F884" s="24"/>
      <c r="G884" s="25" t="str">
        <f>IF($D884="","",IFERROR(VLOOKUP($D884,'ACAS Capital Tracker'!$A:$D,4,FALSE()),""))</f>
        <v/>
      </c>
      <c r="H884" s="22"/>
    </row>
    <row r="885" spans="1:8">
      <c r="A885" s="21"/>
      <c r="B885" s="22"/>
      <c r="C885" s="22"/>
      <c r="D885" s="22"/>
      <c r="E885" s="23" t="str">
        <f>IF($D885="","",IFERROR(VLOOKUP($D885,'ACAS Capital Tracker'!$A:$H,8,FALSE()),""))</f>
        <v/>
      </c>
      <c r="F885" s="24"/>
      <c r="G885" s="25" t="str">
        <f>IF($D885="","",IFERROR(VLOOKUP($D885,'ACAS Capital Tracker'!$A:$D,4,FALSE()),""))</f>
        <v/>
      </c>
      <c r="H885" s="22"/>
    </row>
    <row r="886" spans="1:8">
      <c r="A886" s="21"/>
      <c r="B886" s="22"/>
      <c r="C886" s="22"/>
      <c r="D886" s="22"/>
      <c r="E886" s="23" t="str">
        <f>IF($D886="","",IFERROR(VLOOKUP($D886,'ACAS Capital Tracker'!$A:$H,8,FALSE()),""))</f>
        <v/>
      </c>
      <c r="F886" s="24"/>
      <c r="G886" s="25" t="str">
        <f>IF($D886="","",IFERROR(VLOOKUP($D886,'ACAS Capital Tracker'!$A:$D,4,FALSE()),""))</f>
        <v/>
      </c>
      <c r="H886" s="22"/>
    </row>
    <row r="887" spans="1:8">
      <c r="A887" s="21"/>
      <c r="B887" s="22"/>
      <c r="C887" s="22"/>
      <c r="D887" s="22"/>
      <c r="E887" s="23" t="str">
        <f>IF($D887="","",IFERROR(VLOOKUP($D887,'ACAS Capital Tracker'!$A:$H,8,FALSE()),""))</f>
        <v/>
      </c>
      <c r="F887" s="24"/>
      <c r="G887" s="25" t="str">
        <f>IF($D887="","",IFERROR(VLOOKUP($D887,'ACAS Capital Tracker'!$A:$D,4,FALSE()),""))</f>
        <v/>
      </c>
      <c r="H887" s="22"/>
    </row>
    <row r="888" spans="1:8">
      <c r="A888" s="21"/>
      <c r="B888" s="22"/>
      <c r="C888" s="22"/>
      <c r="D888" s="22"/>
      <c r="E888" s="23" t="str">
        <f>IF($D888="","",IFERROR(VLOOKUP($D888,'ACAS Capital Tracker'!$A:$H,8,FALSE()),""))</f>
        <v/>
      </c>
      <c r="F888" s="24"/>
      <c r="G888" s="25" t="str">
        <f>IF($D888="","",IFERROR(VLOOKUP($D888,'ACAS Capital Tracker'!$A:$D,4,FALSE()),""))</f>
        <v/>
      </c>
      <c r="H888" s="22"/>
    </row>
    <row r="889" spans="1:8">
      <c r="A889" s="21"/>
      <c r="B889" s="22"/>
      <c r="C889" s="22"/>
      <c r="D889" s="22"/>
      <c r="E889" s="23" t="str">
        <f>IF($D889="","",IFERROR(VLOOKUP($D889,'ACAS Capital Tracker'!$A:$H,8,FALSE()),""))</f>
        <v/>
      </c>
      <c r="F889" s="24"/>
      <c r="G889" s="25" t="str">
        <f>IF($D889="","",IFERROR(VLOOKUP($D889,'ACAS Capital Tracker'!$A:$D,4,FALSE()),""))</f>
        <v/>
      </c>
      <c r="H889" s="22"/>
    </row>
    <row r="890" spans="1:8">
      <c r="A890" s="21"/>
      <c r="B890" s="22"/>
      <c r="C890" s="22"/>
      <c r="D890" s="22"/>
      <c r="E890" s="23" t="str">
        <f>IF($D890="","",IFERROR(VLOOKUP($D890,'ACAS Capital Tracker'!$A:$H,8,FALSE()),""))</f>
        <v/>
      </c>
      <c r="F890" s="24"/>
      <c r="G890" s="25" t="str">
        <f>IF($D890="","",IFERROR(VLOOKUP($D890,'ACAS Capital Tracker'!$A:$D,4,FALSE()),""))</f>
        <v/>
      </c>
      <c r="H890" s="22"/>
    </row>
    <row r="891" spans="1:8">
      <c r="A891" s="21"/>
      <c r="B891" s="22"/>
      <c r="C891" s="22"/>
      <c r="D891" s="22"/>
      <c r="E891" s="23" t="str">
        <f>IF($D891="","",IFERROR(VLOOKUP($D891,'ACAS Capital Tracker'!$A:$H,8,FALSE()),""))</f>
        <v/>
      </c>
      <c r="F891" s="24"/>
      <c r="G891" s="25" t="str">
        <f>IF($D891="","",IFERROR(VLOOKUP($D891,'ACAS Capital Tracker'!$A:$D,4,FALSE()),""))</f>
        <v/>
      </c>
      <c r="H891" s="22"/>
    </row>
    <row r="892" spans="1:8">
      <c r="A892" s="21"/>
      <c r="B892" s="22"/>
      <c r="C892" s="22"/>
      <c r="D892" s="22"/>
      <c r="E892" s="23" t="str">
        <f>IF($D892="","",IFERROR(VLOOKUP($D892,'ACAS Capital Tracker'!$A:$H,8,FALSE()),""))</f>
        <v/>
      </c>
      <c r="F892" s="24"/>
      <c r="G892" s="25" t="str">
        <f>IF($D892="","",IFERROR(VLOOKUP($D892,'ACAS Capital Tracker'!$A:$D,4,FALSE()),""))</f>
        <v/>
      </c>
      <c r="H892" s="22"/>
    </row>
    <row r="893" spans="1:8">
      <c r="A893" s="21"/>
      <c r="B893" s="22"/>
      <c r="C893" s="22"/>
      <c r="D893" s="22"/>
      <c r="E893" s="23" t="str">
        <f>IF($D893="","",IFERROR(VLOOKUP($D893,'ACAS Capital Tracker'!$A:$H,8,FALSE()),""))</f>
        <v/>
      </c>
      <c r="F893" s="24"/>
      <c r="G893" s="25" t="str">
        <f>IF($D893="","",IFERROR(VLOOKUP($D893,'ACAS Capital Tracker'!$A:$D,4,FALSE()),""))</f>
        <v/>
      </c>
      <c r="H893" s="22"/>
    </row>
    <row r="894" spans="1:8">
      <c r="A894" s="21"/>
      <c r="B894" s="22"/>
      <c r="C894" s="22"/>
      <c r="D894" s="22"/>
      <c r="E894" s="23" t="str">
        <f>IF($D894="","",IFERROR(VLOOKUP($D894,'ACAS Capital Tracker'!$A:$H,8,FALSE()),""))</f>
        <v/>
      </c>
      <c r="F894" s="24"/>
      <c r="G894" s="25" t="str">
        <f>IF($D894="","",IFERROR(VLOOKUP($D894,'ACAS Capital Tracker'!$A:$D,4,FALSE()),""))</f>
        <v/>
      </c>
      <c r="H894" s="22"/>
    </row>
    <row r="895" spans="1:8">
      <c r="A895" s="21"/>
      <c r="B895" s="22"/>
      <c r="C895" s="22"/>
      <c r="D895" s="22"/>
      <c r="E895" s="23" t="str">
        <f>IF($D895="","",IFERROR(VLOOKUP($D895,'ACAS Capital Tracker'!$A:$H,8,FALSE()),""))</f>
        <v/>
      </c>
      <c r="F895" s="24"/>
      <c r="G895" s="25" t="str">
        <f>IF($D895="","",IFERROR(VLOOKUP($D895,'ACAS Capital Tracker'!$A:$D,4,FALSE()),""))</f>
        <v/>
      </c>
      <c r="H895" s="22"/>
    </row>
    <row r="896" spans="1:8">
      <c r="A896" s="21"/>
      <c r="B896" s="22"/>
      <c r="C896" s="22"/>
      <c r="D896" s="22"/>
      <c r="E896" s="23" t="str">
        <f>IF($D896="","",IFERROR(VLOOKUP($D896,'ACAS Capital Tracker'!$A:$H,8,FALSE()),""))</f>
        <v/>
      </c>
      <c r="F896" s="24"/>
      <c r="G896" s="25" t="str">
        <f>IF($D896="","",IFERROR(VLOOKUP($D896,'ACAS Capital Tracker'!$A:$D,4,FALSE()),""))</f>
        <v/>
      </c>
      <c r="H896" s="22"/>
    </row>
    <row r="897" spans="1:8">
      <c r="A897" s="21"/>
      <c r="B897" s="22"/>
      <c r="C897" s="22"/>
      <c r="D897" s="22"/>
      <c r="E897" s="23" t="str">
        <f>IF($D897="","",IFERROR(VLOOKUP($D897,'ACAS Capital Tracker'!$A:$H,8,FALSE()),""))</f>
        <v/>
      </c>
      <c r="F897" s="24"/>
      <c r="G897" s="25" t="str">
        <f>IF($D897="","",IFERROR(VLOOKUP($D897,'ACAS Capital Tracker'!$A:$D,4,FALSE()),""))</f>
        <v/>
      </c>
      <c r="H897" s="22"/>
    </row>
    <row r="898" spans="1:8">
      <c r="A898" s="21"/>
      <c r="B898" s="22"/>
      <c r="C898" s="22"/>
      <c r="D898" s="22"/>
      <c r="E898" s="23" t="str">
        <f>IF($D898="","",IFERROR(VLOOKUP($D898,'ACAS Capital Tracker'!$A:$H,8,FALSE()),""))</f>
        <v/>
      </c>
      <c r="F898" s="24"/>
      <c r="G898" s="25" t="str">
        <f>IF($D898="","",IFERROR(VLOOKUP($D898,'ACAS Capital Tracker'!$A:$D,4,FALSE()),""))</f>
        <v/>
      </c>
      <c r="H898" s="22"/>
    </row>
    <row r="899" spans="1:8">
      <c r="A899" s="21"/>
      <c r="B899" s="22"/>
      <c r="C899" s="22"/>
      <c r="D899" s="22"/>
      <c r="E899" s="23" t="str">
        <f>IF($D899="","",IFERROR(VLOOKUP($D899,'ACAS Capital Tracker'!$A:$H,8,FALSE()),""))</f>
        <v/>
      </c>
      <c r="F899" s="24"/>
      <c r="G899" s="25" t="str">
        <f>IF($D899="","",IFERROR(VLOOKUP($D899,'ACAS Capital Tracker'!$A:$D,4,FALSE()),""))</f>
        <v/>
      </c>
      <c r="H899" s="22"/>
    </row>
    <row r="900" spans="1:8">
      <c r="A900" s="21"/>
      <c r="B900" s="22"/>
      <c r="C900" s="22"/>
      <c r="D900" s="22"/>
      <c r="E900" s="23" t="str">
        <f>IF($D900="","",IFERROR(VLOOKUP($D900,'ACAS Capital Tracker'!$A:$H,8,FALSE()),""))</f>
        <v/>
      </c>
      <c r="F900" s="24"/>
      <c r="G900" s="25" t="str">
        <f>IF($D900="","",IFERROR(VLOOKUP($D900,'ACAS Capital Tracker'!$A:$D,4,FALSE()),""))</f>
        <v/>
      </c>
      <c r="H900" s="22"/>
    </row>
    <row r="901" spans="1:8">
      <c r="A901" s="21"/>
      <c r="B901" s="22"/>
      <c r="C901" s="22"/>
      <c r="D901" s="22"/>
      <c r="E901" s="23" t="str">
        <f>IF($D901="","",IFERROR(VLOOKUP($D901,'ACAS Capital Tracker'!$A:$H,8,FALSE()),""))</f>
        <v/>
      </c>
      <c r="F901" s="24"/>
      <c r="G901" s="25" t="str">
        <f>IF($D901="","",IFERROR(VLOOKUP($D901,'ACAS Capital Tracker'!$A:$D,4,FALSE()),""))</f>
        <v/>
      </c>
      <c r="H901" s="22"/>
    </row>
    <row r="902" spans="1:8">
      <c r="A902" s="21"/>
      <c r="B902" s="22"/>
      <c r="C902" s="22"/>
      <c r="D902" s="22"/>
      <c r="E902" s="23" t="str">
        <f>IF($D902="","",IFERROR(VLOOKUP($D902,'ACAS Capital Tracker'!$A:$H,8,FALSE()),""))</f>
        <v/>
      </c>
      <c r="F902" s="24"/>
      <c r="G902" s="25" t="str">
        <f>IF($D902="","",IFERROR(VLOOKUP($D902,'ACAS Capital Tracker'!$A:$D,4,FALSE()),""))</f>
        <v/>
      </c>
      <c r="H902" s="22"/>
    </row>
    <row r="903" spans="1:8">
      <c r="A903" s="21"/>
      <c r="B903" s="22"/>
      <c r="C903" s="22"/>
      <c r="D903" s="22"/>
      <c r="E903" s="23" t="str">
        <f>IF($D903="","",IFERROR(VLOOKUP($D903,'ACAS Capital Tracker'!$A:$H,8,FALSE()),""))</f>
        <v/>
      </c>
      <c r="F903" s="24"/>
      <c r="G903" s="25" t="str">
        <f>IF($D903="","",IFERROR(VLOOKUP($D903,'ACAS Capital Tracker'!$A:$D,4,FALSE()),""))</f>
        <v/>
      </c>
      <c r="H903" s="22"/>
    </row>
    <row r="904" spans="1:8">
      <c r="A904" s="21"/>
      <c r="B904" s="22"/>
      <c r="C904" s="22"/>
      <c r="D904" s="22"/>
      <c r="E904" s="23" t="str">
        <f>IF($D904="","",IFERROR(VLOOKUP($D904,'ACAS Capital Tracker'!$A:$H,8,FALSE()),""))</f>
        <v/>
      </c>
      <c r="F904" s="24"/>
      <c r="G904" s="25" t="str">
        <f>IF($D904="","",IFERROR(VLOOKUP($D904,'ACAS Capital Tracker'!$A:$D,4,FALSE()),""))</f>
        <v/>
      </c>
      <c r="H904" s="22"/>
    </row>
    <row r="905" spans="1:8">
      <c r="A905" s="21"/>
      <c r="B905" s="22"/>
      <c r="C905" s="22"/>
      <c r="D905" s="22"/>
      <c r="E905" s="23" t="str">
        <f>IF($D905="","",IFERROR(VLOOKUP($D905,'ACAS Capital Tracker'!$A:$H,8,FALSE()),""))</f>
        <v/>
      </c>
      <c r="F905" s="24"/>
      <c r="G905" s="25" t="str">
        <f>IF($D905="","",IFERROR(VLOOKUP($D905,'ACAS Capital Tracker'!$A:$D,4,FALSE()),""))</f>
        <v/>
      </c>
      <c r="H905" s="22"/>
    </row>
    <row r="906" spans="1:8">
      <c r="A906" s="21"/>
      <c r="B906" s="22"/>
      <c r="C906" s="22"/>
      <c r="D906" s="22"/>
      <c r="E906" s="23" t="str">
        <f>IF($D906="","",IFERROR(VLOOKUP($D906,'ACAS Capital Tracker'!$A:$H,8,FALSE()),""))</f>
        <v/>
      </c>
      <c r="F906" s="24"/>
      <c r="G906" s="25" t="str">
        <f>IF($D906="","",IFERROR(VLOOKUP($D906,'ACAS Capital Tracker'!$A:$D,4,FALSE()),""))</f>
        <v/>
      </c>
      <c r="H906" s="22"/>
    </row>
    <row r="907" spans="1:8">
      <c r="A907" s="21"/>
      <c r="B907" s="22"/>
      <c r="C907" s="22"/>
      <c r="D907" s="22"/>
      <c r="E907" s="23" t="str">
        <f>IF($D907="","",IFERROR(VLOOKUP($D907,'ACAS Capital Tracker'!$A:$H,8,FALSE()),""))</f>
        <v/>
      </c>
      <c r="F907" s="24"/>
      <c r="G907" s="25" t="str">
        <f>IF($D907="","",IFERROR(VLOOKUP($D907,'ACAS Capital Tracker'!$A:$D,4,FALSE()),""))</f>
        <v/>
      </c>
      <c r="H907" s="22"/>
    </row>
    <row r="908" spans="1:8">
      <c r="A908" s="21"/>
      <c r="B908" s="22"/>
      <c r="C908" s="22"/>
      <c r="D908" s="22"/>
      <c r="E908" s="23" t="str">
        <f>IF($D908="","",IFERROR(VLOOKUP($D908,'ACAS Capital Tracker'!$A:$H,8,FALSE()),""))</f>
        <v/>
      </c>
      <c r="F908" s="24"/>
      <c r="G908" s="25" t="str">
        <f>IF($D908="","",IFERROR(VLOOKUP($D908,'ACAS Capital Tracker'!$A:$D,4,FALSE()),""))</f>
        <v/>
      </c>
      <c r="H908" s="22"/>
    </row>
    <row r="909" spans="1:8">
      <c r="A909" s="21"/>
      <c r="B909" s="22"/>
      <c r="C909" s="22"/>
      <c r="D909" s="22"/>
      <c r="E909" s="23" t="str">
        <f>IF($D909="","",IFERROR(VLOOKUP($D909,'ACAS Capital Tracker'!$A:$H,8,FALSE()),""))</f>
        <v/>
      </c>
      <c r="F909" s="24"/>
      <c r="G909" s="25" t="str">
        <f>IF($D909="","",IFERROR(VLOOKUP($D909,'ACAS Capital Tracker'!$A:$D,4,FALSE()),""))</f>
        <v/>
      </c>
      <c r="H909" s="22"/>
    </row>
    <row r="910" spans="1:8">
      <c r="A910" s="21"/>
      <c r="B910" s="22"/>
      <c r="C910" s="22"/>
      <c r="D910" s="22"/>
      <c r="E910" s="23" t="str">
        <f>IF($D910="","",IFERROR(VLOOKUP($D910,'ACAS Capital Tracker'!$A:$H,8,FALSE()),""))</f>
        <v/>
      </c>
      <c r="F910" s="24"/>
      <c r="G910" s="25" t="str">
        <f>IF($D910="","",IFERROR(VLOOKUP($D910,'ACAS Capital Tracker'!$A:$D,4,FALSE()),""))</f>
        <v/>
      </c>
      <c r="H910" s="22"/>
    </row>
    <row r="911" spans="1:8">
      <c r="A911" s="21"/>
      <c r="B911" s="22"/>
      <c r="C911" s="22"/>
      <c r="D911" s="22"/>
      <c r="E911" s="23" t="str">
        <f>IF($D911="","",IFERROR(VLOOKUP($D911,'ACAS Capital Tracker'!$A:$H,8,FALSE()),""))</f>
        <v/>
      </c>
      <c r="F911" s="24"/>
      <c r="G911" s="25" t="str">
        <f>IF($D911="","",IFERROR(VLOOKUP($D911,'ACAS Capital Tracker'!$A:$D,4,FALSE()),""))</f>
        <v/>
      </c>
      <c r="H911" s="22"/>
    </row>
    <row r="912" spans="1:8">
      <c r="A912" s="21"/>
      <c r="B912" s="22"/>
      <c r="C912" s="22"/>
      <c r="D912" s="22"/>
      <c r="E912" s="23" t="str">
        <f>IF($D912="","",IFERROR(VLOOKUP($D912,'ACAS Capital Tracker'!$A:$H,8,FALSE()),""))</f>
        <v/>
      </c>
      <c r="F912" s="24"/>
      <c r="G912" s="25" t="str">
        <f>IF($D912="","",IFERROR(VLOOKUP($D912,'ACAS Capital Tracker'!$A:$D,4,FALSE()),""))</f>
        <v/>
      </c>
      <c r="H912" s="22"/>
    </row>
    <row r="913" spans="1:8">
      <c r="A913" s="21"/>
      <c r="B913" s="22"/>
      <c r="C913" s="22"/>
      <c r="D913" s="22"/>
      <c r="E913" s="23" t="str">
        <f>IF($D913="","",IFERROR(VLOOKUP($D913,'ACAS Capital Tracker'!$A:$H,8,FALSE()),""))</f>
        <v/>
      </c>
      <c r="F913" s="24"/>
      <c r="G913" s="25" t="str">
        <f>IF($D913="","",IFERROR(VLOOKUP($D913,'ACAS Capital Tracker'!$A:$D,4,FALSE()),""))</f>
        <v/>
      </c>
      <c r="H913" s="22"/>
    </row>
    <row r="914" spans="1:8">
      <c r="A914" s="21"/>
      <c r="B914" s="22"/>
      <c r="C914" s="22"/>
      <c r="D914" s="22"/>
      <c r="E914" s="23" t="str">
        <f>IF($D914="","",IFERROR(VLOOKUP($D914,'ACAS Capital Tracker'!$A:$H,8,FALSE()),""))</f>
        <v/>
      </c>
      <c r="F914" s="24"/>
      <c r="G914" s="25" t="str">
        <f>IF($D914="","",IFERROR(VLOOKUP($D914,'ACAS Capital Tracker'!$A:$D,4,FALSE()),""))</f>
        <v/>
      </c>
      <c r="H914" s="22"/>
    </row>
    <row r="915" spans="1:8">
      <c r="A915" s="21"/>
      <c r="B915" s="22"/>
      <c r="C915" s="22"/>
      <c r="D915" s="22"/>
      <c r="E915" s="23" t="str">
        <f>IF($D915="","",IFERROR(VLOOKUP($D915,'ACAS Capital Tracker'!$A:$H,8,FALSE()),""))</f>
        <v/>
      </c>
      <c r="F915" s="24"/>
      <c r="G915" s="25" t="str">
        <f>IF($D915="","",IFERROR(VLOOKUP($D915,'ACAS Capital Tracker'!$A:$D,4,FALSE()),""))</f>
        <v/>
      </c>
      <c r="H915" s="22"/>
    </row>
    <row r="916" spans="1:8">
      <c r="A916" s="21"/>
      <c r="B916" s="22"/>
      <c r="C916" s="22"/>
      <c r="D916" s="22"/>
      <c r="E916" s="23" t="str">
        <f>IF($D916="","",IFERROR(VLOOKUP($D916,'ACAS Capital Tracker'!$A:$H,8,FALSE()),""))</f>
        <v/>
      </c>
      <c r="F916" s="24"/>
      <c r="G916" s="25" t="str">
        <f>IF($D916="","",IFERROR(VLOOKUP($D916,'ACAS Capital Tracker'!$A:$D,4,FALSE()),""))</f>
        <v/>
      </c>
      <c r="H916" s="22"/>
    </row>
    <row r="917" spans="1:8">
      <c r="A917" s="21"/>
      <c r="B917" s="22"/>
      <c r="C917" s="22"/>
      <c r="D917" s="22"/>
      <c r="E917" s="23" t="str">
        <f>IF($D917="","",IFERROR(VLOOKUP($D917,'ACAS Capital Tracker'!$A:$H,8,FALSE()),""))</f>
        <v/>
      </c>
      <c r="F917" s="24"/>
      <c r="G917" s="25" t="str">
        <f>IF($D917="","",IFERROR(VLOOKUP($D917,'ACAS Capital Tracker'!$A:$D,4,FALSE()),""))</f>
        <v/>
      </c>
      <c r="H917" s="22"/>
    </row>
    <row r="918" spans="1:8">
      <c r="A918" s="21"/>
      <c r="B918" s="22"/>
      <c r="C918" s="22"/>
      <c r="D918" s="22"/>
      <c r="E918" s="23" t="str">
        <f>IF($D918="","",IFERROR(VLOOKUP($D918,'ACAS Capital Tracker'!$A:$H,8,FALSE()),""))</f>
        <v/>
      </c>
      <c r="F918" s="24"/>
      <c r="G918" s="25" t="str">
        <f>IF($D918="","",IFERROR(VLOOKUP($D918,'ACAS Capital Tracker'!$A:$D,4,FALSE()),""))</f>
        <v/>
      </c>
      <c r="H918" s="22"/>
    </row>
    <row r="919" spans="1:8">
      <c r="A919" s="21"/>
      <c r="B919" s="22"/>
      <c r="C919" s="22"/>
      <c r="D919" s="22"/>
      <c r="E919" s="23" t="str">
        <f>IF($D919="","",IFERROR(VLOOKUP($D919,'ACAS Capital Tracker'!$A:$H,8,FALSE()),""))</f>
        <v/>
      </c>
      <c r="F919" s="24"/>
      <c r="G919" s="25" t="str">
        <f>IF($D919="","",IFERROR(VLOOKUP($D919,'ACAS Capital Tracker'!$A:$D,4,FALSE()),""))</f>
        <v/>
      </c>
      <c r="H919" s="22"/>
    </row>
    <row r="920" spans="1:8">
      <c r="A920" s="21"/>
      <c r="B920" s="22"/>
      <c r="C920" s="22"/>
      <c r="D920" s="22"/>
      <c r="E920" s="23" t="str">
        <f>IF($D920="","",IFERROR(VLOOKUP($D920,'ACAS Capital Tracker'!$A:$H,8,FALSE()),""))</f>
        <v/>
      </c>
      <c r="F920" s="24"/>
      <c r="G920" s="25" t="str">
        <f>IF($D920="","",IFERROR(VLOOKUP($D920,'ACAS Capital Tracker'!$A:$D,4,FALSE()),""))</f>
        <v/>
      </c>
      <c r="H920" s="22"/>
    </row>
    <row r="921" spans="1:8">
      <c r="A921" s="21"/>
      <c r="B921" s="22"/>
      <c r="C921" s="22"/>
      <c r="D921" s="22"/>
      <c r="E921" s="23" t="str">
        <f>IF($D921="","",IFERROR(VLOOKUP($D921,'ACAS Capital Tracker'!$A:$H,8,FALSE()),""))</f>
        <v/>
      </c>
      <c r="F921" s="24"/>
      <c r="G921" s="25" t="str">
        <f>IF($D921="","",IFERROR(VLOOKUP($D921,'ACAS Capital Tracker'!$A:$D,4,FALSE()),""))</f>
        <v/>
      </c>
      <c r="H921" s="22"/>
    </row>
    <row r="922" spans="1:8">
      <c r="A922" s="21"/>
      <c r="B922" s="22"/>
      <c r="C922" s="22"/>
      <c r="D922" s="22"/>
      <c r="E922" s="23" t="str">
        <f>IF($D922="","",IFERROR(VLOOKUP($D922,'ACAS Capital Tracker'!$A:$H,8,FALSE()),""))</f>
        <v/>
      </c>
      <c r="F922" s="24"/>
      <c r="G922" s="25" t="str">
        <f>IF($D922="","",IFERROR(VLOOKUP($D922,'ACAS Capital Tracker'!$A:$D,4,FALSE()),""))</f>
        <v/>
      </c>
      <c r="H922" s="22"/>
    </row>
    <row r="923" spans="1:8">
      <c r="A923" s="21"/>
      <c r="B923" s="22"/>
      <c r="C923" s="22"/>
      <c r="D923" s="22"/>
      <c r="E923" s="23" t="str">
        <f>IF($D923="","",IFERROR(VLOOKUP($D923,'ACAS Capital Tracker'!$A:$H,8,FALSE()),""))</f>
        <v/>
      </c>
      <c r="F923" s="24"/>
      <c r="G923" s="25" t="str">
        <f>IF($D923="","",IFERROR(VLOOKUP($D923,'ACAS Capital Tracker'!$A:$D,4,FALSE()),""))</f>
        <v/>
      </c>
      <c r="H923" s="22"/>
    </row>
    <row r="924" spans="1:8">
      <c r="A924" s="21"/>
      <c r="B924" s="22"/>
      <c r="C924" s="22"/>
      <c r="D924" s="22"/>
      <c r="E924" s="23" t="str">
        <f>IF($D924="","",IFERROR(VLOOKUP($D924,'ACAS Capital Tracker'!$A:$H,8,FALSE()),""))</f>
        <v/>
      </c>
      <c r="F924" s="24"/>
      <c r="G924" s="25" t="str">
        <f>IF($D924="","",IFERROR(VLOOKUP($D924,'ACAS Capital Tracker'!$A:$D,4,FALSE()),""))</f>
        <v/>
      </c>
      <c r="H924" s="22"/>
    </row>
    <row r="925" spans="1:8">
      <c r="A925" s="21"/>
      <c r="B925" s="22"/>
      <c r="C925" s="22"/>
      <c r="D925" s="22"/>
      <c r="E925" s="23" t="str">
        <f>IF($D925="","",IFERROR(VLOOKUP($D925,'ACAS Capital Tracker'!$A:$H,8,FALSE()),""))</f>
        <v/>
      </c>
      <c r="F925" s="24"/>
      <c r="G925" s="25" t="str">
        <f>IF($D925="","",IFERROR(VLOOKUP($D925,'ACAS Capital Tracker'!$A:$D,4,FALSE()),""))</f>
        <v/>
      </c>
      <c r="H925" s="22"/>
    </row>
    <row r="926" spans="1:8">
      <c r="A926" s="21"/>
      <c r="B926" s="22"/>
      <c r="C926" s="22"/>
      <c r="D926" s="22"/>
      <c r="E926" s="23" t="str">
        <f>IF($D926="","",IFERROR(VLOOKUP($D926,'ACAS Capital Tracker'!$A:$H,8,FALSE()),""))</f>
        <v/>
      </c>
      <c r="F926" s="24"/>
      <c r="G926" s="25" t="str">
        <f>IF($D926="","",IFERROR(VLOOKUP($D926,'ACAS Capital Tracker'!$A:$D,4,FALSE()),""))</f>
        <v/>
      </c>
      <c r="H926" s="22"/>
    </row>
    <row r="927" spans="1:8">
      <c r="A927" s="21"/>
      <c r="B927" s="22"/>
      <c r="C927" s="22"/>
      <c r="D927" s="22"/>
      <c r="E927" s="23" t="str">
        <f>IF($D927="","",IFERROR(VLOOKUP($D927,'ACAS Capital Tracker'!$A:$H,8,FALSE()),""))</f>
        <v/>
      </c>
      <c r="F927" s="24"/>
      <c r="G927" s="25" t="str">
        <f>IF($D927="","",IFERROR(VLOOKUP($D927,'ACAS Capital Tracker'!$A:$D,4,FALSE()),""))</f>
        <v/>
      </c>
      <c r="H927" s="22"/>
    </row>
    <row r="928" spans="1:8">
      <c r="A928" s="21"/>
      <c r="B928" s="22"/>
      <c r="C928" s="22"/>
      <c r="D928" s="22"/>
      <c r="E928" s="23" t="str">
        <f>IF($D928="","",IFERROR(VLOOKUP($D928,'ACAS Capital Tracker'!$A:$H,8,FALSE()),""))</f>
        <v/>
      </c>
      <c r="F928" s="24"/>
      <c r="G928" s="25" t="str">
        <f>IF($D928="","",IFERROR(VLOOKUP($D928,'ACAS Capital Tracker'!$A:$D,4,FALSE()),""))</f>
        <v/>
      </c>
      <c r="H928" s="22"/>
    </row>
    <row r="929" spans="1:8">
      <c r="A929" s="21"/>
      <c r="B929" s="22"/>
      <c r="C929" s="22"/>
      <c r="D929" s="22"/>
      <c r="E929" s="23" t="str">
        <f>IF($D929="","",IFERROR(VLOOKUP($D929,'ACAS Capital Tracker'!$A:$H,8,FALSE()),""))</f>
        <v/>
      </c>
      <c r="F929" s="24"/>
      <c r="G929" s="25" t="str">
        <f>IF($D929="","",IFERROR(VLOOKUP($D929,'ACAS Capital Tracker'!$A:$D,4,FALSE()),""))</f>
        <v/>
      </c>
      <c r="H929" s="22"/>
    </row>
    <row r="930" spans="1:8">
      <c r="A930" s="21"/>
      <c r="B930" s="22"/>
      <c r="C930" s="22"/>
      <c r="D930" s="22"/>
      <c r="E930" s="23" t="str">
        <f>IF($D930="","",IFERROR(VLOOKUP($D930,'ACAS Capital Tracker'!$A:$H,8,FALSE()),""))</f>
        <v/>
      </c>
      <c r="F930" s="24"/>
      <c r="G930" s="25" t="str">
        <f>IF($D930="","",IFERROR(VLOOKUP($D930,'ACAS Capital Tracker'!$A:$D,4,FALSE()),""))</f>
        <v/>
      </c>
      <c r="H930" s="22"/>
    </row>
    <row r="931" spans="1:8">
      <c r="A931" s="21"/>
      <c r="B931" s="22"/>
      <c r="C931" s="22"/>
      <c r="D931" s="22"/>
      <c r="E931" s="23" t="str">
        <f>IF($D931="","",IFERROR(VLOOKUP($D931,'ACAS Capital Tracker'!$A:$H,8,FALSE()),""))</f>
        <v/>
      </c>
      <c r="F931" s="24"/>
      <c r="G931" s="25" t="str">
        <f>IF($D931="","",IFERROR(VLOOKUP($D931,'ACAS Capital Tracker'!$A:$D,4,FALSE()),""))</f>
        <v/>
      </c>
      <c r="H931" s="22"/>
    </row>
    <row r="932" spans="1:8">
      <c r="A932" s="21"/>
      <c r="B932" s="22"/>
      <c r="C932" s="22"/>
      <c r="D932" s="22"/>
      <c r="E932" s="23" t="str">
        <f>IF($D932="","",IFERROR(VLOOKUP($D932,'ACAS Capital Tracker'!$A:$H,8,FALSE()),""))</f>
        <v/>
      </c>
      <c r="F932" s="24"/>
      <c r="G932" s="25" t="str">
        <f>IF($D932="","",IFERROR(VLOOKUP($D932,'ACAS Capital Tracker'!$A:$D,4,FALSE()),""))</f>
        <v/>
      </c>
      <c r="H932" s="22"/>
    </row>
    <row r="933" spans="1:8">
      <c r="A933" s="21"/>
      <c r="B933" s="22"/>
      <c r="C933" s="22"/>
      <c r="D933" s="22"/>
      <c r="E933" s="23" t="str">
        <f>IF($D933="","",IFERROR(VLOOKUP($D933,'ACAS Capital Tracker'!$A:$H,8,FALSE()),""))</f>
        <v/>
      </c>
      <c r="F933" s="24"/>
      <c r="G933" s="25" t="str">
        <f>IF($D933="","",IFERROR(VLOOKUP($D933,'ACAS Capital Tracker'!$A:$D,4,FALSE()),""))</f>
        <v/>
      </c>
      <c r="H933" s="22"/>
    </row>
    <row r="934" spans="1:8">
      <c r="A934" s="21"/>
      <c r="B934" s="22"/>
      <c r="C934" s="22"/>
      <c r="D934" s="22"/>
      <c r="E934" s="23" t="str">
        <f>IF($D934="","",IFERROR(VLOOKUP($D934,'ACAS Capital Tracker'!$A:$H,8,FALSE()),""))</f>
        <v/>
      </c>
      <c r="F934" s="24"/>
      <c r="G934" s="25" t="str">
        <f>IF($D934="","",IFERROR(VLOOKUP($D934,'ACAS Capital Tracker'!$A:$D,4,FALSE()),""))</f>
        <v/>
      </c>
      <c r="H934" s="22"/>
    </row>
    <row r="935" spans="1:8">
      <c r="A935" s="21"/>
      <c r="B935" s="22"/>
      <c r="C935" s="22"/>
      <c r="D935" s="22"/>
      <c r="E935" s="23" t="str">
        <f>IF($D935="","",IFERROR(VLOOKUP($D935,'ACAS Capital Tracker'!$A:$H,8,FALSE()),""))</f>
        <v/>
      </c>
      <c r="F935" s="24"/>
      <c r="G935" s="25" t="str">
        <f>IF($D935="","",IFERROR(VLOOKUP($D935,'ACAS Capital Tracker'!$A:$D,4,FALSE()),""))</f>
        <v/>
      </c>
      <c r="H935" s="22"/>
    </row>
    <row r="936" spans="1:8">
      <c r="A936" s="21"/>
      <c r="B936" s="22"/>
      <c r="C936" s="22"/>
      <c r="D936" s="22"/>
      <c r="E936" s="23" t="str">
        <f>IF($D936="","",IFERROR(VLOOKUP($D936,'ACAS Capital Tracker'!$A:$H,8,FALSE()),""))</f>
        <v/>
      </c>
      <c r="F936" s="24"/>
      <c r="G936" s="25" t="str">
        <f>IF($D936="","",IFERROR(VLOOKUP($D936,'ACAS Capital Tracker'!$A:$D,4,FALSE()),""))</f>
        <v/>
      </c>
      <c r="H936" s="22"/>
    </row>
    <row r="937" spans="1:8">
      <c r="A937" s="21"/>
      <c r="B937" s="22"/>
      <c r="C937" s="22"/>
      <c r="D937" s="22"/>
      <c r="E937" s="23" t="str">
        <f>IF($D937="","",IFERROR(VLOOKUP($D937,'ACAS Capital Tracker'!$A:$H,8,FALSE()),""))</f>
        <v/>
      </c>
      <c r="F937" s="24"/>
      <c r="G937" s="25" t="str">
        <f>IF($D937="","",IFERROR(VLOOKUP($D937,'ACAS Capital Tracker'!$A:$D,4,FALSE()),""))</f>
        <v/>
      </c>
      <c r="H937" s="22"/>
    </row>
    <row r="938" spans="1:8">
      <c r="A938" s="21"/>
      <c r="B938" s="22"/>
      <c r="C938" s="22"/>
      <c r="D938" s="22"/>
      <c r="E938" s="23" t="str">
        <f>IF($D938="","",IFERROR(VLOOKUP($D938,'ACAS Capital Tracker'!$A:$H,8,FALSE()),""))</f>
        <v/>
      </c>
      <c r="F938" s="24"/>
      <c r="G938" s="25" t="str">
        <f>IF($D938="","",IFERROR(VLOOKUP($D938,'ACAS Capital Tracker'!$A:$D,4,FALSE()),""))</f>
        <v/>
      </c>
      <c r="H938" s="22"/>
    </row>
    <row r="939" spans="1:8">
      <c r="A939" s="21"/>
      <c r="B939" s="22"/>
      <c r="C939" s="22"/>
      <c r="D939" s="22"/>
      <c r="E939" s="23" t="str">
        <f>IF($D939="","",IFERROR(VLOOKUP($D939,'ACAS Capital Tracker'!$A:$H,8,FALSE()),""))</f>
        <v/>
      </c>
      <c r="F939" s="24"/>
      <c r="G939" s="25" t="str">
        <f>IF($D939="","",IFERROR(VLOOKUP($D939,'ACAS Capital Tracker'!$A:$D,4,FALSE()),""))</f>
        <v/>
      </c>
      <c r="H939" s="22"/>
    </row>
    <row r="940" spans="1:8">
      <c r="A940" s="21"/>
      <c r="B940" s="22"/>
      <c r="C940" s="22"/>
      <c r="D940" s="22"/>
      <c r="E940" s="23" t="str">
        <f>IF($D940="","",IFERROR(VLOOKUP($D940,'ACAS Capital Tracker'!$A:$H,8,FALSE()),""))</f>
        <v/>
      </c>
      <c r="F940" s="24"/>
      <c r="G940" s="25" t="str">
        <f>IF($D940="","",IFERROR(VLOOKUP($D940,'ACAS Capital Tracker'!$A:$D,4,FALSE()),""))</f>
        <v/>
      </c>
      <c r="H940" s="22"/>
    </row>
    <row r="941" spans="1:8">
      <c r="A941" s="21"/>
      <c r="B941" s="22"/>
      <c r="C941" s="22"/>
      <c r="D941" s="22"/>
      <c r="E941" s="23" t="str">
        <f>IF($D941="","",IFERROR(VLOOKUP($D941,'ACAS Capital Tracker'!$A:$H,8,FALSE()),""))</f>
        <v/>
      </c>
      <c r="F941" s="24"/>
      <c r="G941" s="25" t="str">
        <f>IF($D941="","",IFERROR(VLOOKUP($D941,'ACAS Capital Tracker'!$A:$D,4,FALSE()),""))</f>
        <v/>
      </c>
      <c r="H941" s="22"/>
    </row>
    <row r="942" spans="1:8">
      <c r="A942" s="21"/>
      <c r="B942" s="22"/>
      <c r="C942" s="22"/>
      <c r="D942" s="22"/>
      <c r="E942" s="23" t="str">
        <f>IF($D942="","",IFERROR(VLOOKUP($D942,'ACAS Capital Tracker'!$A:$H,8,FALSE()),""))</f>
        <v/>
      </c>
      <c r="F942" s="24"/>
      <c r="G942" s="25" t="str">
        <f>IF($D942="","",IFERROR(VLOOKUP($D942,'ACAS Capital Tracker'!$A:$D,4,FALSE()),""))</f>
        <v/>
      </c>
      <c r="H942" s="22"/>
    </row>
    <row r="943" spans="1:8">
      <c r="A943" s="21"/>
      <c r="B943" s="22"/>
      <c r="C943" s="22"/>
      <c r="D943" s="22"/>
      <c r="E943" s="23" t="str">
        <f>IF($D943="","",IFERROR(VLOOKUP($D943,'ACAS Capital Tracker'!$A:$H,8,FALSE()),""))</f>
        <v/>
      </c>
      <c r="F943" s="24"/>
      <c r="G943" s="25" t="str">
        <f>IF($D943="","",IFERROR(VLOOKUP($D943,'ACAS Capital Tracker'!$A:$D,4,FALSE()),""))</f>
        <v/>
      </c>
      <c r="H943" s="22"/>
    </row>
    <row r="944" spans="1:8">
      <c r="A944" s="21"/>
      <c r="B944" s="22"/>
      <c r="C944" s="22"/>
      <c r="D944" s="22"/>
      <c r="E944" s="23" t="str">
        <f>IF($D944="","",IFERROR(VLOOKUP($D944,'ACAS Capital Tracker'!$A:$H,8,FALSE()),""))</f>
        <v/>
      </c>
      <c r="F944" s="24"/>
      <c r="G944" s="25" t="str">
        <f>IF($D944="","",IFERROR(VLOOKUP($D944,'ACAS Capital Tracker'!$A:$D,4,FALSE()),""))</f>
        <v/>
      </c>
      <c r="H944" s="22"/>
    </row>
    <row r="945" spans="1:8">
      <c r="A945" s="21"/>
      <c r="B945" s="22"/>
      <c r="C945" s="22"/>
      <c r="D945" s="22"/>
      <c r="E945" s="23" t="str">
        <f>IF($D945="","",IFERROR(VLOOKUP($D945,'ACAS Capital Tracker'!$A:$H,8,FALSE()),""))</f>
        <v/>
      </c>
      <c r="F945" s="24"/>
      <c r="G945" s="25" t="str">
        <f>IF($D945="","",IFERROR(VLOOKUP($D945,'ACAS Capital Tracker'!$A:$D,4,FALSE()),""))</f>
        <v/>
      </c>
      <c r="H945" s="22"/>
    </row>
    <row r="946" spans="1:8">
      <c r="A946" s="21"/>
      <c r="B946" s="22"/>
      <c r="C946" s="22"/>
      <c r="D946" s="22"/>
      <c r="E946" s="23" t="str">
        <f>IF($D946="","",IFERROR(VLOOKUP($D946,'ACAS Capital Tracker'!$A:$H,8,FALSE()),""))</f>
        <v/>
      </c>
      <c r="F946" s="24"/>
      <c r="G946" s="25" t="str">
        <f>IF($D946="","",IFERROR(VLOOKUP($D946,'ACAS Capital Tracker'!$A:$D,4,FALSE()),""))</f>
        <v/>
      </c>
      <c r="H946" s="22"/>
    </row>
    <row r="947" spans="1:8">
      <c r="A947" s="21"/>
      <c r="B947" s="22"/>
      <c r="C947" s="22"/>
      <c r="D947" s="22"/>
      <c r="E947" s="23" t="str">
        <f>IF($D947="","",IFERROR(VLOOKUP($D947,'ACAS Capital Tracker'!$A:$H,8,FALSE()),""))</f>
        <v/>
      </c>
      <c r="F947" s="24"/>
      <c r="G947" s="25" t="str">
        <f>IF($D947="","",IFERROR(VLOOKUP($D947,'ACAS Capital Tracker'!$A:$D,4,FALSE()),""))</f>
        <v/>
      </c>
      <c r="H947" s="22"/>
    </row>
    <row r="948" spans="1:8">
      <c r="A948" s="21"/>
      <c r="B948" s="22"/>
      <c r="C948" s="22"/>
      <c r="D948" s="22"/>
      <c r="E948" s="23" t="str">
        <f>IF($D948="","",IFERROR(VLOOKUP($D948,'ACAS Capital Tracker'!$A:$H,8,FALSE()),""))</f>
        <v/>
      </c>
      <c r="F948" s="24"/>
      <c r="G948" s="25" t="str">
        <f>IF($D948="","",IFERROR(VLOOKUP($D948,'ACAS Capital Tracker'!$A:$D,4,FALSE()),""))</f>
        <v/>
      </c>
      <c r="H948" s="22"/>
    </row>
    <row r="949" spans="1:8">
      <c r="A949" s="21"/>
      <c r="B949" s="22"/>
      <c r="C949" s="22"/>
      <c r="D949" s="22"/>
      <c r="E949" s="23" t="str">
        <f>IF($D949="","",IFERROR(VLOOKUP($D949,'ACAS Capital Tracker'!$A:$H,8,FALSE()),""))</f>
        <v/>
      </c>
      <c r="F949" s="24"/>
      <c r="G949" s="25" t="str">
        <f>IF($D949="","",IFERROR(VLOOKUP($D949,'ACAS Capital Tracker'!$A:$D,4,FALSE()),""))</f>
        <v/>
      </c>
      <c r="H949" s="22"/>
    </row>
    <row r="950" spans="1:8">
      <c r="A950" s="21"/>
      <c r="B950" s="22"/>
      <c r="C950" s="22"/>
      <c r="D950" s="22"/>
      <c r="E950" s="23" t="str">
        <f>IF($D950="","",IFERROR(VLOOKUP($D950,'ACAS Capital Tracker'!$A:$H,8,FALSE()),""))</f>
        <v/>
      </c>
      <c r="F950" s="24"/>
      <c r="G950" s="25" t="str">
        <f>IF($D950="","",IFERROR(VLOOKUP($D950,'ACAS Capital Tracker'!$A:$D,4,FALSE()),""))</f>
        <v/>
      </c>
      <c r="H950" s="22"/>
    </row>
    <row r="951" spans="1:8">
      <c r="A951" s="21"/>
      <c r="B951" s="22"/>
      <c r="C951" s="22"/>
      <c r="D951" s="22"/>
      <c r="E951" s="23" t="str">
        <f>IF($D951="","",IFERROR(VLOOKUP($D951,'ACAS Capital Tracker'!$A:$H,8,FALSE()),""))</f>
        <v/>
      </c>
      <c r="F951" s="24"/>
      <c r="G951" s="25" t="str">
        <f>IF($D951="","",IFERROR(VLOOKUP($D951,'ACAS Capital Tracker'!$A:$D,4,FALSE()),""))</f>
        <v/>
      </c>
      <c r="H951" s="22"/>
    </row>
    <row r="952" spans="1:8">
      <c r="A952" s="21"/>
      <c r="B952" s="22"/>
      <c r="C952" s="22"/>
      <c r="D952" s="22"/>
      <c r="E952" s="23" t="str">
        <f>IF($D952="","",IFERROR(VLOOKUP($D952,'ACAS Capital Tracker'!$A:$H,8,FALSE()),""))</f>
        <v/>
      </c>
      <c r="F952" s="24"/>
      <c r="G952" s="25" t="str">
        <f>IF($D952="","",IFERROR(VLOOKUP($D952,'ACAS Capital Tracker'!$A:$D,4,FALSE()),""))</f>
        <v/>
      </c>
      <c r="H952" s="22"/>
    </row>
    <row r="953" spans="1:8">
      <c r="A953" s="21"/>
      <c r="B953" s="22"/>
      <c r="C953" s="22"/>
      <c r="D953" s="22"/>
      <c r="E953" s="23" t="str">
        <f>IF($D953="","",IFERROR(VLOOKUP($D953,'ACAS Capital Tracker'!$A:$H,8,FALSE()),""))</f>
        <v/>
      </c>
      <c r="F953" s="24"/>
      <c r="G953" s="25" t="str">
        <f>IF($D953="","",IFERROR(VLOOKUP($D953,'ACAS Capital Tracker'!$A:$D,4,FALSE()),""))</f>
        <v/>
      </c>
      <c r="H953" s="22"/>
    </row>
    <row r="954" spans="1:8">
      <c r="A954" s="21"/>
      <c r="B954" s="22"/>
      <c r="C954" s="22"/>
      <c r="D954" s="22"/>
      <c r="E954" s="23" t="str">
        <f>IF($D954="","",IFERROR(VLOOKUP($D954,'ACAS Capital Tracker'!$A:$H,8,FALSE()),""))</f>
        <v/>
      </c>
      <c r="F954" s="24"/>
      <c r="G954" s="25" t="str">
        <f>IF($D954="","",IFERROR(VLOOKUP($D954,'ACAS Capital Tracker'!$A:$D,4,FALSE()),""))</f>
        <v/>
      </c>
      <c r="H954" s="22"/>
    </row>
    <row r="955" spans="1:8">
      <c r="A955" s="21"/>
      <c r="B955" s="22"/>
      <c r="C955" s="22"/>
      <c r="D955" s="22"/>
      <c r="E955" s="23" t="str">
        <f>IF($D955="","",IFERROR(VLOOKUP($D955,'ACAS Capital Tracker'!$A:$H,8,FALSE()),""))</f>
        <v/>
      </c>
      <c r="F955" s="24"/>
      <c r="G955" s="25" t="str">
        <f>IF($D955="","",IFERROR(VLOOKUP($D955,'ACAS Capital Tracker'!$A:$D,4,FALSE()),""))</f>
        <v/>
      </c>
      <c r="H955" s="22"/>
    </row>
    <row r="956" spans="1:8">
      <c r="A956" s="21"/>
      <c r="B956" s="22"/>
      <c r="C956" s="22"/>
      <c r="D956" s="22"/>
      <c r="E956" s="23" t="str">
        <f>IF($D956="","",IFERROR(VLOOKUP($D956,'ACAS Capital Tracker'!$A:$H,8,FALSE()),""))</f>
        <v/>
      </c>
      <c r="F956" s="24"/>
      <c r="G956" s="25" t="str">
        <f>IF($D956="","",IFERROR(VLOOKUP($D956,'ACAS Capital Tracker'!$A:$D,4,FALSE()),""))</f>
        <v/>
      </c>
      <c r="H956" s="22"/>
    </row>
    <row r="957" spans="1:8">
      <c r="A957" s="21"/>
      <c r="B957" s="22"/>
      <c r="C957" s="22"/>
      <c r="D957" s="22"/>
      <c r="E957" s="23" t="str">
        <f>IF($D957="","",IFERROR(VLOOKUP($D957,'ACAS Capital Tracker'!$A:$H,8,FALSE()),""))</f>
        <v/>
      </c>
      <c r="F957" s="24"/>
      <c r="G957" s="25" t="str">
        <f>IF($D957="","",IFERROR(VLOOKUP($D957,'ACAS Capital Tracker'!$A:$D,4,FALSE()),""))</f>
        <v/>
      </c>
      <c r="H957" s="22"/>
    </row>
    <row r="958" spans="1:8">
      <c r="A958" s="21"/>
      <c r="B958" s="22"/>
      <c r="C958" s="22"/>
      <c r="D958" s="22"/>
      <c r="E958" s="23" t="str">
        <f>IF($D958="","",IFERROR(VLOOKUP($D958,'ACAS Capital Tracker'!$A:$H,8,FALSE()),""))</f>
        <v/>
      </c>
      <c r="F958" s="24"/>
      <c r="G958" s="25" t="str">
        <f>IF($D958="","",IFERROR(VLOOKUP($D958,'ACAS Capital Tracker'!$A:$D,4,FALSE()),""))</f>
        <v/>
      </c>
      <c r="H958" s="22"/>
    </row>
    <row r="959" spans="1:8">
      <c r="A959" s="21"/>
      <c r="B959" s="22"/>
      <c r="C959" s="22"/>
      <c r="D959" s="22"/>
      <c r="E959" s="23" t="str">
        <f>IF($D959="","",IFERROR(VLOOKUP($D959,'ACAS Capital Tracker'!$A:$H,8,FALSE()),""))</f>
        <v/>
      </c>
      <c r="F959" s="24"/>
      <c r="G959" s="25" t="str">
        <f>IF($D959="","",IFERROR(VLOOKUP($D959,'ACAS Capital Tracker'!$A:$D,4,FALSE()),""))</f>
        <v/>
      </c>
      <c r="H959" s="22"/>
    </row>
    <row r="960" spans="1:8">
      <c r="A960" s="21"/>
      <c r="B960" s="22"/>
      <c r="C960" s="22"/>
      <c r="D960" s="22"/>
      <c r="E960" s="23" t="str">
        <f>IF($D960="","",IFERROR(VLOOKUP($D960,'ACAS Capital Tracker'!$A:$H,8,FALSE()),""))</f>
        <v/>
      </c>
      <c r="F960" s="24"/>
      <c r="G960" s="25" t="str">
        <f>IF($D960="","",IFERROR(VLOOKUP($D960,'ACAS Capital Tracker'!$A:$D,4,FALSE()),""))</f>
        <v/>
      </c>
      <c r="H960" s="22"/>
    </row>
    <row r="961" spans="1:8">
      <c r="A961" s="21"/>
      <c r="B961" s="22"/>
      <c r="C961" s="22"/>
      <c r="D961" s="22"/>
      <c r="E961" s="23" t="str">
        <f>IF($D961="","",IFERROR(VLOOKUP($D961,'ACAS Capital Tracker'!$A:$H,8,FALSE()),""))</f>
        <v/>
      </c>
      <c r="F961" s="24"/>
      <c r="G961" s="25" t="str">
        <f>IF($D961="","",IFERROR(VLOOKUP($D961,'ACAS Capital Tracker'!$A:$D,4,FALSE()),""))</f>
        <v/>
      </c>
      <c r="H961" s="22"/>
    </row>
    <row r="962" spans="1:8">
      <c r="A962" s="21"/>
      <c r="B962" s="22"/>
      <c r="C962" s="22"/>
      <c r="D962" s="22"/>
      <c r="E962" s="23" t="str">
        <f>IF($D962="","",IFERROR(VLOOKUP($D962,'ACAS Capital Tracker'!$A:$H,8,FALSE()),""))</f>
        <v/>
      </c>
      <c r="F962" s="24"/>
      <c r="G962" s="25" t="str">
        <f>IF($D962="","",IFERROR(VLOOKUP($D962,'ACAS Capital Tracker'!$A:$D,4,FALSE()),""))</f>
        <v/>
      </c>
      <c r="H962" s="22"/>
    </row>
    <row r="963" spans="1:8">
      <c r="A963" s="21"/>
      <c r="B963" s="22"/>
      <c r="C963" s="22"/>
      <c r="D963" s="22"/>
      <c r="E963" s="23" t="str">
        <f>IF($D963="","",IFERROR(VLOOKUP($D963,'ACAS Capital Tracker'!$A:$H,8,FALSE()),""))</f>
        <v/>
      </c>
      <c r="F963" s="24"/>
      <c r="G963" s="25" t="str">
        <f>IF($D963="","",IFERROR(VLOOKUP($D963,'ACAS Capital Tracker'!$A:$D,4,FALSE()),""))</f>
        <v/>
      </c>
      <c r="H963" s="22"/>
    </row>
    <row r="964" spans="1:8">
      <c r="A964" s="21"/>
      <c r="B964" s="22"/>
      <c r="C964" s="22"/>
      <c r="D964" s="22"/>
      <c r="E964" s="23" t="str">
        <f>IF($D964="","",IFERROR(VLOOKUP($D964,'ACAS Capital Tracker'!$A:$H,8,FALSE()),""))</f>
        <v/>
      </c>
      <c r="F964" s="24"/>
      <c r="G964" s="25" t="str">
        <f>IF($D964="","",IFERROR(VLOOKUP($D964,'ACAS Capital Tracker'!$A:$D,4,FALSE()),""))</f>
        <v/>
      </c>
      <c r="H964" s="22"/>
    </row>
    <row r="965" spans="1:8">
      <c r="A965" s="21"/>
      <c r="B965" s="22"/>
      <c r="C965" s="22"/>
      <c r="D965" s="22"/>
      <c r="E965" s="23" t="str">
        <f>IF($D965="","",IFERROR(VLOOKUP($D965,'ACAS Capital Tracker'!$A:$H,8,FALSE()),""))</f>
        <v/>
      </c>
      <c r="F965" s="24"/>
      <c r="G965" s="25" t="str">
        <f>IF($D965="","",IFERROR(VLOOKUP($D965,'ACAS Capital Tracker'!$A:$D,4,FALSE()),""))</f>
        <v/>
      </c>
      <c r="H965" s="22"/>
    </row>
    <row r="966" spans="1:8">
      <c r="A966" s="21"/>
      <c r="B966" s="22"/>
      <c r="C966" s="22"/>
      <c r="D966" s="22"/>
      <c r="E966" s="23" t="str">
        <f>IF($D966="","",IFERROR(VLOOKUP($D966,'ACAS Capital Tracker'!$A:$H,8,FALSE()),""))</f>
        <v/>
      </c>
      <c r="F966" s="24"/>
      <c r="G966" s="25" t="str">
        <f>IF($D966="","",IFERROR(VLOOKUP($D966,'ACAS Capital Tracker'!$A:$D,4,FALSE()),""))</f>
        <v/>
      </c>
      <c r="H966" s="22"/>
    </row>
    <row r="967" spans="1:8">
      <c r="A967" s="21"/>
      <c r="B967" s="22"/>
      <c r="C967" s="22"/>
      <c r="D967" s="22"/>
      <c r="E967" s="23" t="str">
        <f>IF($D967="","",IFERROR(VLOOKUP($D967,'ACAS Capital Tracker'!$A:$H,8,FALSE()),""))</f>
        <v/>
      </c>
      <c r="F967" s="24"/>
      <c r="G967" s="25" t="str">
        <f>IF($D967="","",IFERROR(VLOOKUP($D967,'ACAS Capital Tracker'!$A:$D,4,FALSE()),""))</f>
        <v/>
      </c>
      <c r="H967" s="22"/>
    </row>
    <row r="968" spans="1:8">
      <c r="A968" s="21"/>
      <c r="B968" s="22"/>
      <c r="C968" s="22"/>
      <c r="D968" s="22"/>
      <c r="E968" s="23" t="str">
        <f>IF($D968="","",IFERROR(VLOOKUP($D968,'ACAS Capital Tracker'!$A:$H,8,FALSE()),""))</f>
        <v/>
      </c>
      <c r="F968" s="24"/>
      <c r="G968" s="25" t="str">
        <f>IF($D968="","",IFERROR(VLOOKUP($D968,'ACAS Capital Tracker'!$A:$D,4,FALSE()),""))</f>
        <v/>
      </c>
      <c r="H968" s="22"/>
    </row>
    <row r="969" spans="1:8">
      <c r="A969" s="21"/>
      <c r="B969" s="22"/>
      <c r="C969" s="22"/>
      <c r="D969" s="22"/>
      <c r="E969" s="23" t="str">
        <f>IF($D969="","",IFERROR(VLOOKUP($D969,'ACAS Capital Tracker'!$A:$H,8,FALSE()),""))</f>
        <v/>
      </c>
      <c r="F969" s="24"/>
      <c r="G969" s="25" t="str">
        <f>IF($D969="","",IFERROR(VLOOKUP($D969,'ACAS Capital Tracker'!$A:$D,4,FALSE()),""))</f>
        <v/>
      </c>
      <c r="H969" s="22"/>
    </row>
    <row r="970" spans="1:8">
      <c r="A970" s="21"/>
      <c r="B970" s="22"/>
      <c r="C970" s="22"/>
      <c r="D970" s="22"/>
      <c r="E970" s="23" t="str">
        <f>IF($D970="","",IFERROR(VLOOKUP($D970,'ACAS Capital Tracker'!$A:$H,8,FALSE()),""))</f>
        <v/>
      </c>
      <c r="F970" s="24"/>
      <c r="G970" s="25" t="str">
        <f>IF($D970="","",IFERROR(VLOOKUP($D970,'ACAS Capital Tracker'!$A:$D,4,FALSE()),""))</f>
        <v/>
      </c>
      <c r="H970" s="22"/>
    </row>
    <row r="971" spans="1:8">
      <c r="A971" s="21"/>
      <c r="B971" s="22"/>
      <c r="C971" s="22"/>
      <c r="D971" s="22"/>
      <c r="E971" s="23" t="str">
        <f>IF($D971="","",IFERROR(VLOOKUP($D971,'ACAS Capital Tracker'!$A:$H,8,FALSE()),""))</f>
        <v/>
      </c>
      <c r="F971" s="24"/>
      <c r="G971" s="25" t="str">
        <f>IF($D971="","",IFERROR(VLOOKUP($D971,'ACAS Capital Tracker'!$A:$D,4,FALSE()),""))</f>
        <v/>
      </c>
      <c r="H971" s="22"/>
    </row>
    <row r="972" spans="1:8">
      <c r="A972" s="21"/>
      <c r="B972" s="22"/>
      <c r="C972" s="22"/>
      <c r="D972" s="22"/>
      <c r="E972" s="23" t="str">
        <f>IF($D972="","",IFERROR(VLOOKUP($D972,'ACAS Capital Tracker'!$A:$H,8,FALSE()),""))</f>
        <v/>
      </c>
      <c r="F972" s="24"/>
      <c r="G972" s="25" t="str">
        <f>IF($D972="","",IFERROR(VLOOKUP($D972,'ACAS Capital Tracker'!$A:$D,4,FALSE()),""))</f>
        <v/>
      </c>
      <c r="H972" s="22"/>
    </row>
    <row r="973" spans="1:8">
      <c r="A973" s="21"/>
      <c r="B973" s="22"/>
      <c r="C973" s="22"/>
      <c r="D973" s="22"/>
      <c r="E973" s="23" t="str">
        <f>IF($D973="","",IFERROR(VLOOKUP($D973,'ACAS Capital Tracker'!$A:$H,8,FALSE()),""))</f>
        <v/>
      </c>
      <c r="F973" s="24"/>
      <c r="G973" s="25" t="str">
        <f>IF($D973="","",IFERROR(VLOOKUP($D973,'ACAS Capital Tracker'!$A:$D,4,FALSE()),""))</f>
        <v/>
      </c>
      <c r="H973" s="22"/>
    </row>
    <row r="974" spans="1:8">
      <c r="A974" s="21"/>
      <c r="B974" s="22"/>
      <c r="C974" s="22"/>
      <c r="D974" s="22"/>
      <c r="E974" s="23" t="str">
        <f>IF($D974="","",IFERROR(VLOOKUP($D974,'ACAS Capital Tracker'!$A:$H,8,FALSE()),""))</f>
        <v/>
      </c>
      <c r="F974" s="24"/>
      <c r="G974" s="25" t="str">
        <f>IF($D974="","",IFERROR(VLOOKUP($D974,'ACAS Capital Tracker'!$A:$D,4,FALSE()),""))</f>
        <v/>
      </c>
      <c r="H974" s="22"/>
    </row>
    <row r="975" spans="1:8">
      <c r="A975" s="21"/>
      <c r="B975" s="22"/>
      <c r="C975" s="22"/>
      <c r="D975" s="22"/>
      <c r="E975" s="23" t="str">
        <f>IF($D975="","",IFERROR(VLOOKUP($D975,'ACAS Capital Tracker'!$A:$H,8,FALSE()),""))</f>
        <v/>
      </c>
      <c r="F975" s="24"/>
      <c r="G975" s="25" t="str">
        <f>IF($D975="","",IFERROR(VLOOKUP($D975,'ACAS Capital Tracker'!$A:$D,4,FALSE()),""))</f>
        <v/>
      </c>
      <c r="H975" s="22"/>
    </row>
    <row r="976" spans="1:8">
      <c r="A976" s="21"/>
      <c r="B976" s="22"/>
      <c r="C976" s="22"/>
      <c r="D976" s="22"/>
      <c r="E976" s="23" t="str">
        <f>IF($D976="","",IFERROR(VLOOKUP($D976,'ACAS Capital Tracker'!$A:$H,8,FALSE()),""))</f>
        <v/>
      </c>
      <c r="F976" s="24"/>
      <c r="G976" s="25" t="str">
        <f>IF($D976="","",IFERROR(VLOOKUP($D976,'ACAS Capital Tracker'!$A:$D,4,FALSE()),""))</f>
        <v/>
      </c>
      <c r="H976" s="22"/>
    </row>
    <row r="977" spans="1:8">
      <c r="A977" s="21"/>
      <c r="B977" s="22"/>
      <c r="C977" s="22"/>
      <c r="D977" s="22"/>
      <c r="E977" s="23" t="str">
        <f>IF($D977="","",IFERROR(VLOOKUP($D977,'ACAS Capital Tracker'!$A:$H,8,FALSE()),""))</f>
        <v/>
      </c>
      <c r="F977" s="24"/>
      <c r="G977" s="25" t="str">
        <f>IF($D977="","",IFERROR(VLOOKUP($D977,'ACAS Capital Tracker'!$A:$D,4,FALSE()),""))</f>
        <v/>
      </c>
      <c r="H977" s="22"/>
    </row>
    <row r="978" spans="1:8">
      <c r="A978" s="21"/>
      <c r="B978" s="22"/>
      <c r="C978" s="22"/>
      <c r="D978" s="22"/>
      <c r="E978" s="23" t="str">
        <f>IF($D978="","",IFERROR(VLOOKUP($D978,'ACAS Capital Tracker'!$A:$H,8,FALSE()),""))</f>
        <v/>
      </c>
      <c r="F978" s="24"/>
      <c r="G978" s="25" t="str">
        <f>IF($D978="","",IFERROR(VLOOKUP($D978,'ACAS Capital Tracker'!$A:$D,4,FALSE()),""))</f>
        <v/>
      </c>
      <c r="H978" s="22"/>
    </row>
    <row r="979" spans="1:8">
      <c r="A979" s="21"/>
      <c r="B979" s="22"/>
      <c r="C979" s="22"/>
      <c r="D979" s="22"/>
      <c r="E979" s="23" t="str">
        <f>IF($D979="","",IFERROR(VLOOKUP($D979,'ACAS Capital Tracker'!$A:$H,8,FALSE()),""))</f>
        <v/>
      </c>
      <c r="F979" s="24"/>
      <c r="G979" s="25" t="str">
        <f>IF($D979="","",IFERROR(VLOOKUP($D979,'ACAS Capital Tracker'!$A:$D,4,FALSE()),""))</f>
        <v/>
      </c>
      <c r="H979" s="22"/>
    </row>
    <row r="980" spans="1:8">
      <c r="A980" s="21"/>
      <c r="B980" s="22"/>
      <c r="C980" s="22"/>
      <c r="D980" s="22"/>
      <c r="E980" s="23" t="str">
        <f>IF($D980="","",IFERROR(VLOOKUP($D980,'ACAS Capital Tracker'!$A:$H,8,FALSE()),""))</f>
        <v/>
      </c>
      <c r="F980" s="24"/>
      <c r="G980" s="25" t="str">
        <f>IF($D980="","",IFERROR(VLOOKUP($D980,'ACAS Capital Tracker'!$A:$D,4,FALSE()),""))</f>
        <v/>
      </c>
      <c r="H980" s="22"/>
    </row>
    <row r="981" spans="1:8">
      <c r="A981" s="21"/>
      <c r="B981" s="22"/>
      <c r="C981" s="22"/>
      <c r="D981" s="22"/>
      <c r="E981" s="23" t="str">
        <f>IF($D981="","",IFERROR(VLOOKUP($D981,'ACAS Capital Tracker'!$A:$H,8,FALSE()),""))</f>
        <v/>
      </c>
      <c r="F981" s="24"/>
      <c r="G981" s="25" t="str">
        <f>IF($D981="","",IFERROR(VLOOKUP($D981,'ACAS Capital Tracker'!$A:$D,4,FALSE()),""))</f>
        <v/>
      </c>
      <c r="H981" s="22"/>
    </row>
    <row r="982" spans="1:8">
      <c r="A982" s="21"/>
      <c r="B982" s="22"/>
      <c r="C982" s="22"/>
      <c r="D982" s="22"/>
      <c r="E982" s="23" t="str">
        <f>IF($D982="","",IFERROR(VLOOKUP($D982,'ACAS Capital Tracker'!$A:$H,8,FALSE()),""))</f>
        <v/>
      </c>
      <c r="F982" s="24"/>
      <c r="G982" s="25" t="str">
        <f>IF($D982="","",IFERROR(VLOOKUP($D982,'ACAS Capital Tracker'!$A:$D,4,FALSE()),""))</f>
        <v/>
      </c>
      <c r="H982" s="22"/>
    </row>
    <row r="983" spans="1:8">
      <c r="A983" s="21"/>
      <c r="B983" s="22"/>
      <c r="C983" s="22"/>
      <c r="D983" s="22"/>
      <c r="E983" s="23" t="str">
        <f>IF($D983="","",IFERROR(VLOOKUP($D983,'ACAS Capital Tracker'!$A:$H,8,FALSE()),""))</f>
        <v/>
      </c>
      <c r="F983" s="24"/>
      <c r="G983" s="25" t="str">
        <f>IF($D983="","",IFERROR(VLOOKUP($D983,'ACAS Capital Tracker'!$A:$D,4,FALSE()),""))</f>
        <v/>
      </c>
      <c r="H983" s="22"/>
    </row>
    <row r="984" spans="1:8">
      <c r="A984" s="21"/>
      <c r="B984" s="22"/>
      <c r="C984" s="22"/>
      <c r="D984" s="22"/>
      <c r="E984" s="23" t="str">
        <f>IF($D984="","",IFERROR(VLOOKUP($D984,'ACAS Capital Tracker'!$A:$H,8,FALSE()),""))</f>
        <v/>
      </c>
      <c r="F984" s="24"/>
      <c r="G984" s="25" t="str">
        <f>IF($D984="","",IFERROR(VLOOKUP($D984,'ACAS Capital Tracker'!$A:$D,4,FALSE()),""))</f>
        <v/>
      </c>
      <c r="H984" s="22"/>
    </row>
    <row r="985" spans="1:8">
      <c r="A985" s="21"/>
      <c r="B985" s="22"/>
      <c r="C985" s="22"/>
      <c r="D985" s="22"/>
      <c r="E985" s="23" t="str">
        <f>IF($D985="","",IFERROR(VLOOKUP($D985,'ACAS Capital Tracker'!$A:$H,8,FALSE()),""))</f>
        <v/>
      </c>
      <c r="F985" s="24"/>
      <c r="G985" s="25" t="str">
        <f>IF($D985="","",IFERROR(VLOOKUP($D985,'ACAS Capital Tracker'!$A:$D,4,FALSE()),""))</f>
        <v/>
      </c>
      <c r="H985" s="22"/>
    </row>
    <row r="986" spans="1:8">
      <c r="A986" s="21"/>
      <c r="B986" s="22"/>
      <c r="C986" s="22"/>
      <c r="D986" s="22"/>
      <c r="E986" s="23" t="str">
        <f>IF($D986="","",IFERROR(VLOOKUP($D986,'ACAS Capital Tracker'!$A:$H,8,FALSE()),""))</f>
        <v/>
      </c>
      <c r="F986" s="24"/>
      <c r="G986" s="25" t="str">
        <f>IF($D986="","",IFERROR(VLOOKUP($D986,'ACAS Capital Tracker'!$A:$D,4,FALSE()),""))</f>
        <v/>
      </c>
      <c r="H986" s="22"/>
    </row>
    <row r="987" spans="1:8">
      <c r="A987" s="21"/>
      <c r="B987" s="22"/>
      <c r="C987" s="22"/>
      <c r="D987" s="22"/>
      <c r="E987" s="23" t="str">
        <f>IF($D987="","",IFERROR(VLOOKUP($D987,'ACAS Capital Tracker'!$A:$H,8,FALSE()),""))</f>
        <v/>
      </c>
      <c r="F987" s="24"/>
      <c r="G987" s="25" t="str">
        <f>IF($D987="","",IFERROR(VLOOKUP($D987,'ACAS Capital Tracker'!$A:$D,4,FALSE()),""))</f>
        <v/>
      </c>
      <c r="H987" s="22"/>
    </row>
    <row r="988" spans="1:8">
      <c r="A988" s="21"/>
      <c r="B988" s="22"/>
      <c r="C988" s="22"/>
      <c r="D988" s="22"/>
      <c r="E988" s="23" t="str">
        <f>IF($D988="","",IFERROR(VLOOKUP($D988,'ACAS Capital Tracker'!$A:$H,8,FALSE()),""))</f>
        <v/>
      </c>
      <c r="F988" s="24"/>
      <c r="G988" s="25" t="str">
        <f>IF($D988="","",IFERROR(VLOOKUP($D988,'ACAS Capital Tracker'!$A:$D,4,FALSE()),""))</f>
        <v/>
      </c>
      <c r="H988" s="22"/>
    </row>
    <row r="989" spans="1:8">
      <c r="A989" s="21"/>
      <c r="B989" s="22"/>
      <c r="C989" s="22"/>
      <c r="D989" s="22"/>
      <c r="E989" s="23" t="str">
        <f>IF($D989="","",IFERROR(VLOOKUP($D989,'ACAS Capital Tracker'!$A:$H,8,FALSE()),""))</f>
        <v/>
      </c>
      <c r="F989" s="24"/>
      <c r="G989" s="25" t="str">
        <f>IF($D989="","",IFERROR(VLOOKUP($D989,'ACAS Capital Tracker'!$A:$D,4,FALSE()),""))</f>
        <v/>
      </c>
      <c r="H989" s="22"/>
    </row>
    <row r="990" spans="1:8">
      <c r="A990" s="21"/>
      <c r="B990" s="22"/>
      <c r="C990" s="22"/>
      <c r="D990" s="22"/>
      <c r="E990" s="23" t="str">
        <f>IF($D990="","",IFERROR(VLOOKUP($D990,'ACAS Capital Tracker'!$A:$H,8,FALSE()),""))</f>
        <v/>
      </c>
      <c r="F990" s="24"/>
      <c r="G990" s="25" t="str">
        <f>IF($D990="","",IFERROR(VLOOKUP($D990,'ACAS Capital Tracker'!$A:$D,4,FALSE()),""))</f>
        <v/>
      </c>
      <c r="H990" s="22"/>
    </row>
    <row r="991" spans="1:8">
      <c r="A991" s="21"/>
      <c r="B991" s="22"/>
      <c r="C991" s="22"/>
      <c r="D991" s="22"/>
      <c r="E991" s="23" t="str">
        <f>IF($D991="","",IFERROR(VLOOKUP($D991,'ACAS Capital Tracker'!$A:$H,8,FALSE()),""))</f>
        <v/>
      </c>
      <c r="F991" s="24"/>
      <c r="G991" s="25" t="str">
        <f>IF($D991="","",IFERROR(VLOOKUP($D991,'ACAS Capital Tracker'!$A:$D,4,FALSE()),""))</f>
        <v/>
      </c>
      <c r="H991" s="22"/>
    </row>
    <row r="992" spans="1:8">
      <c r="A992" s="21"/>
      <c r="B992" s="22"/>
      <c r="C992" s="22"/>
      <c r="D992" s="22"/>
      <c r="E992" s="23" t="str">
        <f>IF($D992="","",IFERROR(VLOOKUP($D992,'ACAS Capital Tracker'!$A:$H,8,FALSE()),""))</f>
        <v/>
      </c>
      <c r="F992" s="24"/>
      <c r="G992" s="25" t="str">
        <f>IF($D992="","",IFERROR(VLOOKUP($D992,'ACAS Capital Tracker'!$A:$D,4,FALSE()),""))</f>
        <v/>
      </c>
      <c r="H992" s="22"/>
    </row>
    <row r="993" spans="1:8">
      <c r="A993" s="21"/>
      <c r="B993" s="22"/>
      <c r="C993" s="22"/>
      <c r="D993" s="22"/>
      <c r="E993" s="23" t="str">
        <f>IF($D993="","",IFERROR(VLOOKUP($D993,'ACAS Capital Tracker'!$A:$H,8,FALSE()),""))</f>
        <v/>
      </c>
      <c r="F993" s="24"/>
      <c r="G993" s="25" t="str">
        <f>IF($D993="","",IFERROR(VLOOKUP($D993,'ACAS Capital Tracker'!$A:$D,4,FALSE()),""))</f>
        <v/>
      </c>
      <c r="H993" s="22"/>
    </row>
    <row r="994" spans="1:8">
      <c r="A994" s="21"/>
      <c r="B994" s="22"/>
      <c r="C994" s="22"/>
      <c r="D994" s="22"/>
      <c r="E994" s="23" t="str">
        <f>IF($D994="","",IFERROR(VLOOKUP($D994,'ACAS Capital Tracker'!$A:$H,8,FALSE()),""))</f>
        <v/>
      </c>
      <c r="F994" s="24"/>
      <c r="G994" s="25" t="str">
        <f>IF($D994="","",IFERROR(VLOOKUP($D994,'ACAS Capital Tracker'!$A:$D,4,FALSE()),""))</f>
        <v/>
      </c>
      <c r="H994" s="22"/>
    </row>
    <row r="995" spans="1:8">
      <c r="A995" s="21"/>
      <c r="B995" s="22"/>
      <c r="C995" s="22"/>
      <c r="D995" s="22"/>
      <c r="E995" s="23" t="str">
        <f>IF($D995="","",IFERROR(VLOOKUP($D995,'ACAS Capital Tracker'!$A:$H,8,FALSE()),""))</f>
        <v/>
      </c>
      <c r="F995" s="24"/>
      <c r="G995" s="25" t="str">
        <f>IF($D995="","",IFERROR(VLOOKUP($D995,'ACAS Capital Tracker'!$A:$D,4,FALSE()),""))</f>
        <v/>
      </c>
      <c r="H995" s="22"/>
    </row>
    <row r="996" spans="1:8">
      <c r="A996" s="21"/>
      <c r="B996" s="22"/>
      <c r="C996" s="22"/>
      <c r="D996" s="22"/>
      <c r="E996" s="23" t="str">
        <f>IF($D996="","",IFERROR(VLOOKUP($D996,'ACAS Capital Tracker'!$A:$H,8,FALSE()),""))</f>
        <v/>
      </c>
      <c r="F996" s="24"/>
      <c r="G996" s="25" t="str">
        <f>IF($D996="","",IFERROR(VLOOKUP($D996,'ACAS Capital Tracker'!$A:$D,4,FALSE()),""))</f>
        <v/>
      </c>
      <c r="H996" s="22"/>
    </row>
    <row r="997" spans="1:8">
      <c r="A997" s="21"/>
      <c r="B997" s="22"/>
      <c r="C997" s="22"/>
      <c r="D997" s="22"/>
      <c r="E997" s="23" t="str">
        <f>IF($D997="","",IFERROR(VLOOKUP($D997,'ACAS Capital Tracker'!$A:$H,8,FALSE()),""))</f>
        <v/>
      </c>
      <c r="F997" s="24"/>
      <c r="G997" s="25" t="str">
        <f>IF($D997="","",IFERROR(VLOOKUP($D997,'ACAS Capital Tracker'!$A:$D,4,FALSE()),""))</f>
        <v/>
      </c>
      <c r="H997" s="22"/>
    </row>
    <row r="998" spans="1:8">
      <c r="A998" s="21"/>
      <c r="B998" s="22"/>
      <c r="C998" s="22"/>
      <c r="D998" s="22"/>
      <c r="E998" s="23" t="str">
        <f>IF($D998="","",IFERROR(VLOOKUP($D998,'ACAS Capital Tracker'!$A:$H,8,FALSE()),""))</f>
        <v/>
      </c>
      <c r="F998" s="24"/>
      <c r="G998" s="25" t="str">
        <f>IF($D998="","",IFERROR(VLOOKUP($D998,'ACAS Capital Tracker'!$A:$D,4,FALSE()),""))</f>
        <v/>
      </c>
      <c r="H998" s="22"/>
    </row>
    <row r="999" spans="1:8">
      <c r="A999" s="21"/>
      <c r="B999" s="22"/>
      <c r="C999" s="22"/>
      <c r="D999" s="22"/>
      <c r="E999" s="23" t="str">
        <f>IF($D999="","",IFERROR(VLOOKUP($D999,'ACAS Capital Tracker'!$A:$H,8,FALSE()),""))</f>
        <v/>
      </c>
      <c r="F999" s="24"/>
      <c r="G999" s="25" t="str">
        <f>IF($D999="","",IFERROR(VLOOKUP($D999,'ACAS Capital Tracker'!$A:$D,4,FALSE()),""))</f>
        <v/>
      </c>
      <c r="H999" s="22"/>
    </row>
    <row r="1000" spans="1:8">
      <c r="A1000" s="21"/>
      <c r="B1000" s="22"/>
      <c r="C1000" s="22"/>
      <c r="D1000" s="22"/>
      <c r="E1000" s="23" t="str">
        <f>IF($D1000="","",IFERROR(VLOOKUP($D1000,'ACAS Capital Tracker'!$A:$H,8,FALSE()),""))</f>
        <v/>
      </c>
      <c r="F1000" s="24"/>
      <c r="G1000" s="25" t="str">
        <f>IF($D1000="","",IFERROR(VLOOKUP($D1000,'ACAS Capital Tracker'!$A:$D,4,FALSE()),""))</f>
        <v/>
      </c>
      <c r="H1000" s="22"/>
    </row>
    <row r="1001" spans="1:8">
      <c r="A1001" s="21"/>
      <c r="B1001" s="22"/>
      <c r="C1001" s="22"/>
      <c r="D1001" s="22"/>
      <c r="E1001" s="23" t="str">
        <f>IF($D1001="","",IFERROR(VLOOKUP($D1001,'ACAS Capital Tracker'!$A:$H,8,FALSE()),""))</f>
        <v/>
      </c>
      <c r="F1001" s="24"/>
      <c r="G1001" s="25" t="str">
        <f>IF($D1001="","",IFERROR(VLOOKUP($D1001,'ACAS Capital Tracker'!$A:$D,4,FALSE()),""))</f>
        <v/>
      </c>
      <c r="H1001" s="22"/>
    </row>
    <row r="1002" spans="1:8">
      <c r="A1002" s="21"/>
      <c r="B1002" s="22"/>
      <c r="C1002" s="22"/>
      <c r="D1002" s="22"/>
      <c r="E1002" s="23" t="str">
        <f>IF($D1002="","",IFERROR(VLOOKUP($D1002,'ACAS Capital Tracker'!$A:$H,8,FALSE()),""))</f>
        <v/>
      </c>
      <c r="F1002" s="24"/>
      <c r="G1002" s="25" t="str">
        <f>IF($D1002="","",IFERROR(VLOOKUP($D1002,'ACAS Capital Tracker'!$A:$D,4,FALSE()),""))</f>
        <v/>
      </c>
      <c r="H1002" s="22"/>
    </row>
    <row r="1003" spans="1:8">
      <c r="A1003" s="21"/>
      <c r="B1003" s="22"/>
      <c r="C1003" s="22"/>
      <c r="D1003" s="22"/>
      <c r="E1003" s="23" t="str">
        <f>IF($D1003="","",IFERROR(VLOOKUP($D1003,'ACAS Capital Tracker'!$A:$H,8,FALSE()),""))</f>
        <v/>
      </c>
      <c r="F1003" s="24"/>
      <c r="G1003" s="25" t="str">
        <f>IF($D1003="","",IFERROR(VLOOKUP($D1003,'ACAS Capital Tracker'!$A:$D,4,FALSE()),""))</f>
        <v/>
      </c>
      <c r="H1003" s="22"/>
    </row>
    <row r="1004" spans="1:8">
      <c r="A1004" s="21"/>
      <c r="B1004" s="22"/>
      <c r="C1004" s="22"/>
      <c r="D1004" s="22"/>
      <c r="E1004" s="23" t="str">
        <f>IF($D1004="","",IFERROR(VLOOKUP($D1004,'ACAS Capital Tracker'!$A:$H,8,FALSE()),""))</f>
        <v/>
      </c>
      <c r="F1004" s="24"/>
      <c r="G1004" s="25" t="str">
        <f>IF($D1004="","",IFERROR(VLOOKUP($D1004,'ACAS Capital Tracker'!$A:$D,4,FALSE()),""))</f>
        <v/>
      </c>
      <c r="H1004" s="22"/>
    </row>
    <row r="1005" spans="1:8">
      <c r="A1005" s="21"/>
      <c r="B1005" s="22"/>
      <c r="C1005" s="22"/>
      <c r="D1005" s="22"/>
      <c r="E1005" s="23" t="str">
        <f>IF($D1005="","",IFERROR(VLOOKUP($D1005,'ACAS Capital Tracker'!$A:$H,8,FALSE()),""))</f>
        <v/>
      </c>
      <c r="F1005" s="24"/>
      <c r="G1005" s="25" t="str">
        <f>IF($D1005="","",IFERROR(VLOOKUP($D1005,'ACAS Capital Tracker'!$A:$D,4,FALSE()),""))</f>
        <v/>
      </c>
      <c r="H1005" s="22"/>
    </row>
    <row r="1006" spans="1:8">
      <c r="A1006" s="21"/>
      <c r="B1006" s="22"/>
      <c r="C1006" s="22"/>
      <c r="D1006" s="22"/>
      <c r="E1006" s="23" t="str">
        <f>IF($D1006="","",IFERROR(VLOOKUP($D1006,'ACAS Capital Tracker'!$A:$H,8,FALSE()),""))</f>
        <v/>
      </c>
      <c r="F1006" s="24"/>
      <c r="G1006" s="25" t="str">
        <f>IF($D1006="","",IFERROR(VLOOKUP($D1006,'ACAS Capital Tracker'!$A:$D,4,FALSE()),""))</f>
        <v/>
      </c>
      <c r="H1006" s="22"/>
    </row>
    <row r="1007" spans="1:8">
      <c r="A1007" s="21"/>
      <c r="B1007" s="22"/>
      <c r="C1007" s="22"/>
      <c r="D1007" s="22"/>
      <c r="E1007" s="23" t="str">
        <f>IF($D1007="","",IFERROR(VLOOKUP($D1007,'ACAS Capital Tracker'!$A:$H,8,FALSE()),""))</f>
        <v/>
      </c>
      <c r="F1007" s="24"/>
      <c r="G1007" s="25" t="str">
        <f>IF($D1007="","",IFERROR(VLOOKUP($D1007,'ACAS Capital Tracker'!$A:$D,4,FALSE()),""))</f>
        <v/>
      </c>
      <c r="H1007" s="22"/>
    </row>
    <row r="1008" spans="1:8">
      <c r="A1008" s="21"/>
      <c r="B1008" s="22"/>
      <c r="C1008" s="22"/>
      <c r="D1008" s="22"/>
      <c r="E1008" s="23" t="str">
        <f>IF($D1008="","",IFERROR(VLOOKUP($D1008,'ACAS Capital Tracker'!$A:$H,8,FALSE()),""))</f>
        <v/>
      </c>
      <c r="F1008" s="24"/>
      <c r="G1008" s="25" t="str">
        <f>IF($D1008="","",IFERROR(VLOOKUP($D1008,'ACAS Capital Tracker'!$A:$D,4,FALSE()),""))</f>
        <v/>
      </c>
      <c r="H1008" s="22"/>
    </row>
    <row r="1009" spans="1:8">
      <c r="A1009" s="21"/>
      <c r="B1009" s="22"/>
      <c r="C1009" s="22"/>
      <c r="D1009" s="22"/>
      <c r="E1009" s="23" t="str">
        <f>IF($D1009="","",IFERROR(VLOOKUP($D1009,'ACAS Capital Tracker'!$A:$H,8,FALSE()),""))</f>
        <v/>
      </c>
      <c r="F1009" s="24"/>
      <c r="G1009" s="25" t="str">
        <f>IF($D1009="","",IFERROR(VLOOKUP($D1009,'ACAS Capital Tracker'!$A:$D,4,FALSE()),""))</f>
        <v/>
      </c>
      <c r="H1009" s="22"/>
    </row>
    <row r="1010" spans="1:8">
      <c r="A1010" s="21"/>
      <c r="B1010" s="22"/>
      <c r="C1010" s="22"/>
      <c r="D1010" s="22"/>
      <c r="E1010" s="23" t="str">
        <f>IF($D1010="","",IFERROR(VLOOKUP($D1010,'ACAS Capital Tracker'!$A:$H,8,FALSE()),""))</f>
        <v/>
      </c>
      <c r="F1010" s="24"/>
      <c r="G1010" s="25" t="str">
        <f>IF($D1010="","",IFERROR(VLOOKUP($D1010,'ACAS Capital Tracker'!$A:$D,4,FALSE()),""))</f>
        <v/>
      </c>
      <c r="H1010" s="22"/>
    </row>
    <row r="1011" spans="1:8">
      <c r="A1011" s="21"/>
      <c r="B1011" s="22"/>
      <c r="C1011" s="22"/>
      <c r="D1011" s="22"/>
      <c r="E1011" s="23" t="str">
        <f>IF($D1011="","",IFERROR(VLOOKUP($D1011,'ACAS Capital Tracker'!$A:$H,8,FALSE()),""))</f>
        <v/>
      </c>
      <c r="F1011" s="24"/>
      <c r="G1011" s="25" t="str">
        <f>IF($D1011="","",IFERROR(VLOOKUP($D1011,'ACAS Capital Tracker'!$A:$D,4,FALSE()),""))</f>
        <v/>
      </c>
      <c r="H1011" s="22"/>
    </row>
    <row r="1012" spans="1:8">
      <c r="A1012" s="21"/>
      <c r="B1012" s="22"/>
      <c r="C1012" s="22"/>
      <c r="D1012" s="22"/>
      <c r="E1012" s="23" t="str">
        <f>IF($D1012="","",IFERROR(VLOOKUP($D1012,'ACAS Capital Tracker'!$A:$H,8,FALSE()),""))</f>
        <v/>
      </c>
      <c r="F1012" s="24"/>
      <c r="G1012" s="25" t="str">
        <f>IF($D1012="","",IFERROR(VLOOKUP($D1012,'ACAS Capital Tracker'!$A:$D,4,FALSE()),""))</f>
        <v/>
      </c>
      <c r="H1012" s="22"/>
    </row>
    <row r="1013" spans="1:8">
      <c r="A1013" s="21"/>
      <c r="B1013" s="22"/>
      <c r="C1013" s="22"/>
      <c r="D1013" s="22"/>
      <c r="E1013" s="23" t="str">
        <f>IF($D1013="","",IFERROR(VLOOKUP($D1013,'ACAS Capital Tracker'!$A:$H,8,FALSE()),""))</f>
        <v/>
      </c>
      <c r="F1013" s="24"/>
      <c r="G1013" s="25" t="str">
        <f>IF($D1013="","",IFERROR(VLOOKUP($D1013,'ACAS Capital Tracker'!$A:$D,4,FALSE()),""))</f>
        <v/>
      </c>
      <c r="H1013" s="22"/>
    </row>
    <row r="1014" spans="1:8">
      <c r="A1014" s="21"/>
      <c r="B1014" s="22"/>
      <c r="C1014" s="22"/>
      <c r="D1014" s="22"/>
      <c r="E1014" s="23" t="str">
        <f>IF($D1014="","",IFERROR(VLOOKUP($D1014,'ACAS Capital Tracker'!$A:$H,8,FALSE()),""))</f>
        <v/>
      </c>
      <c r="F1014" s="24"/>
      <c r="G1014" s="25" t="str">
        <f>IF($D1014="","",IFERROR(VLOOKUP($D1014,'ACAS Capital Tracker'!$A:$D,4,FALSE()),""))</f>
        <v/>
      </c>
      <c r="H1014" s="22"/>
    </row>
    <row r="1015" spans="1:8">
      <c r="A1015" s="21"/>
      <c r="B1015" s="22"/>
      <c r="C1015" s="22"/>
      <c r="D1015" s="22"/>
      <c r="E1015" s="23" t="str">
        <f>IF($D1015="","",IFERROR(VLOOKUP($D1015,'ACAS Capital Tracker'!$A:$H,8,FALSE()),""))</f>
        <v/>
      </c>
      <c r="F1015" s="24"/>
      <c r="G1015" s="25" t="str">
        <f>IF($D1015="","",IFERROR(VLOOKUP($D1015,'ACAS Capital Tracker'!$A:$D,4,FALSE()),""))</f>
        <v/>
      </c>
      <c r="H1015" s="22"/>
    </row>
    <row r="1016" spans="1:8">
      <c r="A1016" s="21"/>
      <c r="B1016" s="22"/>
      <c r="C1016" s="22"/>
      <c r="D1016" s="22"/>
      <c r="E1016" s="23" t="str">
        <f>IF($D1016="","",IFERROR(VLOOKUP($D1016,'ACAS Capital Tracker'!$A:$H,8,FALSE()),""))</f>
        <v/>
      </c>
      <c r="F1016" s="24"/>
      <c r="G1016" s="25" t="str">
        <f>IF($D1016="","",IFERROR(VLOOKUP($D1016,'ACAS Capital Tracker'!$A:$D,4,FALSE()),""))</f>
        <v/>
      </c>
      <c r="H1016" s="22"/>
    </row>
    <row r="1017" spans="1:8">
      <c r="A1017" s="21"/>
      <c r="B1017" s="22"/>
      <c r="C1017" s="22"/>
      <c r="D1017" s="22"/>
      <c r="E1017" s="23" t="str">
        <f>IF($D1017="","",IFERROR(VLOOKUP($D1017,'ACAS Capital Tracker'!$A:$H,8,FALSE()),""))</f>
        <v/>
      </c>
      <c r="F1017" s="24"/>
      <c r="G1017" s="25" t="str">
        <f>IF($D1017="","",IFERROR(VLOOKUP($D1017,'ACAS Capital Tracker'!$A:$D,4,FALSE()),""))</f>
        <v/>
      </c>
      <c r="H1017" s="22"/>
    </row>
    <row r="1018" spans="1:8">
      <c r="A1018" s="21"/>
      <c r="B1018" s="22"/>
      <c r="C1018" s="22"/>
      <c r="D1018" s="22"/>
      <c r="E1018" s="23" t="str">
        <f>IF($D1018="","",IFERROR(VLOOKUP($D1018,'ACAS Capital Tracker'!$A:$H,8,FALSE()),""))</f>
        <v/>
      </c>
      <c r="F1018" s="24"/>
      <c r="G1018" s="25" t="str">
        <f>IF($D1018="","",IFERROR(VLOOKUP($D1018,'ACAS Capital Tracker'!$A:$D,4,FALSE()),""))</f>
        <v/>
      </c>
      <c r="H1018" s="22"/>
    </row>
    <row r="1019" spans="1:8">
      <c r="A1019" s="21"/>
      <c r="B1019" s="22"/>
      <c r="C1019" s="22"/>
      <c r="D1019" s="22"/>
      <c r="E1019" s="23" t="str">
        <f>IF($D1019="","",IFERROR(VLOOKUP($D1019,'ACAS Capital Tracker'!$A:$H,8,FALSE()),""))</f>
        <v/>
      </c>
      <c r="F1019" s="24"/>
      <c r="G1019" s="25" t="str">
        <f>IF($D1019="","",IFERROR(VLOOKUP($D1019,'ACAS Capital Tracker'!$A:$D,4,FALSE()),""))</f>
        <v/>
      </c>
      <c r="H1019" s="22"/>
    </row>
    <row r="1020" spans="1:8">
      <c r="A1020" s="21"/>
      <c r="B1020" s="22"/>
      <c r="C1020" s="22"/>
      <c r="D1020" s="22"/>
      <c r="E1020" s="23" t="str">
        <f>IF($D1020="","",IFERROR(VLOOKUP($D1020,'ACAS Capital Tracker'!$A:$H,8,FALSE()),""))</f>
        <v/>
      </c>
      <c r="F1020" s="24"/>
      <c r="G1020" s="25" t="str">
        <f>IF($D1020="","",IFERROR(VLOOKUP($D1020,'ACAS Capital Tracker'!$A:$D,4,FALSE()),""))</f>
        <v/>
      </c>
      <c r="H1020" s="22"/>
    </row>
    <row r="1021" spans="1:8">
      <c r="A1021" s="21"/>
      <c r="B1021" s="22"/>
      <c r="C1021" s="22"/>
      <c r="D1021" s="22"/>
      <c r="E1021" s="23" t="str">
        <f>IF($D1021="","",IFERROR(VLOOKUP($D1021,'ACAS Capital Tracker'!$A:$H,8,FALSE()),""))</f>
        <v/>
      </c>
      <c r="F1021" s="24"/>
      <c r="G1021" s="25" t="str">
        <f>IF($D1021="","",IFERROR(VLOOKUP($D1021,'ACAS Capital Tracker'!$A:$D,4,FALSE()),""))</f>
        <v/>
      </c>
      <c r="H1021" s="22"/>
    </row>
    <row r="1022" spans="1:8">
      <c r="A1022" s="21"/>
      <c r="B1022" s="22"/>
      <c r="C1022" s="22"/>
      <c r="D1022" s="22"/>
      <c r="E1022" s="23" t="str">
        <f>IF($D1022="","",IFERROR(VLOOKUP($D1022,'ACAS Capital Tracker'!$A:$H,8,FALSE()),""))</f>
        <v/>
      </c>
      <c r="F1022" s="24"/>
      <c r="G1022" s="25" t="str">
        <f>IF($D1022="","",IFERROR(VLOOKUP($D1022,'ACAS Capital Tracker'!$A:$D,4,FALSE()),""))</f>
        <v/>
      </c>
      <c r="H1022" s="22"/>
    </row>
    <row r="1023" spans="1:8">
      <c r="A1023" s="21"/>
      <c r="B1023" s="22"/>
      <c r="C1023" s="22"/>
      <c r="D1023" s="22"/>
      <c r="E1023" s="23" t="str">
        <f>IF($D1023="","",IFERROR(VLOOKUP($D1023,'ACAS Capital Tracker'!$A:$H,8,FALSE()),""))</f>
        <v/>
      </c>
      <c r="F1023" s="24"/>
      <c r="G1023" s="25" t="str">
        <f>IF($D1023="","",IFERROR(VLOOKUP($D1023,'ACAS Capital Tracker'!$A:$D,4,FALSE()),""))</f>
        <v/>
      </c>
      <c r="H1023" s="22"/>
    </row>
    <row r="1024" spans="1:8">
      <c r="A1024" s="21"/>
      <c r="B1024" s="22"/>
      <c r="C1024" s="22"/>
      <c r="D1024" s="22"/>
      <c r="E1024" s="23" t="str">
        <f>IF($D1024="","",IFERROR(VLOOKUP($D1024,'ACAS Capital Tracker'!$A:$H,8,FALSE()),""))</f>
        <v/>
      </c>
      <c r="F1024" s="24"/>
      <c r="G1024" s="25" t="str">
        <f>IF($D1024="","",IFERROR(VLOOKUP($D1024,'ACAS Capital Tracker'!$A:$D,4,FALSE()),""))</f>
        <v/>
      </c>
      <c r="H1024" s="22"/>
    </row>
    <row r="1025" spans="1:8">
      <c r="A1025" s="21"/>
      <c r="B1025" s="22"/>
      <c r="C1025" s="22"/>
      <c r="D1025" s="22"/>
      <c r="E1025" s="23" t="str">
        <f>IF($D1025="","",IFERROR(VLOOKUP($D1025,'ACAS Capital Tracker'!$A:$H,8,FALSE()),""))</f>
        <v/>
      </c>
      <c r="F1025" s="24"/>
      <c r="G1025" s="25" t="str">
        <f>IF($D1025="","",IFERROR(VLOOKUP($D1025,'ACAS Capital Tracker'!$A:$D,4,FALSE()),""))</f>
        <v/>
      </c>
      <c r="H1025" s="22"/>
    </row>
    <row r="1026" spans="1:8">
      <c r="A1026" s="21"/>
      <c r="B1026" s="22"/>
      <c r="C1026" s="22"/>
      <c r="D1026" s="22"/>
      <c r="E1026" s="23" t="str">
        <f>IF($D1026="","",IFERROR(VLOOKUP($D1026,'ACAS Capital Tracker'!$A:$H,8,FALSE()),""))</f>
        <v/>
      </c>
      <c r="F1026" s="24"/>
      <c r="G1026" s="25" t="str">
        <f>IF($D1026="","",IFERROR(VLOOKUP($D1026,'ACAS Capital Tracker'!$A:$D,4,FALSE()),""))</f>
        <v/>
      </c>
      <c r="H1026" s="22"/>
    </row>
    <row r="1027" spans="1:8">
      <c r="A1027" s="21"/>
      <c r="B1027" s="22"/>
      <c r="C1027" s="22"/>
      <c r="D1027" s="22"/>
      <c r="E1027" s="23" t="str">
        <f>IF($D1027="","",IFERROR(VLOOKUP($D1027,'ACAS Capital Tracker'!$A:$H,8,FALSE()),""))</f>
        <v/>
      </c>
      <c r="F1027" s="24"/>
      <c r="G1027" s="25" t="str">
        <f>IF($D1027="","",IFERROR(VLOOKUP($D1027,'ACAS Capital Tracker'!$A:$D,4,FALSE()),""))</f>
        <v/>
      </c>
      <c r="H1027" s="22"/>
    </row>
    <row r="1028" spans="1:8">
      <c r="A1028" s="21"/>
      <c r="B1028" s="22"/>
      <c r="C1028" s="22"/>
      <c r="D1028" s="22"/>
      <c r="E1028" s="23" t="str">
        <f>IF($D1028="","",IFERROR(VLOOKUP($D1028,'ACAS Capital Tracker'!$A:$H,8,FALSE()),""))</f>
        <v/>
      </c>
      <c r="F1028" s="24"/>
      <c r="G1028" s="25" t="str">
        <f>IF($D1028="","",IFERROR(VLOOKUP($D1028,'ACAS Capital Tracker'!$A:$D,4,FALSE()),""))</f>
        <v/>
      </c>
      <c r="H1028" s="22"/>
    </row>
    <row r="1029" spans="1:8">
      <c r="A1029" s="21"/>
      <c r="B1029" s="22"/>
      <c r="C1029" s="22"/>
      <c r="D1029" s="22"/>
      <c r="E1029" s="23" t="str">
        <f>IF($D1029="","",IFERROR(VLOOKUP($D1029,'ACAS Capital Tracker'!$A:$H,8,FALSE()),""))</f>
        <v/>
      </c>
      <c r="F1029" s="24"/>
      <c r="G1029" s="25" t="str">
        <f>IF($D1029="","",IFERROR(VLOOKUP($D1029,'ACAS Capital Tracker'!$A:$D,4,FALSE()),""))</f>
        <v/>
      </c>
      <c r="H1029" s="22"/>
    </row>
    <row r="1030" spans="1:8">
      <c r="A1030" s="21"/>
      <c r="B1030" s="22"/>
      <c r="C1030" s="22"/>
      <c r="D1030" s="22"/>
      <c r="E1030" s="23" t="str">
        <f>IF($D1030="","",IFERROR(VLOOKUP($D1030,'ACAS Capital Tracker'!$A:$H,8,FALSE()),""))</f>
        <v/>
      </c>
      <c r="F1030" s="24"/>
      <c r="G1030" s="25" t="str">
        <f>IF($D1030="","",IFERROR(VLOOKUP($D1030,'ACAS Capital Tracker'!$A:$D,4,FALSE()),""))</f>
        <v/>
      </c>
      <c r="H1030" s="22"/>
    </row>
    <row r="1031" spans="1:8">
      <c r="A1031" s="21"/>
      <c r="B1031" s="22"/>
      <c r="C1031" s="22"/>
      <c r="D1031" s="22"/>
      <c r="E1031" s="23" t="str">
        <f>IF($D1031="","",IFERROR(VLOOKUP($D1031,'ACAS Capital Tracker'!$A:$H,8,FALSE()),""))</f>
        <v/>
      </c>
      <c r="F1031" s="24"/>
      <c r="G1031" s="25" t="str">
        <f>IF($D1031="","",IFERROR(VLOOKUP($D1031,'ACAS Capital Tracker'!$A:$D,4,FALSE()),""))</f>
        <v/>
      </c>
      <c r="H1031" s="22"/>
    </row>
    <row r="1032" spans="1:8">
      <c r="A1032" s="21"/>
      <c r="B1032" s="22"/>
      <c r="C1032" s="22"/>
      <c r="D1032" s="22"/>
      <c r="E1032" s="23" t="str">
        <f>IF($D1032="","",IFERROR(VLOOKUP($D1032,'ACAS Capital Tracker'!$A:$H,8,FALSE()),""))</f>
        <v/>
      </c>
      <c r="F1032" s="24"/>
      <c r="G1032" s="25" t="str">
        <f>IF($D1032="","",IFERROR(VLOOKUP($D1032,'ACAS Capital Tracker'!$A:$D,4,FALSE()),""))</f>
        <v/>
      </c>
      <c r="H1032" s="22"/>
    </row>
    <row r="1033" spans="1:8">
      <c r="A1033" s="21"/>
      <c r="B1033" s="22"/>
      <c r="C1033" s="22"/>
      <c r="D1033" s="22"/>
      <c r="E1033" s="23" t="str">
        <f>IF($D1033="","",IFERROR(VLOOKUP($D1033,'ACAS Capital Tracker'!$A:$H,8,FALSE()),""))</f>
        <v/>
      </c>
      <c r="F1033" s="24"/>
      <c r="G1033" s="25" t="str">
        <f>IF($D1033="","",IFERROR(VLOOKUP($D1033,'ACAS Capital Tracker'!$A:$D,4,FALSE()),""))</f>
        <v/>
      </c>
      <c r="H1033" s="22"/>
    </row>
    <row r="1034" spans="1:8">
      <c r="A1034" s="21"/>
      <c r="B1034" s="22"/>
      <c r="C1034" s="22"/>
      <c r="D1034" s="22"/>
      <c r="E1034" s="23" t="str">
        <f>IF($D1034="","",IFERROR(VLOOKUP($D1034,'ACAS Capital Tracker'!$A:$H,8,FALSE()),""))</f>
        <v/>
      </c>
      <c r="F1034" s="24"/>
      <c r="G1034" s="25" t="str">
        <f>IF($D1034="","",IFERROR(VLOOKUP($D1034,'ACAS Capital Tracker'!$A:$D,4,FALSE()),""))</f>
        <v/>
      </c>
      <c r="H1034" s="22"/>
    </row>
    <row r="1035" spans="1:8">
      <c r="A1035" s="21"/>
      <c r="B1035" s="22"/>
      <c r="C1035" s="22"/>
      <c r="D1035" s="22"/>
      <c r="E1035" s="23" t="str">
        <f>IF($D1035="","",IFERROR(VLOOKUP($D1035,'ACAS Capital Tracker'!$A:$H,8,FALSE()),""))</f>
        <v/>
      </c>
      <c r="F1035" s="24"/>
      <c r="G1035" s="25" t="str">
        <f>IF($D1035="","",IFERROR(VLOOKUP($D1035,'ACAS Capital Tracker'!$A:$D,4,FALSE()),""))</f>
        <v/>
      </c>
      <c r="H1035" s="22"/>
    </row>
    <row r="1036" spans="1:8">
      <c r="A1036" s="21"/>
      <c r="B1036" s="22"/>
      <c r="C1036" s="22"/>
      <c r="D1036" s="22"/>
      <c r="E1036" s="23" t="str">
        <f>IF($D1036="","",IFERROR(VLOOKUP($D1036,'ACAS Capital Tracker'!$A:$H,8,FALSE()),""))</f>
        <v/>
      </c>
      <c r="F1036" s="24"/>
      <c r="G1036" s="25" t="str">
        <f>IF($D1036="","",IFERROR(VLOOKUP($D1036,'ACAS Capital Tracker'!$A:$D,4,FALSE()),""))</f>
        <v/>
      </c>
      <c r="H1036" s="22"/>
    </row>
    <row r="1037" spans="1:8">
      <c r="A1037" s="21"/>
      <c r="B1037" s="22"/>
      <c r="C1037" s="22"/>
      <c r="D1037" s="22"/>
      <c r="E1037" s="23" t="str">
        <f>IF($D1037="","",IFERROR(VLOOKUP($D1037,'ACAS Capital Tracker'!$A:$H,8,FALSE()),""))</f>
        <v/>
      </c>
      <c r="F1037" s="24"/>
      <c r="G1037" s="25" t="str">
        <f>IF($D1037="","",IFERROR(VLOOKUP($D1037,'ACAS Capital Tracker'!$A:$D,4,FALSE()),""))</f>
        <v/>
      </c>
      <c r="H1037" s="22"/>
    </row>
    <row r="1038" spans="1:8">
      <c r="A1038" s="21"/>
      <c r="B1038" s="22"/>
      <c r="C1038" s="22"/>
      <c r="D1038" s="22"/>
      <c r="E1038" s="23" t="str">
        <f>IF($D1038="","",IFERROR(VLOOKUP($D1038,'ACAS Capital Tracker'!$A:$H,8,FALSE()),""))</f>
        <v/>
      </c>
      <c r="F1038" s="24"/>
      <c r="G1038" s="25" t="str">
        <f>IF($D1038="","",IFERROR(VLOOKUP($D1038,'ACAS Capital Tracker'!$A:$D,4,FALSE()),""))</f>
        <v/>
      </c>
      <c r="H1038" s="22"/>
    </row>
    <row r="1039" spans="1:8">
      <c r="A1039" s="21"/>
      <c r="B1039" s="22"/>
      <c r="C1039" s="22"/>
      <c r="D1039" s="22"/>
      <c r="E1039" s="23" t="str">
        <f>IF($D1039="","",IFERROR(VLOOKUP($D1039,'ACAS Capital Tracker'!$A:$H,8,FALSE()),""))</f>
        <v/>
      </c>
      <c r="F1039" s="24"/>
      <c r="G1039" s="25" t="str">
        <f>IF($D1039="","",IFERROR(VLOOKUP($D1039,'ACAS Capital Tracker'!$A:$D,4,FALSE()),""))</f>
        <v/>
      </c>
      <c r="H1039" s="22"/>
    </row>
    <row r="1040" spans="1:8">
      <c r="A1040" s="21"/>
      <c r="B1040" s="22"/>
      <c r="C1040" s="22"/>
      <c r="D1040" s="22"/>
      <c r="E1040" s="23" t="str">
        <f>IF($D1040="","",IFERROR(VLOOKUP($D1040,'ACAS Capital Tracker'!$A:$H,8,FALSE()),""))</f>
        <v/>
      </c>
      <c r="F1040" s="24"/>
      <c r="G1040" s="25" t="str">
        <f>IF($D1040="","",IFERROR(VLOOKUP($D1040,'ACAS Capital Tracker'!$A:$D,4,FALSE()),""))</f>
        <v/>
      </c>
      <c r="H1040" s="22"/>
    </row>
    <row r="1041" spans="1:8">
      <c r="A1041" s="21"/>
      <c r="B1041" s="22"/>
      <c r="C1041" s="22"/>
      <c r="D1041" s="22"/>
      <c r="E1041" s="23" t="str">
        <f>IF($D1041="","",IFERROR(VLOOKUP($D1041,'ACAS Capital Tracker'!$A:$H,8,FALSE()),""))</f>
        <v/>
      </c>
      <c r="F1041" s="24"/>
      <c r="G1041" s="25" t="str">
        <f>IF($D1041="","",IFERROR(VLOOKUP($D1041,'ACAS Capital Tracker'!$A:$D,4,FALSE()),""))</f>
        <v/>
      </c>
      <c r="H1041" s="22"/>
    </row>
    <row r="1042" spans="1:8">
      <c r="A1042" s="21"/>
      <c r="B1042" s="22"/>
      <c r="C1042" s="22"/>
      <c r="D1042" s="22"/>
      <c r="E1042" s="23" t="str">
        <f>IF($D1042="","",IFERROR(VLOOKUP($D1042,'ACAS Capital Tracker'!$A:$H,8,FALSE()),""))</f>
        <v/>
      </c>
      <c r="F1042" s="24"/>
      <c r="G1042" s="25" t="str">
        <f>IF($D1042="","",IFERROR(VLOOKUP($D1042,'ACAS Capital Tracker'!$A:$D,4,FALSE()),""))</f>
        <v/>
      </c>
      <c r="H1042" s="22"/>
    </row>
    <row r="1043" spans="1:8">
      <c r="A1043" s="21"/>
      <c r="B1043" s="22"/>
      <c r="C1043" s="22"/>
      <c r="D1043" s="22"/>
      <c r="E1043" s="23" t="str">
        <f>IF($D1043="","",IFERROR(VLOOKUP($D1043,'ACAS Capital Tracker'!$A:$H,8,FALSE()),""))</f>
        <v/>
      </c>
      <c r="F1043" s="24"/>
      <c r="G1043" s="25" t="str">
        <f>IF($D1043="","",IFERROR(VLOOKUP($D1043,'ACAS Capital Tracker'!$A:$D,4,FALSE()),""))</f>
        <v/>
      </c>
      <c r="H1043" s="22"/>
    </row>
    <row r="1044" spans="1:8">
      <c r="A1044" s="21"/>
      <c r="B1044" s="22"/>
      <c r="C1044" s="22"/>
      <c r="D1044" s="22"/>
      <c r="E1044" s="23" t="str">
        <f>IF($D1044="","",IFERROR(VLOOKUP($D1044,'ACAS Capital Tracker'!$A:$H,8,FALSE()),""))</f>
        <v/>
      </c>
      <c r="F1044" s="24"/>
      <c r="G1044" s="25" t="str">
        <f>IF($D1044="","",IFERROR(VLOOKUP($D1044,'ACAS Capital Tracker'!$A:$D,4,FALSE()),""))</f>
        <v/>
      </c>
      <c r="H1044" s="22"/>
    </row>
    <row r="1045" spans="1:8">
      <c r="A1045" s="21"/>
      <c r="B1045" s="22"/>
      <c r="C1045" s="22"/>
      <c r="D1045" s="22"/>
      <c r="E1045" s="23" t="str">
        <f>IF($D1045="","",IFERROR(VLOOKUP($D1045,'ACAS Capital Tracker'!$A:$H,8,FALSE()),""))</f>
        <v/>
      </c>
      <c r="F1045" s="24"/>
      <c r="G1045" s="25" t="str">
        <f>IF($D1045="","",IFERROR(VLOOKUP($D1045,'ACAS Capital Tracker'!$A:$D,4,FALSE()),""))</f>
        <v/>
      </c>
      <c r="H1045" s="22"/>
    </row>
    <row r="1046" spans="1:8">
      <c r="A1046" s="21"/>
      <c r="B1046" s="22"/>
      <c r="C1046" s="22"/>
      <c r="D1046" s="22"/>
      <c r="E1046" s="23" t="str">
        <f>IF($D1046="","",IFERROR(VLOOKUP($D1046,'ACAS Capital Tracker'!$A:$H,8,FALSE()),""))</f>
        <v/>
      </c>
      <c r="F1046" s="24"/>
      <c r="G1046" s="25" t="str">
        <f>IF($D1046="","",IFERROR(VLOOKUP($D1046,'ACAS Capital Tracker'!$A:$D,4,FALSE()),""))</f>
        <v/>
      </c>
      <c r="H1046" s="22"/>
    </row>
    <row r="1047" spans="1:8">
      <c r="A1047" s="21"/>
      <c r="B1047" s="22"/>
      <c r="C1047" s="22"/>
      <c r="D1047" s="22"/>
      <c r="E1047" s="23" t="str">
        <f>IF($D1047="","",IFERROR(VLOOKUP($D1047,'ACAS Capital Tracker'!$A:$H,8,FALSE()),""))</f>
        <v/>
      </c>
      <c r="F1047" s="24"/>
      <c r="G1047" s="25" t="str">
        <f>IF($D1047="","",IFERROR(VLOOKUP($D1047,'ACAS Capital Tracker'!$A:$D,4,FALSE()),""))</f>
        <v/>
      </c>
      <c r="H1047" s="22"/>
    </row>
    <row r="1048" spans="1:8">
      <c r="A1048" s="21"/>
      <c r="B1048" s="22"/>
      <c r="C1048" s="22"/>
      <c r="D1048" s="22"/>
      <c r="E1048" s="23" t="str">
        <f>IF($D1048="","",IFERROR(VLOOKUP($D1048,'ACAS Capital Tracker'!$A:$H,8,FALSE()),""))</f>
        <v/>
      </c>
      <c r="F1048" s="24"/>
      <c r="G1048" s="25" t="str">
        <f>IF($D1048="","",IFERROR(VLOOKUP($D1048,'ACAS Capital Tracker'!$A:$D,4,FALSE()),""))</f>
        <v/>
      </c>
      <c r="H1048" s="22"/>
    </row>
    <row r="1049" spans="1:8">
      <c r="A1049" s="21"/>
      <c r="B1049" s="22"/>
      <c r="C1049" s="22"/>
      <c r="D1049" s="22"/>
      <c r="E1049" s="23" t="str">
        <f>IF($D1049="","",IFERROR(VLOOKUP($D1049,'ACAS Capital Tracker'!$A:$H,8,FALSE()),""))</f>
        <v/>
      </c>
      <c r="F1049" s="24"/>
      <c r="G1049" s="25" t="str">
        <f>IF($D1049="","",IFERROR(VLOOKUP($D1049,'ACAS Capital Tracker'!$A:$D,4,FALSE()),""))</f>
        <v/>
      </c>
      <c r="H1049" s="22"/>
    </row>
    <row r="1050" spans="1:8">
      <c r="A1050" s="21"/>
      <c r="B1050" s="22"/>
      <c r="C1050" s="22"/>
      <c r="D1050" s="22"/>
      <c r="E1050" s="23" t="str">
        <f>IF($D1050="","",IFERROR(VLOOKUP($D1050,'ACAS Capital Tracker'!$A:$H,8,FALSE()),""))</f>
        <v/>
      </c>
      <c r="F1050" s="24"/>
      <c r="G1050" s="25" t="str">
        <f>IF($D1050="","",IFERROR(VLOOKUP($D1050,'ACAS Capital Tracker'!$A:$D,4,FALSE()),""))</f>
        <v/>
      </c>
      <c r="H1050" s="22"/>
    </row>
    <row r="1051" spans="1:8">
      <c r="A1051" s="21"/>
      <c r="B1051" s="22"/>
      <c r="C1051" s="22"/>
      <c r="D1051" s="22"/>
      <c r="E1051" s="23" t="str">
        <f>IF($D1051="","",IFERROR(VLOOKUP($D1051,'ACAS Capital Tracker'!$A:$H,8,FALSE()),""))</f>
        <v/>
      </c>
      <c r="F1051" s="24"/>
      <c r="G1051" s="25" t="str">
        <f>IF($D1051="","",IFERROR(VLOOKUP($D1051,'ACAS Capital Tracker'!$A:$D,4,FALSE()),""))</f>
        <v/>
      </c>
      <c r="H1051" s="22"/>
    </row>
    <row r="1052" spans="1:8">
      <c r="A1052" s="21"/>
      <c r="B1052" s="22"/>
      <c r="C1052" s="22"/>
      <c r="D1052" s="22"/>
      <c r="E1052" s="23" t="str">
        <f>IF($D1052="","",IFERROR(VLOOKUP($D1052,'ACAS Capital Tracker'!$A:$H,8,FALSE()),""))</f>
        <v/>
      </c>
      <c r="F1052" s="24"/>
      <c r="G1052" s="25" t="str">
        <f>IF($D1052="","",IFERROR(VLOOKUP($D1052,'ACAS Capital Tracker'!$A:$D,4,FALSE()),""))</f>
        <v/>
      </c>
      <c r="H1052" s="22"/>
    </row>
    <row r="1053" spans="1:8">
      <c r="A1053" s="21"/>
      <c r="B1053" s="22"/>
      <c r="C1053" s="22"/>
      <c r="D1053" s="22"/>
      <c r="E1053" s="23" t="str">
        <f>IF($D1053="","",IFERROR(VLOOKUP($D1053,'ACAS Capital Tracker'!$A:$H,8,FALSE()),""))</f>
        <v/>
      </c>
      <c r="F1053" s="24"/>
      <c r="G1053" s="25" t="str">
        <f>IF($D1053="","",IFERROR(VLOOKUP($D1053,'ACAS Capital Tracker'!$A:$D,4,FALSE()),""))</f>
        <v/>
      </c>
      <c r="H1053" s="22"/>
    </row>
    <row r="1054" spans="1:8">
      <c r="A1054" s="21"/>
      <c r="B1054" s="22"/>
      <c r="C1054" s="22"/>
      <c r="D1054" s="22"/>
      <c r="E1054" s="23" t="str">
        <f>IF($D1054="","",IFERROR(VLOOKUP($D1054,'ACAS Capital Tracker'!$A:$H,8,FALSE()),""))</f>
        <v/>
      </c>
      <c r="F1054" s="24"/>
      <c r="G1054" s="25" t="str">
        <f>IF($D1054="","",IFERROR(VLOOKUP($D1054,'ACAS Capital Tracker'!$A:$D,4,FALSE()),""))</f>
        <v/>
      </c>
      <c r="H1054" s="22"/>
    </row>
    <row r="1055" spans="1:8">
      <c r="A1055" s="21"/>
      <c r="B1055" s="22"/>
      <c r="C1055" s="22"/>
      <c r="D1055" s="22"/>
      <c r="E1055" s="23" t="str">
        <f>IF($D1055="","",IFERROR(VLOOKUP($D1055,'ACAS Capital Tracker'!$A:$H,8,FALSE()),""))</f>
        <v/>
      </c>
      <c r="F1055" s="24"/>
      <c r="G1055" s="25" t="str">
        <f>IF($D1055="","",IFERROR(VLOOKUP($D1055,'ACAS Capital Tracker'!$A:$D,4,FALSE()),""))</f>
        <v/>
      </c>
      <c r="H1055" s="22"/>
    </row>
    <row r="1056" spans="1:8">
      <c r="A1056" s="21"/>
      <c r="B1056" s="22"/>
      <c r="C1056" s="22"/>
      <c r="D1056" s="22"/>
      <c r="E1056" s="23" t="str">
        <f>IF($D1056="","",IFERROR(VLOOKUP($D1056,'ACAS Capital Tracker'!$A:$H,8,FALSE()),""))</f>
        <v/>
      </c>
      <c r="F1056" s="24"/>
      <c r="G1056" s="25" t="str">
        <f>IF($D1056="","",IFERROR(VLOOKUP($D1056,'ACAS Capital Tracker'!$A:$D,4,FALSE()),""))</f>
        <v/>
      </c>
      <c r="H1056" s="22"/>
    </row>
    <row r="1057" spans="1:8">
      <c r="A1057" s="21"/>
      <c r="B1057" s="22"/>
      <c r="C1057" s="22"/>
      <c r="D1057" s="22"/>
      <c r="E1057" s="23" t="str">
        <f>IF($D1057="","",IFERROR(VLOOKUP($D1057,'ACAS Capital Tracker'!$A:$H,8,FALSE()),""))</f>
        <v/>
      </c>
      <c r="F1057" s="24"/>
      <c r="G1057" s="25" t="str">
        <f>IF($D1057="","",IFERROR(VLOOKUP($D1057,'ACAS Capital Tracker'!$A:$D,4,FALSE()),""))</f>
        <v/>
      </c>
      <c r="H1057" s="22"/>
    </row>
    <row r="1058" spans="1:8">
      <c r="A1058" s="21"/>
      <c r="B1058" s="22"/>
      <c r="C1058" s="22"/>
      <c r="D1058" s="22"/>
      <c r="E1058" s="23" t="str">
        <f>IF($D1058="","",IFERROR(VLOOKUP($D1058,'ACAS Capital Tracker'!$A:$H,8,FALSE()),""))</f>
        <v/>
      </c>
      <c r="F1058" s="24"/>
      <c r="G1058" s="25" t="str">
        <f>IF($D1058="","",IFERROR(VLOOKUP($D1058,'ACAS Capital Tracker'!$A:$D,4,FALSE()),""))</f>
        <v/>
      </c>
      <c r="H1058" s="22"/>
    </row>
    <row r="1059" spans="1:8">
      <c r="A1059" s="21"/>
      <c r="B1059" s="22"/>
      <c r="C1059" s="22"/>
      <c r="D1059" s="22"/>
      <c r="E1059" s="23" t="str">
        <f>IF($D1059="","",IFERROR(VLOOKUP($D1059,'ACAS Capital Tracker'!$A:$H,8,FALSE()),""))</f>
        <v/>
      </c>
      <c r="F1059" s="24"/>
      <c r="G1059" s="25" t="str">
        <f>IF($D1059="","",IFERROR(VLOOKUP($D1059,'ACAS Capital Tracker'!$A:$D,4,FALSE()),""))</f>
        <v/>
      </c>
      <c r="H1059" s="22"/>
    </row>
    <row r="1060" spans="1:8">
      <c r="A1060" s="21"/>
      <c r="B1060" s="22"/>
      <c r="C1060" s="22"/>
      <c r="D1060" s="22"/>
      <c r="E1060" s="23" t="str">
        <f>IF($D1060="","",IFERROR(VLOOKUP($D1060,'ACAS Capital Tracker'!$A:$H,8,FALSE()),""))</f>
        <v/>
      </c>
      <c r="F1060" s="24"/>
      <c r="G1060" s="25" t="str">
        <f>IF($D1060="","",IFERROR(VLOOKUP($D1060,'ACAS Capital Tracker'!$A:$D,4,FALSE()),""))</f>
        <v/>
      </c>
      <c r="H1060" s="22"/>
    </row>
    <row r="1061" spans="1:8">
      <c r="A1061" s="21"/>
      <c r="B1061" s="22"/>
      <c r="C1061" s="22"/>
      <c r="D1061" s="22"/>
      <c r="E1061" s="23" t="str">
        <f>IF($D1061="","",IFERROR(VLOOKUP($D1061,'ACAS Capital Tracker'!$A:$H,8,FALSE()),""))</f>
        <v/>
      </c>
      <c r="F1061" s="24"/>
      <c r="G1061" s="25" t="str">
        <f>IF($D1061="","",IFERROR(VLOOKUP($D1061,'ACAS Capital Tracker'!$A:$D,4,FALSE()),""))</f>
        <v/>
      </c>
      <c r="H1061" s="22"/>
    </row>
    <row r="1062" spans="1:8">
      <c r="A1062" s="21"/>
      <c r="B1062" s="22"/>
      <c r="C1062" s="22"/>
      <c r="D1062" s="22"/>
      <c r="E1062" s="23" t="str">
        <f>IF($D1062="","",IFERROR(VLOOKUP($D1062,'ACAS Capital Tracker'!$A:$H,8,FALSE()),""))</f>
        <v/>
      </c>
      <c r="F1062" s="24"/>
      <c r="G1062" s="25" t="str">
        <f>IF($D1062="","",IFERROR(VLOOKUP($D1062,'ACAS Capital Tracker'!$A:$D,4,FALSE()),""))</f>
        <v/>
      </c>
      <c r="H1062" s="22"/>
    </row>
    <row r="1063" spans="1:8">
      <c r="A1063" s="21"/>
      <c r="B1063" s="22"/>
      <c r="C1063" s="22"/>
      <c r="D1063" s="22"/>
      <c r="E1063" s="23" t="str">
        <f>IF($D1063="","",IFERROR(VLOOKUP($D1063,'ACAS Capital Tracker'!$A:$H,8,FALSE()),""))</f>
        <v/>
      </c>
      <c r="F1063" s="24"/>
      <c r="G1063" s="25" t="str">
        <f>IF($D1063="","",IFERROR(VLOOKUP($D1063,'ACAS Capital Tracker'!$A:$D,4,FALSE()),""))</f>
        <v/>
      </c>
      <c r="H1063" s="22"/>
    </row>
    <row r="1064" spans="1:8">
      <c r="A1064" s="21"/>
      <c r="B1064" s="22"/>
      <c r="C1064" s="22"/>
      <c r="D1064" s="22"/>
      <c r="E1064" s="23" t="str">
        <f>IF($D1064="","",IFERROR(VLOOKUP($D1064,'ACAS Capital Tracker'!$A:$H,8,FALSE()),""))</f>
        <v/>
      </c>
      <c r="F1064" s="24"/>
      <c r="G1064" s="25" t="str">
        <f>IF($D1064="","",IFERROR(VLOOKUP($D1064,'ACAS Capital Tracker'!$A:$D,4,FALSE()),""))</f>
        <v/>
      </c>
      <c r="H1064" s="22"/>
    </row>
    <row r="1065" spans="1:8">
      <c r="A1065" s="21"/>
      <c r="B1065" s="22"/>
      <c r="C1065" s="22"/>
      <c r="D1065" s="22"/>
      <c r="E1065" s="23" t="str">
        <f>IF($D1065="","",IFERROR(VLOOKUP($D1065,'ACAS Capital Tracker'!$A:$H,8,FALSE()),""))</f>
        <v/>
      </c>
      <c r="F1065" s="24"/>
      <c r="G1065" s="25" t="str">
        <f>IF($D1065="","",IFERROR(VLOOKUP($D1065,'ACAS Capital Tracker'!$A:$D,4,FALSE()),""))</f>
        <v/>
      </c>
      <c r="H1065" s="22"/>
    </row>
    <row r="1066" spans="1:8">
      <c r="A1066" s="21"/>
      <c r="B1066" s="22"/>
      <c r="C1066" s="22"/>
      <c r="D1066" s="22"/>
      <c r="E1066" s="23" t="str">
        <f>IF($D1066="","",IFERROR(VLOOKUP($D1066,'ACAS Capital Tracker'!$A:$H,8,FALSE()),""))</f>
        <v/>
      </c>
      <c r="F1066" s="24"/>
      <c r="G1066" s="25" t="str">
        <f>IF($D1066="","",IFERROR(VLOOKUP($D1066,'ACAS Capital Tracker'!$A:$D,4,FALSE()),""))</f>
        <v/>
      </c>
      <c r="H1066" s="22"/>
    </row>
    <row r="1067" spans="1:8">
      <c r="A1067" s="21"/>
      <c r="B1067" s="22"/>
      <c r="C1067" s="22"/>
      <c r="D1067" s="22"/>
      <c r="E1067" s="23" t="str">
        <f>IF($D1067="","",IFERROR(VLOOKUP($D1067,'ACAS Capital Tracker'!$A:$H,8,FALSE()),""))</f>
        <v/>
      </c>
      <c r="F1067" s="24"/>
      <c r="G1067" s="25" t="str">
        <f>IF($D1067="","",IFERROR(VLOOKUP($D1067,'ACAS Capital Tracker'!$A:$D,4,FALSE()),""))</f>
        <v/>
      </c>
      <c r="H1067" s="22"/>
    </row>
    <row r="1068" spans="1:8">
      <c r="A1068" s="21"/>
      <c r="B1068" s="22"/>
      <c r="C1068" s="22"/>
      <c r="D1068" s="22"/>
      <c r="E1068" s="23" t="str">
        <f>IF($D1068="","",IFERROR(VLOOKUP($D1068,'ACAS Capital Tracker'!$A:$H,8,FALSE()),""))</f>
        <v/>
      </c>
      <c r="F1068" s="24"/>
      <c r="G1068" s="25" t="str">
        <f>IF($D1068="","",IFERROR(VLOOKUP($D1068,'ACAS Capital Tracker'!$A:$D,4,FALSE()),""))</f>
        <v/>
      </c>
      <c r="H1068" s="22"/>
    </row>
    <row r="1069" spans="1:8">
      <c r="A1069" s="21"/>
      <c r="B1069" s="22"/>
      <c r="C1069" s="22"/>
      <c r="D1069" s="22"/>
      <c r="E1069" s="23" t="str">
        <f>IF($D1069="","",IFERROR(VLOOKUP($D1069,'ACAS Capital Tracker'!$A:$H,8,FALSE()),""))</f>
        <v/>
      </c>
      <c r="F1069" s="24"/>
      <c r="G1069" s="25" t="str">
        <f>IF($D1069="","",IFERROR(VLOOKUP($D1069,'ACAS Capital Tracker'!$A:$D,4,FALSE()),""))</f>
        <v/>
      </c>
      <c r="H1069" s="22"/>
    </row>
    <row r="1070" spans="1:8">
      <c r="A1070" s="21"/>
      <c r="B1070" s="22"/>
      <c r="C1070" s="22"/>
      <c r="D1070" s="22"/>
      <c r="E1070" s="23" t="str">
        <f>IF($D1070="","",IFERROR(VLOOKUP($D1070,'ACAS Capital Tracker'!$A:$H,8,FALSE()),""))</f>
        <v/>
      </c>
      <c r="F1070" s="24"/>
      <c r="G1070" s="25" t="str">
        <f>IF($D1070="","",IFERROR(VLOOKUP($D1070,'ACAS Capital Tracker'!$A:$D,4,FALSE()),""))</f>
        <v/>
      </c>
      <c r="H1070" s="22"/>
    </row>
    <row r="1071" spans="1:8">
      <c r="A1071" s="21"/>
      <c r="B1071" s="22"/>
      <c r="C1071" s="22"/>
      <c r="D1071" s="22"/>
      <c r="E1071" s="23" t="str">
        <f>IF($D1071="","",IFERROR(VLOOKUP($D1071,'ACAS Capital Tracker'!$A:$H,8,FALSE()),""))</f>
        <v/>
      </c>
      <c r="F1071" s="24"/>
      <c r="G1071" s="25" t="str">
        <f>IF($D1071="","",IFERROR(VLOOKUP($D1071,'ACAS Capital Tracker'!$A:$D,4,FALSE()),""))</f>
        <v/>
      </c>
      <c r="H1071" s="22"/>
    </row>
    <row r="1072" spans="1:8">
      <c r="A1072" s="21"/>
      <c r="B1072" s="22"/>
      <c r="C1072" s="22"/>
      <c r="D1072" s="22"/>
      <c r="E1072" s="23" t="str">
        <f>IF($D1072="","",IFERROR(VLOOKUP($D1072,'ACAS Capital Tracker'!$A:$H,8,FALSE()),""))</f>
        <v/>
      </c>
      <c r="F1072" s="24"/>
      <c r="G1072" s="25" t="str">
        <f>IF($D1072="","",IFERROR(VLOOKUP($D1072,'ACAS Capital Tracker'!$A:$D,4,FALSE()),""))</f>
        <v/>
      </c>
      <c r="H1072" s="22"/>
    </row>
    <row r="1073" spans="1:8">
      <c r="A1073" s="21"/>
      <c r="B1073" s="22"/>
      <c r="C1073" s="22"/>
      <c r="D1073" s="22"/>
      <c r="E1073" s="23" t="str">
        <f>IF($D1073="","",IFERROR(VLOOKUP($D1073,'ACAS Capital Tracker'!$A:$H,8,FALSE()),""))</f>
        <v/>
      </c>
      <c r="F1073" s="24"/>
      <c r="G1073" s="25" t="str">
        <f>IF($D1073="","",IFERROR(VLOOKUP($D1073,'ACAS Capital Tracker'!$A:$D,4,FALSE()),""))</f>
        <v/>
      </c>
      <c r="H1073" s="22"/>
    </row>
    <row r="1074" spans="1:8">
      <c r="A1074" s="21"/>
      <c r="B1074" s="22"/>
      <c r="C1074" s="22"/>
      <c r="D1074" s="22"/>
      <c r="E1074" s="23" t="str">
        <f>IF($D1074="","",IFERROR(VLOOKUP($D1074,'ACAS Capital Tracker'!$A:$H,8,FALSE()),""))</f>
        <v/>
      </c>
      <c r="F1074" s="24"/>
      <c r="G1074" s="25" t="str">
        <f>IF($D1074="","",IFERROR(VLOOKUP($D1074,'ACAS Capital Tracker'!$A:$D,4,FALSE()),""))</f>
        <v/>
      </c>
      <c r="H1074" s="22"/>
    </row>
    <row r="1075" spans="1:8">
      <c r="A1075" s="21"/>
      <c r="B1075" s="22"/>
      <c r="C1075" s="22"/>
      <c r="D1075" s="22"/>
      <c r="E1075" s="23" t="str">
        <f>IF($D1075="","",IFERROR(VLOOKUP($D1075,'ACAS Capital Tracker'!$A:$H,8,FALSE()),""))</f>
        <v/>
      </c>
      <c r="F1075" s="24"/>
      <c r="G1075" s="25" t="str">
        <f>IF($D1075="","",IFERROR(VLOOKUP($D1075,'ACAS Capital Tracker'!$A:$D,4,FALSE()),""))</f>
        <v/>
      </c>
      <c r="H1075" s="22"/>
    </row>
    <row r="1076" spans="1:8">
      <c r="A1076" s="21"/>
      <c r="B1076" s="22"/>
      <c r="C1076" s="22"/>
      <c r="D1076" s="22"/>
      <c r="E1076" s="23" t="str">
        <f>IF($D1076="","",IFERROR(VLOOKUP($D1076,'ACAS Capital Tracker'!$A:$H,8,FALSE()),""))</f>
        <v/>
      </c>
      <c r="F1076" s="24"/>
      <c r="G1076" s="25" t="str">
        <f>IF($D1076="","",IFERROR(VLOOKUP($D1076,'ACAS Capital Tracker'!$A:$D,4,FALSE()),""))</f>
        <v/>
      </c>
      <c r="H1076" s="22"/>
    </row>
    <row r="1077" spans="1:8">
      <c r="A1077" s="21"/>
      <c r="B1077" s="22"/>
      <c r="C1077" s="22"/>
      <c r="D1077" s="22"/>
      <c r="E1077" s="23" t="str">
        <f>IF($D1077="","",IFERROR(VLOOKUP($D1077,'ACAS Capital Tracker'!$A:$H,8,FALSE()),""))</f>
        <v/>
      </c>
      <c r="F1077" s="24"/>
      <c r="G1077" s="25" t="str">
        <f>IF($D1077="","",IFERROR(VLOOKUP($D1077,'ACAS Capital Tracker'!$A:$D,4,FALSE()),""))</f>
        <v/>
      </c>
      <c r="H1077" s="22"/>
    </row>
    <row r="1078" spans="1:8">
      <c r="A1078" s="21"/>
      <c r="B1078" s="22"/>
      <c r="C1078" s="22"/>
      <c r="D1078" s="22"/>
      <c r="E1078" s="23" t="str">
        <f>IF($D1078="","",IFERROR(VLOOKUP($D1078,'ACAS Capital Tracker'!$A:$H,8,FALSE()),""))</f>
        <v/>
      </c>
      <c r="F1078" s="24"/>
      <c r="G1078" s="25" t="str">
        <f>IF($D1078="","",IFERROR(VLOOKUP($D1078,'ACAS Capital Tracker'!$A:$D,4,FALSE()),""))</f>
        <v/>
      </c>
      <c r="H1078" s="22"/>
    </row>
    <row r="1079" spans="1:8">
      <c r="A1079" s="21"/>
      <c r="B1079" s="22"/>
      <c r="C1079" s="22"/>
      <c r="D1079" s="22"/>
      <c r="E1079" s="23" t="str">
        <f>IF($D1079="","",IFERROR(VLOOKUP($D1079,'ACAS Capital Tracker'!$A:$H,8,FALSE()),""))</f>
        <v/>
      </c>
      <c r="F1079" s="24"/>
      <c r="G1079" s="25" t="str">
        <f>IF($D1079="","",IFERROR(VLOOKUP($D1079,'ACAS Capital Tracker'!$A:$D,4,FALSE()),""))</f>
        <v/>
      </c>
      <c r="H1079" s="22"/>
    </row>
    <row r="1080" spans="1:8">
      <c r="A1080" s="21"/>
      <c r="B1080" s="22"/>
      <c r="C1080" s="22"/>
      <c r="D1080" s="22"/>
      <c r="E1080" s="23" t="str">
        <f>IF($D1080="","",IFERROR(VLOOKUP($D1080,'ACAS Capital Tracker'!$A:$H,8,FALSE()),""))</f>
        <v/>
      </c>
      <c r="F1080" s="24"/>
      <c r="G1080" s="25" t="str">
        <f>IF($D1080="","",IFERROR(VLOOKUP($D1080,'ACAS Capital Tracker'!$A:$D,4,FALSE()),""))</f>
        <v/>
      </c>
      <c r="H1080" s="22"/>
    </row>
    <row r="1081" spans="1:8">
      <c r="A1081" s="21"/>
      <c r="B1081" s="22"/>
      <c r="C1081" s="22"/>
      <c r="D1081" s="22"/>
      <c r="E1081" s="23" t="str">
        <f>IF($D1081="","",IFERROR(VLOOKUP($D1081,'ACAS Capital Tracker'!$A:$H,8,FALSE()),""))</f>
        <v/>
      </c>
      <c r="F1081" s="24"/>
      <c r="G1081" s="25" t="str">
        <f>IF($D1081="","",IFERROR(VLOOKUP($D1081,'ACAS Capital Tracker'!$A:$D,4,FALSE()),""))</f>
        <v/>
      </c>
      <c r="H1081" s="22"/>
    </row>
    <row r="1082" spans="1:8">
      <c r="A1082" s="21"/>
      <c r="B1082" s="22"/>
      <c r="C1082" s="22"/>
      <c r="D1082" s="22"/>
      <c r="E1082" s="23" t="str">
        <f>IF($D1082="","",IFERROR(VLOOKUP($D1082,'ACAS Capital Tracker'!$A:$H,8,FALSE()),""))</f>
        <v/>
      </c>
      <c r="F1082" s="24"/>
      <c r="G1082" s="25" t="str">
        <f>IF($D1082="","",IFERROR(VLOOKUP($D1082,'ACAS Capital Tracker'!$A:$D,4,FALSE()),""))</f>
        <v/>
      </c>
      <c r="H1082" s="22"/>
    </row>
    <row r="1083" spans="1:8">
      <c r="A1083" s="21"/>
      <c r="B1083" s="22"/>
      <c r="C1083" s="22"/>
      <c r="D1083" s="22"/>
      <c r="E1083" s="23" t="str">
        <f>IF($D1083="","",IFERROR(VLOOKUP($D1083,'ACAS Capital Tracker'!$A:$H,8,FALSE()),""))</f>
        <v/>
      </c>
      <c r="F1083" s="24"/>
      <c r="G1083" s="25" t="str">
        <f>IF($D1083="","",IFERROR(VLOOKUP($D1083,'ACAS Capital Tracker'!$A:$D,4,FALSE()),""))</f>
        <v/>
      </c>
      <c r="H1083" s="22"/>
    </row>
    <row r="1084" spans="1:8">
      <c r="A1084" s="21"/>
      <c r="B1084" s="22"/>
      <c r="C1084" s="22"/>
      <c r="D1084" s="22"/>
      <c r="E1084" s="23" t="str">
        <f>IF($D1084="","",IFERROR(VLOOKUP($D1084,'ACAS Capital Tracker'!$A:$H,8,FALSE()),""))</f>
        <v/>
      </c>
      <c r="F1084" s="24"/>
      <c r="G1084" s="25" t="str">
        <f>IF($D1084="","",IFERROR(VLOOKUP($D1084,'ACAS Capital Tracker'!$A:$D,4,FALSE()),""))</f>
        <v/>
      </c>
      <c r="H1084" s="22"/>
    </row>
    <row r="1085" spans="1:8">
      <c r="A1085" s="21"/>
      <c r="B1085" s="22"/>
      <c r="C1085" s="22"/>
      <c r="D1085" s="22"/>
      <c r="E1085" s="23" t="str">
        <f>IF($D1085="","",IFERROR(VLOOKUP($D1085,'ACAS Capital Tracker'!$A:$H,8,FALSE()),""))</f>
        <v/>
      </c>
      <c r="F1085" s="24"/>
      <c r="G1085" s="25" t="str">
        <f>IF($D1085="","",IFERROR(VLOOKUP($D1085,'ACAS Capital Tracker'!$A:$D,4,FALSE()),""))</f>
        <v/>
      </c>
      <c r="H1085" s="22"/>
    </row>
    <row r="1086" spans="1:8">
      <c r="A1086" s="21"/>
      <c r="B1086" s="22"/>
      <c r="C1086" s="22"/>
      <c r="D1086" s="22"/>
      <c r="E1086" s="23" t="str">
        <f>IF($D1086="","",IFERROR(VLOOKUP($D1086,'ACAS Capital Tracker'!$A:$H,8,FALSE()),""))</f>
        <v/>
      </c>
      <c r="F1086" s="24"/>
      <c r="G1086" s="25" t="str">
        <f>IF($D1086="","",IFERROR(VLOOKUP($D1086,'ACAS Capital Tracker'!$A:$D,4,FALSE()),""))</f>
        <v/>
      </c>
      <c r="H1086" s="22"/>
    </row>
    <row r="1087" spans="1:8">
      <c r="A1087" s="21"/>
      <c r="B1087" s="22"/>
      <c r="C1087" s="22"/>
      <c r="D1087" s="22"/>
      <c r="E1087" s="23" t="str">
        <f>IF($D1087="","",IFERROR(VLOOKUP($D1087,'ACAS Capital Tracker'!$A:$H,8,FALSE()),""))</f>
        <v/>
      </c>
      <c r="F1087" s="24"/>
      <c r="G1087" s="25" t="str">
        <f>IF($D1087="","",IFERROR(VLOOKUP($D1087,'ACAS Capital Tracker'!$A:$D,4,FALSE()),""))</f>
        <v/>
      </c>
      <c r="H1087" s="22"/>
    </row>
    <row r="1088" spans="1:8">
      <c r="A1088" s="21"/>
      <c r="B1088" s="22"/>
      <c r="C1088" s="22"/>
      <c r="D1088" s="22"/>
      <c r="E1088" s="23" t="str">
        <f>IF($D1088="","",IFERROR(VLOOKUP($D1088,'ACAS Capital Tracker'!$A:$H,8,FALSE()),""))</f>
        <v/>
      </c>
      <c r="F1088" s="24"/>
      <c r="G1088" s="25" t="str">
        <f>IF($D1088="","",IFERROR(VLOOKUP($D1088,'ACAS Capital Tracker'!$A:$D,4,FALSE()),""))</f>
        <v/>
      </c>
      <c r="H1088" s="22"/>
    </row>
    <row r="1089" spans="1:8">
      <c r="A1089" s="21"/>
      <c r="B1089" s="22"/>
      <c r="C1089" s="22"/>
      <c r="D1089" s="22"/>
      <c r="E1089" s="23" t="str">
        <f>IF($D1089="","",IFERROR(VLOOKUP($D1089,'ACAS Capital Tracker'!$A:$H,8,FALSE()),""))</f>
        <v/>
      </c>
      <c r="F1089" s="24"/>
      <c r="G1089" s="25" t="str">
        <f>IF($D1089="","",IFERROR(VLOOKUP($D1089,'ACAS Capital Tracker'!$A:$D,4,FALSE()),""))</f>
        <v/>
      </c>
      <c r="H1089" s="22"/>
    </row>
    <row r="1090" spans="1:8">
      <c r="A1090" s="21"/>
      <c r="B1090" s="22"/>
      <c r="C1090" s="22"/>
      <c r="D1090" s="22"/>
      <c r="E1090" s="23" t="str">
        <f>IF($D1090="","",IFERROR(VLOOKUP($D1090,'ACAS Capital Tracker'!$A:$H,8,FALSE()),""))</f>
        <v/>
      </c>
      <c r="F1090" s="24"/>
      <c r="G1090" s="25" t="str">
        <f>IF($D1090="","",IFERROR(VLOOKUP($D1090,'ACAS Capital Tracker'!$A:$D,4,FALSE()),""))</f>
        <v/>
      </c>
      <c r="H1090" s="22"/>
    </row>
    <row r="1091" spans="1:8">
      <c r="A1091" s="21"/>
      <c r="B1091" s="22"/>
      <c r="C1091" s="22"/>
      <c r="D1091" s="22"/>
      <c r="E1091" s="23" t="str">
        <f>IF($D1091="","",IFERROR(VLOOKUP($D1091,'ACAS Capital Tracker'!$A:$H,8,FALSE()),""))</f>
        <v/>
      </c>
      <c r="F1091" s="24"/>
      <c r="G1091" s="25" t="str">
        <f>IF($D1091="","",IFERROR(VLOOKUP($D1091,'ACAS Capital Tracker'!$A:$D,4,FALSE()),""))</f>
        <v/>
      </c>
      <c r="H1091" s="22"/>
    </row>
    <row r="1092" spans="1:8">
      <c r="A1092" s="21"/>
      <c r="B1092" s="22"/>
      <c r="C1092" s="22"/>
      <c r="D1092" s="22"/>
      <c r="E1092" s="23" t="str">
        <f>IF($D1092="","",IFERROR(VLOOKUP($D1092,'ACAS Capital Tracker'!$A:$H,8,FALSE()),""))</f>
        <v/>
      </c>
      <c r="F1092" s="24"/>
      <c r="G1092" s="25" t="str">
        <f>IF($D1092="","",IFERROR(VLOOKUP($D1092,'ACAS Capital Tracker'!$A:$D,4,FALSE()),""))</f>
        <v/>
      </c>
      <c r="H1092" s="22"/>
    </row>
    <row r="1093" spans="1:8">
      <c r="A1093" s="21"/>
      <c r="B1093" s="22"/>
      <c r="C1093" s="22"/>
      <c r="D1093" s="22"/>
      <c r="E1093" s="23" t="str">
        <f>IF($D1093="","",IFERROR(VLOOKUP($D1093,'ACAS Capital Tracker'!$A:$H,8,FALSE()),""))</f>
        <v/>
      </c>
      <c r="F1093" s="24"/>
      <c r="G1093" s="25" t="str">
        <f>IF($D1093="","",IFERROR(VLOOKUP($D1093,'ACAS Capital Tracker'!$A:$D,4,FALSE()),""))</f>
        <v/>
      </c>
      <c r="H1093" s="22"/>
    </row>
    <row r="1094" spans="1:8">
      <c r="A1094" s="21"/>
      <c r="B1094" s="22"/>
      <c r="C1094" s="22"/>
      <c r="D1094" s="22"/>
      <c r="E1094" s="23" t="str">
        <f>IF($D1094="","",IFERROR(VLOOKUP($D1094,'ACAS Capital Tracker'!$A:$H,8,FALSE()),""))</f>
        <v/>
      </c>
      <c r="F1094" s="24"/>
      <c r="G1094" s="25" t="str">
        <f>IF($D1094="","",IFERROR(VLOOKUP($D1094,'ACAS Capital Tracker'!$A:$D,4,FALSE()),""))</f>
        <v/>
      </c>
      <c r="H1094" s="22"/>
    </row>
    <row r="1095" spans="1:8">
      <c r="A1095" s="21"/>
      <c r="B1095" s="22"/>
      <c r="C1095" s="22"/>
      <c r="D1095" s="22"/>
      <c r="E1095" s="23" t="str">
        <f>IF($D1095="","",IFERROR(VLOOKUP($D1095,'ACAS Capital Tracker'!$A:$H,8,FALSE()),""))</f>
        <v/>
      </c>
      <c r="F1095" s="24"/>
      <c r="G1095" s="25" t="str">
        <f>IF($D1095="","",IFERROR(VLOOKUP($D1095,'ACAS Capital Tracker'!$A:$D,4,FALSE()),""))</f>
        <v/>
      </c>
      <c r="H1095" s="22"/>
    </row>
    <row r="1096" spans="1:8">
      <c r="A1096" s="21"/>
      <c r="B1096" s="22"/>
      <c r="C1096" s="22"/>
      <c r="D1096" s="22"/>
      <c r="E1096" s="23" t="str">
        <f>IF($D1096="","",IFERROR(VLOOKUP($D1096,'ACAS Capital Tracker'!$A:$H,8,FALSE()),""))</f>
        <v/>
      </c>
      <c r="F1096" s="24"/>
      <c r="G1096" s="25" t="str">
        <f>IF($D1096="","",IFERROR(VLOOKUP($D1096,'ACAS Capital Tracker'!$A:$D,4,FALSE()),""))</f>
        <v/>
      </c>
      <c r="H1096" s="22"/>
    </row>
    <row r="1097" spans="1:8">
      <c r="A1097" s="21"/>
      <c r="B1097" s="22"/>
      <c r="C1097" s="22"/>
      <c r="D1097" s="22"/>
      <c r="E1097" s="23" t="str">
        <f>IF($D1097="","",IFERROR(VLOOKUP($D1097,'ACAS Capital Tracker'!$A:$H,8,FALSE()),""))</f>
        <v/>
      </c>
      <c r="F1097" s="24"/>
      <c r="G1097" s="25" t="str">
        <f>IF($D1097="","",IFERROR(VLOOKUP($D1097,'ACAS Capital Tracker'!$A:$D,4,FALSE()),""))</f>
        <v/>
      </c>
      <c r="H1097" s="22"/>
    </row>
    <row r="1098" spans="1:8">
      <c r="A1098" s="21"/>
      <c r="B1098" s="22"/>
      <c r="C1098" s="22"/>
      <c r="D1098" s="22"/>
      <c r="E1098" s="23" t="str">
        <f>IF($D1098="","",IFERROR(VLOOKUP($D1098,'ACAS Capital Tracker'!$A:$H,8,FALSE()),""))</f>
        <v/>
      </c>
      <c r="F1098" s="24"/>
      <c r="G1098" s="25" t="str">
        <f>IF($D1098="","",IFERROR(VLOOKUP($D1098,'ACAS Capital Tracker'!$A:$D,4,FALSE()),""))</f>
        <v/>
      </c>
      <c r="H1098" s="22"/>
    </row>
    <row r="1099" spans="1:8">
      <c r="A1099" s="21"/>
      <c r="B1099" s="22"/>
      <c r="C1099" s="22"/>
      <c r="D1099" s="22"/>
      <c r="E1099" s="23" t="str">
        <f>IF($D1099="","",IFERROR(VLOOKUP($D1099,'ACAS Capital Tracker'!$A:$H,8,FALSE()),""))</f>
        <v/>
      </c>
      <c r="F1099" s="24"/>
      <c r="G1099" s="25" t="str">
        <f>IF($D1099="","",IFERROR(VLOOKUP($D1099,'ACAS Capital Tracker'!$A:$D,4,FALSE()),""))</f>
        <v/>
      </c>
      <c r="H1099" s="22"/>
    </row>
    <row r="1100" spans="1:8">
      <c r="A1100" s="21"/>
      <c r="B1100" s="22"/>
      <c r="C1100" s="22"/>
      <c r="D1100" s="22"/>
      <c r="E1100" s="23" t="str">
        <f>IF($D1100="","",IFERROR(VLOOKUP($D1100,'ACAS Capital Tracker'!$A:$H,8,FALSE()),""))</f>
        <v/>
      </c>
      <c r="F1100" s="24"/>
      <c r="G1100" s="25" t="str">
        <f>IF($D1100="","",IFERROR(VLOOKUP($D1100,'ACAS Capital Tracker'!$A:$D,4,FALSE()),""))</f>
        <v/>
      </c>
      <c r="H1100" s="22"/>
    </row>
    <row r="1101" spans="1:8">
      <c r="A1101" s="21"/>
      <c r="B1101" s="22"/>
      <c r="C1101" s="22"/>
      <c r="D1101" s="22"/>
      <c r="E1101" s="23" t="str">
        <f>IF($D1101="","",IFERROR(VLOOKUP($D1101,'ACAS Capital Tracker'!$A:$H,8,FALSE()),""))</f>
        <v/>
      </c>
      <c r="F1101" s="24"/>
      <c r="G1101" s="25" t="str">
        <f>IF($D1101="","",IFERROR(VLOOKUP($D1101,'ACAS Capital Tracker'!$A:$D,4,FALSE()),""))</f>
        <v/>
      </c>
      <c r="H1101" s="22"/>
    </row>
    <row r="1102" spans="1:8">
      <c r="A1102" s="21"/>
      <c r="B1102" s="22"/>
      <c r="C1102" s="22"/>
      <c r="D1102" s="22"/>
      <c r="E1102" s="23" t="str">
        <f>IF($D1102="","",IFERROR(VLOOKUP($D1102,'ACAS Capital Tracker'!$A:$H,8,FALSE()),""))</f>
        <v/>
      </c>
      <c r="F1102" s="24"/>
      <c r="G1102" s="25" t="str">
        <f>IF($D1102="","",IFERROR(VLOOKUP($D1102,'ACAS Capital Tracker'!$A:$D,4,FALSE()),""))</f>
        <v/>
      </c>
      <c r="H1102" s="22"/>
    </row>
    <row r="1103" spans="1:8">
      <c r="A1103" s="21"/>
      <c r="B1103" s="22"/>
      <c r="C1103" s="22"/>
      <c r="D1103" s="22"/>
      <c r="E1103" s="23" t="str">
        <f>IF($D1103="","",IFERROR(VLOOKUP($D1103,'ACAS Capital Tracker'!$A:$H,8,FALSE()),""))</f>
        <v/>
      </c>
      <c r="F1103" s="24"/>
      <c r="G1103" s="25" t="str">
        <f>IF($D1103="","",IFERROR(VLOOKUP($D1103,'ACAS Capital Tracker'!$A:$D,4,FALSE()),""))</f>
        <v/>
      </c>
      <c r="H1103" s="22"/>
    </row>
    <row r="1104" spans="1:8">
      <c r="A1104" s="21"/>
      <c r="B1104" s="22"/>
      <c r="C1104" s="22"/>
      <c r="D1104" s="22"/>
      <c r="E1104" s="23" t="str">
        <f>IF($D1104="","",IFERROR(VLOOKUP($D1104,'ACAS Capital Tracker'!$A:$H,8,FALSE()),""))</f>
        <v/>
      </c>
      <c r="F1104" s="24"/>
      <c r="G1104" s="25" t="str">
        <f>IF($D1104="","",IFERROR(VLOOKUP($D1104,'ACAS Capital Tracker'!$A:$D,4,FALSE()),""))</f>
        <v/>
      </c>
      <c r="H1104" s="22"/>
    </row>
    <row r="1105" spans="1:8">
      <c r="A1105" s="21"/>
      <c r="B1105" s="22"/>
      <c r="C1105" s="22"/>
      <c r="D1105" s="22"/>
      <c r="E1105" s="23" t="str">
        <f>IF($D1105="","",IFERROR(VLOOKUP($D1105,'ACAS Capital Tracker'!$A:$H,8,FALSE()),""))</f>
        <v/>
      </c>
      <c r="F1105" s="24"/>
      <c r="G1105" s="25" t="str">
        <f>IF($D1105="","",IFERROR(VLOOKUP($D1105,'ACAS Capital Tracker'!$A:$D,4,FALSE()),""))</f>
        <v/>
      </c>
      <c r="H1105" s="22"/>
    </row>
    <row r="1106" spans="1:8">
      <c r="A1106" s="21"/>
      <c r="B1106" s="22"/>
      <c r="C1106" s="22"/>
      <c r="D1106" s="22"/>
      <c r="E1106" s="23" t="str">
        <f>IF($D1106="","",IFERROR(VLOOKUP($D1106,'ACAS Capital Tracker'!$A:$H,8,FALSE()),""))</f>
        <v/>
      </c>
      <c r="F1106" s="24"/>
      <c r="G1106" s="25" t="str">
        <f>IF($D1106="","",IFERROR(VLOOKUP($D1106,'ACAS Capital Tracker'!$A:$D,4,FALSE()),""))</f>
        <v/>
      </c>
      <c r="H1106" s="22"/>
    </row>
    <row r="1107" spans="1:8">
      <c r="A1107" s="21"/>
      <c r="B1107" s="22"/>
      <c r="C1107" s="22"/>
      <c r="D1107" s="22"/>
      <c r="E1107" s="23" t="str">
        <f>IF($D1107="","",IFERROR(VLOOKUP($D1107,'ACAS Capital Tracker'!$A:$H,8,FALSE()),""))</f>
        <v/>
      </c>
      <c r="F1107" s="24"/>
      <c r="G1107" s="25" t="str">
        <f>IF($D1107="","",IFERROR(VLOOKUP($D1107,'ACAS Capital Tracker'!$A:$D,4,FALSE()),""))</f>
        <v/>
      </c>
      <c r="H1107" s="22"/>
    </row>
    <row r="1108" spans="1:8">
      <c r="A1108" s="21"/>
      <c r="B1108" s="22"/>
      <c r="C1108" s="22"/>
      <c r="D1108" s="22"/>
      <c r="E1108" s="23" t="str">
        <f>IF($D1108="","",IFERROR(VLOOKUP($D1108,'ACAS Capital Tracker'!$A:$H,8,FALSE()),""))</f>
        <v/>
      </c>
      <c r="F1108" s="24"/>
      <c r="G1108" s="25" t="str">
        <f>IF($D1108="","",IFERROR(VLOOKUP($D1108,'ACAS Capital Tracker'!$A:$D,4,FALSE()),""))</f>
        <v/>
      </c>
      <c r="H1108" s="22"/>
    </row>
    <row r="1109" spans="1:8">
      <c r="A1109" s="21"/>
      <c r="B1109" s="22"/>
      <c r="C1109" s="22"/>
      <c r="D1109" s="22"/>
      <c r="E1109" s="23" t="str">
        <f>IF($D1109="","",IFERROR(VLOOKUP($D1109,'ACAS Capital Tracker'!$A:$H,8,FALSE()),""))</f>
        <v/>
      </c>
      <c r="F1109" s="24"/>
      <c r="G1109" s="25" t="str">
        <f>IF($D1109="","",IFERROR(VLOOKUP($D1109,'ACAS Capital Tracker'!$A:$D,4,FALSE()),""))</f>
        <v/>
      </c>
      <c r="H1109" s="22"/>
    </row>
    <row r="1110" spans="1:8">
      <c r="A1110" s="21"/>
      <c r="B1110" s="22"/>
      <c r="C1110" s="22"/>
      <c r="D1110" s="22"/>
      <c r="E1110" s="23" t="str">
        <f>IF($D1110="","",IFERROR(VLOOKUP($D1110,'ACAS Capital Tracker'!$A:$H,8,FALSE()),""))</f>
        <v/>
      </c>
      <c r="F1110" s="24"/>
      <c r="G1110" s="25" t="str">
        <f>IF($D1110="","",IFERROR(VLOOKUP($D1110,'ACAS Capital Tracker'!$A:$D,4,FALSE()),""))</f>
        <v/>
      </c>
      <c r="H1110" s="22"/>
    </row>
    <row r="1111" spans="1:8">
      <c r="A1111" s="21"/>
      <c r="B1111" s="22"/>
      <c r="C1111" s="22"/>
      <c r="D1111" s="22"/>
      <c r="E1111" s="23" t="str">
        <f>IF($D1111="","",IFERROR(VLOOKUP($D1111,'ACAS Capital Tracker'!$A:$H,8,FALSE()),""))</f>
        <v/>
      </c>
      <c r="F1111" s="24"/>
      <c r="G1111" s="25" t="str">
        <f>IF($D1111="","",IFERROR(VLOOKUP($D1111,'ACAS Capital Tracker'!$A:$D,4,FALSE()),""))</f>
        <v/>
      </c>
      <c r="H1111" s="22"/>
    </row>
    <row r="1112" spans="1:8">
      <c r="A1112" s="21"/>
      <c r="B1112" s="22"/>
      <c r="C1112" s="22"/>
      <c r="D1112" s="22"/>
      <c r="E1112" s="23" t="str">
        <f>IF($D1112="","",IFERROR(VLOOKUP($D1112,'ACAS Capital Tracker'!$A:$H,8,FALSE()),""))</f>
        <v/>
      </c>
      <c r="F1112" s="24"/>
      <c r="G1112" s="25" t="str">
        <f>IF($D1112="","",IFERROR(VLOOKUP($D1112,'ACAS Capital Tracker'!$A:$D,4,FALSE()),""))</f>
        <v/>
      </c>
      <c r="H1112" s="22"/>
    </row>
    <row r="1113" spans="1:8">
      <c r="A1113" s="21"/>
      <c r="B1113" s="22"/>
      <c r="C1113" s="22"/>
      <c r="D1113" s="22"/>
      <c r="E1113" s="23" t="str">
        <f>IF($D1113="","",IFERROR(VLOOKUP($D1113,'ACAS Capital Tracker'!$A:$H,8,FALSE()),""))</f>
        <v/>
      </c>
      <c r="F1113" s="24"/>
      <c r="G1113" s="25" t="str">
        <f>IF($D1113="","",IFERROR(VLOOKUP($D1113,'ACAS Capital Tracker'!$A:$D,4,FALSE()),""))</f>
        <v/>
      </c>
      <c r="H1113" s="22"/>
    </row>
    <row r="1114" spans="1:8">
      <c r="A1114" s="21"/>
      <c r="B1114" s="22"/>
      <c r="C1114" s="22"/>
      <c r="D1114" s="22"/>
      <c r="E1114" s="23" t="str">
        <f>IF($D1114="","",IFERROR(VLOOKUP($D1114,'ACAS Capital Tracker'!$A:$H,8,FALSE()),""))</f>
        <v/>
      </c>
      <c r="F1114" s="24"/>
      <c r="G1114" s="25" t="str">
        <f>IF($D1114="","",IFERROR(VLOOKUP($D1114,'ACAS Capital Tracker'!$A:$D,4,FALSE()),""))</f>
        <v/>
      </c>
      <c r="H1114" s="22"/>
    </row>
    <row r="1115" spans="1:8">
      <c r="A1115" s="21"/>
      <c r="B1115" s="22"/>
      <c r="C1115" s="22"/>
      <c r="D1115" s="22"/>
      <c r="E1115" s="23" t="str">
        <f>IF($D1115="","",IFERROR(VLOOKUP($D1115,'ACAS Capital Tracker'!$A:$H,8,FALSE()),""))</f>
        <v/>
      </c>
      <c r="F1115" s="24"/>
      <c r="G1115" s="25" t="str">
        <f>IF($D1115="","",IFERROR(VLOOKUP($D1115,'ACAS Capital Tracker'!$A:$D,4,FALSE()),""))</f>
        <v/>
      </c>
      <c r="H1115" s="22"/>
    </row>
    <row r="1116" spans="1:8">
      <c r="A1116" s="21"/>
      <c r="B1116" s="22"/>
      <c r="C1116" s="22"/>
      <c r="D1116" s="22"/>
      <c r="E1116" s="23" t="str">
        <f>IF($D1116="","",IFERROR(VLOOKUP($D1116,'ACAS Capital Tracker'!$A:$H,8,FALSE()),""))</f>
        <v/>
      </c>
      <c r="F1116" s="24"/>
      <c r="G1116" s="25" t="str">
        <f>IF($D1116="","",IFERROR(VLOOKUP($D1116,'ACAS Capital Tracker'!$A:$D,4,FALSE()),""))</f>
        <v/>
      </c>
      <c r="H1116" s="22"/>
    </row>
    <row r="1117" spans="1:8">
      <c r="A1117" s="21"/>
      <c r="B1117" s="22"/>
      <c r="C1117" s="22"/>
      <c r="D1117" s="22"/>
      <c r="E1117" s="23" t="str">
        <f>IF($D1117="","",IFERROR(VLOOKUP($D1117,'ACAS Capital Tracker'!$A:$H,8,FALSE()),""))</f>
        <v/>
      </c>
      <c r="F1117" s="24"/>
      <c r="G1117" s="25" t="str">
        <f>IF($D1117="","",IFERROR(VLOOKUP($D1117,'ACAS Capital Tracker'!$A:$D,4,FALSE()),""))</f>
        <v/>
      </c>
      <c r="H1117" s="22"/>
    </row>
    <row r="1118" spans="1:8">
      <c r="A1118" s="21"/>
      <c r="B1118" s="22"/>
      <c r="C1118" s="22"/>
      <c r="D1118" s="22"/>
      <c r="E1118" s="23" t="str">
        <f>IF($D1118="","",IFERROR(VLOOKUP($D1118,'ACAS Capital Tracker'!$A:$H,8,FALSE()),""))</f>
        <v/>
      </c>
      <c r="F1118" s="24"/>
      <c r="G1118" s="25" t="str">
        <f>IF($D1118="","",IFERROR(VLOOKUP($D1118,'ACAS Capital Tracker'!$A:$D,4,FALSE()),""))</f>
        <v/>
      </c>
      <c r="H1118" s="22"/>
    </row>
    <row r="1119" spans="1:8">
      <c r="A1119" s="21"/>
      <c r="B1119" s="22"/>
      <c r="C1119" s="22"/>
      <c r="D1119" s="22"/>
      <c r="E1119" s="23" t="str">
        <f>IF($D1119="","",IFERROR(VLOOKUP($D1119,'ACAS Capital Tracker'!$A:$H,8,FALSE()),""))</f>
        <v/>
      </c>
      <c r="F1119" s="24"/>
      <c r="G1119" s="25" t="str">
        <f>IF($D1119="","",IFERROR(VLOOKUP($D1119,'ACAS Capital Tracker'!$A:$D,4,FALSE()),""))</f>
        <v/>
      </c>
      <c r="H1119" s="22"/>
    </row>
    <row r="1120" spans="1:8">
      <c r="A1120" s="21"/>
      <c r="B1120" s="22"/>
      <c r="C1120" s="22"/>
      <c r="D1120" s="22"/>
      <c r="E1120" s="23" t="str">
        <f>IF($D1120="","",IFERROR(VLOOKUP($D1120,'ACAS Capital Tracker'!$A:$H,8,FALSE()),""))</f>
        <v/>
      </c>
      <c r="F1120" s="24"/>
      <c r="G1120" s="25" t="str">
        <f>IF($D1120="","",IFERROR(VLOOKUP($D1120,'ACAS Capital Tracker'!$A:$D,4,FALSE()),""))</f>
        <v/>
      </c>
      <c r="H1120" s="22"/>
    </row>
    <row r="1121" spans="1:8">
      <c r="A1121" s="21"/>
      <c r="B1121" s="22"/>
      <c r="C1121" s="22"/>
      <c r="D1121" s="22"/>
      <c r="E1121" s="23" t="str">
        <f>IF($D1121="","",IFERROR(VLOOKUP($D1121,'ACAS Capital Tracker'!$A:$H,8,FALSE()),""))</f>
        <v/>
      </c>
      <c r="F1121" s="24"/>
      <c r="G1121" s="25" t="str">
        <f>IF($D1121="","",IFERROR(VLOOKUP($D1121,'ACAS Capital Tracker'!$A:$D,4,FALSE()),""))</f>
        <v/>
      </c>
      <c r="H1121" s="22"/>
    </row>
    <row r="1122" spans="1:8">
      <c r="A1122" s="21"/>
      <c r="B1122" s="22"/>
      <c r="C1122" s="22"/>
      <c r="D1122" s="22"/>
      <c r="E1122" s="23" t="str">
        <f>IF($D1122="","",IFERROR(VLOOKUP($D1122,'ACAS Capital Tracker'!$A:$H,8,FALSE()),""))</f>
        <v/>
      </c>
      <c r="F1122" s="24"/>
      <c r="G1122" s="25" t="str">
        <f>IF($D1122="","",IFERROR(VLOOKUP($D1122,'ACAS Capital Tracker'!$A:$D,4,FALSE()),""))</f>
        <v/>
      </c>
      <c r="H1122" s="22"/>
    </row>
    <row r="1123" spans="1:8">
      <c r="A1123" s="21"/>
      <c r="B1123" s="22"/>
      <c r="C1123" s="22"/>
      <c r="D1123" s="22"/>
      <c r="E1123" s="23" t="str">
        <f>IF($D1123="","",IFERROR(VLOOKUP($D1123,'ACAS Capital Tracker'!$A:$H,8,FALSE()),""))</f>
        <v/>
      </c>
      <c r="F1123" s="24"/>
      <c r="G1123" s="25" t="str">
        <f>IF($D1123="","",IFERROR(VLOOKUP($D1123,'ACAS Capital Tracker'!$A:$D,4,FALSE()),""))</f>
        <v/>
      </c>
      <c r="H1123" s="22"/>
    </row>
    <row r="1124" spans="1:8">
      <c r="A1124" s="21"/>
      <c r="B1124" s="22"/>
      <c r="C1124" s="22"/>
      <c r="D1124" s="22"/>
      <c r="E1124" s="23" t="str">
        <f>IF($D1124="","",IFERROR(VLOOKUP($D1124,'ACAS Capital Tracker'!$A:$H,8,FALSE()),""))</f>
        <v/>
      </c>
      <c r="F1124" s="24"/>
      <c r="G1124" s="25" t="str">
        <f>IF($D1124="","",IFERROR(VLOOKUP($D1124,'ACAS Capital Tracker'!$A:$D,4,FALSE()),""))</f>
        <v/>
      </c>
      <c r="H1124" s="22"/>
    </row>
    <row r="1125" spans="1:8">
      <c r="A1125" s="21"/>
      <c r="B1125" s="22"/>
      <c r="C1125" s="22"/>
      <c r="D1125" s="22"/>
      <c r="E1125" s="23" t="str">
        <f>IF($D1125="","",IFERROR(VLOOKUP($D1125,'ACAS Capital Tracker'!$A:$H,8,FALSE()),""))</f>
        <v/>
      </c>
      <c r="F1125" s="24"/>
      <c r="G1125" s="25" t="str">
        <f>IF($D1125="","",IFERROR(VLOOKUP($D1125,'ACAS Capital Tracker'!$A:$D,4,FALSE()),""))</f>
        <v/>
      </c>
      <c r="H1125" s="22"/>
    </row>
    <row r="1126" spans="1:8">
      <c r="A1126" s="21"/>
      <c r="B1126" s="22"/>
      <c r="C1126" s="22"/>
      <c r="D1126" s="22"/>
      <c r="E1126" s="23" t="str">
        <f>IF($D1126="","",IFERROR(VLOOKUP($D1126,'ACAS Capital Tracker'!$A:$H,8,FALSE()),""))</f>
        <v/>
      </c>
      <c r="F1126" s="24"/>
      <c r="G1126" s="25" t="str">
        <f>IF($D1126="","",IFERROR(VLOOKUP($D1126,'ACAS Capital Tracker'!$A:$D,4,FALSE()),""))</f>
        <v/>
      </c>
      <c r="H1126" s="22"/>
    </row>
    <row r="1127" spans="1:8">
      <c r="A1127" s="21"/>
      <c r="B1127" s="22"/>
      <c r="C1127" s="22"/>
      <c r="D1127" s="22"/>
      <c r="E1127" s="23" t="str">
        <f>IF($D1127="","",IFERROR(VLOOKUP($D1127,'ACAS Capital Tracker'!$A:$H,8,FALSE()),""))</f>
        <v/>
      </c>
      <c r="F1127" s="24"/>
      <c r="G1127" s="25" t="str">
        <f>IF($D1127="","",IFERROR(VLOOKUP($D1127,'ACAS Capital Tracker'!$A:$D,4,FALSE()),""))</f>
        <v/>
      </c>
      <c r="H1127" s="22"/>
    </row>
    <row r="1128" spans="1:8">
      <c r="A1128" s="21"/>
      <c r="B1128" s="22"/>
      <c r="C1128" s="22"/>
      <c r="D1128" s="22"/>
      <c r="E1128" s="23" t="str">
        <f>IF($D1128="","",IFERROR(VLOOKUP($D1128,'ACAS Capital Tracker'!$A:$H,8,FALSE()),""))</f>
        <v/>
      </c>
      <c r="F1128" s="24"/>
      <c r="G1128" s="25" t="str">
        <f>IF($D1128="","",IFERROR(VLOOKUP($D1128,'ACAS Capital Tracker'!$A:$D,4,FALSE()),""))</f>
        <v/>
      </c>
      <c r="H1128" s="22"/>
    </row>
    <row r="1129" spans="1:8">
      <c r="A1129" s="21"/>
      <c r="B1129" s="22"/>
      <c r="C1129" s="22"/>
      <c r="D1129" s="22"/>
      <c r="E1129" s="23" t="str">
        <f>IF($D1129="","",IFERROR(VLOOKUP($D1129,'ACAS Capital Tracker'!$A:$H,8,FALSE()),""))</f>
        <v/>
      </c>
      <c r="F1129" s="24"/>
      <c r="G1129" s="25" t="str">
        <f>IF($D1129="","",IFERROR(VLOOKUP($D1129,'ACAS Capital Tracker'!$A:$D,4,FALSE()),""))</f>
        <v/>
      </c>
      <c r="H1129" s="22"/>
    </row>
    <row r="1130" spans="1:8">
      <c r="A1130" s="21"/>
      <c r="B1130" s="22"/>
      <c r="C1130" s="22"/>
      <c r="D1130" s="22"/>
      <c r="E1130" s="23" t="str">
        <f>IF($D1130="","",IFERROR(VLOOKUP($D1130,'ACAS Capital Tracker'!$A:$H,8,FALSE()),""))</f>
        <v/>
      </c>
      <c r="F1130" s="24"/>
      <c r="G1130" s="25" t="str">
        <f>IF($D1130="","",IFERROR(VLOOKUP($D1130,'ACAS Capital Tracker'!$A:$D,4,FALSE()),""))</f>
        <v/>
      </c>
      <c r="H1130" s="22"/>
    </row>
    <row r="1131" spans="1:8">
      <c r="A1131" s="21"/>
      <c r="B1131" s="22"/>
      <c r="C1131" s="22"/>
      <c r="D1131" s="22"/>
      <c r="E1131" s="23" t="str">
        <f>IF($D1131="","",IFERROR(VLOOKUP($D1131,'ACAS Capital Tracker'!$A:$H,8,FALSE()),""))</f>
        <v/>
      </c>
      <c r="F1131" s="24"/>
      <c r="G1131" s="25" t="str">
        <f>IF($D1131="","",IFERROR(VLOOKUP($D1131,'ACAS Capital Tracker'!$A:$D,4,FALSE()),""))</f>
        <v/>
      </c>
      <c r="H1131" s="22"/>
    </row>
    <row r="1132" spans="1:8">
      <c r="A1132" s="21"/>
      <c r="B1132" s="22"/>
      <c r="C1132" s="22"/>
      <c r="D1132" s="22"/>
      <c r="E1132" s="23" t="str">
        <f>IF($D1132="","",IFERROR(VLOOKUP($D1132,'ACAS Capital Tracker'!$A:$H,8,FALSE()),""))</f>
        <v/>
      </c>
      <c r="F1132" s="24"/>
      <c r="G1132" s="25" t="str">
        <f>IF($D1132="","",IFERROR(VLOOKUP($D1132,'ACAS Capital Tracker'!$A:$D,4,FALSE()),""))</f>
        <v/>
      </c>
      <c r="H1132" s="22"/>
    </row>
    <row r="1133" spans="1:8">
      <c r="A1133" s="21"/>
      <c r="B1133" s="22"/>
      <c r="C1133" s="22"/>
      <c r="D1133" s="22"/>
      <c r="E1133" s="23" t="str">
        <f>IF($D1133="","",IFERROR(VLOOKUP($D1133,'ACAS Capital Tracker'!$A:$H,8,FALSE()),""))</f>
        <v/>
      </c>
      <c r="F1133" s="24"/>
      <c r="G1133" s="25" t="str">
        <f>IF($D1133="","",IFERROR(VLOOKUP($D1133,'ACAS Capital Tracker'!$A:$D,4,FALSE()),""))</f>
        <v/>
      </c>
      <c r="H1133" s="22"/>
    </row>
    <row r="1134" spans="1:8">
      <c r="A1134" s="21"/>
      <c r="B1134" s="22"/>
      <c r="C1134" s="22"/>
      <c r="D1134" s="22"/>
      <c r="E1134" s="23" t="str">
        <f>IF($D1134="","",IFERROR(VLOOKUP($D1134,'ACAS Capital Tracker'!$A:$H,8,FALSE()),""))</f>
        <v/>
      </c>
      <c r="F1134" s="24"/>
      <c r="G1134" s="25" t="str">
        <f>IF($D1134="","",IFERROR(VLOOKUP($D1134,'ACAS Capital Tracker'!$A:$D,4,FALSE()),""))</f>
        <v/>
      </c>
      <c r="H1134" s="22"/>
    </row>
    <row r="1135" spans="1:8">
      <c r="A1135" s="21"/>
      <c r="B1135" s="22"/>
      <c r="C1135" s="22"/>
      <c r="D1135" s="22"/>
      <c r="E1135" s="23" t="str">
        <f>IF($D1135="","",IFERROR(VLOOKUP($D1135,'ACAS Capital Tracker'!$A:$H,8,FALSE()),""))</f>
        <v/>
      </c>
      <c r="F1135" s="24"/>
      <c r="G1135" s="25" t="str">
        <f>IF($D1135="","",IFERROR(VLOOKUP($D1135,'ACAS Capital Tracker'!$A:$D,4,FALSE()),""))</f>
        <v/>
      </c>
      <c r="H1135" s="22"/>
    </row>
    <row r="1136" spans="1:8">
      <c r="A1136" s="21"/>
      <c r="B1136" s="22"/>
      <c r="C1136" s="22"/>
      <c r="D1136" s="22"/>
      <c r="E1136" s="23" t="str">
        <f>IF($D1136="","",IFERROR(VLOOKUP($D1136,'ACAS Capital Tracker'!$A:$H,8,FALSE()),""))</f>
        <v/>
      </c>
      <c r="F1136" s="24"/>
      <c r="G1136" s="25" t="str">
        <f>IF($D1136="","",IFERROR(VLOOKUP($D1136,'ACAS Capital Tracker'!$A:$D,4,FALSE()),""))</f>
        <v/>
      </c>
      <c r="H1136" s="22"/>
    </row>
    <row r="1137" spans="1:8">
      <c r="A1137" s="21"/>
      <c r="B1137" s="22"/>
      <c r="C1137" s="22"/>
      <c r="D1137" s="22"/>
      <c r="E1137" s="23" t="str">
        <f>IF($D1137="","",IFERROR(VLOOKUP($D1137,'ACAS Capital Tracker'!$A:$H,8,FALSE()),""))</f>
        <v/>
      </c>
      <c r="F1137" s="24"/>
      <c r="G1137" s="25" t="str">
        <f>IF($D1137="","",IFERROR(VLOOKUP($D1137,'ACAS Capital Tracker'!$A:$D,4,FALSE()),""))</f>
        <v/>
      </c>
      <c r="H1137" s="22"/>
    </row>
    <row r="1138" spans="1:8">
      <c r="A1138" s="21"/>
      <c r="B1138" s="22"/>
      <c r="C1138" s="22"/>
      <c r="D1138" s="22"/>
      <c r="E1138" s="23" t="str">
        <f>IF($D1138="","",IFERROR(VLOOKUP($D1138,'ACAS Capital Tracker'!$A:$H,8,FALSE()),""))</f>
        <v/>
      </c>
      <c r="F1138" s="24"/>
      <c r="G1138" s="25" t="str">
        <f>IF($D1138="","",IFERROR(VLOOKUP($D1138,'ACAS Capital Tracker'!$A:$D,4,FALSE()),""))</f>
        <v/>
      </c>
      <c r="H1138" s="22"/>
    </row>
    <row r="1139" spans="1:8">
      <c r="A1139" s="21"/>
      <c r="B1139" s="22"/>
      <c r="C1139" s="22"/>
      <c r="D1139" s="22"/>
      <c r="E1139" s="23" t="str">
        <f>IF($D1139="","",IFERROR(VLOOKUP($D1139,'ACAS Capital Tracker'!$A:$H,8,FALSE()),""))</f>
        <v/>
      </c>
      <c r="F1139" s="24"/>
      <c r="G1139" s="25" t="str">
        <f>IF($D1139="","",IFERROR(VLOOKUP($D1139,'ACAS Capital Tracker'!$A:$D,4,FALSE()),""))</f>
        <v/>
      </c>
      <c r="H1139" s="22"/>
    </row>
    <row r="1140" spans="1:8">
      <c r="A1140" s="21"/>
      <c r="B1140" s="22"/>
      <c r="C1140" s="22"/>
      <c r="D1140" s="22"/>
      <c r="E1140" s="23" t="str">
        <f>IF($D1140="","",IFERROR(VLOOKUP($D1140,'ACAS Capital Tracker'!$A:$H,8,FALSE()),""))</f>
        <v/>
      </c>
      <c r="F1140" s="24"/>
      <c r="G1140" s="25" t="str">
        <f>IF($D1140="","",IFERROR(VLOOKUP($D1140,'ACAS Capital Tracker'!$A:$D,4,FALSE()),""))</f>
        <v/>
      </c>
      <c r="H1140" s="22"/>
    </row>
    <row r="1141" spans="1:8">
      <c r="A1141" s="21"/>
      <c r="B1141" s="22"/>
      <c r="C1141" s="22"/>
      <c r="D1141" s="22"/>
      <c r="E1141" s="23" t="str">
        <f>IF($D1141="","",IFERROR(VLOOKUP($D1141,'ACAS Capital Tracker'!$A:$H,8,FALSE()),""))</f>
        <v/>
      </c>
      <c r="F1141" s="24"/>
      <c r="G1141" s="25" t="str">
        <f>IF($D1141="","",IFERROR(VLOOKUP($D1141,'ACAS Capital Tracker'!$A:$D,4,FALSE()),""))</f>
        <v/>
      </c>
      <c r="H1141" s="22"/>
    </row>
    <row r="1142" spans="1:8">
      <c r="A1142" s="21"/>
      <c r="B1142" s="22"/>
      <c r="C1142" s="22"/>
      <c r="D1142" s="22"/>
      <c r="E1142" s="23" t="str">
        <f>IF($D1142="","",IFERROR(VLOOKUP($D1142,'ACAS Capital Tracker'!$A:$H,8,FALSE()),""))</f>
        <v/>
      </c>
      <c r="F1142" s="24"/>
      <c r="G1142" s="25" t="str">
        <f>IF($D1142="","",IFERROR(VLOOKUP($D1142,'ACAS Capital Tracker'!$A:$D,4,FALSE()),""))</f>
        <v/>
      </c>
      <c r="H1142" s="22"/>
    </row>
    <row r="1143" spans="1:8">
      <c r="A1143" s="21"/>
      <c r="B1143" s="22"/>
      <c r="C1143" s="22"/>
      <c r="D1143" s="22"/>
      <c r="E1143" s="23" t="str">
        <f>IF($D1143="","",IFERROR(VLOOKUP($D1143,'ACAS Capital Tracker'!$A:$H,8,FALSE()),""))</f>
        <v/>
      </c>
      <c r="F1143" s="24"/>
      <c r="G1143" s="25" t="str">
        <f>IF($D1143="","",IFERROR(VLOOKUP($D1143,'ACAS Capital Tracker'!$A:$D,4,FALSE()),""))</f>
        <v/>
      </c>
      <c r="H1143" s="22"/>
    </row>
    <row r="1144" spans="1:8">
      <c r="A1144" s="21"/>
      <c r="B1144" s="22"/>
      <c r="C1144" s="22"/>
      <c r="D1144" s="22"/>
      <c r="E1144" s="23" t="str">
        <f>IF($D1144="","",IFERROR(VLOOKUP($D1144,'ACAS Capital Tracker'!$A:$H,8,FALSE()),""))</f>
        <v/>
      </c>
      <c r="F1144" s="24"/>
      <c r="G1144" s="25" t="str">
        <f>IF($D1144="","",IFERROR(VLOOKUP($D1144,'ACAS Capital Tracker'!$A:$D,4,FALSE()),""))</f>
        <v/>
      </c>
      <c r="H1144" s="22"/>
    </row>
    <row r="1145" spans="1:8">
      <c r="A1145" s="21"/>
      <c r="B1145" s="22"/>
      <c r="C1145" s="22"/>
      <c r="D1145" s="22"/>
      <c r="E1145" s="23" t="str">
        <f>IF($D1145="","",IFERROR(VLOOKUP($D1145,'ACAS Capital Tracker'!$A:$H,8,FALSE()),""))</f>
        <v/>
      </c>
      <c r="F1145" s="24"/>
      <c r="G1145" s="25" t="str">
        <f>IF($D1145="","",IFERROR(VLOOKUP($D1145,'ACAS Capital Tracker'!$A:$D,4,FALSE()),""))</f>
        <v/>
      </c>
      <c r="H1145" s="22"/>
    </row>
    <row r="1146" spans="1:8">
      <c r="A1146" s="21"/>
      <c r="B1146" s="22"/>
      <c r="C1146" s="22"/>
      <c r="D1146" s="22"/>
      <c r="E1146" s="23" t="str">
        <f>IF($D1146="","",IFERROR(VLOOKUP($D1146,'ACAS Capital Tracker'!$A:$H,8,FALSE()),""))</f>
        <v/>
      </c>
      <c r="F1146" s="24"/>
      <c r="G1146" s="25" t="str">
        <f>IF($D1146="","",IFERROR(VLOOKUP($D1146,'ACAS Capital Tracker'!$A:$D,4,FALSE()),""))</f>
        <v/>
      </c>
      <c r="H1146" s="22"/>
    </row>
    <row r="1147" spans="1:8">
      <c r="A1147" s="21"/>
      <c r="B1147" s="22"/>
      <c r="C1147" s="22"/>
      <c r="D1147" s="22"/>
      <c r="E1147" s="23" t="str">
        <f>IF($D1147="","",IFERROR(VLOOKUP($D1147,'ACAS Capital Tracker'!$A:$H,8,FALSE()),""))</f>
        <v/>
      </c>
      <c r="F1147" s="24"/>
      <c r="G1147" s="25" t="str">
        <f>IF($D1147="","",IFERROR(VLOOKUP($D1147,'ACAS Capital Tracker'!$A:$D,4,FALSE()),""))</f>
        <v/>
      </c>
      <c r="H1147" s="22"/>
    </row>
    <row r="1148" spans="1:8">
      <c r="A1148" s="21"/>
      <c r="B1148" s="22"/>
      <c r="C1148" s="22"/>
      <c r="D1148" s="22"/>
      <c r="E1148" s="23" t="str">
        <f>IF($D1148="","",IFERROR(VLOOKUP($D1148,'ACAS Capital Tracker'!$A:$H,8,FALSE()),""))</f>
        <v/>
      </c>
      <c r="F1148" s="24"/>
      <c r="G1148" s="25" t="str">
        <f>IF($D1148="","",IFERROR(VLOOKUP($D1148,'ACAS Capital Tracker'!$A:$D,4,FALSE()),""))</f>
        <v/>
      </c>
      <c r="H1148" s="22"/>
    </row>
    <row r="1149" spans="1:8">
      <c r="A1149" s="21"/>
      <c r="B1149" s="22"/>
      <c r="C1149" s="22"/>
      <c r="D1149" s="22"/>
      <c r="E1149" s="23" t="str">
        <f>IF($D1149="","",IFERROR(VLOOKUP($D1149,'ACAS Capital Tracker'!$A:$H,8,FALSE()),""))</f>
        <v/>
      </c>
      <c r="F1149" s="24"/>
      <c r="G1149" s="25" t="str">
        <f>IF($D1149="","",IFERROR(VLOOKUP($D1149,'ACAS Capital Tracker'!$A:$D,4,FALSE()),""))</f>
        <v/>
      </c>
      <c r="H1149" s="22"/>
    </row>
    <row r="1150" spans="1:8">
      <c r="A1150" s="21"/>
      <c r="B1150" s="22"/>
      <c r="C1150" s="22"/>
      <c r="D1150" s="22"/>
      <c r="E1150" s="23" t="str">
        <f>IF($D1150="","",IFERROR(VLOOKUP($D1150,'ACAS Capital Tracker'!$A:$H,8,FALSE()),""))</f>
        <v/>
      </c>
      <c r="F1150" s="24"/>
      <c r="G1150" s="25" t="str">
        <f>IF($D1150="","",IFERROR(VLOOKUP($D1150,'ACAS Capital Tracker'!$A:$D,4,FALSE()),""))</f>
        <v/>
      </c>
      <c r="H1150" s="22"/>
    </row>
    <row r="1151" spans="1:8">
      <c r="A1151" s="21"/>
      <c r="B1151" s="22"/>
      <c r="C1151" s="22"/>
      <c r="D1151" s="22"/>
      <c r="E1151" s="23" t="str">
        <f>IF($D1151="","",IFERROR(VLOOKUP($D1151,'ACAS Capital Tracker'!$A:$H,8,FALSE()),""))</f>
        <v/>
      </c>
      <c r="F1151" s="24"/>
      <c r="G1151" s="25" t="str">
        <f>IF($D1151="","",IFERROR(VLOOKUP($D1151,'ACAS Capital Tracker'!$A:$D,4,FALSE()),""))</f>
        <v/>
      </c>
      <c r="H1151" s="22"/>
    </row>
    <row r="1152" spans="1:8">
      <c r="A1152" s="21"/>
      <c r="B1152" s="22"/>
      <c r="C1152" s="22"/>
      <c r="D1152" s="22"/>
      <c r="E1152" s="23" t="str">
        <f>IF($D1152="","",IFERROR(VLOOKUP($D1152,'ACAS Capital Tracker'!$A:$H,8,FALSE()),""))</f>
        <v/>
      </c>
      <c r="F1152" s="24"/>
      <c r="G1152" s="25" t="str">
        <f>IF($D1152="","",IFERROR(VLOOKUP($D1152,'ACAS Capital Tracker'!$A:$D,4,FALSE()),""))</f>
        <v/>
      </c>
      <c r="H1152" s="22"/>
    </row>
    <row r="1153" spans="1:8">
      <c r="A1153" s="21"/>
      <c r="B1153" s="22"/>
      <c r="C1153" s="22"/>
      <c r="D1153" s="22"/>
      <c r="E1153" s="23" t="str">
        <f>IF($D1153="","",IFERROR(VLOOKUP($D1153,'ACAS Capital Tracker'!$A:$H,8,FALSE()),""))</f>
        <v/>
      </c>
      <c r="F1153" s="24"/>
      <c r="G1153" s="25" t="str">
        <f>IF($D1153="","",IFERROR(VLOOKUP($D1153,'ACAS Capital Tracker'!$A:$D,4,FALSE()),""))</f>
        <v/>
      </c>
      <c r="H1153" s="22"/>
    </row>
    <row r="1154" spans="1:8">
      <c r="A1154" s="21"/>
      <c r="B1154" s="22"/>
      <c r="C1154" s="22"/>
      <c r="D1154" s="22"/>
      <c r="E1154" s="23" t="str">
        <f>IF($D1154="","",IFERROR(VLOOKUP($D1154,'ACAS Capital Tracker'!$A:$H,8,FALSE()),""))</f>
        <v/>
      </c>
      <c r="F1154" s="24"/>
      <c r="G1154" s="25" t="str">
        <f>IF($D1154="","",IFERROR(VLOOKUP($D1154,'ACAS Capital Tracker'!$A:$D,4,FALSE()),""))</f>
        <v/>
      </c>
      <c r="H1154" s="22"/>
    </row>
    <row r="1155" spans="1:8">
      <c r="A1155" s="21"/>
      <c r="B1155" s="22"/>
      <c r="C1155" s="22"/>
      <c r="D1155" s="22"/>
      <c r="E1155" s="23" t="str">
        <f>IF($D1155="","",IFERROR(VLOOKUP($D1155,'ACAS Capital Tracker'!$A:$H,8,FALSE()),""))</f>
        <v/>
      </c>
      <c r="F1155" s="24"/>
      <c r="G1155" s="25" t="str">
        <f>IF($D1155="","",IFERROR(VLOOKUP($D1155,'ACAS Capital Tracker'!$A:$D,4,FALSE()),""))</f>
        <v/>
      </c>
      <c r="H1155" s="22"/>
    </row>
    <row r="1156" spans="1:8">
      <c r="A1156" s="21"/>
      <c r="B1156" s="22"/>
      <c r="C1156" s="22"/>
      <c r="D1156" s="22"/>
      <c r="E1156" s="23" t="str">
        <f>IF($D1156="","",IFERROR(VLOOKUP($D1156,'ACAS Capital Tracker'!$A:$H,8,FALSE()),""))</f>
        <v/>
      </c>
      <c r="F1156" s="24"/>
      <c r="G1156" s="25" t="str">
        <f>IF($D1156="","",IFERROR(VLOOKUP($D1156,'ACAS Capital Tracker'!$A:$D,4,FALSE()),""))</f>
        <v/>
      </c>
      <c r="H1156" s="22"/>
    </row>
    <row r="1157" spans="1:8">
      <c r="A1157" s="21"/>
      <c r="B1157" s="22"/>
      <c r="C1157" s="22"/>
      <c r="D1157" s="22"/>
      <c r="E1157" s="23" t="str">
        <f>IF($D1157="","",IFERROR(VLOOKUP($D1157,'ACAS Capital Tracker'!$A:$H,8,FALSE()),""))</f>
        <v/>
      </c>
      <c r="F1157" s="24"/>
      <c r="G1157" s="25" t="str">
        <f>IF($D1157="","",IFERROR(VLOOKUP($D1157,'ACAS Capital Tracker'!$A:$D,4,FALSE()),""))</f>
        <v/>
      </c>
      <c r="H1157" s="22"/>
    </row>
    <row r="1158" spans="1:8">
      <c r="A1158" s="21"/>
      <c r="B1158" s="22"/>
      <c r="C1158" s="22"/>
      <c r="D1158" s="22"/>
      <c r="E1158" s="23" t="str">
        <f>IF($D1158="","",IFERROR(VLOOKUP($D1158,'ACAS Capital Tracker'!$A:$H,8,FALSE()),""))</f>
        <v/>
      </c>
      <c r="F1158" s="24"/>
      <c r="G1158" s="25" t="str">
        <f>IF($D1158="","",IFERROR(VLOOKUP($D1158,'ACAS Capital Tracker'!$A:$D,4,FALSE()),""))</f>
        <v/>
      </c>
      <c r="H1158" s="22"/>
    </row>
    <row r="1159" spans="1:8">
      <c r="A1159" s="21"/>
      <c r="B1159" s="22"/>
      <c r="C1159" s="22"/>
      <c r="D1159" s="22"/>
      <c r="E1159" s="23" t="str">
        <f>IF($D1159="","",IFERROR(VLOOKUP($D1159,'ACAS Capital Tracker'!$A:$H,8,FALSE()),""))</f>
        <v/>
      </c>
      <c r="F1159" s="24"/>
      <c r="G1159" s="25" t="str">
        <f>IF($D1159="","",IFERROR(VLOOKUP($D1159,'ACAS Capital Tracker'!$A:$D,4,FALSE()),""))</f>
        <v/>
      </c>
      <c r="H1159" s="22"/>
    </row>
    <row r="1160" spans="1:8">
      <c r="A1160" s="21"/>
      <c r="B1160" s="22"/>
      <c r="C1160" s="22"/>
      <c r="D1160" s="22"/>
      <c r="E1160" s="23" t="str">
        <f>IF($D1160="","",IFERROR(VLOOKUP($D1160,'ACAS Capital Tracker'!$A:$H,8,FALSE()),""))</f>
        <v/>
      </c>
      <c r="F1160" s="24"/>
      <c r="G1160" s="25" t="str">
        <f>IF($D1160="","",IFERROR(VLOOKUP($D1160,'ACAS Capital Tracker'!$A:$D,4,FALSE()),""))</f>
        <v/>
      </c>
      <c r="H1160" s="22"/>
    </row>
    <row r="1161" spans="1:8">
      <c r="A1161" s="21"/>
      <c r="B1161" s="22"/>
      <c r="C1161" s="22"/>
      <c r="D1161" s="22"/>
      <c r="E1161" s="23" t="str">
        <f>IF($D1161="","",IFERROR(VLOOKUP($D1161,'ACAS Capital Tracker'!$A:$H,8,FALSE()),""))</f>
        <v/>
      </c>
      <c r="F1161" s="24"/>
      <c r="G1161" s="25" t="str">
        <f>IF($D1161="","",IFERROR(VLOOKUP($D1161,'ACAS Capital Tracker'!$A:$D,4,FALSE()),""))</f>
        <v/>
      </c>
      <c r="H1161" s="22"/>
    </row>
    <row r="1162" spans="1:8">
      <c r="A1162" s="21"/>
      <c r="B1162" s="22"/>
      <c r="C1162" s="22"/>
      <c r="D1162" s="22"/>
      <c r="E1162" s="23" t="str">
        <f>IF($D1162="","",IFERROR(VLOOKUP($D1162,'ACAS Capital Tracker'!$A:$H,8,FALSE()),""))</f>
        <v/>
      </c>
      <c r="F1162" s="24"/>
      <c r="G1162" s="25" t="str">
        <f>IF($D1162="","",IFERROR(VLOOKUP($D1162,'ACAS Capital Tracker'!$A:$D,4,FALSE()),""))</f>
        <v/>
      </c>
      <c r="H1162" s="22"/>
    </row>
    <row r="1163" spans="1:8">
      <c r="A1163" s="21"/>
      <c r="B1163" s="22"/>
      <c r="C1163" s="22"/>
      <c r="D1163" s="22"/>
      <c r="E1163" s="23" t="str">
        <f>IF($D1163="","",IFERROR(VLOOKUP($D1163,'ACAS Capital Tracker'!$A:$H,8,FALSE()),""))</f>
        <v/>
      </c>
      <c r="F1163" s="24"/>
      <c r="G1163" s="25" t="str">
        <f>IF($D1163="","",IFERROR(VLOOKUP($D1163,'ACAS Capital Tracker'!$A:$D,4,FALSE()),""))</f>
        <v/>
      </c>
      <c r="H1163" s="22"/>
    </row>
    <row r="1164" spans="1:8">
      <c r="A1164" s="21"/>
      <c r="B1164" s="22"/>
      <c r="C1164" s="22"/>
      <c r="D1164" s="22"/>
      <c r="E1164" s="23" t="str">
        <f>IF($D1164="","",IFERROR(VLOOKUP($D1164,'ACAS Capital Tracker'!$A:$H,8,FALSE()),""))</f>
        <v/>
      </c>
      <c r="F1164" s="24"/>
      <c r="G1164" s="25" t="str">
        <f>IF($D1164="","",IFERROR(VLOOKUP($D1164,'ACAS Capital Tracker'!$A:$D,4,FALSE()),""))</f>
        <v/>
      </c>
      <c r="H1164" s="22"/>
    </row>
    <row r="1165" spans="1:8">
      <c r="A1165" s="21"/>
      <c r="B1165" s="22"/>
      <c r="C1165" s="22"/>
      <c r="D1165" s="22"/>
      <c r="E1165" s="23" t="str">
        <f>IF($D1165="","",IFERROR(VLOOKUP($D1165,'ACAS Capital Tracker'!$A:$H,8,FALSE()),""))</f>
        <v/>
      </c>
      <c r="F1165" s="24"/>
      <c r="G1165" s="25" t="str">
        <f>IF($D1165="","",IFERROR(VLOOKUP($D1165,'ACAS Capital Tracker'!$A:$D,4,FALSE()),""))</f>
        <v/>
      </c>
      <c r="H1165" s="22"/>
    </row>
    <row r="1166" spans="1:8">
      <c r="A1166" s="21"/>
      <c r="B1166" s="22"/>
      <c r="C1166" s="22"/>
      <c r="D1166" s="22"/>
      <c r="E1166" s="23" t="str">
        <f>IF($D1166="","",IFERROR(VLOOKUP($D1166,'ACAS Capital Tracker'!$A:$H,8,FALSE()),""))</f>
        <v/>
      </c>
      <c r="F1166" s="24"/>
      <c r="G1166" s="25" t="str">
        <f>IF($D1166="","",IFERROR(VLOOKUP($D1166,'ACAS Capital Tracker'!$A:$D,4,FALSE()),""))</f>
        <v/>
      </c>
      <c r="H1166" s="22"/>
    </row>
    <row r="1167" spans="1:8">
      <c r="A1167" s="21"/>
      <c r="B1167" s="22"/>
      <c r="C1167" s="22"/>
      <c r="D1167" s="22"/>
      <c r="E1167" s="23" t="str">
        <f>IF($D1167="","",IFERROR(VLOOKUP($D1167,'ACAS Capital Tracker'!$A:$H,8,FALSE()),""))</f>
        <v/>
      </c>
      <c r="F1167" s="24"/>
      <c r="G1167" s="25" t="str">
        <f>IF($D1167="","",IFERROR(VLOOKUP($D1167,'ACAS Capital Tracker'!$A:$D,4,FALSE()),""))</f>
        <v/>
      </c>
      <c r="H1167" s="22"/>
    </row>
    <row r="1168" spans="1:8">
      <c r="A1168" s="21"/>
      <c r="B1168" s="22"/>
      <c r="C1168" s="22"/>
      <c r="D1168" s="22"/>
      <c r="E1168" s="23" t="str">
        <f>IF($D1168="","",IFERROR(VLOOKUP($D1168,'ACAS Capital Tracker'!$A:$H,8,FALSE()),""))</f>
        <v/>
      </c>
      <c r="F1168" s="24"/>
      <c r="G1168" s="25" t="str">
        <f>IF($D1168="","",IFERROR(VLOOKUP($D1168,'ACAS Capital Tracker'!$A:$D,4,FALSE()),""))</f>
        <v/>
      </c>
      <c r="H1168" s="22"/>
    </row>
    <row r="1169" spans="1:8">
      <c r="A1169" s="21"/>
      <c r="B1169" s="22"/>
      <c r="C1169" s="22"/>
      <c r="D1169" s="22"/>
      <c r="E1169" s="23" t="str">
        <f>IF($D1169="","",IFERROR(VLOOKUP($D1169,'ACAS Capital Tracker'!$A:$H,8,FALSE()),""))</f>
        <v/>
      </c>
      <c r="F1169" s="24"/>
      <c r="G1169" s="25" t="str">
        <f>IF($D1169="","",IFERROR(VLOOKUP($D1169,'ACAS Capital Tracker'!$A:$D,4,FALSE()),""))</f>
        <v/>
      </c>
      <c r="H1169" s="22"/>
    </row>
    <row r="1170" spans="1:8">
      <c r="A1170" s="21"/>
      <c r="B1170" s="22"/>
      <c r="C1170" s="22"/>
      <c r="D1170" s="22"/>
      <c r="E1170" s="23" t="str">
        <f>IF($D1170="","",IFERROR(VLOOKUP($D1170,'ACAS Capital Tracker'!$A:$H,8,FALSE()),""))</f>
        <v/>
      </c>
      <c r="F1170" s="24"/>
      <c r="G1170" s="25" t="str">
        <f>IF($D1170="","",IFERROR(VLOOKUP($D1170,'ACAS Capital Tracker'!$A:$D,4,FALSE()),""))</f>
        <v/>
      </c>
      <c r="H1170" s="22"/>
    </row>
    <row r="1171" spans="1:8">
      <c r="A1171" s="21"/>
      <c r="B1171" s="22"/>
      <c r="C1171" s="22"/>
      <c r="D1171" s="22"/>
      <c r="E1171" s="23" t="str">
        <f>IF($D1171="","",IFERROR(VLOOKUP($D1171,'ACAS Capital Tracker'!$A:$H,8,FALSE()),""))</f>
        <v/>
      </c>
      <c r="F1171" s="24"/>
      <c r="G1171" s="25" t="str">
        <f>IF($D1171="","",IFERROR(VLOOKUP($D1171,'ACAS Capital Tracker'!$A:$D,4,FALSE()),""))</f>
        <v/>
      </c>
      <c r="H1171" s="22"/>
    </row>
    <row r="1172" spans="1:8">
      <c r="A1172" s="21"/>
      <c r="B1172" s="22"/>
      <c r="C1172" s="22"/>
      <c r="D1172" s="22"/>
      <c r="E1172" s="23" t="str">
        <f>IF($D1172="","",IFERROR(VLOOKUP($D1172,'ACAS Capital Tracker'!$A:$H,8,FALSE()),""))</f>
        <v/>
      </c>
      <c r="F1172" s="24"/>
      <c r="G1172" s="25" t="str">
        <f>IF($D1172="","",IFERROR(VLOOKUP($D1172,'ACAS Capital Tracker'!$A:$D,4,FALSE()),""))</f>
        <v/>
      </c>
      <c r="H1172" s="22"/>
    </row>
    <row r="1173" spans="1:8">
      <c r="A1173" s="21"/>
      <c r="B1173" s="22"/>
      <c r="C1173" s="22"/>
      <c r="D1173" s="22"/>
      <c r="E1173" s="23" t="str">
        <f>IF($D1173="","",IFERROR(VLOOKUP($D1173,'ACAS Capital Tracker'!$A:$H,8,FALSE()),""))</f>
        <v/>
      </c>
      <c r="F1173" s="24"/>
      <c r="G1173" s="25" t="str">
        <f>IF($D1173="","",IFERROR(VLOOKUP($D1173,'ACAS Capital Tracker'!$A:$D,4,FALSE()),""))</f>
        <v/>
      </c>
      <c r="H1173" s="22"/>
    </row>
    <row r="1174" spans="1:8">
      <c r="A1174" s="21"/>
      <c r="B1174" s="22"/>
      <c r="C1174" s="22"/>
      <c r="D1174" s="22"/>
      <c r="E1174" s="23" t="str">
        <f>IF($D1174="","",IFERROR(VLOOKUP($D1174,'ACAS Capital Tracker'!$A:$H,8,FALSE()),""))</f>
        <v/>
      </c>
      <c r="F1174" s="24"/>
      <c r="G1174" s="25" t="str">
        <f>IF($D1174="","",IFERROR(VLOOKUP($D1174,'ACAS Capital Tracker'!$A:$D,4,FALSE()),""))</f>
        <v/>
      </c>
      <c r="H1174" s="22"/>
    </row>
    <row r="1175" spans="1:8">
      <c r="A1175" s="21"/>
      <c r="B1175" s="22"/>
      <c r="C1175" s="22"/>
      <c r="D1175" s="22"/>
      <c r="E1175" s="23" t="str">
        <f>IF($D1175="","",IFERROR(VLOOKUP($D1175,'ACAS Capital Tracker'!$A:$H,8,FALSE()),""))</f>
        <v/>
      </c>
      <c r="F1175" s="24"/>
      <c r="G1175" s="25" t="str">
        <f>IF($D1175="","",IFERROR(VLOOKUP($D1175,'ACAS Capital Tracker'!$A:$D,4,FALSE()),""))</f>
        <v/>
      </c>
      <c r="H1175" s="22"/>
    </row>
    <row r="1176" spans="1:8">
      <c r="A1176" s="21"/>
      <c r="B1176" s="22"/>
      <c r="C1176" s="22"/>
      <c r="D1176" s="22"/>
      <c r="E1176" s="23" t="str">
        <f>IF($D1176="","",IFERROR(VLOOKUP($D1176,'ACAS Capital Tracker'!$A:$H,8,FALSE()),""))</f>
        <v/>
      </c>
      <c r="F1176" s="24"/>
      <c r="G1176" s="25" t="str">
        <f>IF($D1176="","",IFERROR(VLOOKUP($D1176,'ACAS Capital Tracker'!$A:$D,4,FALSE()),""))</f>
        <v/>
      </c>
      <c r="H1176" s="22"/>
    </row>
    <row r="1177" spans="1:8">
      <c r="A1177" s="21"/>
      <c r="B1177" s="22"/>
      <c r="C1177" s="22"/>
      <c r="D1177" s="22"/>
      <c r="E1177" s="23" t="str">
        <f>IF($D1177="","",IFERROR(VLOOKUP($D1177,'ACAS Capital Tracker'!$A:$H,8,FALSE()),""))</f>
        <v/>
      </c>
      <c r="F1177" s="24"/>
      <c r="G1177" s="25" t="str">
        <f>IF($D1177="","",IFERROR(VLOOKUP($D1177,'ACAS Capital Tracker'!$A:$D,4,FALSE()),""))</f>
        <v/>
      </c>
      <c r="H1177" s="22"/>
    </row>
    <row r="1178" spans="1:8">
      <c r="A1178" s="21"/>
      <c r="B1178" s="22"/>
      <c r="C1178" s="22"/>
      <c r="D1178" s="22"/>
      <c r="E1178" s="23" t="str">
        <f>IF($D1178="","",IFERROR(VLOOKUP($D1178,'ACAS Capital Tracker'!$A:$H,8,FALSE()),""))</f>
        <v/>
      </c>
      <c r="F1178" s="24"/>
      <c r="G1178" s="25" t="str">
        <f>IF($D1178="","",IFERROR(VLOOKUP($D1178,'ACAS Capital Tracker'!$A:$D,4,FALSE()),""))</f>
        <v/>
      </c>
      <c r="H1178" s="22"/>
    </row>
    <row r="1179" spans="1:8">
      <c r="A1179" s="21"/>
      <c r="B1179" s="22"/>
      <c r="C1179" s="22"/>
      <c r="D1179" s="22"/>
      <c r="E1179" s="23" t="str">
        <f>IF($D1179="","",IFERROR(VLOOKUP($D1179,'ACAS Capital Tracker'!$A:$H,8,FALSE()),""))</f>
        <v/>
      </c>
      <c r="F1179" s="24"/>
      <c r="G1179" s="25" t="str">
        <f>IF($D1179="","",IFERROR(VLOOKUP($D1179,'ACAS Capital Tracker'!$A:$D,4,FALSE()),""))</f>
        <v/>
      </c>
      <c r="H1179" s="22"/>
    </row>
    <row r="1180" spans="1:8">
      <c r="A1180" s="21"/>
      <c r="B1180" s="22"/>
      <c r="C1180" s="22"/>
      <c r="D1180" s="22"/>
      <c r="E1180" s="23" t="str">
        <f>IF($D1180="","",IFERROR(VLOOKUP($D1180,'ACAS Capital Tracker'!$A:$H,8,FALSE()),""))</f>
        <v/>
      </c>
      <c r="F1180" s="24"/>
      <c r="G1180" s="25" t="str">
        <f>IF($D1180="","",IFERROR(VLOOKUP($D1180,'ACAS Capital Tracker'!$A:$D,4,FALSE()),""))</f>
        <v/>
      </c>
      <c r="H1180" s="22"/>
    </row>
    <row r="1181" spans="1:8">
      <c r="A1181" s="21"/>
      <c r="B1181" s="22"/>
      <c r="C1181" s="22"/>
      <c r="D1181" s="22"/>
      <c r="E1181" s="23" t="str">
        <f>IF($D1181="","",IFERROR(VLOOKUP($D1181,'ACAS Capital Tracker'!$A:$H,8,FALSE()),""))</f>
        <v/>
      </c>
      <c r="F1181" s="24"/>
      <c r="G1181" s="25" t="str">
        <f>IF($D1181="","",IFERROR(VLOOKUP($D1181,'ACAS Capital Tracker'!$A:$D,4,FALSE()),""))</f>
        <v/>
      </c>
      <c r="H1181" s="22"/>
    </row>
    <row r="1182" spans="1:8">
      <c r="A1182" s="21"/>
      <c r="B1182" s="22"/>
      <c r="C1182" s="22"/>
      <c r="D1182" s="22"/>
      <c r="E1182" s="23" t="str">
        <f>IF($D1182="","",IFERROR(VLOOKUP($D1182,'ACAS Capital Tracker'!$A:$H,8,FALSE()),""))</f>
        <v/>
      </c>
      <c r="F1182" s="24"/>
      <c r="G1182" s="25" t="str">
        <f>IF($D1182="","",IFERROR(VLOOKUP($D1182,'ACAS Capital Tracker'!$A:$D,4,FALSE()),""))</f>
        <v/>
      </c>
      <c r="H1182" s="22"/>
    </row>
    <row r="1183" spans="1:8">
      <c r="A1183" s="21"/>
      <c r="B1183" s="22"/>
      <c r="C1183" s="22"/>
      <c r="D1183" s="22"/>
      <c r="E1183" s="23" t="str">
        <f>IF($D1183="","",IFERROR(VLOOKUP($D1183,'ACAS Capital Tracker'!$A:$H,8,FALSE()),""))</f>
        <v/>
      </c>
      <c r="F1183" s="24"/>
      <c r="G1183" s="25" t="str">
        <f>IF($D1183="","",IFERROR(VLOOKUP($D1183,'ACAS Capital Tracker'!$A:$D,4,FALSE()),""))</f>
        <v/>
      </c>
      <c r="H1183" s="22"/>
    </row>
    <row r="1184" spans="1:8">
      <c r="A1184" s="21"/>
      <c r="B1184" s="22"/>
      <c r="C1184" s="22"/>
      <c r="D1184" s="22"/>
      <c r="E1184" s="23" t="str">
        <f>IF($D1184="","",IFERROR(VLOOKUP($D1184,'ACAS Capital Tracker'!$A:$H,8,FALSE()),""))</f>
        <v/>
      </c>
      <c r="F1184" s="24"/>
      <c r="G1184" s="25" t="str">
        <f>IF($D1184="","",IFERROR(VLOOKUP($D1184,'ACAS Capital Tracker'!$A:$D,4,FALSE()),""))</f>
        <v/>
      </c>
      <c r="H1184" s="22"/>
    </row>
    <row r="1185" spans="1:8">
      <c r="A1185" s="21"/>
      <c r="B1185" s="22"/>
      <c r="C1185" s="22"/>
      <c r="D1185" s="22"/>
      <c r="E1185" s="23" t="str">
        <f>IF($D1185="","",IFERROR(VLOOKUP($D1185,'ACAS Capital Tracker'!$A:$H,8,FALSE()),""))</f>
        <v/>
      </c>
      <c r="F1185" s="24"/>
      <c r="G1185" s="25" t="str">
        <f>IF($D1185="","",IFERROR(VLOOKUP($D1185,'ACAS Capital Tracker'!$A:$D,4,FALSE()),""))</f>
        <v/>
      </c>
      <c r="H1185" s="22"/>
    </row>
    <row r="1186" spans="1:8">
      <c r="A1186" s="21"/>
      <c r="B1186" s="22"/>
      <c r="C1186" s="22"/>
      <c r="D1186" s="22"/>
      <c r="E1186" s="23" t="str">
        <f>IF($D1186="","",IFERROR(VLOOKUP($D1186,'ACAS Capital Tracker'!$A:$H,8,FALSE()),""))</f>
        <v/>
      </c>
      <c r="F1186" s="24"/>
      <c r="G1186" s="25" t="str">
        <f>IF($D1186="","",IFERROR(VLOOKUP($D1186,'ACAS Capital Tracker'!$A:$D,4,FALSE()),""))</f>
        <v/>
      </c>
      <c r="H1186" s="22"/>
    </row>
    <row r="1187" spans="1:8">
      <c r="A1187" s="21"/>
      <c r="B1187" s="22"/>
      <c r="C1187" s="22"/>
      <c r="D1187" s="22"/>
      <c r="E1187" s="23" t="str">
        <f>IF($D1187="","",IFERROR(VLOOKUP($D1187,'ACAS Capital Tracker'!$A:$H,8,FALSE()),""))</f>
        <v/>
      </c>
      <c r="F1187" s="24"/>
      <c r="G1187" s="25" t="str">
        <f>IF($D1187="","",IFERROR(VLOOKUP($D1187,'ACAS Capital Tracker'!$A:$D,4,FALSE()),""))</f>
        <v/>
      </c>
      <c r="H1187" s="22"/>
    </row>
    <row r="1188" spans="1:8">
      <c r="A1188" s="21"/>
      <c r="B1188" s="22"/>
      <c r="C1188" s="22"/>
      <c r="D1188" s="22"/>
      <c r="E1188" s="23" t="str">
        <f>IF($D1188="","",IFERROR(VLOOKUP($D1188,'ACAS Capital Tracker'!$A:$H,8,FALSE()),""))</f>
        <v/>
      </c>
      <c r="F1188" s="24"/>
      <c r="G1188" s="25" t="str">
        <f>IF($D1188="","",IFERROR(VLOOKUP($D1188,'ACAS Capital Tracker'!$A:$D,4,FALSE()),""))</f>
        <v/>
      </c>
      <c r="H1188" s="22"/>
    </row>
    <row r="1189" spans="1:8">
      <c r="A1189" s="21"/>
      <c r="B1189" s="22"/>
      <c r="C1189" s="22"/>
      <c r="D1189" s="22"/>
      <c r="E1189" s="23" t="str">
        <f>IF($D1189="","",IFERROR(VLOOKUP($D1189,'ACAS Capital Tracker'!$A:$H,8,FALSE()),""))</f>
        <v/>
      </c>
      <c r="F1189" s="24"/>
      <c r="G1189" s="25" t="str">
        <f>IF($D1189="","",IFERROR(VLOOKUP($D1189,'ACAS Capital Tracker'!$A:$D,4,FALSE()),""))</f>
        <v/>
      </c>
      <c r="H1189" s="22"/>
    </row>
    <row r="1190" spans="1:8">
      <c r="A1190" s="21"/>
      <c r="B1190" s="22"/>
      <c r="C1190" s="22"/>
      <c r="D1190" s="22"/>
      <c r="E1190" s="23" t="str">
        <f>IF($D1190="","",IFERROR(VLOOKUP($D1190,'ACAS Capital Tracker'!$A:$H,8,FALSE()),""))</f>
        <v/>
      </c>
      <c r="F1190" s="24"/>
      <c r="G1190" s="25" t="str">
        <f>IF($D1190="","",IFERROR(VLOOKUP($D1190,'ACAS Capital Tracker'!$A:$D,4,FALSE()),""))</f>
        <v/>
      </c>
      <c r="H1190" s="22"/>
    </row>
    <row r="1191" spans="1:8">
      <c r="A1191" s="21"/>
      <c r="B1191" s="22"/>
      <c r="C1191" s="22"/>
      <c r="D1191" s="22"/>
      <c r="E1191" s="23" t="str">
        <f>IF($D1191="","",IFERROR(VLOOKUP($D1191,'ACAS Capital Tracker'!$A:$H,8,FALSE()),""))</f>
        <v/>
      </c>
      <c r="F1191" s="24"/>
      <c r="G1191" s="25" t="str">
        <f>IF($D1191="","",IFERROR(VLOOKUP($D1191,'ACAS Capital Tracker'!$A:$D,4,FALSE()),""))</f>
        <v/>
      </c>
      <c r="H1191" s="22"/>
    </row>
    <row r="1192" spans="1:8">
      <c r="A1192" s="21"/>
      <c r="B1192" s="22"/>
      <c r="C1192" s="22"/>
      <c r="D1192" s="22"/>
      <c r="E1192" s="23" t="str">
        <f>IF($D1192="","",IFERROR(VLOOKUP($D1192,'ACAS Capital Tracker'!$A:$H,8,FALSE()),""))</f>
        <v/>
      </c>
      <c r="F1192" s="24"/>
      <c r="G1192" s="25" t="str">
        <f>IF($D1192="","",IFERROR(VLOOKUP($D1192,'ACAS Capital Tracker'!$A:$D,4,FALSE()),""))</f>
        <v/>
      </c>
      <c r="H1192" s="22"/>
    </row>
    <row r="1193" spans="1:8">
      <c r="A1193" s="21"/>
      <c r="B1193" s="22"/>
      <c r="C1193" s="22"/>
      <c r="D1193" s="22"/>
      <c r="E1193" s="23" t="str">
        <f>IF($D1193="","",IFERROR(VLOOKUP($D1193,'ACAS Capital Tracker'!$A:$H,8,FALSE()),""))</f>
        <v/>
      </c>
      <c r="F1193" s="24"/>
      <c r="G1193" s="25" t="str">
        <f>IF($D1193="","",IFERROR(VLOOKUP($D1193,'ACAS Capital Tracker'!$A:$D,4,FALSE()),""))</f>
        <v/>
      </c>
      <c r="H1193" s="22"/>
    </row>
    <row r="1194" spans="1:8">
      <c r="A1194" s="21"/>
      <c r="B1194" s="22"/>
      <c r="C1194" s="22"/>
      <c r="D1194" s="22"/>
      <c r="E1194" s="23" t="str">
        <f>IF($D1194="","",IFERROR(VLOOKUP($D1194,'ACAS Capital Tracker'!$A:$H,8,FALSE()),""))</f>
        <v/>
      </c>
      <c r="F1194" s="24"/>
      <c r="G1194" s="25" t="str">
        <f>IF($D1194="","",IFERROR(VLOOKUP($D1194,'ACAS Capital Tracker'!$A:$D,4,FALSE()),""))</f>
        <v/>
      </c>
      <c r="H1194" s="22"/>
    </row>
    <row r="1195" spans="1:8">
      <c r="A1195" s="21"/>
      <c r="B1195" s="22"/>
      <c r="C1195" s="22"/>
      <c r="D1195" s="22"/>
      <c r="E1195" s="23" t="str">
        <f>IF($D1195="","",IFERROR(VLOOKUP($D1195,'ACAS Capital Tracker'!$A:$H,8,FALSE()),""))</f>
        <v/>
      </c>
      <c r="F1195" s="24"/>
      <c r="G1195" s="25" t="str">
        <f>IF($D1195="","",IFERROR(VLOOKUP($D1195,'ACAS Capital Tracker'!$A:$D,4,FALSE()),""))</f>
        <v/>
      </c>
      <c r="H1195" s="22"/>
    </row>
    <row r="1196" spans="1:8">
      <c r="A1196" s="21"/>
      <c r="B1196" s="22"/>
      <c r="C1196" s="22"/>
      <c r="D1196" s="22"/>
      <c r="E1196" s="23" t="str">
        <f>IF($D1196="","",IFERROR(VLOOKUP($D1196,'ACAS Capital Tracker'!$A:$H,8,FALSE()),""))</f>
        <v/>
      </c>
      <c r="F1196" s="24"/>
      <c r="G1196" s="25" t="str">
        <f>IF($D1196="","",IFERROR(VLOOKUP($D1196,'ACAS Capital Tracker'!$A:$D,4,FALSE()),""))</f>
        <v/>
      </c>
      <c r="H1196" s="22"/>
    </row>
    <row r="1197" spans="1:8">
      <c r="A1197" s="21"/>
      <c r="B1197" s="22"/>
      <c r="C1197" s="22"/>
      <c r="D1197" s="22"/>
      <c r="E1197" s="23" t="str">
        <f>IF($D1197="","",IFERROR(VLOOKUP($D1197,'ACAS Capital Tracker'!$A:$H,8,FALSE()),""))</f>
        <v/>
      </c>
      <c r="F1197" s="24"/>
      <c r="G1197" s="25" t="str">
        <f>IF($D1197="","",IFERROR(VLOOKUP($D1197,'ACAS Capital Tracker'!$A:$D,4,FALSE()),""))</f>
        <v/>
      </c>
      <c r="H1197" s="22"/>
    </row>
    <row r="1198" spans="1:8">
      <c r="A1198" s="21"/>
      <c r="B1198" s="22"/>
      <c r="C1198" s="22"/>
      <c r="D1198" s="22"/>
      <c r="E1198" s="23" t="str">
        <f>IF($D1198="","",IFERROR(VLOOKUP($D1198,'ACAS Capital Tracker'!$A:$H,8,FALSE()),""))</f>
        <v/>
      </c>
      <c r="F1198" s="24"/>
      <c r="G1198" s="25" t="str">
        <f>IF($D1198="","",IFERROR(VLOOKUP($D1198,'ACAS Capital Tracker'!$A:$D,4,FALSE()),""))</f>
        <v/>
      </c>
      <c r="H1198" s="22"/>
    </row>
    <row r="1199" spans="1:8">
      <c r="A1199" s="21"/>
      <c r="B1199" s="22"/>
      <c r="C1199" s="22"/>
      <c r="D1199" s="22"/>
      <c r="E1199" s="23" t="str">
        <f>IF($D1199="","",IFERROR(VLOOKUP($D1199,'ACAS Capital Tracker'!$A:$H,8,FALSE()),""))</f>
        <v/>
      </c>
      <c r="F1199" s="24"/>
      <c r="G1199" s="25" t="str">
        <f>IF($D1199="","",IFERROR(VLOOKUP($D1199,'ACAS Capital Tracker'!$A:$D,4,FALSE()),""))</f>
        <v/>
      </c>
      <c r="H1199" s="22"/>
    </row>
    <row r="1200" spans="1:8">
      <c r="A1200" s="21"/>
      <c r="B1200" s="22"/>
      <c r="C1200" s="22"/>
      <c r="D1200" s="22"/>
      <c r="E1200" s="23" t="str">
        <f>IF($D1200="","",IFERROR(VLOOKUP($D1200,'ACAS Capital Tracker'!$A:$H,8,FALSE()),""))</f>
        <v/>
      </c>
      <c r="F1200" s="24"/>
      <c r="G1200" s="25" t="str">
        <f>IF($D1200="","",IFERROR(VLOOKUP($D1200,'ACAS Capital Tracker'!$A:$D,4,FALSE()),""))</f>
        <v/>
      </c>
      <c r="H1200" s="22"/>
    </row>
    <row r="1201" spans="1:8">
      <c r="A1201" s="21"/>
      <c r="B1201" s="22"/>
      <c r="C1201" s="22"/>
      <c r="D1201" s="22"/>
      <c r="E1201" s="23" t="str">
        <f>IF($D1201="","",IFERROR(VLOOKUP($D1201,'ACAS Capital Tracker'!$A:$H,8,FALSE()),""))</f>
        <v/>
      </c>
      <c r="F1201" s="24"/>
      <c r="G1201" s="25" t="str">
        <f>IF($D1201="","",IFERROR(VLOOKUP($D1201,'ACAS Capital Tracker'!$A:$D,4,FALSE()),""))</f>
        <v/>
      </c>
      <c r="H1201" s="22"/>
    </row>
    <row r="1202" spans="1:8">
      <c r="A1202" s="21"/>
      <c r="B1202" s="22"/>
      <c r="C1202" s="22"/>
      <c r="D1202" s="22"/>
      <c r="E1202" s="23" t="str">
        <f>IF($D1202="","",IFERROR(VLOOKUP($D1202,'ACAS Capital Tracker'!$A:$H,8,FALSE()),""))</f>
        <v/>
      </c>
      <c r="F1202" s="24"/>
      <c r="G1202" s="25" t="str">
        <f>IF($D1202="","",IFERROR(VLOOKUP($D1202,'ACAS Capital Tracker'!$A:$D,4,FALSE()),""))</f>
        <v/>
      </c>
      <c r="H1202" s="22"/>
    </row>
    <row r="1203" spans="1:8">
      <c r="A1203" s="21"/>
      <c r="B1203" s="22"/>
      <c r="C1203" s="22"/>
      <c r="D1203" s="22"/>
      <c r="E1203" s="23" t="str">
        <f>IF($D1203="","",IFERROR(VLOOKUP($D1203,'ACAS Capital Tracker'!$A:$H,8,FALSE()),""))</f>
        <v/>
      </c>
      <c r="F1203" s="24"/>
      <c r="G1203" s="25" t="str">
        <f>IF($D1203="","",IFERROR(VLOOKUP($D1203,'ACAS Capital Tracker'!$A:$D,4,FALSE()),""))</f>
        <v/>
      </c>
      <c r="H1203" s="22"/>
    </row>
    <row r="1204" spans="1:8">
      <c r="A1204" s="21"/>
      <c r="B1204" s="22"/>
      <c r="C1204" s="22"/>
      <c r="D1204" s="22"/>
      <c r="E1204" s="23" t="str">
        <f>IF($D1204="","",IFERROR(VLOOKUP($D1204,'ACAS Capital Tracker'!$A:$H,8,FALSE()),""))</f>
        <v/>
      </c>
      <c r="F1204" s="24"/>
      <c r="G1204" s="25" t="str">
        <f>IF($D1204="","",IFERROR(VLOOKUP($D1204,'ACAS Capital Tracker'!$A:$D,4,FALSE()),""))</f>
        <v/>
      </c>
      <c r="H1204" s="22"/>
    </row>
    <row r="1205" spans="1:8">
      <c r="A1205" s="21"/>
      <c r="B1205" s="22"/>
      <c r="C1205" s="22"/>
      <c r="D1205" s="22"/>
      <c r="E1205" s="23" t="str">
        <f>IF($D1205="","",IFERROR(VLOOKUP($D1205,'ACAS Capital Tracker'!$A:$H,8,FALSE()),""))</f>
        <v/>
      </c>
      <c r="F1205" s="24"/>
      <c r="G1205" s="25" t="str">
        <f>IF($D1205="","",IFERROR(VLOOKUP($D1205,'ACAS Capital Tracker'!$A:$D,4,FALSE()),""))</f>
        <v/>
      </c>
      <c r="H1205" s="22"/>
    </row>
    <row r="1206" spans="1:8">
      <c r="A1206" s="21"/>
      <c r="B1206" s="22"/>
      <c r="C1206" s="22"/>
      <c r="D1206" s="22"/>
      <c r="E1206" s="23" t="str">
        <f>IF($D1206="","",IFERROR(VLOOKUP($D1206,'ACAS Capital Tracker'!$A:$H,8,FALSE()),""))</f>
        <v/>
      </c>
      <c r="F1206" s="24"/>
      <c r="G1206" s="25" t="str">
        <f>IF($D1206="","",IFERROR(VLOOKUP($D1206,'ACAS Capital Tracker'!$A:$D,4,FALSE()),""))</f>
        <v/>
      </c>
      <c r="H1206" s="22"/>
    </row>
    <row r="1207" spans="1:8">
      <c r="A1207" s="21"/>
      <c r="B1207" s="22"/>
      <c r="C1207" s="22"/>
      <c r="D1207" s="22"/>
      <c r="E1207" s="23" t="str">
        <f>IF($D1207="","",IFERROR(VLOOKUP($D1207,'ACAS Capital Tracker'!$A:$H,8,FALSE()),""))</f>
        <v/>
      </c>
      <c r="F1207" s="24"/>
      <c r="G1207" s="25" t="str">
        <f>IF($D1207="","",IFERROR(VLOOKUP($D1207,'ACAS Capital Tracker'!$A:$D,4,FALSE()),""))</f>
        <v/>
      </c>
      <c r="H1207" s="22"/>
    </row>
    <row r="1208" spans="1:8">
      <c r="A1208" s="21"/>
      <c r="B1208" s="22"/>
      <c r="C1208" s="22"/>
      <c r="D1208" s="22"/>
      <c r="E1208" s="23" t="str">
        <f>IF($D1208="","",IFERROR(VLOOKUP($D1208,'ACAS Capital Tracker'!$A:$H,8,FALSE()),""))</f>
        <v/>
      </c>
      <c r="F1208" s="24"/>
      <c r="G1208" s="25" t="str">
        <f>IF($D1208="","",IFERROR(VLOOKUP($D1208,'ACAS Capital Tracker'!$A:$D,4,FALSE()),""))</f>
        <v/>
      </c>
      <c r="H1208" s="22"/>
    </row>
    <row r="1209" spans="1:8">
      <c r="A1209" s="21"/>
      <c r="B1209" s="22"/>
      <c r="C1209" s="22"/>
      <c r="D1209" s="22"/>
      <c r="E1209" s="23" t="str">
        <f>IF($D1209="","",IFERROR(VLOOKUP($D1209,'ACAS Capital Tracker'!$A:$H,8,FALSE()),""))</f>
        <v/>
      </c>
      <c r="F1209" s="24"/>
      <c r="G1209" s="25" t="str">
        <f>IF($D1209="","",IFERROR(VLOOKUP($D1209,'ACAS Capital Tracker'!$A:$D,4,FALSE()),""))</f>
        <v/>
      </c>
      <c r="H1209" s="22"/>
    </row>
    <row r="1210" spans="1:8">
      <c r="A1210" s="21"/>
      <c r="B1210" s="22"/>
      <c r="C1210" s="22"/>
      <c r="D1210" s="22"/>
      <c r="E1210" s="23" t="str">
        <f>IF($D1210="","",IFERROR(VLOOKUP($D1210,'ACAS Capital Tracker'!$A:$H,8,FALSE()),""))</f>
        <v/>
      </c>
      <c r="F1210" s="24"/>
      <c r="G1210" s="25" t="str">
        <f>IF($D1210="","",IFERROR(VLOOKUP($D1210,'ACAS Capital Tracker'!$A:$D,4,FALSE()),""))</f>
        <v/>
      </c>
      <c r="H1210" s="22"/>
    </row>
    <row r="1211" spans="1:8">
      <c r="A1211" s="21"/>
      <c r="B1211" s="22"/>
      <c r="C1211" s="22"/>
      <c r="D1211" s="22"/>
      <c r="E1211" s="23" t="str">
        <f>IF($D1211="","",IFERROR(VLOOKUP($D1211,'ACAS Capital Tracker'!$A:$H,8,FALSE()),""))</f>
        <v/>
      </c>
      <c r="F1211" s="24"/>
      <c r="G1211" s="25" t="str">
        <f>IF($D1211="","",IFERROR(VLOOKUP($D1211,'ACAS Capital Tracker'!$A:$D,4,FALSE()),""))</f>
        <v/>
      </c>
      <c r="H1211" s="22"/>
    </row>
    <row r="1212" spans="1:8">
      <c r="A1212" s="21"/>
      <c r="B1212" s="22"/>
      <c r="C1212" s="22"/>
      <c r="D1212" s="22"/>
      <c r="E1212" s="23" t="str">
        <f>IF($D1212="","",IFERROR(VLOOKUP($D1212,'ACAS Capital Tracker'!$A:$H,8,FALSE()),""))</f>
        <v/>
      </c>
      <c r="F1212" s="24"/>
      <c r="G1212" s="25" t="str">
        <f>IF($D1212="","",IFERROR(VLOOKUP($D1212,'ACAS Capital Tracker'!$A:$D,4,FALSE()),""))</f>
        <v/>
      </c>
      <c r="H1212" s="22"/>
    </row>
    <row r="1213" spans="1:8">
      <c r="A1213" s="21"/>
      <c r="B1213" s="22"/>
      <c r="C1213" s="22"/>
      <c r="D1213" s="22"/>
      <c r="E1213" s="23" t="str">
        <f>IF($D1213="","",IFERROR(VLOOKUP($D1213,'ACAS Capital Tracker'!$A:$H,8,FALSE()),""))</f>
        <v/>
      </c>
      <c r="F1213" s="24"/>
      <c r="G1213" s="25" t="str">
        <f>IF($D1213="","",IFERROR(VLOOKUP($D1213,'ACAS Capital Tracker'!$A:$D,4,FALSE()),""))</f>
        <v/>
      </c>
      <c r="H1213" s="22"/>
    </row>
    <row r="1214" spans="1:8">
      <c r="A1214" s="21"/>
      <c r="B1214" s="22"/>
      <c r="C1214" s="22"/>
      <c r="D1214" s="22"/>
      <c r="E1214" s="23" t="str">
        <f>IF($D1214="","",IFERROR(VLOOKUP($D1214,'ACAS Capital Tracker'!$A:$H,8,FALSE()),""))</f>
        <v/>
      </c>
      <c r="F1214" s="24"/>
      <c r="G1214" s="25" t="str">
        <f>IF($D1214="","",IFERROR(VLOOKUP($D1214,'ACAS Capital Tracker'!$A:$D,4,FALSE()),""))</f>
        <v/>
      </c>
      <c r="H1214" s="22"/>
    </row>
    <row r="1215" spans="1:8">
      <c r="A1215" s="21"/>
      <c r="B1215" s="22"/>
      <c r="C1215" s="22"/>
      <c r="D1215" s="22"/>
      <c r="E1215" s="23" t="str">
        <f>IF($D1215="","",IFERROR(VLOOKUP($D1215,'ACAS Capital Tracker'!$A:$H,8,FALSE()),""))</f>
        <v/>
      </c>
      <c r="F1215" s="24"/>
      <c r="G1215" s="25" t="str">
        <f>IF($D1215="","",IFERROR(VLOOKUP($D1215,'ACAS Capital Tracker'!$A:$D,4,FALSE()),""))</f>
        <v/>
      </c>
      <c r="H1215" s="22"/>
    </row>
    <row r="1216" spans="1:8">
      <c r="A1216" s="21"/>
      <c r="B1216" s="22"/>
      <c r="C1216" s="22"/>
      <c r="D1216" s="22"/>
      <c r="E1216" s="23" t="str">
        <f>IF($D1216="","",IFERROR(VLOOKUP($D1216,'ACAS Capital Tracker'!$A:$H,8,FALSE()),""))</f>
        <v/>
      </c>
      <c r="F1216" s="24"/>
      <c r="G1216" s="25" t="str">
        <f>IF($D1216="","",IFERROR(VLOOKUP($D1216,'ACAS Capital Tracker'!$A:$D,4,FALSE()),""))</f>
        <v/>
      </c>
      <c r="H1216" s="22"/>
    </row>
    <row r="1217" spans="1:8">
      <c r="A1217" s="21"/>
      <c r="B1217" s="22"/>
      <c r="C1217" s="22"/>
      <c r="D1217" s="22"/>
      <c r="E1217" s="23" t="str">
        <f>IF($D1217="","",IFERROR(VLOOKUP($D1217,'ACAS Capital Tracker'!$A:$H,8,FALSE()),""))</f>
        <v/>
      </c>
      <c r="F1217" s="24"/>
      <c r="G1217" s="25" t="str">
        <f>IF($D1217="","",IFERROR(VLOOKUP($D1217,'ACAS Capital Tracker'!$A:$D,4,FALSE()),""))</f>
        <v/>
      </c>
      <c r="H1217" s="22"/>
    </row>
    <row r="1218" spans="1:8">
      <c r="A1218" s="21"/>
      <c r="B1218" s="22"/>
      <c r="C1218" s="22"/>
      <c r="D1218" s="22"/>
      <c r="E1218" s="23" t="str">
        <f>IF($D1218="","",IFERROR(VLOOKUP($D1218,'ACAS Capital Tracker'!$A:$H,8,FALSE()),""))</f>
        <v/>
      </c>
      <c r="F1218" s="24"/>
      <c r="G1218" s="25" t="str">
        <f>IF($D1218="","",IFERROR(VLOOKUP($D1218,'ACAS Capital Tracker'!$A:$D,4,FALSE()),""))</f>
        <v/>
      </c>
      <c r="H1218" s="22"/>
    </row>
    <row r="1219" spans="1:8">
      <c r="A1219" s="21"/>
      <c r="B1219" s="22"/>
      <c r="C1219" s="22"/>
      <c r="D1219" s="22"/>
      <c r="E1219" s="23" t="str">
        <f>IF($D1219="","",IFERROR(VLOOKUP($D1219,'ACAS Capital Tracker'!$A:$H,8,FALSE()),""))</f>
        <v/>
      </c>
      <c r="F1219" s="24"/>
      <c r="G1219" s="25" t="str">
        <f>IF($D1219="","",IFERROR(VLOOKUP($D1219,'ACAS Capital Tracker'!$A:$D,4,FALSE()),""))</f>
        <v/>
      </c>
      <c r="H1219" s="22"/>
    </row>
    <row r="1220" spans="1:8">
      <c r="A1220" s="21"/>
      <c r="B1220" s="22"/>
      <c r="C1220" s="22"/>
      <c r="D1220" s="22"/>
      <c r="E1220" s="23" t="str">
        <f>IF($D1220="","",IFERROR(VLOOKUP($D1220,'ACAS Capital Tracker'!$A:$H,8,FALSE()),""))</f>
        <v/>
      </c>
      <c r="F1220" s="24"/>
      <c r="G1220" s="25" t="str">
        <f>IF($D1220="","",IFERROR(VLOOKUP($D1220,'ACAS Capital Tracker'!$A:$D,4,FALSE()),""))</f>
        <v/>
      </c>
      <c r="H1220" s="22"/>
    </row>
    <row r="1221" spans="1:8">
      <c r="A1221" s="21"/>
      <c r="B1221" s="22"/>
      <c r="C1221" s="22"/>
      <c r="D1221" s="22"/>
      <c r="E1221" s="23" t="str">
        <f>IF($D1221="","",IFERROR(VLOOKUP($D1221,'ACAS Capital Tracker'!$A:$H,8,FALSE()),""))</f>
        <v/>
      </c>
      <c r="F1221" s="24"/>
      <c r="G1221" s="25" t="str">
        <f>IF($D1221="","",IFERROR(VLOOKUP($D1221,'ACAS Capital Tracker'!$A:$D,4,FALSE()),""))</f>
        <v/>
      </c>
      <c r="H1221" s="22"/>
    </row>
    <row r="1222" spans="1:8">
      <c r="A1222" s="21"/>
      <c r="B1222" s="22"/>
      <c r="C1222" s="22"/>
      <c r="D1222" s="22"/>
      <c r="E1222" s="23" t="str">
        <f>IF($D1222="","",IFERROR(VLOOKUP($D1222,'ACAS Capital Tracker'!$A:$H,8,FALSE()),""))</f>
        <v/>
      </c>
      <c r="F1222" s="24"/>
      <c r="G1222" s="25" t="str">
        <f>IF($D1222="","",IFERROR(VLOOKUP($D1222,'ACAS Capital Tracker'!$A:$D,4,FALSE()),""))</f>
        <v/>
      </c>
      <c r="H1222" s="22"/>
    </row>
    <row r="1223" spans="1:8">
      <c r="A1223" s="21"/>
      <c r="B1223" s="22"/>
      <c r="C1223" s="22"/>
      <c r="D1223" s="22"/>
      <c r="E1223" s="23" t="str">
        <f>IF($D1223="","",IFERROR(VLOOKUP($D1223,'ACAS Capital Tracker'!$A:$H,8,FALSE()),""))</f>
        <v/>
      </c>
      <c r="F1223" s="24"/>
      <c r="G1223" s="25" t="str">
        <f>IF($D1223="","",IFERROR(VLOOKUP($D1223,'ACAS Capital Tracker'!$A:$D,4,FALSE()),""))</f>
        <v/>
      </c>
      <c r="H1223" s="22"/>
    </row>
    <row r="1224" spans="1:8">
      <c r="A1224" s="21"/>
      <c r="B1224" s="22"/>
      <c r="C1224" s="22"/>
      <c r="D1224" s="22"/>
      <c r="E1224" s="23" t="str">
        <f>IF($D1224="","",IFERROR(VLOOKUP($D1224,'ACAS Capital Tracker'!$A:$H,8,FALSE()),""))</f>
        <v/>
      </c>
      <c r="F1224" s="24"/>
      <c r="G1224" s="25" t="str">
        <f>IF($D1224="","",IFERROR(VLOOKUP($D1224,'ACAS Capital Tracker'!$A:$D,4,FALSE()),""))</f>
        <v/>
      </c>
      <c r="H1224" s="22"/>
    </row>
    <row r="1225" spans="1:8">
      <c r="A1225" s="21"/>
      <c r="B1225" s="22"/>
      <c r="C1225" s="22"/>
      <c r="D1225" s="22"/>
      <c r="E1225" s="23" t="str">
        <f>IF($D1225="","",IFERROR(VLOOKUP($D1225,'ACAS Capital Tracker'!$A:$H,8,FALSE()),""))</f>
        <v/>
      </c>
      <c r="F1225" s="24"/>
      <c r="G1225" s="25" t="str">
        <f>IF($D1225="","",IFERROR(VLOOKUP($D1225,'ACAS Capital Tracker'!$A:$D,4,FALSE()),""))</f>
        <v/>
      </c>
      <c r="H1225" s="22"/>
    </row>
    <row r="1226" spans="1:8">
      <c r="A1226" s="21"/>
      <c r="B1226" s="22"/>
      <c r="C1226" s="22"/>
      <c r="D1226" s="22"/>
      <c r="E1226" s="23" t="str">
        <f>IF($D1226="","",IFERROR(VLOOKUP($D1226,'ACAS Capital Tracker'!$A:$H,8,FALSE()),""))</f>
        <v/>
      </c>
      <c r="F1226" s="24"/>
      <c r="G1226" s="25" t="str">
        <f>IF($D1226="","",IFERROR(VLOOKUP($D1226,'ACAS Capital Tracker'!$A:$D,4,FALSE()),""))</f>
        <v/>
      </c>
      <c r="H1226" s="22"/>
    </row>
    <row r="1227" spans="1:8">
      <c r="A1227" s="21"/>
      <c r="B1227" s="22"/>
      <c r="C1227" s="22"/>
      <c r="D1227" s="22"/>
      <c r="E1227" s="23" t="str">
        <f>IF($D1227="","",IFERROR(VLOOKUP($D1227,'ACAS Capital Tracker'!$A:$H,8,FALSE()),""))</f>
        <v/>
      </c>
      <c r="F1227" s="24"/>
      <c r="G1227" s="25" t="str">
        <f>IF($D1227="","",IFERROR(VLOOKUP($D1227,'ACAS Capital Tracker'!$A:$D,4,FALSE()),""))</f>
        <v/>
      </c>
      <c r="H1227" s="22"/>
    </row>
    <row r="1228" spans="1:8">
      <c r="A1228" s="21"/>
      <c r="B1228" s="22"/>
      <c r="C1228" s="22"/>
      <c r="D1228" s="22"/>
      <c r="E1228" s="23" t="str">
        <f>IF($D1228="","",IFERROR(VLOOKUP($D1228,'ACAS Capital Tracker'!$A:$H,8,FALSE()),""))</f>
        <v/>
      </c>
      <c r="F1228" s="24"/>
      <c r="G1228" s="25" t="str">
        <f>IF($D1228="","",IFERROR(VLOOKUP($D1228,'ACAS Capital Tracker'!$A:$D,4,FALSE()),""))</f>
        <v/>
      </c>
      <c r="H1228" s="22"/>
    </row>
    <row r="1229" spans="1:8">
      <c r="A1229" s="21"/>
      <c r="B1229" s="22"/>
      <c r="C1229" s="22"/>
      <c r="D1229" s="22"/>
      <c r="E1229" s="23" t="str">
        <f>IF($D1229="","",IFERROR(VLOOKUP($D1229,'ACAS Capital Tracker'!$A:$H,8,FALSE()),""))</f>
        <v/>
      </c>
      <c r="F1229" s="24"/>
      <c r="G1229" s="25" t="str">
        <f>IF($D1229="","",IFERROR(VLOOKUP($D1229,'ACAS Capital Tracker'!$A:$D,4,FALSE()),""))</f>
        <v/>
      </c>
      <c r="H1229" s="22"/>
    </row>
    <row r="1230" spans="1:8">
      <c r="A1230" s="21"/>
      <c r="B1230" s="22"/>
      <c r="C1230" s="22"/>
      <c r="D1230" s="22"/>
      <c r="E1230" s="23" t="str">
        <f>IF($D1230="","",IFERROR(VLOOKUP($D1230,'ACAS Capital Tracker'!$A:$H,8,FALSE()),""))</f>
        <v/>
      </c>
      <c r="F1230" s="24"/>
      <c r="G1230" s="25" t="str">
        <f>IF($D1230="","",IFERROR(VLOOKUP($D1230,'ACAS Capital Tracker'!$A:$D,4,FALSE()),""))</f>
        <v/>
      </c>
      <c r="H1230" s="22"/>
    </row>
    <row r="1231" spans="1:8">
      <c r="A1231" s="21"/>
      <c r="B1231" s="22"/>
      <c r="C1231" s="22"/>
      <c r="D1231" s="22"/>
      <c r="E1231" s="23" t="str">
        <f>IF($D1231="","",IFERROR(VLOOKUP($D1231,'ACAS Capital Tracker'!$A:$H,8,FALSE()),""))</f>
        <v/>
      </c>
      <c r="F1231" s="24"/>
      <c r="G1231" s="25" t="str">
        <f>IF($D1231="","",IFERROR(VLOOKUP($D1231,'ACAS Capital Tracker'!$A:$D,4,FALSE()),""))</f>
        <v/>
      </c>
      <c r="H1231" s="22"/>
    </row>
    <row r="1232" spans="1:8">
      <c r="A1232" s="21"/>
      <c r="B1232" s="22"/>
      <c r="C1232" s="22"/>
      <c r="D1232" s="22"/>
      <c r="E1232" s="23" t="str">
        <f>IF($D1232="","",IFERROR(VLOOKUP($D1232,'ACAS Capital Tracker'!$A:$H,8,FALSE()),""))</f>
        <v/>
      </c>
      <c r="F1232" s="24"/>
      <c r="G1232" s="25" t="str">
        <f>IF($D1232="","",IFERROR(VLOOKUP($D1232,'ACAS Capital Tracker'!$A:$D,4,FALSE()),""))</f>
        <v/>
      </c>
      <c r="H1232" s="22"/>
    </row>
    <row r="1233" spans="1:8">
      <c r="A1233" s="21"/>
      <c r="B1233" s="22"/>
      <c r="C1233" s="22"/>
      <c r="D1233" s="22"/>
      <c r="E1233" s="23" t="str">
        <f>IF($D1233="","",IFERROR(VLOOKUP($D1233,'ACAS Capital Tracker'!$A:$H,8,FALSE()),""))</f>
        <v/>
      </c>
      <c r="F1233" s="24"/>
      <c r="G1233" s="25" t="str">
        <f>IF($D1233="","",IFERROR(VLOOKUP($D1233,'ACAS Capital Tracker'!$A:$D,4,FALSE()),""))</f>
        <v/>
      </c>
      <c r="H1233" s="22"/>
    </row>
    <row r="1234" spans="1:8">
      <c r="A1234" s="21"/>
      <c r="B1234" s="22"/>
      <c r="C1234" s="22"/>
      <c r="D1234" s="22"/>
      <c r="E1234" s="23" t="str">
        <f>IF($D1234="","",IFERROR(VLOOKUP($D1234,'ACAS Capital Tracker'!$A:$H,8,FALSE()),""))</f>
        <v/>
      </c>
      <c r="F1234" s="24"/>
      <c r="G1234" s="25" t="str">
        <f>IF($D1234="","",IFERROR(VLOOKUP($D1234,'ACAS Capital Tracker'!$A:$D,4,FALSE()),""))</f>
        <v/>
      </c>
      <c r="H1234" s="22"/>
    </row>
    <row r="1235" spans="1:8">
      <c r="A1235" s="21"/>
      <c r="B1235" s="22"/>
      <c r="C1235" s="22"/>
      <c r="D1235" s="22"/>
      <c r="E1235" s="23" t="str">
        <f>IF($D1235="","",IFERROR(VLOOKUP($D1235,'ACAS Capital Tracker'!$A:$H,8,FALSE()),""))</f>
        <v/>
      </c>
      <c r="F1235" s="24"/>
      <c r="G1235" s="25" t="str">
        <f>IF($D1235="","",IFERROR(VLOOKUP($D1235,'ACAS Capital Tracker'!$A:$D,4,FALSE()),""))</f>
        <v/>
      </c>
      <c r="H1235" s="22"/>
    </row>
    <row r="1236" spans="1:8">
      <c r="A1236" s="21"/>
      <c r="B1236" s="22"/>
      <c r="C1236" s="22"/>
      <c r="D1236" s="22"/>
      <c r="E1236" s="23" t="str">
        <f>IF($D1236="","",IFERROR(VLOOKUP($D1236,'ACAS Capital Tracker'!$A:$H,8,FALSE()),""))</f>
        <v/>
      </c>
      <c r="F1236" s="24"/>
      <c r="G1236" s="25" t="str">
        <f>IF($D1236="","",IFERROR(VLOOKUP($D1236,'ACAS Capital Tracker'!$A:$D,4,FALSE()),""))</f>
        <v/>
      </c>
      <c r="H1236" s="22"/>
    </row>
    <row r="1237" spans="1:8">
      <c r="A1237" s="21"/>
      <c r="B1237" s="22"/>
      <c r="C1237" s="22"/>
      <c r="D1237" s="22"/>
      <c r="E1237" s="23" t="str">
        <f>IF($D1237="","",IFERROR(VLOOKUP($D1237,'ACAS Capital Tracker'!$A:$H,8,FALSE()),""))</f>
        <v/>
      </c>
      <c r="F1237" s="24"/>
      <c r="G1237" s="25" t="str">
        <f>IF($D1237="","",IFERROR(VLOOKUP($D1237,'ACAS Capital Tracker'!$A:$D,4,FALSE()),""))</f>
        <v/>
      </c>
      <c r="H1237" s="22"/>
    </row>
    <row r="1238" spans="1:8">
      <c r="A1238" s="21"/>
      <c r="B1238" s="22"/>
      <c r="C1238" s="22"/>
      <c r="D1238" s="22"/>
      <c r="E1238" s="23" t="str">
        <f>IF($D1238="","",IFERROR(VLOOKUP($D1238,'ACAS Capital Tracker'!$A:$H,8,FALSE()),""))</f>
        <v/>
      </c>
      <c r="F1238" s="24"/>
      <c r="G1238" s="25" t="str">
        <f>IF($D1238="","",IFERROR(VLOOKUP($D1238,'ACAS Capital Tracker'!$A:$D,4,FALSE()),""))</f>
        <v/>
      </c>
      <c r="H1238" s="22"/>
    </row>
    <row r="1239" spans="1:8">
      <c r="A1239" s="21"/>
      <c r="B1239" s="22"/>
      <c r="C1239" s="22"/>
      <c r="D1239" s="22"/>
      <c r="E1239" s="23" t="str">
        <f>IF($D1239="","",IFERROR(VLOOKUP($D1239,'ACAS Capital Tracker'!$A:$H,8,FALSE()),""))</f>
        <v/>
      </c>
      <c r="F1239" s="24"/>
      <c r="G1239" s="25" t="str">
        <f>IF($D1239="","",IFERROR(VLOOKUP($D1239,'ACAS Capital Tracker'!$A:$D,4,FALSE()),""))</f>
        <v/>
      </c>
      <c r="H1239" s="22"/>
    </row>
    <row r="1240" spans="1:8">
      <c r="A1240" s="21"/>
      <c r="B1240" s="22"/>
      <c r="C1240" s="22"/>
      <c r="D1240" s="22"/>
      <c r="E1240" s="23" t="str">
        <f>IF($D1240="","",IFERROR(VLOOKUP($D1240,'ACAS Capital Tracker'!$A:$H,8,FALSE()),""))</f>
        <v/>
      </c>
      <c r="F1240" s="24"/>
      <c r="G1240" s="25" t="str">
        <f>IF($D1240="","",IFERROR(VLOOKUP($D1240,'ACAS Capital Tracker'!$A:$D,4,FALSE()),""))</f>
        <v/>
      </c>
      <c r="H1240" s="22"/>
    </row>
    <row r="1241" spans="1:8">
      <c r="A1241" s="21"/>
      <c r="B1241" s="22"/>
      <c r="C1241" s="22"/>
      <c r="D1241" s="22"/>
      <c r="E1241" s="23" t="str">
        <f>IF($D1241="","",IFERROR(VLOOKUP($D1241,'ACAS Capital Tracker'!$A:$H,8,FALSE()),""))</f>
        <v/>
      </c>
      <c r="F1241" s="24"/>
      <c r="G1241" s="25" t="str">
        <f>IF($D1241="","",IFERROR(VLOOKUP($D1241,'ACAS Capital Tracker'!$A:$D,4,FALSE()),""))</f>
        <v/>
      </c>
      <c r="H1241" s="22"/>
    </row>
    <row r="1242" spans="1:8">
      <c r="A1242" s="21"/>
      <c r="B1242" s="22"/>
      <c r="C1242" s="22"/>
      <c r="D1242" s="22"/>
      <c r="E1242" s="23" t="str">
        <f>IF($D1242="","",IFERROR(VLOOKUP($D1242,'ACAS Capital Tracker'!$A:$H,8,FALSE()),""))</f>
        <v/>
      </c>
      <c r="F1242" s="24"/>
      <c r="G1242" s="25" t="str">
        <f>IF($D1242="","",IFERROR(VLOOKUP($D1242,'ACAS Capital Tracker'!$A:$D,4,FALSE()),""))</f>
        <v/>
      </c>
      <c r="H1242" s="22"/>
    </row>
    <row r="1243" spans="1:8">
      <c r="A1243" s="21"/>
      <c r="B1243" s="22"/>
      <c r="C1243" s="22"/>
      <c r="D1243" s="22"/>
      <c r="E1243" s="23" t="str">
        <f>IF($D1243="","",IFERROR(VLOOKUP($D1243,'ACAS Capital Tracker'!$A:$H,8,FALSE()),""))</f>
        <v/>
      </c>
      <c r="F1243" s="24"/>
      <c r="G1243" s="25" t="str">
        <f>IF($D1243="","",IFERROR(VLOOKUP($D1243,'ACAS Capital Tracker'!$A:$D,4,FALSE()),""))</f>
        <v/>
      </c>
      <c r="H1243" s="22"/>
    </row>
    <row r="1244" spans="1:8">
      <c r="A1244" s="21"/>
      <c r="B1244" s="22"/>
      <c r="C1244" s="22"/>
      <c r="D1244" s="22"/>
      <c r="E1244" s="23" t="str">
        <f>IF($D1244="","",IFERROR(VLOOKUP($D1244,'ACAS Capital Tracker'!$A:$H,8,FALSE()),""))</f>
        <v/>
      </c>
      <c r="F1244" s="24"/>
      <c r="G1244" s="25" t="str">
        <f>IF($D1244="","",IFERROR(VLOOKUP($D1244,'ACAS Capital Tracker'!$A:$D,4,FALSE()),""))</f>
        <v/>
      </c>
      <c r="H1244" s="22"/>
    </row>
    <row r="1245" spans="1:8">
      <c r="A1245" s="21"/>
      <c r="B1245" s="22"/>
      <c r="C1245" s="22"/>
      <c r="D1245" s="22"/>
      <c r="E1245" s="23" t="str">
        <f>IF($D1245="","",IFERROR(VLOOKUP($D1245,'ACAS Capital Tracker'!$A:$H,8,FALSE()),""))</f>
        <v/>
      </c>
      <c r="F1245" s="24"/>
      <c r="G1245" s="25" t="str">
        <f>IF($D1245="","",IFERROR(VLOOKUP($D1245,'ACAS Capital Tracker'!$A:$D,4,FALSE()),""))</f>
        <v/>
      </c>
      <c r="H1245" s="22"/>
    </row>
    <row r="1246" spans="1:8">
      <c r="A1246" s="21"/>
      <c r="B1246" s="22"/>
      <c r="C1246" s="22"/>
      <c r="D1246" s="22"/>
      <c r="E1246" s="23" t="str">
        <f>IF($D1246="","",IFERROR(VLOOKUP($D1246,'ACAS Capital Tracker'!$A:$H,8,FALSE()),""))</f>
        <v/>
      </c>
      <c r="F1246" s="24"/>
      <c r="G1246" s="25" t="str">
        <f>IF($D1246="","",IFERROR(VLOOKUP($D1246,'ACAS Capital Tracker'!$A:$D,4,FALSE()),""))</f>
        <v/>
      </c>
      <c r="H1246" s="22"/>
    </row>
    <row r="1247" spans="1:8">
      <c r="A1247" s="21"/>
      <c r="B1247" s="22"/>
      <c r="C1247" s="22"/>
      <c r="D1247" s="22"/>
      <c r="E1247" s="23" t="str">
        <f>IF($D1247="","",IFERROR(VLOOKUP($D1247,'ACAS Capital Tracker'!$A:$H,8,FALSE()),""))</f>
        <v/>
      </c>
      <c r="F1247" s="24"/>
      <c r="G1247" s="25" t="str">
        <f>IF($D1247="","",IFERROR(VLOOKUP($D1247,'ACAS Capital Tracker'!$A:$D,4,FALSE()),""))</f>
        <v/>
      </c>
      <c r="H1247" s="22"/>
    </row>
    <row r="1248" spans="1:8">
      <c r="A1248" s="21"/>
      <c r="B1248" s="22"/>
      <c r="C1248" s="22"/>
      <c r="D1248" s="22"/>
      <c r="E1248" s="23" t="str">
        <f>IF($D1248="","",IFERROR(VLOOKUP($D1248,'ACAS Capital Tracker'!$A:$H,8,FALSE()),""))</f>
        <v/>
      </c>
      <c r="F1248" s="24"/>
      <c r="G1248" s="25" t="str">
        <f>IF($D1248="","",IFERROR(VLOOKUP($D1248,'ACAS Capital Tracker'!$A:$D,4,FALSE()),""))</f>
        <v/>
      </c>
      <c r="H1248" s="22"/>
    </row>
    <row r="1249" spans="1:8">
      <c r="A1249" s="21"/>
      <c r="B1249" s="22"/>
      <c r="C1249" s="22"/>
      <c r="D1249" s="22"/>
      <c r="E1249" s="23" t="str">
        <f>IF($D1249="","",IFERROR(VLOOKUP($D1249,'ACAS Capital Tracker'!$A:$H,8,FALSE()),""))</f>
        <v/>
      </c>
      <c r="F1249" s="24"/>
      <c r="G1249" s="25" t="str">
        <f>IF($D1249="","",IFERROR(VLOOKUP($D1249,'ACAS Capital Tracker'!$A:$D,4,FALSE()),""))</f>
        <v/>
      </c>
      <c r="H1249" s="22"/>
    </row>
    <row r="1250" spans="1:8">
      <c r="A1250" s="21"/>
      <c r="B1250" s="22"/>
      <c r="C1250" s="22"/>
      <c r="D1250" s="22"/>
      <c r="E1250" s="23" t="str">
        <f>IF($D1250="","",IFERROR(VLOOKUP($D1250,'ACAS Capital Tracker'!$A:$H,8,FALSE()),""))</f>
        <v/>
      </c>
      <c r="F1250" s="24"/>
      <c r="G1250" s="25" t="str">
        <f>IF($D1250="","",IFERROR(VLOOKUP($D1250,'ACAS Capital Tracker'!$A:$D,4,FALSE()),""))</f>
        <v/>
      </c>
      <c r="H1250" s="22"/>
    </row>
    <row r="1251" spans="1:8">
      <c r="A1251" s="21"/>
      <c r="B1251" s="22"/>
      <c r="C1251" s="22"/>
      <c r="D1251" s="22"/>
      <c r="E1251" s="23" t="str">
        <f>IF($D1251="","",IFERROR(VLOOKUP($D1251,'ACAS Capital Tracker'!$A:$H,8,FALSE()),""))</f>
        <v/>
      </c>
      <c r="F1251" s="24"/>
      <c r="G1251" s="25" t="str">
        <f>IF($D1251="","",IFERROR(VLOOKUP($D1251,'ACAS Capital Tracker'!$A:$D,4,FALSE()),""))</f>
        <v/>
      </c>
      <c r="H1251" s="22"/>
    </row>
    <row r="1252" spans="1:8">
      <c r="A1252" s="21"/>
      <c r="B1252" s="22"/>
      <c r="C1252" s="22"/>
      <c r="D1252" s="22"/>
      <c r="E1252" s="23" t="str">
        <f>IF($D1252="","",IFERROR(VLOOKUP($D1252,'ACAS Capital Tracker'!$A:$H,8,FALSE()),""))</f>
        <v/>
      </c>
      <c r="F1252" s="24"/>
      <c r="G1252" s="25" t="str">
        <f>IF($D1252="","",IFERROR(VLOOKUP($D1252,'ACAS Capital Tracker'!$A:$D,4,FALSE()),""))</f>
        <v/>
      </c>
      <c r="H1252" s="22"/>
    </row>
    <row r="1253" spans="1:8">
      <c r="A1253" s="21"/>
      <c r="B1253" s="22"/>
      <c r="C1253" s="22"/>
      <c r="D1253" s="22"/>
      <c r="E1253" s="23" t="str">
        <f>IF($D1253="","",IFERROR(VLOOKUP($D1253,'ACAS Capital Tracker'!$A:$H,8,FALSE()),""))</f>
        <v/>
      </c>
      <c r="F1253" s="24"/>
      <c r="G1253" s="25" t="str">
        <f>IF($D1253="","",IFERROR(VLOOKUP($D1253,'ACAS Capital Tracker'!$A:$D,4,FALSE()),""))</f>
        <v/>
      </c>
      <c r="H1253" s="22"/>
    </row>
    <row r="1254" spans="1:8">
      <c r="A1254" s="21"/>
      <c r="B1254" s="22"/>
      <c r="C1254" s="22"/>
      <c r="D1254" s="22"/>
      <c r="E1254" s="23" t="str">
        <f>IF($D1254="","",IFERROR(VLOOKUP($D1254,'ACAS Capital Tracker'!$A:$H,8,FALSE()),""))</f>
        <v/>
      </c>
      <c r="F1254" s="24"/>
      <c r="G1254" s="25" t="str">
        <f>IF($D1254="","",IFERROR(VLOOKUP($D1254,'ACAS Capital Tracker'!$A:$D,4,FALSE()),""))</f>
        <v/>
      </c>
      <c r="H1254" s="22"/>
    </row>
    <row r="1255" spans="1:8">
      <c r="A1255" s="21"/>
      <c r="B1255" s="22"/>
      <c r="C1255" s="22"/>
      <c r="D1255" s="22"/>
      <c r="E1255" s="23" t="str">
        <f>IF($D1255="","",IFERROR(VLOOKUP($D1255,'ACAS Capital Tracker'!$A:$H,8,FALSE()),""))</f>
        <v/>
      </c>
      <c r="F1255" s="24"/>
      <c r="G1255" s="25" t="str">
        <f>IF($D1255="","",IFERROR(VLOOKUP($D1255,'ACAS Capital Tracker'!$A:$D,4,FALSE()),""))</f>
        <v/>
      </c>
      <c r="H1255" s="22"/>
    </row>
    <row r="1256" spans="1:8">
      <c r="A1256" s="21"/>
      <c r="B1256" s="22"/>
      <c r="C1256" s="22"/>
      <c r="D1256" s="22"/>
      <c r="E1256" s="23" t="str">
        <f>IF($D1256="","",IFERROR(VLOOKUP($D1256,'ACAS Capital Tracker'!$A:$H,8,FALSE()),""))</f>
        <v/>
      </c>
      <c r="F1256" s="24"/>
      <c r="G1256" s="25" t="str">
        <f>IF($D1256="","",IFERROR(VLOOKUP($D1256,'ACAS Capital Tracker'!$A:$D,4,FALSE()),""))</f>
        <v/>
      </c>
      <c r="H1256" s="22"/>
    </row>
    <row r="1257" spans="1:8">
      <c r="A1257" s="21"/>
      <c r="B1257" s="22"/>
      <c r="C1257" s="22"/>
      <c r="D1257" s="22"/>
      <c r="E1257" s="23" t="str">
        <f>IF($D1257="","",IFERROR(VLOOKUP($D1257,'ACAS Capital Tracker'!$A:$H,8,FALSE()),""))</f>
        <v/>
      </c>
      <c r="F1257" s="24"/>
      <c r="G1257" s="25" t="str">
        <f>IF($D1257="","",IFERROR(VLOOKUP($D1257,'ACAS Capital Tracker'!$A:$D,4,FALSE()),""))</f>
        <v/>
      </c>
      <c r="H1257" s="22"/>
    </row>
    <row r="1258" spans="1:8">
      <c r="A1258" s="21"/>
      <c r="B1258" s="22"/>
      <c r="C1258" s="22"/>
      <c r="D1258" s="22"/>
      <c r="E1258" s="23" t="str">
        <f>IF($D1258="","",IFERROR(VLOOKUP($D1258,'ACAS Capital Tracker'!$A:$H,8,FALSE()),""))</f>
        <v/>
      </c>
      <c r="F1258" s="24"/>
      <c r="G1258" s="25" t="str">
        <f>IF($D1258="","",IFERROR(VLOOKUP($D1258,'ACAS Capital Tracker'!$A:$D,4,FALSE()),""))</f>
        <v/>
      </c>
      <c r="H1258" s="22"/>
    </row>
    <row r="1259" spans="1:8">
      <c r="A1259" s="21"/>
      <c r="B1259" s="22"/>
      <c r="C1259" s="22"/>
      <c r="D1259" s="22"/>
      <c r="E1259" s="23" t="str">
        <f>IF($D1259="","",IFERROR(VLOOKUP($D1259,'ACAS Capital Tracker'!$A:$H,8,FALSE()),""))</f>
        <v/>
      </c>
      <c r="F1259" s="24"/>
      <c r="G1259" s="25" t="str">
        <f>IF($D1259="","",IFERROR(VLOOKUP($D1259,'ACAS Capital Tracker'!$A:$D,4,FALSE()),""))</f>
        <v/>
      </c>
      <c r="H1259" s="22"/>
    </row>
    <row r="1260" spans="1:8">
      <c r="A1260" s="21"/>
      <c r="B1260" s="22"/>
      <c r="C1260" s="22"/>
      <c r="D1260" s="22"/>
      <c r="E1260" s="23" t="str">
        <f>IF($D1260="","",IFERROR(VLOOKUP($D1260,'ACAS Capital Tracker'!$A:$H,8,FALSE()),""))</f>
        <v/>
      </c>
      <c r="F1260" s="24"/>
      <c r="G1260" s="25" t="str">
        <f>IF($D1260="","",IFERROR(VLOOKUP($D1260,'ACAS Capital Tracker'!$A:$D,4,FALSE()),""))</f>
        <v/>
      </c>
      <c r="H1260" s="22"/>
    </row>
    <row r="1261" spans="1:8">
      <c r="A1261" s="21"/>
      <c r="B1261" s="22"/>
      <c r="C1261" s="22"/>
      <c r="D1261" s="22"/>
      <c r="E1261" s="23" t="str">
        <f>IF($D1261="","",IFERROR(VLOOKUP($D1261,'ACAS Capital Tracker'!$A:$H,8,FALSE()),""))</f>
        <v/>
      </c>
      <c r="F1261" s="24"/>
      <c r="G1261" s="25" t="str">
        <f>IF($D1261="","",IFERROR(VLOOKUP($D1261,'ACAS Capital Tracker'!$A:$D,4,FALSE()),""))</f>
        <v/>
      </c>
      <c r="H1261" s="22"/>
    </row>
    <row r="1262" spans="1:8">
      <c r="A1262" s="21"/>
      <c r="B1262" s="22"/>
      <c r="C1262" s="22"/>
      <c r="D1262" s="22"/>
      <c r="E1262" s="23" t="str">
        <f>IF($D1262="","",IFERROR(VLOOKUP($D1262,'ACAS Capital Tracker'!$A:$H,8,FALSE()),""))</f>
        <v/>
      </c>
      <c r="F1262" s="24"/>
      <c r="G1262" s="25" t="str">
        <f>IF($D1262="","",IFERROR(VLOOKUP($D1262,'ACAS Capital Tracker'!$A:$D,4,FALSE()),""))</f>
        <v/>
      </c>
      <c r="H1262" s="22"/>
    </row>
    <row r="1263" spans="1:8">
      <c r="A1263" s="21"/>
      <c r="B1263" s="22"/>
      <c r="C1263" s="22"/>
      <c r="D1263" s="22"/>
      <c r="E1263" s="23" t="str">
        <f>IF($D1263="","",IFERROR(VLOOKUP($D1263,'ACAS Capital Tracker'!$A:$H,8,FALSE()),""))</f>
        <v/>
      </c>
      <c r="F1263" s="24"/>
      <c r="G1263" s="25" t="str">
        <f>IF($D1263="","",IFERROR(VLOOKUP($D1263,'ACAS Capital Tracker'!$A:$D,4,FALSE()),""))</f>
        <v/>
      </c>
      <c r="H1263" s="22"/>
    </row>
    <row r="1264" spans="1:8">
      <c r="A1264" s="21"/>
      <c r="B1264" s="22"/>
      <c r="C1264" s="22"/>
      <c r="D1264" s="22"/>
      <c r="E1264" s="23" t="str">
        <f>IF($D1264="","",IFERROR(VLOOKUP($D1264,'ACAS Capital Tracker'!$A:$H,8,FALSE()),""))</f>
        <v/>
      </c>
      <c r="F1264" s="24"/>
      <c r="G1264" s="25" t="str">
        <f>IF($D1264="","",IFERROR(VLOOKUP($D1264,'ACAS Capital Tracker'!$A:$D,4,FALSE()),""))</f>
        <v/>
      </c>
      <c r="H1264" s="22"/>
    </row>
    <row r="1265" spans="1:8">
      <c r="A1265" s="21"/>
      <c r="B1265" s="22"/>
      <c r="C1265" s="22"/>
      <c r="D1265" s="22"/>
      <c r="E1265" s="23" t="str">
        <f>IF($D1265="","",IFERROR(VLOOKUP($D1265,'ACAS Capital Tracker'!$A:$H,8,FALSE()),""))</f>
        <v/>
      </c>
      <c r="F1265" s="24"/>
      <c r="G1265" s="25" t="str">
        <f>IF($D1265="","",IFERROR(VLOOKUP($D1265,'ACAS Capital Tracker'!$A:$D,4,FALSE()),""))</f>
        <v/>
      </c>
      <c r="H1265" s="22"/>
    </row>
    <row r="1266" spans="1:8">
      <c r="A1266" s="21"/>
      <c r="B1266" s="22"/>
      <c r="C1266" s="22"/>
      <c r="D1266" s="22"/>
      <c r="E1266" s="23" t="str">
        <f>IF($D1266="","",IFERROR(VLOOKUP($D1266,'ACAS Capital Tracker'!$A:$H,8,FALSE()),""))</f>
        <v/>
      </c>
      <c r="F1266" s="24"/>
      <c r="G1266" s="25" t="str">
        <f>IF($D1266="","",IFERROR(VLOOKUP($D1266,'ACAS Capital Tracker'!$A:$D,4,FALSE()),""))</f>
        <v/>
      </c>
      <c r="H1266" s="22"/>
    </row>
    <row r="1267" spans="1:8">
      <c r="A1267" s="21"/>
      <c r="B1267" s="22"/>
      <c r="C1267" s="22"/>
      <c r="D1267" s="22"/>
      <c r="E1267" s="23" t="str">
        <f>IF($D1267="","",IFERROR(VLOOKUP($D1267,'ACAS Capital Tracker'!$A:$H,8,FALSE()),""))</f>
        <v/>
      </c>
      <c r="F1267" s="24"/>
      <c r="G1267" s="25" t="str">
        <f>IF($D1267="","",IFERROR(VLOOKUP($D1267,'ACAS Capital Tracker'!$A:$D,4,FALSE()),""))</f>
        <v/>
      </c>
      <c r="H1267" s="22"/>
    </row>
    <row r="1268" spans="1:8">
      <c r="A1268" s="21"/>
      <c r="B1268" s="22"/>
      <c r="C1268" s="22"/>
      <c r="D1268" s="22"/>
      <c r="E1268" s="23" t="str">
        <f>IF($D1268="","",IFERROR(VLOOKUP($D1268,'ACAS Capital Tracker'!$A:$H,8,FALSE()),""))</f>
        <v/>
      </c>
      <c r="F1268" s="24"/>
      <c r="G1268" s="25" t="str">
        <f>IF($D1268="","",IFERROR(VLOOKUP($D1268,'ACAS Capital Tracker'!$A:$D,4,FALSE()),""))</f>
        <v/>
      </c>
      <c r="H1268" s="22"/>
    </row>
    <row r="1269" spans="1:8">
      <c r="A1269" s="21"/>
      <c r="B1269" s="22"/>
      <c r="C1269" s="22"/>
      <c r="D1269" s="22"/>
      <c r="E1269" s="23" t="str">
        <f>IF($D1269="","",IFERROR(VLOOKUP($D1269,'ACAS Capital Tracker'!$A:$H,8,FALSE()),""))</f>
        <v/>
      </c>
      <c r="F1269" s="24"/>
      <c r="G1269" s="25" t="str">
        <f>IF($D1269="","",IFERROR(VLOOKUP($D1269,'ACAS Capital Tracker'!$A:$D,4,FALSE()),""))</f>
        <v/>
      </c>
      <c r="H1269" s="22"/>
    </row>
    <row r="1270" spans="1:8">
      <c r="A1270" s="21"/>
      <c r="B1270" s="22"/>
      <c r="C1270" s="22"/>
      <c r="D1270" s="22"/>
      <c r="E1270" s="23" t="str">
        <f>IF($D1270="","",IFERROR(VLOOKUP($D1270,'ACAS Capital Tracker'!$A:$H,8,FALSE()),""))</f>
        <v/>
      </c>
      <c r="F1270" s="24"/>
      <c r="G1270" s="25" t="str">
        <f>IF($D1270="","",IFERROR(VLOOKUP($D1270,'ACAS Capital Tracker'!$A:$D,4,FALSE()),""))</f>
        <v/>
      </c>
      <c r="H1270" s="22"/>
    </row>
    <row r="1271" spans="1:8">
      <c r="A1271" s="21"/>
      <c r="B1271" s="22"/>
      <c r="C1271" s="22"/>
      <c r="D1271" s="22"/>
      <c r="E1271" s="23" t="str">
        <f>IF($D1271="","",IFERROR(VLOOKUP($D1271,'ACAS Capital Tracker'!$A:$H,8,FALSE()),""))</f>
        <v/>
      </c>
      <c r="F1271" s="24"/>
      <c r="G1271" s="25" t="str">
        <f>IF($D1271="","",IFERROR(VLOOKUP($D1271,'ACAS Capital Tracker'!$A:$D,4,FALSE()),""))</f>
        <v/>
      </c>
      <c r="H1271" s="22"/>
    </row>
    <row r="1272" spans="1:8">
      <c r="A1272" s="21"/>
      <c r="B1272" s="22"/>
      <c r="C1272" s="22"/>
      <c r="D1272" s="22"/>
      <c r="E1272" s="23" t="str">
        <f>IF($D1272="","",IFERROR(VLOOKUP($D1272,'ACAS Capital Tracker'!$A:$H,8,FALSE()),""))</f>
        <v/>
      </c>
      <c r="F1272" s="24"/>
      <c r="G1272" s="25" t="str">
        <f>IF($D1272="","",IFERROR(VLOOKUP($D1272,'ACAS Capital Tracker'!$A:$D,4,FALSE()),""))</f>
        <v/>
      </c>
      <c r="H1272" s="22"/>
    </row>
    <row r="1273" spans="1:8">
      <c r="A1273" s="21"/>
      <c r="B1273" s="22"/>
      <c r="C1273" s="22"/>
      <c r="D1273" s="22"/>
      <c r="E1273" s="23" t="str">
        <f>IF($D1273="","",IFERROR(VLOOKUP($D1273,'ACAS Capital Tracker'!$A:$H,8,FALSE()),""))</f>
        <v/>
      </c>
      <c r="F1273" s="24"/>
      <c r="G1273" s="25" t="str">
        <f>IF($D1273="","",IFERROR(VLOOKUP($D1273,'ACAS Capital Tracker'!$A:$D,4,FALSE()),""))</f>
        <v/>
      </c>
      <c r="H1273" s="22"/>
    </row>
    <row r="1274" spans="1:8">
      <c r="A1274" s="21"/>
      <c r="B1274" s="22"/>
      <c r="C1274" s="22"/>
      <c r="D1274" s="22"/>
      <c r="E1274" s="23" t="str">
        <f>IF($D1274="","",IFERROR(VLOOKUP($D1274,'ACAS Capital Tracker'!$A:$H,8,FALSE()),""))</f>
        <v/>
      </c>
      <c r="F1274" s="24"/>
      <c r="G1274" s="25" t="str">
        <f>IF($D1274="","",IFERROR(VLOOKUP($D1274,'ACAS Capital Tracker'!$A:$D,4,FALSE()),""))</f>
        <v/>
      </c>
      <c r="H1274" s="22"/>
    </row>
    <row r="1275" spans="1:8">
      <c r="A1275" s="21"/>
      <c r="B1275" s="22"/>
      <c r="C1275" s="22"/>
      <c r="D1275" s="22"/>
      <c r="E1275" s="23" t="str">
        <f>IF($D1275="","",IFERROR(VLOOKUP($D1275,'ACAS Capital Tracker'!$A:$H,8,FALSE()),""))</f>
        <v/>
      </c>
      <c r="F1275" s="24"/>
      <c r="G1275" s="25" t="str">
        <f>IF($D1275="","",IFERROR(VLOOKUP($D1275,'ACAS Capital Tracker'!$A:$D,4,FALSE()),""))</f>
        <v/>
      </c>
      <c r="H1275" s="22"/>
    </row>
    <row r="1276" spans="1:8">
      <c r="A1276" s="21"/>
      <c r="B1276" s="22"/>
      <c r="C1276" s="22"/>
      <c r="D1276" s="22"/>
      <c r="E1276" s="23" t="str">
        <f>IF($D1276="","",IFERROR(VLOOKUP($D1276,'ACAS Capital Tracker'!$A:$H,8,FALSE()),""))</f>
        <v/>
      </c>
      <c r="F1276" s="24"/>
      <c r="G1276" s="25" t="str">
        <f>IF($D1276="","",IFERROR(VLOOKUP($D1276,'ACAS Capital Tracker'!$A:$D,4,FALSE()),""))</f>
        <v/>
      </c>
      <c r="H1276" s="22"/>
    </row>
    <row r="1277" spans="1:8">
      <c r="A1277" s="21"/>
      <c r="B1277" s="22"/>
      <c r="C1277" s="22"/>
      <c r="D1277" s="22"/>
      <c r="E1277" s="23" t="str">
        <f>IF($D1277="","",IFERROR(VLOOKUP($D1277,'ACAS Capital Tracker'!$A:$H,8,FALSE()),""))</f>
        <v/>
      </c>
      <c r="F1277" s="24"/>
      <c r="G1277" s="25" t="str">
        <f>IF($D1277="","",IFERROR(VLOOKUP($D1277,'ACAS Capital Tracker'!$A:$D,4,FALSE()),""))</f>
        <v/>
      </c>
      <c r="H1277" s="22"/>
    </row>
    <row r="1278" spans="1:8">
      <c r="A1278" s="21"/>
      <c r="B1278" s="22"/>
      <c r="C1278" s="22"/>
      <c r="D1278" s="22"/>
      <c r="E1278" s="23" t="str">
        <f>IF($D1278="","",IFERROR(VLOOKUP($D1278,'ACAS Capital Tracker'!$A:$H,8,FALSE()),""))</f>
        <v/>
      </c>
      <c r="F1278" s="24"/>
      <c r="G1278" s="25" t="str">
        <f>IF($D1278="","",IFERROR(VLOOKUP($D1278,'ACAS Capital Tracker'!$A:$D,4,FALSE()),""))</f>
        <v/>
      </c>
      <c r="H1278" s="22"/>
    </row>
    <row r="1279" spans="1:8">
      <c r="A1279" s="21"/>
      <c r="B1279" s="22"/>
      <c r="C1279" s="22"/>
      <c r="D1279" s="22"/>
      <c r="E1279" s="23" t="str">
        <f>IF($D1279="","",IFERROR(VLOOKUP($D1279,'ACAS Capital Tracker'!$A:$H,8,FALSE()),""))</f>
        <v/>
      </c>
      <c r="F1279" s="24"/>
      <c r="G1279" s="25" t="str">
        <f>IF($D1279="","",IFERROR(VLOOKUP($D1279,'ACAS Capital Tracker'!$A:$D,4,FALSE()),""))</f>
        <v/>
      </c>
      <c r="H1279" s="22"/>
    </row>
    <row r="1280" spans="1:8">
      <c r="A1280" s="21"/>
      <c r="B1280" s="22"/>
      <c r="C1280" s="22"/>
      <c r="D1280" s="22"/>
      <c r="E1280" s="23" t="str">
        <f>IF($D1280="","",IFERROR(VLOOKUP($D1280,'ACAS Capital Tracker'!$A:$H,8,FALSE()),""))</f>
        <v/>
      </c>
      <c r="F1280" s="24"/>
      <c r="G1280" s="25" t="str">
        <f>IF($D1280="","",IFERROR(VLOOKUP($D1280,'ACAS Capital Tracker'!$A:$D,4,FALSE()),""))</f>
        <v/>
      </c>
      <c r="H1280" s="22"/>
    </row>
    <row r="1281" spans="1:8">
      <c r="A1281" s="21"/>
      <c r="B1281" s="22"/>
      <c r="C1281" s="22"/>
      <c r="D1281" s="22"/>
      <c r="E1281" s="23" t="str">
        <f>IF($D1281="","",IFERROR(VLOOKUP($D1281,'ACAS Capital Tracker'!$A:$H,8,FALSE()),""))</f>
        <v/>
      </c>
      <c r="F1281" s="24"/>
      <c r="G1281" s="25" t="str">
        <f>IF($D1281="","",IFERROR(VLOOKUP($D1281,'ACAS Capital Tracker'!$A:$D,4,FALSE()),""))</f>
        <v/>
      </c>
      <c r="H1281" s="22"/>
    </row>
    <row r="1282" spans="1:8">
      <c r="A1282" s="21"/>
      <c r="B1282" s="22"/>
      <c r="C1282" s="22"/>
      <c r="D1282" s="22"/>
      <c r="E1282" s="23" t="str">
        <f>IF($D1282="","",IFERROR(VLOOKUP($D1282,'ACAS Capital Tracker'!$A:$H,8,FALSE()),""))</f>
        <v/>
      </c>
      <c r="F1282" s="24"/>
      <c r="G1282" s="25" t="str">
        <f>IF($D1282="","",IFERROR(VLOOKUP($D1282,'ACAS Capital Tracker'!$A:$D,4,FALSE()),""))</f>
        <v/>
      </c>
      <c r="H1282" s="22"/>
    </row>
    <row r="1283" spans="1:8">
      <c r="A1283" s="21"/>
      <c r="B1283" s="22"/>
      <c r="C1283" s="22"/>
      <c r="D1283" s="22"/>
      <c r="E1283" s="23" t="str">
        <f>IF($D1283="","",IFERROR(VLOOKUP($D1283,'ACAS Capital Tracker'!$A:$H,8,FALSE()),""))</f>
        <v/>
      </c>
      <c r="F1283" s="24"/>
      <c r="G1283" s="25" t="str">
        <f>IF($D1283="","",IFERROR(VLOOKUP($D1283,'ACAS Capital Tracker'!$A:$D,4,FALSE()),""))</f>
        <v/>
      </c>
      <c r="H1283" s="22"/>
    </row>
    <row r="1284" spans="1:8">
      <c r="A1284" s="21"/>
      <c r="B1284" s="22"/>
      <c r="C1284" s="22"/>
      <c r="D1284" s="22"/>
      <c r="E1284" s="23" t="str">
        <f>IF($D1284="","",IFERROR(VLOOKUP($D1284,'ACAS Capital Tracker'!$A:$H,8,FALSE()),""))</f>
        <v/>
      </c>
      <c r="F1284" s="24"/>
      <c r="G1284" s="25" t="str">
        <f>IF($D1284="","",IFERROR(VLOOKUP($D1284,'ACAS Capital Tracker'!$A:$D,4,FALSE()),""))</f>
        <v/>
      </c>
      <c r="H1284" s="22"/>
    </row>
    <row r="1285" spans="1:8">
      <c r="A1285" s="21"/>
      <c r="B1285" s="22"/>
      <c r="C1285" s="22"/>
      <c r="D1285" s="22"/>
      <c r="E1285" s="23" t="str">
        <f>IF($D1285="","",IFERROR(VLOOKUP($D1285,'ACAS Capital Tracker'!$A:$H,8,FALSE()),""))</f>
        <v/>
      </c>
      <c r="F1285" s="24"/>
      <c r="G1285" s="25" t="str">
        <f>IF($D1285="","",IFERROR(VLOOKUP($D1285,'ACAS Capital Tracker'!$A:$D,4,FALSE()),""))</f>
        <v/>
      </c>
      <c r="H1285" s="22"/>
    </row>
    <row r="1286" spans="1:8">
      <c r="A1286" s="21"/>
      <c r="B1286" s="22"/>
      <c r="C1286" s="22"/>
      <c r="D1286" s="22"/>
      <c r="E1286" s="23" t="str">
        <f>IF($D1286="","",IFERROR(VLOOKUP($D1286,'ACAS Capital Tracker'!$A:$H,8,FALSE()),""))</f>
        <v/>
      </c>
      <c r="F1286" s="24"/>
      <c r="G1286" s="25" t="str">
        <f>IF($D1286="","",IFERROR(VLOOKUP($D1286,'ACAS Capital Tracker'!$A:$D,4,FALSE()),""))</f>
        <v/>
      </c>
      <c r="H1286" s="22"/>
    </row>
    <row r="1287" spans="1:8">
      <c r="A1287" s="21"/>
      <c r="B1287" s="22"/>
      <c r="C1287" s="22"/>
      <c r="D1287" s="22"/>
      <c r="E1287" s="23" t="str">
        <f>IF($D1287="","",IFERROR(VLOOKUP($D1287,'ACAS Capital Tracker'!$A:$H,8,FALSE()),""))</f>
        <v/>
      </c>
      <c r="F1287" s="24"/>
      <c r="G1287" s="25" t="str">
        <f>IF($D1287="","",IFERROR(VLOOKUP($D1287,'ACAS Capital Tracker'!$A:$D,4,FALSE()),""))</f>
        <v/>
      </c>
      <c r="H1287" s="22"/>
    </row>
    <row r="1288" spans="1:8">
      <c r="A1288" s="21"/>
      <c r="B1288" s="22"/>
      <c r="C1288" s="22"/>
      <c r="D1288" s="22"/>
      <c r="E1288" s="23" t="str">
        <f>IF($D1288="","",IFERROR(VLOOKUP($D1288,'ACAS Capital Tracker'!$A:$H,8,FALSE()),""))</f>
        <v/>
      </c>
      <c r="F1288" s="24"/>
      <c r="G1288" s="25" t="str">
        <f>IF($D1288="","",IFERROR(VLOOKUP($D1288,'ACAS Capital Tracker'!$A:$D,4,FALSE()),""))</f>
        <v/>
      </c>
      <c r="H1288" s="22"/>
    </row>
    <row r="1289" spans="1:8">
      <c r="A1289" s="21"/>
      <c r="B1289" s="22"/>
      <c r="C1289" s="22"/>
      <c r="D1289" s="22"/>
      <c r="E1289" s="23" t="str">
        <f>IF($D1289="","",IFERROR(VLOOKUP($D1289,'ACAS Capital Tracker'!$A:$H,8,FALSE()),""))</f>
        <v/>
      </c>
      <c r="F1289" s="24"/>
      <c r="G1289" s="25" t="str">
        <f>IF($D1289="","",IFERROR(VLOOKUP($D1289,'ACAS Capital Tracker'!$A:$D,4,FALSE()),""))</f>
        <v/>
      </c>
      <c r="H1289" s="22"/>
    </row>
    <row r="1290" spans="1:8">
      <c r="A1290" s="21"/>
      <c r="B1290" s="22"/>
      <c r="C1290" s="22"/>
      <c r="D1290" s="22"/>
      <c r="E1290" s="23" t="str">
        <f>IF($D1290="","",IFERROR(VLOOKUP($D1290,'ACAS Capital Tracker'!$A:$H,8,FALSE()),""))</f>
        <v/>
      </c>
      <c r="F1290" s="24"/>
      <c r="G1290" s="25" t="str">
        <f>IF($D1290="","",IFERROR(VLOOKUP($D1290,'ACAS Capital Tracker'!$A:$D,4,FALSE()),""))</f>
        <v/>
      </c>
      <c r="H1290" s="22"/>
    </row>
    <row r="1291" spans="1:8">
      <c r="A1291" s="21"/>
      <c r="B1291" s="22"/>
      <c r="C1291" s="22"/>
      <c r="D1291" s="22"/>
      <c r="E1291" s="23" t="str">
        <f>IF($D1291="","",IFERROR(VLOOKUP($D1291,'ACAS Capital Tracker'!$A:$H,8,FALSE()),""))</f>
        <v/>
      </c>
      <c r="F1291" s="24"/>
      <c r="G1291" s="25" t="str">
        <f>IF($D1291="","",IFERROR(VLOOKUP($D1291,'ACAS Capital Tracker'!$A:$D,4,FALSE()),""))</f>
        <v/>
      </c>
      <c r="H1291" s="22"/>
    </row>
    <row r="1292" spans="1:8">
      <c r="A1292" s="21"/>
      <c r="B1292" s="22"/>
      <c r="C1292" s="22"/>
      <c r="D1292" s="22"/>
      <c r="E1292" s="23" t="str">
        <f>IF($D1292="","",IFERROR(VLOOKUP($D1292,'ACAS Capital Tracker'!$A:$H,8,FALSE()),""))</f>
        <v/>
      </c>
      <c r="F1292" s="24"/>
      <c r="G1292" s="25" t="str">
        <f>IF($D1292="","",IFERROR(VLOOKUP($D1292,'ACAS Capital Tracker'!$A:$D,4,FALSE()),""))</f>
        <v/>
      </c>
      <c r="H1292" s="22"/>
    </row>
    <row r="1293" spans="1:8">
      <c r="A1293" s="21"/>
      <c r="B1293" s="22"/>
      <c r="C1293" s="22"/>
      <c r="D1293" s="22"/>
      <c r="E1293" s="23" t="str">
        <f>IF($D1293="","",IFERROR(VLOOKUP($D1293,'ACAS Capital Tracker'!$A:$H,8,FALSE()),""))</f>
        <v/>
      </c>
      <c r="F1293" s="24"/>
      <c r="G1293" s="25" t="str">
        <f>IF($D1293="","",IFERROR(VLOOKUP($D1293,'ACAS Capital Tracker'!$A:$D,4,FALSE()),""))</f>
        <v/>
      </c>
      <c r="H1293" s="22"/>
    </row>
    <row r="1294" spans="1:8">
      <c r="A1294" s="21"/>
      <c r="B1294" s="22"/>
      <c r="C1294" s="22"/>
      <c r="D1294" s="22"/>
      <c r="E1294" s="23" t="str">
        <f>IF($D1294="","",IFERROR(VLOOKUP($D1294,'ACAS Capital Tracker'!$A:$H,8,FALSE()),""))</f>
        <v/>
      </c>
      <c r="F1294" s="24"/>
      <c r="G1294" s="25" t="str">
        <f>IF($D1294="","",IFERROR(VLOOKUP($D1294,'ACAS Capital Tracker'!$A:$D,4,FALSE()),""))</f>
        <v/>
      </c>
      <c r="H1294" s="22"/>
    </row>
    <row r="1295" spans="1:8">
      <c r="A1295" s="21"/>
      <c r="B1295" s="22"/>
      <c r="C1295" s="22"/>
      <c r="D1295" s="22"/>
      <c r="E1295" s="23" t="str">
        <f>IF($D1295="","",IFERROR(VLOOKUP($D1295,'ACAS Capital Tracker'!$A:$H,8,FALSE()),""))</f>
        <v/>
      </c>
      <c r="F1295" s="24"/>
      <c r="G1295" s="25" t="str">
        <f>IF($D1295="","",IFERROR(VLOOKUP($D1295,'ACAS Capital Tracker'!$A:$D,4,FALSE()),""))</f>
        <v/>
      </c>
      <c r="H1295" s="22"/>
    </row>
    <row r="1296" spans="1:8">
      <c r="A1296" s="21"/>
      <c r="B1296" s="22"/>
      <c r="C1296" s="22"/>
      <c r="D1296" s="22"/>
      <c r="E1296" s="23" t="str">
        <f>IF($D1296="","",IFERROR(VLOOKUP($D1296,'ACAS Capital Tracker'!$A:$H,8,FALSE()),""))</f>
        <v/>
      </c>
      <c r="F1296" s="24"/>
      <c r="G1296" s="25" t="str">
        <f>IF($D1296="","",IFERROR(VLOOKUP($D1296,'ACAS Capital Tracker'!$A:$D,4,FALSE()),""))</f>
        <v/>
      </c>
      <c r="H1296" s="22"/>
    </row>
    <row r="1297" spans="1:8">
      <c r="A1297" s="21"/>
      <c r="B1297" s="22"/>
      <c r="C1297" s="22"/>
      <c r="D1297" s="22"/>
      <c r="E1297" s="23" t="str">
        <f>IF($D1297="","",IFERROR(VLOOKUP($D1297,'ACAS Capital Tracker'!$A:$H,8,FALSE()),""))</f>
        <v/>
      </c>
      <c r="F1297" s="24"/>
      <c r="G1297" s="25" t="str">
        <f>IF($D1297="","",IFERROR(VLOOKUP($D1297,'ACAS Capital Tracker'!$A:$D,4,FALSE()),""))</f>
        <v/>
      </c>
      <c r="H1297" s="22"/>
    </row>
    <row r="1298" spans="1:8">
      <c r="A1298" s="21"/>
      <c r="B1298" s="22"/>
      <c r="C1298" s="22"/>
      <c r="D1298" s="22"/>
      <c r="E1298" s="23" t="str">
        <f>IF($D1298="","",IFERROR(VLOOKUP($D1298,'ACAS Capital Tracker'!$A:$H,8,FALSE()),""))</f>
        <v/>
      </c>
      <c r="F1298" s="24"/>
      <c r="G1298" s="25" t="str">
        <f>IF($D1298="","",IFERROR(VLOOKUP($D1298,'ACAS Capital Tracker'!$A:$D,4,FALSE()),""))</f>
        <v/>
      </c>
      <c r="H1298" s="22"/>
    </row>
    <row r="1299" spans="1:8">
      <c r="A1299" s="21"/>
      <c r="B1299" s="22"/>
      <c r="C1299" s="22"/>
      <c r="D1299" s="22"/>
      <c r="E1299" s="23" t="str">
        <f>IF($D1299="","",IFERROR(VLOOKUP($D1299,'ACAS Capital Tracker'!$A:$H,8,FALSE()),""))</f>
        <v/>
      </c>
      <c r="F1299" s="24"/>
      <c r="G1299" s="25" t="str">
        <f>IF($D1299="","",IFERROR(VLOOKUP($D1299,'ACAS Capital Tracker'!$A:$D,4,FALSE()),""))</f>
        <v/>
      </c>
      <c r="H1299" s="22"/>
    </row>
    <row r="1300" spans="1:8">
      <c r="A1300" s="21"/>
      <c r="B1300" s="22"/>
      <c r="C1300" s="22"/>
      <c r="D1300" s="22"/>
      <c r="E1300" s="23" t="str">
        <f>IF($D1300="","",IFERROR(VLOOKUP($D1300,'ACAS Capital Tracker'!$A:$H,8,FALSE()),""))</f>
        <v/>
      </c>
      <c r="F1300" s="24"/>
      <c r="G1300" s="25" t="str">
        <f>IF($D1300="","",IFERROR(VLOOKUP($D1300,'ACAS Capital Tracker'!$A:$D,4,FALSE()),""))</f>
        <v/>
      </c>
      <c r="H1300" s="22"/>
    </row>
    <row r="1301" spans="1:8">
      <c r="A1301" s="21"/>
      <c r="B1301" s="22"/>
      <c r="C1301" s="22"/>
      <c r="D1301" s="22"/>
      <c r="E1301" s="23" t="str">
        <f>IF($D1301="","",IFERROR(VLOOKUP($D1301,'ACAS Capital Tracker'!$A:$H,8,FALSE()),""))</f>
        <v/>
      </c>
      <c r="F1301" s="24"/>
      <c r="G1301" s="25" t="str">
        <f>IF($D1301="","",IFERROR(VLOOKUP($D1301,'ACAS Capital Tracker'!$A:$D,4,FALSE()),""))</f>
        <v/>
      </c>
      <c r="H1301" s="22"/>
    </row>
    <row r="1302" spans="1:8">
      <c r="A1302" s="21"/>
      <c r="B1302" s="22"/>
      <c r="C1302" s="22"/>
      <c r="D1302" s="22"/>
      <c r="E1302" s="23" t="str">
        <f>IF($D1302="","",IFERROR(VLOOKUP($D1302,'ACAS Capital Tracker'!$A:$H,8,FALSE()),""))</f>
        <v/>
      </c>
      <c r="F1302" s="24"/>
      <c r="G1302" s="25" t="str">
        <f>IF($D1302="","",IFERROR(VLOOKUP($D1302,'ACAS Capital Tracker'!$A:$D,4,FALSE()),""))</f>
        <v/>
      </c>
      <c r="H1302" s="22"/>
    </row>
    <row r="1303" spans="1:8">
      <c r="A1303" s="21"/>
      <c r="B1303" s="22"/>
      <c r="C1303" s="22"/>
      <c r="D1303" s="22"/>
      <c r="E1303" s="23" t="str">
        <f>IF($D1303="","",IFERROR(VLOOKUP($D1303,'ACAS Capital Tracker'!$A:$H,8,FALSE()),""))</f>
        <v/>
      </c>
      <c r="F1303" s="24"/>
      <c r="G1303" s="25" t="str">
        <f>IF($D1303="","",IFERROR(VLOOKUP($D1303,'ACAS Capital Tracker'!$A:$D,4,FALSE()),""))</f>
        <v/>
      </c>
      <c r="H1303" s="22"/>
    </row>
    <row r="1304" spans="1:8">
      <c r="A1304" s="21"/>
      <c r="B1304" s="22"/>
      <c r="C1304" s="22"/>
      <c r="D1304" s="22"/>
      <c r="E1304" s="23" t="str">
        <f>IF($D1304="","",IFERROR(VLOOKUP($D1304,'ACAS Capital Tracker'!$A:$H,8,FALSE()),""))</f>
        <v/>
      </c>
      <c r="F1304" s="24"/>
      <c r="G1304" s="25" t="str">
        <f>IF($D1304="","",IFERROR(VLOOKUP($D1304,'ACAS Capital Tracker'!$A:$D,4,FALSE()),""))</f>
        <v/>
      </c>
      <c r="H1304" s="22"/>
    </row>
    <row r="1305" spans="1:8">
      <c r="A1305" s="21"/>
      <c r="B1305" s="22"/>
      <c r="C1305" s="22"/>
      <c r="D1305" s="22"/>
      <c r="E1305" s="23" t="str">
        <f>IF($D1305="","",IFERROR(VLOOKUP($D1305,'ACAS Capital Tracker'!$A:$H,8,FALSE()),""))</f>
        <v/>
      </c>
      <c r="F1305" s="24"/>
      <c r="G1305" s="25" t="str">
        <f>IF($D1305="","",IFERROR(VLOOKUP($D1305,'ACAS Capital Tracker'!$A:$D,4,FALSE()),""))</f>
        <v/>
      </c>
      <c r="H1305" s="22"/>
    </row>
    <row r="1306" spans="1:8">
      <c r="A1306" s="21"/>
      <c r="B1306" s="22"/>
      <c r="C1306" s="22"/>
      <c r="D1306" s="22"/>
      <c r="E1306" s="23" t="str">
        <f>IF($D1306="","",IFERROR(VLOOKUP($D1306,'ACAS Capital Tracker'!$A:$H,8,FALSE()),""))</f>
        <v/>
      </c>
      <c r="F1306" s="24"/>
      <c r="G1306" s="25" t="str">
        <f>IF($D1306="","",IFERROR(VLOOKUP($D1306,'ACAS Capital Tracker'!$A:$D,4,FALSE()),""))</f>
        <v/>
      </c>
      <c r="H1306" s="22"/>
    </row>
    <row r="1307" spans="1:8">
      <c r="A1307" s="21"/>
      <c r="B1307" s="22"/>
      <c r="C1307" s="22"/>
      <c r="D1307" s="22"/>
      <c r="E1307" s="23" t="str">
        <f>IF($D1307="","",IFERROR(VLOOKUP($D1307,'ACAS Capital Tracker'!$A:$H,8,FALSE()),""))</f>
        <v/>
      </c>
      <c r="F1307" s="24"/>
      <c r="G1307" s="25" t="str">
        <f>IF($D1307="","",IFERROR(VLOOKUP($D1307,'ACAS Capital Tracker'!$A:$D,4,FALSE()),""))</f>
        <v/>
      </c>
      <c r="H1307" s="22"/>
    </row>
    <row r="1308" spans="1:8">
      <c r="A1308" s="21"/>
      <c r="B1308" s="22"/>
      <c r="C1308" s="22"/>
      <c r="D1308" s="22"/>
      <c r="E1308" s="23" t="str">
        <f>IF($D1308="","",IFERROR(VLOOKUP($D1308,'ACAS Capital Tracker'!$A:$H,8,FALSE()),""))</f>
        <v/>
      </c>
      <c r="F1308" s="24"/>
      <c r="G1308" s="25" t="str">
        <f>IF($D1308="","",IFERROR(VLOOKUP($D1308,'ACAS Capital Tracker'!$A:$D,4,FALSE()),""))</f>
        <v/>
      </c>
      <c r="H1308" s="22"/>
    </row>
    <row r="1309" spans="1:8">
      <c r="A1309" s="21"/>
      <c r="B1309" s="22"/>
      <c r="C1309" s="22"/>
      <c r="D1309" s="22"/>
      <c r="E1309" s="23" t="str">
        <f>IF($D1309="","",IFERROR(VLOOKUP($D1309,'ACAS Capital Tracker'!$A:$H,8,FALSE()),""))</f>
        <v/>
      </c>
      <c r="F1309" s="24"/>
      <c r="G1309" s="25" t="str">
        <f>IF($D1309="","",IFERROR(VLOOKUP($D1309,'ACAS Capital Tracker'!$A:$D,4,FALSE()),""))</f>
        <v/>
      </c>
      <c r="H1309" s="22"/>
    </row>
    <row r="1310" spans="1:8">
      <c r="A1310" s="21"/>
      <c r="B1310" s="22"/>
      <c r="C1310" s="22"/>
      <c r="D1310" s="22"/>
      <c r="E1310" s="23" t="str">
        <f>IF($D1310="","",IFERROR(VLOOKUP($D1310,'ACAS Capital Tracker'!$A:$H,8,FALSE()),""))</f>
        <v/>
      </c>
      <c r="F1310" s="24"/>
      <c r="G1310" s="25" t="str">
        <f>IF($D1310="","",IFERROR(VLOOKUP($D1310,'ACAS Capital Tracker'!$A:$D,4,FALSE()),""))</f>
        <v/>
      </c>
      <c r="H1310" s="22"/>
    </row>
    <row r="1311" spans="1:8">
      <c r="A1311" s="21"/>
      <c r="B1311" s="22"/>
      <c r="C1311" s="22"/>
      <c r="D1311" s="22"/>
      <c r="E1311" s="23" t="str">
        <f>IF($D1311="","",IFERROR(VLOOKUP($D1311,'ACAS Capital Tracker'!$A:$H,8,FALSE()),""))</f>
        <v/>
      </c>
      <c r="F1311" s="24"/>
      <c r="G1311" s="25" t="str">
        <f>IF($D1311="","",IFERROR(VLOOKUP($D1311,'ACAS Capital Tracker'!$A:$D,4,FALSE()),""))</f>
        <v/>
      </c>
      <c r="H1311" s="22"/>
    </row>
    <row r="1312" spans="1:8">
      <c r="A1312" s="21"/>
      <c r="B1312" s="22"/>
      <c r="C1312" s="22"/>
      <c r="D1312" s="22"/>
      <c r="E1312" s="23" t="str">
        <f>IF($D1312="","",IFERROR(VLOOKUP($D1312,'ACAS Capital Tracker'!$A:$H,8,FALSE()),""))</f>
        <v/>
      </c>
      <c r="F1312" s="24"/>
      <c r="G1312" s="25" t="str">
        <f>IF($D1312="","",IFERROR(VLOOKUP($D1312,'ACAS Capital Tracker'!$A:$D,4,FALSE()),""))</f>
        <v/>
      </c>
      <c r="H1312" s="22"/>
    </row>
    <row r="1313" spans="1:8">
      <c r="A1313" s="21"/>
      <c r="B1313" s="22"/>
      <c r="C1313" s="22"/>
      <c r="D1313" s="22"/>
      <c r="E1313" s="23" t="str">
        <f>IF($D1313="","",IFERROR(VLOOKUP($D1313,'ACAS Capital Tracker'!$A:$H,8,FALSE()),""))</f>
        <v/>
      </c>
      <c r="F1313" s="24"/>
      <c r="G1313" s="25" t="str">
        <f>IF($D1313="","",IFERROR(VLOOKUP($D1313,'ACAS Capital Tracker'!$A:$D,4,FALSE()),""))</f>
        <v/>
      </c>
      <c r="H1313" s="22"/>
    </row>
    <row r="1314" spans="1:8">
      <c r="A1314" s="21"/>
      <c r="B1314" s="22"/>
      <c r="C1314" s="22"/>
      <c r="D1314" s="22"/>
      <c r="E1314" s="23" t="str">
        <f>IF($D1314="","",IFERROR(VLOOKUP($D1314,'ACAS Capital Tracker'!$A:$H,8,FALSE()),""))</f>
        <v/>
      </c>
      <c r="F1314" s="24"/>
      <c r="G1314" s="25" t="str">
        <f>IF($D1314="","",IFERROR(VLOOKUP($D1314,'ACAS Capital Tracker'!$A:$D,4,FALSE()),""))</f>
        <v/>
      </c>
      <c r="H1314" s="22"/>
    </row>
    <row r="1315" spans="1:8">
      <c r="A1315" s="21"/>
      <c r="B1315" s="22"/>
      <c r="C1315" s="22"/>
      <c r="D1315" s="22"/>
      <c r="E1315" s="23" t="str">
        <f>IF($D1315="","",IFERROR(VLOOKUP($D1315,'ACAS Capital Tracker'!$A:$H,8,FALSE()),""))</f>
        <v/>
      </c>
      <c r="F1315" s="24"/>
      <c r="G1315" s="25" t="str">
        <f>IF($D1315="","",IFERROR(VLOOKUP($D1315,'ACAS Capital Tracker'!$A:$D,4,FALSE()),""))</f>
        <v/>
      </c>
      <c r="H1315" s="22"/>
    </row>
    <row r="1316" spans="1:8">
      <c r="A1316" s="21"/>
      <c r="B1316" s="22"/>
      <c r="C1316" s="22"/>
      <c r="D1316" s="22"/>
      <c r="E1316" s="23" t="str">
        <f>IF($D1316="","",IFERROR(VLOOKUP($D1316,'ACAS Capital Tracker'!$A:$H,8,FALSE()),""))</f>
        <v/>
      </c>
      <c r="F1316" s="24"/>
      <c r="G1316" s="25" t="str">
        <f>IF($D1316="","",IFERROR(VLOOKUP($D1316,'ACAS Capital Tracker'!$A:$D,4,FALSE()),""))</f>
        <v/>
      </c>
      <c r="H1316" s="22"/>
    </row>
    <row r="1317" spans="1:8">
      <c r="A1317" s="21"/>
      <c r="B1317" s="22"/>
      <c r="C1317" s="22"/>
      <c r="D1317" s="22"/>
      <c r="E1317" s="23" t="str">
        <f>IF($D1317="","",IFERROR(VLOOKUP($D1317,'ACAS Capital Tracker'!$A:$H,8,FALSE()),""))</f>
        <v/>
      </c>
      <c r="F1317" s="24"/>
      <c r="G1317" s="25" t="str">
        <f>IF($D1317="","",IFERROR(VLOOKUP($D1317,'ACAS Capital Tracker'!$A:$D,4,FALSE()),""))</f>
        <v/>
      </c>
      <c r="H1317" s="22"/>
    </row>
    <row r="1318" spans="1:8">
      <c r="A1318" s="21"/>
      <c r="B1318" s="22"/>
      <c r="C1318" s="22"/>
      <c r="D1318" s="22"/>
      <c r="E1318" s="23" t="str">
        <f>IF($D1318="","",IFERROR(VLOOKUP($D1318,'ACAS Capital Tracker'!$A:$H,8,FALSE()),""))</f>
        <v/>
      </c>
      <c r="F1318" s="24"/>
      <c r="G1318" s="25" t="str">
        <f>IF($D1318="","",IFERROR(VLOOKUP($D1318,'ACAS Capital Tracker'!$A:$D,4,FALSE()),""))</f>
        <v/>
      </c>
      <c r="H1318" s="22"/>
    </row>
    <row r="1319" spans="1:8">
      <c r="A1319" s="21"/>
      <c r="B1319" s="22"/>
      <c r="C1319" s="22"/>
      <c r="D1319" s="22"/>
      <c r="E1319" s="23" t="str">
        <f>IF($D1319="","",IFERROR(VLOOKUP($D1319,'ACAS Capital Tracker'!$A:$H,8,FALSE()),""))</f>
        <v/>
      </c>
      <c r="F1319" s="24"/>
      <c r="G1319" s="25" t="str">
        <f>IF($D1319="","",IFERROR(VLOOKUP($D1319,'ACAS Capital Tracker'!$A:$D,4,FALSE()),""))</f>
        <v/>
      </c>
      <c r="H1319" s="22"/>
    </row>
    <row r="1320" spans="1:8">
      <c r="A1320" s="21"/>
      <c r="B1320" s="22"/>
      <c r="C1320" s="22"/>
      <c r="D1320" s="22"/>
      <c r="E1320" s="23" t="str">
        <f>IF($D1320="","",IFERROR(VLOOKUP($D1320,'ACAS Capital Tracker'!$A:$H,8,FALSE()),""))</f>
        <v/>
      </c>
      <c r="F1320" s="24"/>
      <c r="G1320" s="25" t="str">
        <f>IF($D1320="","",IFERROR(VLOOKUP($D1320,'ACAS Capital Tracker'!$A:$D,4,FALSE()),""))</f>
        <v/>
      </c>
      <c r="H1320" s="22"/>
    </row>
    <row r="1321" spans="1:8">
      <c r="A1321" s="21"/>
      <c r="B1321" s="22"/>
      <c r="C1321" s="22"/>
      <c r="D1321" s="22"/>
      <c r="E1321" s="23" t="str">
        <f>IF($D1321="","",IFERROR(VLOOKUP($D1321,'ACAS Capital Tracker'!$A:$H,8,FALSE()),""))</f>
        <v/>
      </c>
      <c r="F1321" s="24"/>
      <c r="G1321" s="25" t="str">
        <f>IF($D1321="","",IFERROR(VLOOKUP($D1321,'ACAS Capital Tracker'!$A:$D,4,FALSE()),""))</f>
        <v/>
      </c>
      <c r="H1321" s="22"/>
    </row>
    <row r="1322" spans="1:8">
      <c r="A1322" s="21"/>
      <c r="B1322" s="22"/>
      <c r="C1322" s="22"/>
      <c r="D1322" s="22"/>
      <c r="E1322" s="23" t="str">
        <f>IF($D1322="","",IFERROR(VLOOKUP($D1322,'ACAS Capital Tracker'!$A:$H,8,FALSE()),""))</f>
        <v/>
      </c>
      <c r="F1322" s="24"/>
      <c r="G1322" s="25" t="str">
        <f>IF($D1322="","",IFERROR(VLOOKUP($D1322,'ACAS Capital Tracker'!$A:$D,4,FALSE()),""))</f>
        <v/>
      </c>
      <c r="H1322" s="22"/>
    </row>
    <row r="1323" spans="1:8">
      <c r="A1323" s="21"/>
      <c r="B1323" s="22"/>
      <c r="C1323" s="22"/>
      <c r="D1323" s="22"/>
      <c r="E1323" s="23" t="str">
        <f>IF($D1323="","",IFERROR(VLOOKUP($D1323,'ACAS Capital Tracker'!$A:$H,8,FALSE()),""))</f>
        <v/>
      </c>
      <c r="F1323" s="24"/>
      <c r="G1323" s="25" t="str">
        <f>IF($D1323="","",IFERROR(VLOOKUP($D1323,'ACAS Capital Tracker'!$A:$D,4,FALSE()),""))</f>
        <v/>
      </c>
      <c r="H1323" s="22"/>
    </row>
    <row r="1324" spans="1:8">
      <c r="A1324" s="21"/>
      <c r="B1324" s="22"/>
      <c r="C1324" s="22"/>
      <c r="D1324" s="22"/>
      <c r="E1324" s="23" t="str">
        <f>IF($D1324="","",IFERROR(VLOOKUP($D1324,'ACAS Capital Tracker'!$A:$H,8,FALSE()),""))</f>
        <v/>
      </c>
      <c r="F1324" s="24"/>
      <c r="G1324" s="25" t="str">
        <f>IF($D1324="","",IFERROR(VLOOKUP($D1324,'ACAS Capital Tracker'!$A:$D,4,FALSE()),""))</f>
        <v/>
      </c>
      <c r="H1324" s="22"/>
    </row>
    <row r="1325" spans="1:8">
      <c r="A1325" s="21"/>
      <c r="B1325" s="22"/>
      <c r="C1325" s="22"/>
      <c r="D1325" s="22"/>
      <c r="E1325" s="23" t="str">
        <f>IF($D1325="","",IFERROR(VLOOKUP($D1325,'ACAS Capital Tracker'!$A:$H,8,FALSE()),""))</f>
        <v/>
      </c>
      <c r="F1325" s="24"/>
      <c r="G1325" s="25" t="str">
        <f>IF($D1325="","",IFERROR(VLOOKUP($D1325,'ACAS Capital Tracker'!$A:$D,4,FALSE()),""))</f>
        <v/>
      </c>
      <c r="H1325" s="22"/>
    </row>
    <row r="1326" spans="1:8">
      <c r="A1326" s="21"/>
      <c r="B1326" s="22"/>
      <c r="C1326" s="22"/>
      <c r="D1326" s="22"/>
      <c r="E1326" s="23" t="str">
        <f>IF($D1326="","",IFERROR(VLOOKUP($D1326,'ACAS Capital Tracker'!$A:$H,8,FALSE()),""))</f>
        <v/>
      </c>
      <c r="F1326" s="24"/>
      <c r="G1326" s="25" t="str">
        <f>IF($D1326="","",IFERROR(VLOOKUP($D1326,'ACAS Capital Tracker'!$A:$D,4,FALSE()),""))</f>
        <v/>
      </c>
      <c r="H1326" s="22"/>
    </row>
    <row r="1327" spans="1:8">
      <c r="A1327" s="21"/>
      <c r="B1327" s="22"/>
      <c r="C1327" s="22"/>
      <c r="D1327" s="22"/>
      <c r="E1327" s="23" t="str">
        <f>IF($D1327="","",IFERROR(VLOOKUP($D1327,'ACAS Capital Tracker'!$A:$H,8,FALSE()),""))</f>
        <v/>
      </c>
      <c r="F1327" s="24"/>
      <c r="G1327" s="25" t="str">
        <f>IF($D1327="","",IFERROR(VLOOKUP($D1327,'ACAS Capital Tracker'!$A:$D,4,FALSE()),""))</f>
        <v/>
      </c>
      <c r="H1327" s="22"/>
    </row>
    <row r="1328" spans="1:8">
      <c r="A1328" s="21"/>
      <c r="B1328" s="22"/>
      <c r="C1328" s="22"/>
      <c r="D1328" s="22"/>
      <c r="E1328" s="23" t="str">
        <f>IF($D1328="","",IFERROR(VLOOKUP($D1328,'ACAS Capital Tracker'!$A:$H,8,FALSE()),""))</f>
        <v/>
      </c>
      <c r="F1328" s="24"/>
      <c r="G1328" s="25" t="str">
        <f>IF($D1328="","",IFERROR(VLOOKUP($D1328,'ACAS Capital Tracker'!$A:$D,4,FALSE()),""))</f>
        <v/>
      </c>
      <c r="H1328" s="22"/>
    </row>
    <row r="1329" spans="1:8">
      <c r="A1329" s="21"/>
      <c r="B1329" s="22"/>
      <c r="C1329" s="22"/>
      <c r="D1329" s="22"/>
      <c r="E1329" s="23" t="str">
        <f>IF($D1329="","",IFERROR(VLOOKUP($D1329,'ACAS Capital Tracker'!$A:$H,8,FALSE()),""))</f>
        <v/>
      </c>
      <c r="F1329" s="24"/>
      <c r="G1329" s="25" t="str">
        <f>IF($D1329="","",IFERROR(VLOOKUP($D1329,'ACAS Capital Tracker'!$A:$D,4,FALSE()),""))</f>
        <v/>
      </c>
      <c r="H1329" s="22"/>
    </row>
    <row r="1330" spans="1:8">
      <c r="A1330" s="21"/>
      <c r="B1330" s="22"/>
      <c r="C1330" s="22"/>
      <c r="D1330" s="22"/>
      <c r="E1330" s="23" t="str">
        <f>IF($D1330="","",IFERROR(VLOOKUP($D1330,'ACAS Capital Tracker'!$A:$H,8,FALSE()),""))</f>
        <v/>
      </c>
      <c r="F1330" s="24"/>
      <c r="G1330" s="25" t="str">
        <f>IF($D1330="","",IFERROR(VLOOKUP($D1330,'ACAS Capital Tracker'!$A:$D,4,FALSE()),""))</f>
        <v/>
      </c>
      <c r="H1330" s="22"/>
    </row>
    <row r="1331" spans="1:8">
      <c r="A1331" s="21"/>
      <c r="B1331" s="22"/>
      <c r="C1331" s="22"/>
      <c r="D1331" s="22"/>
      <c r="E1331" s="23" t="str">
        <f>IF($D1331="","",IFERROR(VLOOKUP($D1331,'ACAS Capital Tracker'!$A:$H,8,FALSE()),""))</f>
        <v/>
      </c>
      <c r="F1331" s="24"/>
      <c r="G1331" s="25" t="str">
        <f>IF($D1331="","",IFERROR(VLOOKUP($D1331,'ACAS Capital Tracker'!$A:$D,4,FALSE()),""))</f>
        <v/>
      </c>
      <c r="H1331" s="22"/>
    </row>
    <row r="1332" spans="1:8">
      <c r="A1332" s="21"/>
      <c r="B1332" s="22"/>
      <c r="C1332" s="22"/>
      <c r="D1332" s="22"/>
      <c r="E1332" s="23" t="str">
        <f>IF($D1332="","",IFERROR(VLOOKUP($D1332,'ACAS Capital Tracker'!$A:$H,8,FALSE()),""))</f>
        <v/>
      </c>
      <c r="F1332" s="24"/>
      <c r="G1332" s="25" t="str">
        <f>IF($D1332="","",IFERROR(VLOOKUP($D1332,'ACAS Capital Tracker'!$A:$D,4,FALSE()),""))</f>
        <v/>
      </c>
      <c r="H1332" s="22"/>
    </row>
    <row r="1333" spans="1:8">
      <c r="A1333" s="21"/>
      <c r="B1333" s="22"/>
      <c r="C1333" s="22"/>
      <c r="D1333" s="22"/>
      <c r="E1333" s="23" t="str">
        <f>IF($D1333="","",IFERROR(VLOOKUP($D1333,'ACAS Capital Tracker'!$A:$H,8,FALSE()),""))</f>
        <v/>
      </c>
      <c r="F1333" s="24"/>
      <c r="G1333" s="25" t="str">
        <f>IF($D1333="","",IFERROR(VLOOKUP($D1333,'ACAS Capital Tracker'!$A:$D,4,FALSE()),""))</f>
        <v/>
      </c>
      <c r="H1333" s="22"/>
    </row>
    <row r="1334" spans="1:8">
      <c r="A1334" s="21"/>
      <c r="B1334" s="22"/>
      <c r="C1334" s="22"/>
      <c r="D1334" s="22"/>
      <c r="E1334" s="23" t="str">
        <f>IF($D1334="","",IFERROR(VLOOKUP($D1334,'ACAS Capital Tracker'!$A:$H,8,FALSE()),""))</f>
        <v/>
      </c>
      <c r="F1334" s="24"/>
      <c r="G1334" s="25" t="str">
        <f>IF($D1334="","",IFERROR(VLOOKUP($D1334,'ACAS Capital Tracker'!$A:$D,4,FALSE()),""))</f>
        <v/>
      </c>
      <c r="H1334" s="22"/>
    </row>
    <row r="1335" spans="1:8">
      <c r="A1335" s="21"/>
      <c r="B1335" s="22"/>
      <c r="C1335" s="22"/>
      <c r="D1335" s="22"/>
      <c r="E1335" s="23" t="str">
        <f>IF($D1335="","",IFERROR(VLOOKUP($D1335,'ACAS Capital Tracker'!$A:$H,8,FALSE()),""))</f>
        <v/>
      </c>
      <c r="F1335" s="24"/>
      <c r="G1335" s="25" t="str">
        <f>IF($D1335="","",IFERROR(VLOOKUP($D1335,'ACAS Capital Tracker'!$A:$D,4,FALSE()),""))</f>
        <v/>
      </c>
      <c r="H1335" s="22"/>
    </row>
    <row r="1336" spans="1:8">
      <c r="A1336" s="21"/>
      <c r="B1336" s="22"/>
      <c r="C1336" s="22"/>
      <c r="D1336" s="22"/>
      <c r="E1336" s="23" t="str">
        <f>IF($D1336="","",IFERROR(VLOOKUP($D1336,'ACAS Capital Tracker'!$A:$H,8,FALSE()),""))</f>
        <v/>
      </c>
      <c r="F1336" s="24"/>
      <c r="G1336" s="25" t="str">
        <f>IF($D1336="","",IFERROR(VLOOKUP($D1336,'ACAS Capital Tracker'!$A:$D,4,FALSE()),""))</f>
        <v/>
      </c>
      <c r="H1336" s="22"/>
    </row>
    <row r="1337" spans="1:8">
      <c r="A1337" s="21"/>
      <c r="B1337" s="22"/>
      <c r="C1337" s="22"/>
      <c r="D1337" s="22"/>
      <c r="E1337" s="23" t="str">
        <f>IF($D1337="","",IFERROR(VLOOKUP($D1337,'ACAS Capital Tracker'!$A:$H,8,FALSE()),""))</f>
        <v/>
      </c>
      <c r="F1337" s="24"/>
      <c r="G1337" s="25" t="str">
        <f>IF($D1337="","",IFERROR(VLOOKUP($D1337,'ACAS Capital Tracker'!$A:$D,4,FALSE()),""))</f>
        <v/>
      </c>
      <c r="H1337" s="22"/>
    </row>
    <row r="1338" spans="1:8">
      <c r="A1338" s="21"/>
      <c r="B1338" s="22"/>
      <c r="C1338" s="22"/>
      <c r="D1338" s="22"/>
      <c r="E1338" s="23" t="str">
        <f>IF($D1338="","",IFERROR(VLOOKUP($D1338,'ACAS Capital Tracker'!$A:$H,8,FALSE()),""))</f>
        <v/>
      </c>
      <c r="F1338" s="24"/>
      <c r="G1338" s="25" t="str">
        <f>IF($D1338="","",IFERROR(VLOOKUP($D1338,'ACAS Capital Tracker'!$A:$D,4,FALSE()),""))</f>
        <v/>
      </c>
      <c r="H1338" s="22"/>
    </row>
    <row r="1339" spans="1:8">
      <c r="A1339" s="21"/>
      <c r="B1339" s="22"/>
      <c r="C1339" s="22"/>
      <c r="D1339" s="22"/>
      <c r="E1339" s="23" t="str">
        <f>IF($D1339="","",IFERROR(VLOOKUP($D1339,'ACAS Capital Tracker'!$A:$H,8,FALSE()),""))</f>
        <v/>
      </c>
      <c r="F1339" s="24"/>
      <c r="G1339" s="25" t="str">
        <f>IF($D1339="","",IFERROR(VLOOKUP($D1339,'ACAS Capital Tracker'!$A:$D,4,FALSE()),""))</f>
        <v/>
      </c>
      <c r="H1339" s="22"/>
    </row>
    <row r="1340" spans="1:8">
      <c r="A1340" s="21"/>
      <c r="B1340" s="22"/>
      <c r="C1340" s="22"/>
      <c r="D1340" s="22"/>
      <c r="E1340" s="23" t="str">
        <f>IF($D1340="","",IFERROR(VLOOKUP($D1340,'ACAS Capital Tracker'!$A:$H,8,FALSE()),""))</f>
        <v/>
      </c>
      <c r="F1340" s="24"/>
      <c r="G1340" s="25" t="str">
        <f>IF($D1340="","",IFERROR(VLOOKUP($D1340,'ACAS Capital Tracker'!$A:$D,4,FALSE()),""))</f>
        <v/>
      </c>
      <c r="H1340" s="22"/>
    </row>
    <row r="1341" spans="1:8">
      <c r="A1341" s="21"/>
      <c r="B1341" s="22"/>
      <c r="C1341" s="22"/>
      <c r="D1341" s="22"/>
      <c r="E1341" s="23" t="str">
        <f>IF($D1341="","",IFERROR(VLOOKUP($D1341,'ACAS Capital Tracker'!$A:$H,8,FALSE()),""))</f>
        <v/>
      </c>
      <c r="F1341" s="24"/>
      <c r="G1341" s="25" t="str">
        <f>IF($D1341="","",IFERROR(VLOOKUP($D1341,'ACAS Capital Tracker'!$A:$D,4,FALSE()),""))</f>
        <v/>
      </c>
      <c r="H1341" s="22"/>
    </row>
    <row r="1342" spans="1:8">
      <c r="A1342" s="21"/>
      <c r="B1342" s="22"/>
      <c r="C1342" s="22"/>
      <c r="D1342" s="22"/>
      <c r="E1342" s="23" t="str">
        <f>IF($D1342="","",IFERROR(VLOOKUP($D1342,'ACAS Capital Tracker'!$A:$H,8,FALSE()),""))</f>
        <v/>
      </c>
      <c r="F1342" s="24"/>
      <c r="G1342" s="25" t="str">
        <f>IF($D1342="","",IFERROR(VLOOKUP($D1342,'ACAS Capital Tracker'!$A:$D,4,FALSE()),""))</f>
        <v/>
      </c>
      <c r="H1342" s="22"/>
    </row>
    <row r="1343" spans="1:8">
      <c r="A1343" s="21"/>
      <c r="B1343" s="22"/>
      <c r="C1343" s="22"/>
      <c r="D1343" s="22"/>
      <c r="E1343" s="23" t="str">
        <f>IF($D1343="","",IFERROR(VLOOKUP($D1343,'ACAS Capital Tracker'!$A:$H,8,FALSE()),""))</f>
        <v/>
      </c>
      <c r="F1343" s="24"/>
      <c r="G1343" s="25" t="str">
        <f>IF($D1343="","",IFERROR(VLOOKUP($D1343,'ACAS Capital Tracker'!$A:$D,4,FALSE()),""))</f>
        <v/>
      </c>
      <c r="H1343" s="22"/>
    </row>
    <row r="1344" spans="1:8">
      <c r="A1344" s="21"/>
      <c r="B1344" s="22"/>
      <c r="C1344" s="22"/>
      <c r="D1344" s="22"/>
      <c r="E1344" s="23" t="str">
        <f>IF($D1344="","",IFERROR(VLOOKUP($D1344,'ACAS Capital Tracker'!$A:$H,8,FALSE()),""))</f>
        <v/>
      </c>
      <c r="F1344" s="24"/>
      <c r="G1344" s="25" t="str">
        <f>IF($D1344="","",IFERROR(VLOOKUP($D1344,'ACAS Capital Tracker'!$A:$D,4,FALSE()),""))</f>
        <v/>
      </c>
      <c r="H1344" s="22"/>
    </row>
    <row r="1345" spans="1:8">
      <c r="A1345" s="21"/>
      <c r="B1345" s="22"/>
      <c r="C1345" s="22"/>
      <c r="D1345" s="22"/>
      <c r="E1345" s="23" t="str">
        <f>IF($D1345="","",IFERROR(VLOOKUP($D1345,'ACAS Capital Tracker'!$A:$H,8,FALSE()),""))</f>
        <v/>
      </c>
      <c r="F1345" s="24"/>
      <c r="G1345" s="25" t="str">
        <f>IF($D1345="","",IFERROR(VLOOKUP($D1345,'ACAS Capital Tracker'!$A:$D,4,FALSE()),""))</f>
        <v/>
      </c>
      <c r="H1345" s="22"/>
    </row>
    <row r="1346" spans="1:8">
      <c r="A1346" s="21"/>
      <c r="B1346" s="22"/>
      <c r="C1346" s="22"/>
      <c r="D1346" s="22"/>
      <c r="E1346" s="23" t="str">
        <f>IF($D1346="","",IFERROR(VLOOKUP($D1346,'ACAS Capital Tracker'!$A:$H,8,FALSE()),""))</f>
        <v/>
      </c>
      <c r="F1346" s="24"/>
      <c r="G1346" s="25" t="str">
        <f>IF($D1346="","",IFERROR(VLOOKUP($D1346,'ACAS Capital Tracker'!$A:$D,4,FALSE()),""))</f>
        <v/>
      </c>
      <c r="H1346" s="22"/>
    </row>
    <row r="1347" spans="1:8">
      <c r="A1347" s="21"/>
      <c r="B1347" s="22"/>
      <c r="C1347" s="22"/>
      <c r="D1347" s="22"/>
      <c r="E1347" s="23" t="str">
        <f>IF($D1347="","",IFERROR(VLOOKUP($D1347,'ACAS Capital Tracker'!$A:$H,8,FALSE()),""))</f>
        <v/>
      </c>
      <c r="F1347" s="24"/>
      <c r="G1347" s="25" t="str">
        <f>IF($D1347="","",IFERROR(VLOOKUP($D1347,'ACAS Capital Tracker'!$A:$D,4,FALSE()),""))</f>
        <v/>
      </c>
      <c r="H1347" s="22"/>
    </row>
    <row r="1348" spans="1:8">
      <c r="A1348" s="21"/>
      <c r="B1348" s="22"/>
      <c r="C1348" s="22"/>
      <c r="D1348" s="22"/>
      <c r="E1348" s="23" t="str">
        <f>IF($D1348="","",IFERROR(VLOOKUP($D1348,'ACAS Capital Tracker'!$A:$H,8,FALSE()),""))</f>
        <v/>
      </c>
      <c r="F1348" s="24"/>
      <c r="G1348" s="25" t="str">
        <f>IF($D1348="","",IFERROR(VLOOKUP($D1348,'ACAS Capital Tracker'!$A:$D,4,FALSE()),""))</f>
        <v/>
      </c>
      <c r="H1348" s="22"/>
    </row>
    <row r="1349" spans="1:8">
      <c r="A1349" s="21"/>
      <c r="B1349" s="22"/>
      <c r="C1349" s="22"/>
      <c r="D1349" s="22"/>
      <c r="E1349" s="23" t="str">
        <f>IF($D1349="","",IFERROR(VLOOKUP($D1349,'ACAS Capital Tracker'!$A:$H,8,FALSE()),""))</f>
        <v/>
      </c>
      <c r="F1349" s="24"/>
      <c r="G1349" s="25" t="str">
        <f>IF($D1349="","",IFERROR(VLOOKUP($D1349,'ACAS Capital Tracker'!$A:$D,4,FALSE()),""))</f>
        <v/>
      </c>
      <c r="H1349" s="22"/>
    </row>
    <row r="1350" spans="1:8">
      <c r="A1350" s="21"/>
      <c r="B1350" s="22"/>
      <c r="C1350" s="22"/>
      <c r="D1350" s="22"/>
      <c r="E1350" s="23" t="str">
        <f>IF($D1350="","",IFERROR(VLOOKUP($D1350,'ACAS Capital Tracker'!$A:$H,8,FALSE()),""))</f>
        <v/>
      </c>
      <c r="F1350" s="24"/>
      <c r="G1350" s="25" t="str">
        <f>IF($D1350="","",IFERROR(VLOOKUP($D1350,'ACAS Capital Tracker'!$A:$D,4,FALSE()),""))</f>
        <v/>
      </c>
      <c r="H1350" s="22"/>
    </row>
    <row r="1351" spans="1:8">
      <c r="A1351" s="21"/>
      <c r="B1351" s="22"/>
      <c r="C1351" s="22"/>
      <c r="D1351" s="22"/>
      <c r="E1351" s="23" t="str">
        <f>IF($D1351="","",IFERROR(VLOOKUP($D1351,'ACAS Capital Tracker'!$A:$H,8,FALSE()),""))</f>
        <v/>
      </c>
      <c r="F1351" s="24"/>
      <c r="G1351" s="25" t="str">
        <f>IF($D1351="","",IFERROR(VLOOKUP($D1351,'ACAS Capital Tracker'!$A:$D,4,FALSE()),""))</f>
        <v/>
      </c>
      <c r="H1351" s="22"/>
    </row>
    <row r="1352" spans="1:8">
      <c r="A1352" s="21"/>
      <c r="B1352" s="22"/>
      <c r="C1352" s="22"/>
      <c r="D1352" s="22"/>
      <c r="E1352" s="23" t="str">
        <f>IF($D1352="","",IFERROR(VLOOKUP($D1352,'ACAS Capital Tracker'!$A:$H,8,FALSE()),""))</f>
        <v/>
      </c>
      <c r="F1352" s="24"/>
      <c r="G1352" s="25" t="str">
        <f>IF($D1352="","",IFERROR(VLOOKUP($D1352,'ACAS Capital Tracker'!$A:$D,4,FALSE()),""))</f>
        <v/>
      </c>
      <c r="H1352" s="22"/>
    </row>
    <row r="1353" spans="1:8">
      <c r="A1353" s="21"/>
      <c r="B1353" s="22"/>
      <c r="C1353" s="22"/>
      <c r="D1353" s="22"/>
      <c r="E1353" s="23" t="str">
        <f>IF($D1353="","",IFERROR(VLOOKUP($D1353,'ACAS Capital Tracker'!$A:$H,8,FALSE()),""))</f>
        <v/>
      </c>
      <c r="F1353" s="24"/>
      <c r="G1353" s="25" t="str">
        <f>IF($D1353="","",IFERROR(VLOOKUP($D1353,'ACAS Capital Tracker'!$A:$D,4,FALSE()),""))</f>
        <v/>
      </c>
      <c r="H1353" s="22"/>
    </row>
    <row r="1354" spans="1:8">
      <c r="A1354" s="21"/>
      <c r="B1354" s="22"/>
      <c r="C1354" s="22"/>
      <c r="D1354" s="22"/>
      <c r="E1354" s="23" t="str">
        <f>IF($D1354="","",IFERROR(VLOOKUP($D1354,'ACAS Capital Tracker'!$A:$H,8,FALSE()),""))</f>
        <v/>
      </c>
      <c r="F1354" s="24"/>
      <c r="G1354" s="25" t="str">
        <f>IF($D1354="","",IFERROR(VLOOKUP($D1354,'ACAS Capital Tracker'!$A:$D,4,FALSE()),""))</f>
        <v/>
      </c>
      <c r="H1354" s="22"/>
    </row>
    <row r="1355" spans="1:8">
      <c r="A1355" s="21"/>
      <c r="B1355" s="22"/>
      <c r="C1355" s="22"/>
      <c r="D1355" s="22"/>
      <c r="E1355" s="23" t="str">
        <f>IF($D1355="","",IFERROR(VLOOKUP($D1355,'ACAS Capital Tracker'!$A:$H,8,FALSE()),""))</f>
        <v/>
      </c>
      <c r="F1355" s="24"/>
      <c r="G1355" s="25" t="str">
        <f>IF($D1355="","",IFERROR(VLOOKUP($D1355,'ACAS Capital Tracker'!$A:$D,4,FALSE()),""))</f>
        <v/>
      </c>
      <c r="H1355" s="22"/>
    </row>
    <row r="1356" spans="1:8">
      <c r="A1356" s="21"/>
      <c r="B1356" s="22"/>
      <c r="C1356" s="22"/>
      <c r="D1356" s="22"/>
      <c r="E1356" s="23" t="str">
        <f>IF($D1356="","",IFERROR(VLOOKUP($D1356,'ACAS Capital Tracker'!$A:$H,8,FALSE()),""))</f>
        <v/>
      </c>
      <c r="F1356" s="24"/>
      <c r="G1356" s="25" t="str">
        <f>IF($D1356="","",IFERROR(VLOOKUP($D1356,'ACAS Capital Tracker'!$A:$D,4,FALSE()),""))</f>
        <v/>
      </c>
      <c r="H1356" s="22"/>
    </row>
    <row r="1357" spans="1:8">
      <c r="A1357" s="21"/>
      <c r="B1357" s="22"/>
      <c r="C1357" s="22"/>
      <c r="D1357" s="22"/>
      <c r="E1357" s="23" t="str">
        <f>IF($D1357="","",IFERROR(VLOOKUP($D1357,'ACAS Capital Tracker'!$A:$H,8,FALSE()),""))</f>
        <v/>
      </c>
      <c r="F1357" s="24"/>
      <c r="G1357" s="25" t="str">
        <f>IF($D1357="","",IFERROR(VLOOKUP($D1357,'ACAS Capital Tracker'!$A:$D,4,FALSE()),""))</f>
        <v/>
      </c>
      <c r="H1357" s="22"/>
    </row>
    <row r="1358" spans="1:8">
      <c r="A1358" s="21"/>
      <c r="B1358" s="22"/>
      <c r="C1358" s="22"/>
      <c r="D1358" s="22"/>
      <c r="E1358" s="23" t="str">
        <f>IF($D1358="","",IFERROR(VLOOKUP($D1358,'ACAS Capital Tracker'!$A:$H,8,FALSE()),""))</f>
        <v/>
      </c>
      <c r="F1358" s="24"/>
      <c r="G1358" s="25" t="str">
        <f>IF($D1358="","",IFERROR(VLOOKUP($D1358,'ACAS Capital Tracker'!$A:$D,4,FALSE()),""))</f>
        <v/>
      </c>
      <c r="H1358" s="22"/>
    </row>
    <row r="1359" spans="1:8">
      <c r="A1359" s="21"/>
      <c r="B1359" s="22"/>
      <c r="C1359" s="22"/>
      <c r="D1359" s="22"/>
      <c r="E1359" s="23" t="str">
        <f>IF($D1359="","",IFERROR(VLOOKUP($D1359,'ACAS Capital Tracker'!$A:$H,8,FALSE()),""))</f>
        <v/>
      </c>
      <c r="F1359" s="24"/>
      <c r="G1359" s="25" t="str">
        <f>IF($D1359="","",IFERROR(VLOOKUP($D1359,'ACAS Capital Tracker'!$A:$D,4,FALSE()),""))</f>
        <v/>
      </c>
      <c r="H1359" s="22"/>
    </row>
    <row r="1360" spans="1:8">
      <c r="A1360" s="21"/>
      <c r="B1360" s="22"/>
      <c r="C1360" s="22"/>
      <c r="D1360" s="22"/>
      <c r="E1360" s="23" t="str">
        <f>IF($D1360="","",IFERROR(VLOOKUP($D1360,'ACAS Capital Tracker'!$A:$H,8,FALSE()),""))</f>
        <v/>
      </c>
      <c r="F1360" s="24"/>
      <c r="G1360" s="25" t="str">
        <f>IF($D1360="","",IFERROR(VLOOKUP($D1360,'ACAS Capital Tracker'!$A:$D,4,FALSE()),""))</f>
        <v/>
      </c>
      <c r="H1360" s="22"/>
    </row>
    <row r="1361" spans="1:8">
      <c r="A1361" s="21"/>
      <c r="B1361" s="22"/>
      <c r="C1361" s="22"/>
      <c r="D1361" s="22"/>
      <c r="E1361" s="23" t="str">
        <f>IF($D1361="","",IFERROR(VLOOKUP($D1361,'ACAS Capital Tracker'!$A:$H,8,FALSE()),""))</f>
        <v/>
      </c>
      <c r="F1361" s="24"/>
      <c r="G1361" s="25" t="str">
        <f>IF($D1361="","",IFERROR(VLOOKUP($D1361,'ACAS Capital Tracker'!$A:$D,4,FALSE()),""))</f>
        <v/>
      </c>
      <c r="H1361" s="22"/>
    </row>
    <row r="1362" spans="1:8">
      <c r="A1362" s="21"/>
      <c r="B1362" s="22"/>
      <c r="C1362" s="22"/>
      <c r="D1362" s="22"/>
      <c r="E1362" s="23" t="str">
        <f>IF($D1362="","",IFERROR(VLOOKUP($D1362,'ACAS Capital Tracker'!$A:$H,8,FALSE()),""))</f>
        <v/>
      </c>
      <c r="F1362" s="24"/>
      <c r="G1362" s="25" t="str">
        <f>IF($D1362="","",IFERROR(VLOOKUP($D1362,'ACAS Capital Tracker'!$A:$D,4,FALSE()),""))</f>
        <v/>
      </c>
      <c r="H1362" s="22"/>
    </row>
    <row r="1363" spans="1:8">
      <c r="A1363" s="21"/>
      <c r="B1363" s="22"/>
      <c r="C1363" s="22"/>
      <c r="D1363" s="22"/>
      <c r="E1363" s="23" t="str">
        <f>IF($D1363="","",IFERROR(VLOOKUP($D1363,'ACAS Capital Tracker'!$A:$H,8,FALSE()),""))</f>
        <v/>
      </c>
      <c r="F1363" s="24"/>
      <c r="G1363" s="25" t="str">
        <f>IF($D1363="","",IFERROR(VLOOKUP($D1363,'ACAS Capital Tracker'!$A:$D,4,FALSE()),""))</f>
        <v/>
      </c>
      <c r="H1363" s="22"/>
    </row>
    <row r="1364" spans="1:8">
      <c r="A1364" s="21"/>
      <c r="B1364" s="22"/>
      <c r="C1364" s="22"/>
      <c r="D1364" s="22"/>
      <c r="E1364" s="23" t="str">
        <f>IF($D1364="","",IFERROR(VLOOKUP($D1364,'ACAS Capital Tracker'!$A:$H,8,FALSE()),""))</f>
        <v/>
      </c>
      <c r="F1364" s="24"/>
      <c r="G1364" s="25" t="str">
        <f>IF($D1364="","",IFERROR(VLOOKUP($D1364,'ACAS Capital Tracker'!$A:$D,4,FALSE()),""))</f>
        <v/>
      </c>
      <c r="H1364" s="22"/>
    </row>
    <row r="1365" spans="1:8">
      <c r="A1365" s="21"/>
      <c r="B1365" s="22"/>
      <c r="C1365" s="22"/>
      <c r="D1365" s="22"/>
      <c r="E1365" s="23" t="str">
        <f>IF($D1365="","",IFERROR(VLOOKUP($D1365,'ACAS Capital Tracker'!$A:$H,8,FALSE()),""))</f>
        <v/>
      </c>
      <c r="F1365" s="24"/>
      <c r="G1365" s="25" t="str">
        <f>IF($D1365="","",IFERROR(VLOOKUP($D1365,'ACAS Capital Tracker'!$A:$D,4,FALSE()),""))</f>
        <v/>
      </c>
      <c r="H1365" s="22"/>
    </row>
    <row r="1366" spans="1:8">
      <c r="A1366" s="21"/>
      <c r="B1366" s="22"/>
      <c r="C1366" s="22"/>
      <c r="D1366" s="22"/>
      <c r="E1366" s="23" t="str">
        <f>IF($D1366="","",IFERROR(VLOOKUP($D1366,'ACAS Capital Tracker'!$A:$H,8,FALSE()),""))</f>
        <v/>
      </c>
      <c r="F1366" s="24"/>
      <c r="G1366" s="25" t="str">
        <f>IF($D1366="","",IFERROR(VLOOKUP($D1366,'ACAS Capital Tracker'!$A:$D,4,FALSE()),""))</f>
        <v/>
      </c>
      <c r="H1366" s="22"/>
    </row>
    <row r="1367" spans="1:8">
      <c r="A1367" s="21"/>
      <c r="B1367" s="22"/>
      <c r="C1367" s="22"/>
      <c r="D1367" s="22"/>
      <c r="E1367" s="23" t="str">
        <f>IF($D1367="","",IFERROR(VLOOKUP($D1367,'ACAS Capital Tracker'!$A:$H,8,FALSE()),""))</f>
        <v/>
      </c>
      <c r="F1367" s="24"/>
      <c r="G1367" s="25" t="str">
        <f>IF($D1367="","",IFERROR(VLOOKUP($D1367,'ACAS Capital Tracker'!$A:$D,4,FALSE()),""))</f>
        <v/>
      </c>
      <c r="H1367" s="22"/>
    </row>
    <row r="1368" spans="1:8">
      <c r="A1368" s="21"/>
      <c r="B1368" s="22"/>
      <c r="C1368" s="22"/>
      <c r="D1368" s="22"/>
      <c r="E1368" s="23" t="str">
        <f>IF($D1368="","",IFERROR(VLOOKUP($D1368,'ACAS Capital Tracker'!$A:$H,8,FALSE()),""))</f>
        <v/>
      </c>
      <c r="F1368" s="24"/>
      <c r="G1368" s="25" t="str">
        <f>IF($D1368="","",IFERROR(VLOOKUP($D1368,'ACAS Capital Tracker'!$A:$D,4,FALSE()),""))</f>
        <v/>
      </c>
      <c r="H1368" s="22"/>
    </row>
    <row r="1369" spans="1:8">
      <c r="A1369" s="21"/>
      <c r="B1369" s="22"/>
      <c r="C1369" s="22"/>
      <c r="D1369" s="22"/>
      <c r="E1369" s="23" t="str">
        <f>IF($D1369="","",IFERROR(VLOOKUP($D1369,'ACAS Capital Tracker'!$A:$H,8,FALSE()),""))</f>
        <v/>
      </c>
      <c r="F1369" s="24"/>
      <c r="G1369" s="25" t="str">
        <f>IF($D1369="","",IFERROR(VLOOKUP($D1369,'ACAS Capital Tracker'!$A:$D,4,FALSE()),""))</f>
        <v/>
      </c>
      <c r="H1369" s="22"/>
    </row>
    <row r="1370" spans="1:8">
      <c r="A1370" s="21"/>
      <c r="B1370" s="22"/>
      <c r="C1370" s="22"/>
      <c r="D1370" s="22"/>
      <c r="E1370" s="23" t="str">
        <f>IF($D1370="","",IFERROR(VLOOKUP($D1370,'ACAS Capital Tracker'!$A:$H,8,FALSE()),""))</f>
        <v/>
      </c>
      <c r="F1370" s="24"/>
      <c r="G1370" s="25" t="str">
        <f>IF($D1370="","",IFERROR(VLOOKUP($D1370,'ACAS Capital Tracker'!$A:$D,4,FALSE()),""))</f>
        <v/>
      </c>
      <c r="H1370" s="22"/>
    </row>
    <row r="1371" spans="1:8">
      <c r="A1371" s="21"/>
      <c r="B1371" s="22"/>
      <c r="C1371" s="22"/>
      <c r="D1371" s="22"/>
      <c r="E1371" s="23" t="str">
        <f>IF($D1371="","",IFERROR(VLOOKUP($D1371,'ACAS Capital Tracker'!$A:$H,8,FALSE()),""))</f>
        <v/>
      </c>
      <c r="F1371" s="24"/>
      <c r="G1371" s="25" t="str">
        <f>IF($D1371="","",IFERROR(VLOOKUP($D1371,'ACAS Capital Tracker'!$A:$D,4,FALSE()),""))</f>
        <v/>
      </c>
      <c r="H1371" s="22"/>
    </row>
    <row r="1372" spans="1:8">
      <c r="A1372" s="21"/>
      <c r="B1372" s="22"/>
      <c r="C1372" s="22"/>
      <c r="D1372" s="22"/>
      <c r="E1372" s="23" t="str">
        <f>IF($D1372="","",IFERROR(VLOOKUP($D1372,'ACAS Capital Tracker'!$A:$H,8,FALSE()),""))</f>
        <v/>
      </c>
      <c r="F1372" s="24"/>
      <c r="G1372" s="25" t="str">
        <f>IF($D1372="","",IFERROR(VLOOKUP($D1372,'ACAS Capital Tracker'!$A:$D,4,FALSE()),""))</f>
        <v/>
      </c>
      <c r="H1372" s="22"/>
    </row>
    <row r="1373" spans="1:8">
      <c r="A1373" s="21"/>
      <c r="B1373" s="22"/>
      <c r="C1373" s="22"/>
      <c r="D1373" s="22"/>
      <c r="E1373" s="23" t="str">
        <f>IF($D1373="","",IFERROR(VLOOKUP($D1373,'ACAS Capital Tracker'!$A:$H,8,FALSE()),""))</f>
        <v/>
      </c>
      <c r="F1373" s="24"/>
      <c r="G1373" s="25" t="str">
        <f>IF($D1373="","",IFERROR(VLOOKUP($D1373,'ACAS Capital Tracker'!$A:$D,4,FALSE()),""))</f>
        <v/>
      </c>
      <c r="H1373" s="22"/>
    </row>
    <row r="1374" spans="1:8">
      <c r="A1374" s="21"/>
      <c r="B1374" s="22"/>
      <c r="C1374" s="22"/>
      <c r="D1374" s="22"/>
      <c r="E1374" s="23" t="str">
        <f>IF($D1374="","",IFERROR(VLOOKUP($D1374,'ACAS Capital Tracker'!$A:$H,8,FALSE()),""))</f>
        <v/>
      </c>
      <c r="F1374" s="24"/>
      <c r="G1374" s="25" t="str">
        <f>IF($D1374="","",IFERROR(VLOOKUP($D1374,'ACAS Capital Tracker'!$A:$D,4,FALSE()),""))</f>
        <v/>
      </c>
      <c r="H1374" s="22"/>
    </row>
    <row r="1375" spans="1:8">
      <c r="A1375" s="21"/>
      <c r="B1375" s="22"/>
      <c r="C1375" s="22"/>
      <c r="D1375" s="22"/>
      <c r="E1375" s="23" t="str">
        <f>IF($D1375="","",IFERROR(VLOOKUP($D1375,'ACAS Capital Tracker'!$A:$H,8,FALSE()),""))</f>
        <v/>
      </c>
      <c r="F1375" s="24"/>
      <c r="G1375" s="25" t="str">
        <f>IF($D1375="","",IFERROR(VLOOKUP($D1375,'ACAS Capital Tracker'!$A:$D,4,FALSE()),""))</f>
        <v/>
      </c>
      <c r="H1375" s="22"/>
    </row>
    <row r="1376" spans="1:8">
      <c r="A1376" s="21"/>
      <c r="B1376" s="22"/>
      <c r="C1376" s="22"/>
      <c r="D1376" s="22"/>
      <c r="E1376" s="23" t="str">
        <f>IF($D1376="","",IFERROR(VLOOKUP($D1376,'ACAS Capital Tracker'!$A:$H,8,FALSE()),""))</f>
        <v/>
      </c>
      <c r="F1376" s="24"/>
      <c r="G1376" s="25" t="str">
        <f>IF($D1376="","",IFERROR(VLOOKUP($D1376,'ACAS Capital Tracker'!$A:$D,4,FALSE()),""))</f>
        <v/>
      </c>
      <c r="H1376" s="22"/>
    </row>
    <row r="1377" spans="1:8">
      <c r="A1377" s="21"/>
      <c r="B1377" s="22"/>
      <c r="C1377" s="22"/>
      <c r="D1377" s="22"/>
      <c r="E1377" s="23" t="str">
        <f>IF($D1377="","",IFERROR(VLOOKUP($D1377,'ACAS Capital Tracker'!$A:$H,8,FALSE()),""))</f>
        <v/>
      </c>
      <c r="F1377" s="24"/>
      <c r="G1377" s="25" t="str">
        <f>IF($D1377="","",IFERROR(VLOOKUP($D1377,'ACAS Capital Tracker'!$A:$D,4,FALSE()),""))</f>
        <v/>
      </c>
      <c r="H1377" s="22"/>
    </row>
    <row r="1378" spans="1:8">
      <c r="A1378" s="21"/>
      <c r="B1378" s="22"/>
      <c r="C1378" s="22"/>
      <c r="D1378" s="22"/>
      <c r="E1378" s="23" t="str">
        <f>IF($D1378="","",IFERROR(VLOOKUP($D1378,'ACAS Capital Tracker'!$A:$H,8,FALSE()),""))</f>
        <v/>
      </c>
      <c r="F1378" s="24"/>
      <c r="G1378" s="25" t="str">
        <f>IF($D1378="","",IFERROR(VLOOKUP($D1378,'ACAS Capital Tracker'!$A:$D,4,FALSE()),""))</f>
        <v/>
      </c>
      <c r="H1378" s="22"/>
    </row>
    <row r="1379" spans="1:8">
      <c r="A1379" s="21"/>
      <c r="B1379" s="22"/>
      <c r="C1379" s="22"/>
      <c r="D1379" s="22"/>
      <c r="E1379" s="23" t="str">
        <f>IF($D1379="","",IFERROR(VLOOKUP($D1379,'ACAS Capital Tracker'!$A:$H,8,FALSE()),""))</f>
        <v/>
      </c>
      <c r="F1379" s="24"/>
      <c r="G1379" s="25" t="str">
        <f>IF($D1379="","",IFERROR(VLOOKUP($D1379,'ACAS Capital Tracker'!$A:$D,4,FALSE()),""))</f>
        <v/>
      </c>
      <c r="H1379" s="22"/>
    </row>
    <row r="1380" spans="1:8">
      <c r="A1380" s="21"/>
      <c r="B1380" s="22"/>
      <c r="C1380" s="22"/>
      <c r="D1380" s="22"/>
      <c r="E1380" s="23" t="str">
        <f>IF($D1380="","",IFERROR(VLOOKUP($D1380,'ACAS Capital Tracker'!$A:$H,8,FALSE()),""))</f>
        <v/>
      </c>
      <c r="F1380" s="24"/>
      <c r="G1380" s="25" t="str">
        <f>IF($D1380="","",IFERROR(VLOOKUP($D1380,'ACAS Capital Tracker'!$A:$D,4,FALSE()),""))</f>
        <v/>
      </c>
      <c r="H1380" s="22"/>
    </row>
    <row r="1381" spans="1:8">
      <c r="A1381" s="21"/>
      <c r="B1381" s="22"/>
      <c r="C1381" s="22"/>
      <c r="D1381" s="22"/>
      <c r="E1381" s="23" t="str">
        <f>IF($D1381="","",IFERROR(VLOOKUP($D1381,'ACAS Capital Tracker'!$A:$H,8,FALSE()),""))</f>
        <v/>
      </c>
      <c r="F1381" s="24"/>
      <c r="G1381" s="25" t="str">
        <f>IF($D1381="","",IFERROR(VLOOKUP($D1381,'ACAS Capital Tracker'!$A:$D,4,FALSE()),""))</f>
        <v/>
      </c>
      <c r="H1381" s="22"/>
    </row>
    <row r="1382" spans="1:8">
      <c r="A1382" s="21"/>
      <c r="B1382" s="22"/>
      <c r="C1382" s="22"/>
      <c r="D1382" s="22"/>
      <c r="E1382" s="23" t="str">
        <f>IF($D1382="","",IFERROR(VLOOKUP($D1382,'ACAS Capital Tracker'!$A:$H,8,FALSE()),""))</f>
        <v/>
      </c>
      <c r="F1382" s="24"/>
      <c r="G1382" s="25" t="str">
        <f>IF($D1382="","",IFERROR(VLOOKUP($D1382,'ACAS Capital Tracker'!$A:$D,4,FALSE()),""))</f>
        <v/>
      </c>
      <c r="H1382" s="22"/>
    </row>
    <row r="1383" spans="1:8">
      <c r="A1383" s="21"/>
      <c r="B1383" s="22"/>
      <c r="C1383" s="22"/>
      <c r="D1383" s="22"/>
      <c r="E1383" s="23" t="str">
        <f>IF($D1383="","",IFERROR(VLOOKUP($D1383,'ACAS Capital Tracker'!$A:$H,8,FALSE()),""))</f>
        <v/>
      </c>
      <c r="F1383" s="24"/>
      <c r="G1383" s="25" t="str">
        <f>IF($D1383="","",IFERROR(VLOOKUP($D1383,'ACAS Capital Tracker'!$A:$D,4,FALSE()),""))</f>
        <v/>
      </c>
      <c r="H1383" s="22"/>
    </row>
    <row r="1384" spans="1:8">
      <c r="A1384" s="21"/>
      <c r="B1384" s="22"/>
      <c r="C1384" s="22"/>
      <c r="D1384" s="22"/>
      <c r="E1384" s="23" t="str">
        <f>IF($D1384="","",IFERROR(VLOOKUP($D1384,'ACAS Capital Tracker'!$A:$H,8,FALSE()),""))</f>
        <v/>
      </c>
      <c r="F1384" s="24"/>
      <c r="G1384" s="25" t="str">
        <f>IF($D1384="","",IFERROR(VLOOKUP($D1384,'ACAS Capital Tracker'!$A:$D,4,FALSE()),""))</f>
        <v/>
      </c>
      <c r="H1384" s="22"/>
    </row>
    <row r="1385" spans="1:8">
      <c r="A1385" s="21"/>
      <c r="B1385" s="22"/>
      <c r="C1385" s="22"/>
      <c r="D1385" s="22"/>
      <c r="E1385" s="23" t="str">
        <f>IF($D1385="","",IFERROR(VLOOKUP($D1385,'ACAS Capital Tracker'!$A:$H,8,FALSE()),""))</f>
        <v/>
      </c>
      <c r="F1385" s="24"/>
      <c r="G1385" s="25" t="str">
        <f>IF($D1385="","",IFERROR(VLOOKUP($D1385,'ACAS Capital Tracker'!$A:$D,4,FALSE()),""))</f>
        <v/>
      </c>
      <c r="H1385" s="22"/>
    </row>
    <row r="1386" spans="1:8">
      <c r="A1386" s="21"/>
      <c r="B1386" s="22"/>
      <c r="C1386" s="22"/>
      <c r="D1386" s="22"/>
      <c r="E1386" s="23" t="str">
        <f>IF($D1386="","",IFERROR(VLOOKUP($D1386,'ACAS Capital Tracker'!$A:$H,8,FALSE()),""))</f>
        <v/>
      </c>
      <c r="F1386" s="24"/>
      <c r="G1386" s="25" t="str">
        <f>IF($D1386="","",IFERROR(VLOOKUP($D1386,'ACAS Capital Tracker'!$A:$D,4,FALSE()),""))</f>
        <v/>
      </c>
      <c r="H1386" s="22"/>
    </row>
    <row r="1387" spans="1:8">
      <c r="A1387" s="21"/>
      <c r="B1387" s="22"/>
      <c r="C1387" s="22"/>
      <c r="D1387" s="22"/>
      <c r="E1387" s="23" t="str">
        <f>IF($D1387="","",IFERROR(VLOOKUP($D1387,'ACAS Capital Tracker'!$A:$H,8,FALSE()),""))</f>
        <v/>
      </c>
      <c r="F1387" s="24"/>
      <c r="G1387" s="25" t="str">
        <f>IF($D1387="","",IFERROR(VLOOKUP($D1387,'ACAS Capital Tracker'!$A:$D,4,FALSE()),""))</f>
        <v/>
      </c>
      <c r="H1387" s="22"/>
    </row>
    <row r="1388" spans="1:8">
      <c r="A1388" s="21"/>
      <c r="B1388" s="22"/>
      <c r="C1388" s="22"/>
      <c r="D1388" s="22"/>
      <c r="E1388" s="23" t="str">
        <f>IF($D1388="","",IFERROR(VLOOKUP($D1388,'ACAS Capital Tracker'!$A:$H,8,FALSE()),""))</f>
        <v/>
      </c>
      <c r="F1388" s="24"/>
      <c r="G1388" s="25" t="str">
        <f>IF($D1388="","",IFERROR(VLOOKUP($D1388,'ACAS Capital Tracker'!$A:$D,4,FALSE()),""))</f>
        <v/>
      </c>
      <c r="H1388" s="22"/>
    </row>
    <row r="1389" spans="1:8">
      <c r="A1389" s="21"/>
      <c r="B1389" s="22"/>
      <c r="C1389" s="22"/>
      <c r="D1389" s="22"/>
      <c r="E1389" s="23" t="str">
        <f>IF($D1389="","",IFERROR(VLOOKUP($D1389,'ACAS Capital Tracker'!$A:$H,8,FALSE()),""))</f>
        <v/>
      </c>
      <c r="F1389" s="24"/>
      <c r="G1389" s="25" t="str">
        <f>IF($D1389="","",IFERROR(VLOOKUP($D1389,'ACAS Capital Tracker'!$A:$D,4,FALSE()),""))</f>
        <v/>
      </c>
      <c r="H1389" s="22"/>
    </row>
    <row r="1390" spans="1:8">
      <c r="A1390" s="21"/>
      <c r="B1390" s="22"/>
      <c r="C1390" s="22"/>
      <c r="D1390" s="22"/>
      <c r="E1390" s="23" t="str">
        <f>IF($D1390="","",IFERROR(VLOOKUP($D1390,'ACAS Capital Tracker'!$A:$H,8,FALSE()),""))</f>
        <v/>
      </c>
      <c r="F1390" s="24"/>
      <c r="G1390" s="25" t="str">
        <f>IF($D1390="","",IFERROR(VLOOKUP($D1390,'ACAS Capital Tracker'!$A:$D,4,FALSE()),""))</f>
        <v/>
      </c>
      <c r="H1390" s="22"/>
    </row>
    <row r="1391" spans="1:8">
      <c r="A1391" s="21"/>
      <c r="B1391" s="22"/>
      <c r="C1391" s="22"/>
      <c r="D1391" s="22"/>
      <c r="E1391" s="23" t="str">
        <f>IF($D1391="","",IFERROR(VLOOKUP($D1391,'ACAS Capital Tracker'!$A:$H,8,FALSE()),""))</f>
        <v/>
      </c>
      <c r="F1391" s="24"/>
      <c r="G1391" s="25" t="str">
        <f>IF($D1391="","",IFERROR(VLOOKUP($D1391,'ACAS Capital Tracker'!$A:$D,4,FALSE()),""))</f>
        <v/>
      </c>
      <c r="H1391" s="22"/>
    </row>
    <row r="1392" spans="1:8">
      <c r="A1392" s="21"/>
      <c r="B1392" s="22"/>
      <c r="C1392" s="22"/>
      <c r="D1392" s="22"/>
      <c r="E1392" s="23" t="str">
        <f>IF($D1392="","",IFERROR(VLOOKUP($D1392,'ACAS Capital Tracker'!$A:$H,8,FALSE()),""))</f>
        <v/>
      </c>
      <c r="F1392" s="24"/>
      <c r="G1392" s="25" t="str">
        <f>IF($D1392="","",IFERROR(VLOOKUP($D1392,'ACAS Capital Tracker'!$A:$D,4,FALSE()),""))</f>
        <v/>
      </c>
      <c r="H1392" s="22"/>
    </row>
    <row r="1393" spans="1:8">
      <c r="A1393" s="21"/>
      <c r="B1393" s="22"/>
      <c r="C1393" s="22"/>
      <c r="D1393" s="22"/>
      <c r="E1393" s="23" t="str">
        <f>IF($D1393="","",IFERROR(VLOOKUP($D1393,'ACAS Capital Tracker'!$A:$H,8,FALSE()),""))</f>
        <v/>
      </c>
      <c r="F1393" s="24"/>
      <c r="G1393" s="25" t="str">
        <f>IF($D1393="","",IFERROR(VLOOKUP($D1393,'ACAS Capital Tracker'!$A:$D,4,FALSE()),""))</f>
        <v/>
      </c>
      <c r="H1393" s="22"/>
    </row>
    <row r="1394" spans="1:8">
      <c r="A1394" s="21"/>
      <c r="B1394" s="22"/>
      <c r="C1394" s="22"/>
      <c r="D1394" s="22"/>
      <c r="E1394" s="23" t="str">
        <f>IF($D1394="","",IFERROR(VLOOKUP($D1394,'ACAS Capital Tracker'!$A:$H,8,FALSE()),""))</f>
        <v/>
      </c>
      <c r="F1394" s="24"/>
      <c r="G1394" s="25" t="str">
        <f>IF($D1394="","",IFERROR(VLOOKUP($D1394,'ACAS Capital Tracker'!$A:$D,4,FALSE()),""))</f>
        <v/>
      </c>
      <c r="H1394" s="22"/>
    </row>
    <row r="1395" spans="1:8">
      <c r="A1395" s="21"/>
      <c r="B1395" s="22"/>
      <c r="C1395" s="22"/>
      <c r="D1395" s="22"/>
      <c r="E1395" s="23" t="str">
        <f>IF($D1395="","",IFERROR(VLOOKUP($D1395,'ACAS Capital Tracker'!$A:$H,8,FALSE()),""))</f>
        <v/>
      </c>
      <c r="F1395" s="24"/>
      <c r="G1395" s="25" t="str">
        <f>IF($D1395="","",IFERROR(VLOOKUP($D1395,'ACAS Capital Tracker'!$A:$D,4,FALSE()),""))</f>
        <v/>
      </c>
      <c r="H1395" s="22"/>
    </row>
    <row r="1396" spans="1:8">
      <c r="A1396" s="21"/>
      <c r="B1396" s="22"/>
      <c r="C1396" s="22"/>
      <c r="D1396" s="22"/>
      <c r="E1396" s="23" t="str">
        <f>IF($D1396="","",IFERROR(VLOOKUP($D1396,'ACAS Capital Tracker'!$A:$H,8,FALSE()),""))</f>
        <v/>
      </c>
      <c r="F1396" s="24"/>
      <c r="G1396" s="25" t="str">
        <f>IF($D1396="","",IFERROR(VLOOKUP($D1396,'ACAS Capital Tracker'!$A:$D,4,FALSE()),""))</f>
        <v/>
      </c>
      <c r="H1396" s="22"/>
    </row>
    <row r="1397" spans="1:8">
      <c r="A1397" s="21"/>
      <c r="B1397" s="22"/>
      <c r="C1397" s="22"/>
      <c r="D1397" s="22"/>
      <c r="E1397" s="23" t="str">
        <f>IF($D1397="","",IFERROR(VLOOKUP($D1397,'ACAS Capital Tracker'!$A:$H,8,FALSE()),""))</f>
        <v/>
      </c>
      <c r="F1397" s="24"/>
      <c r="G1397" s="25" t="str">
        <f>IF($D1397="","",IFERROR(VLOOKUP($D1397,'ACAS Capital Tracker'!$A:$D,4,FALSE()),""))</f>
        <v/>
      </c>
      <c r="H1397" s="22"/>
    </row>
    <row r="1398" spans="1:8">
      <c r="A1398" s="21"/>
      <c r="B1398" s="22"/>
      <c r="C1398" s="22"/>
      <c r="D1398" s="22"/>
      <c r="E1398" s="23" t="str">
        <f>IF($D1398="","",IFERROR(VLOOKUP($D1398,'ACAS Capital Tracker'!$A:$H,8,FALSE()),""))</f>
        <v/>
      </c>
      <c r="F1398" s="24"/>
      <c r="G1398" s="25" t="str">
        <f>IF($D1398="","",IFERROR(VLOOKUP($D1398,'ACAS Capital Tracker'!$A:$D,4,FALSE()),""))</f>
        <v/>
      </c>
      <c r="H1398" s="22"/>
    </row>
    <row r="1399" spans="1:8">
      <c r="A1399" s="21"/>
      <c r="B1399" s="22"/>
      <c r="C1399" s="22"/>
      <c r="D1399" s="22"/>
      <c r="E1399" s="23" t="str">
        <f>IF($D1399="","",IFERROR(VLOOKUP($D1399,'ACAS Capital Tracker'!$A:$H,8,FALSE()),""))</f>
        <v/>
      </c>
      <c r="F1399" s="24"/>
      <c r="G1399" s="25" t="str">
        <f>IF($D1399="","",IFERROR(VLOOKUP($D1399,'ACAS Capital Tracker'!$A:$D,4,FALSE()),""))</f>
        <v/>
      </c>
      <c r="H1399" s="22"/>
    </row>
    <row r="1400" spans="1:8">
      <c r="A1400" s="21"/>
      <c r="B1400" s="22"/>
      <c r="C1400" s="22"/>
      <c r="D1400" s="22"/>
      <c r="E1400" s="23" t="str">
        <f>IF($D1400="","",IFERROR(VLOOKUP($D1400,'ACAS Capital Tracker'!$A:$H,8,FALSE()),""))</f>
        <v/>
      </c>
      <c r="F1400" s="24"/>
      <c r="G1400" s="25" t="str">
        <f>IF($D1400="","",IFERROR(VLOOKUP($D1400,'ACAS Capital Tracker'!$A:$D,4,FALSE()),""))</f>
        <v/>
      </c>
      <c r="H1400" s="22"/>
    </row>
    <row r="1401" spans="1:8">
      <c r="A1401" s="21"/>
      <c r="B1401" s="22"/>
      <c r="C1401" s="22"/>
      <c r="D1401" s="22"/>
      <c r="E1401" s="23" t="str">
        <f>IF($D1401="","",IFERROR(VLOOKUP($D1401,'ACAS Capital Tracker'!$A:$H,8,FALSE()),""))</f>
        <v/>
      </c>
      <c r="F1401" s="24"/>
      <c r="G1401" s="25" t="str">
        <f>IF($D1401="","",IFERROR(VLOOKUP($D1401,'ACAS Capital Tracker'!$A:$D,4,FALSE()),""))</f>
        <v/>
      </c>
      <c r="H1401" s="22"/>
    </row>
    <row r="1402" spans="1:8">
      <c r="A1402" s="21"/>
      <c r="B1402" s="22"/>
      <c r="C1402" s="22"/>
      <c r="D1402" s="22"/>
      <c r="E1402" s="23" t="str">
        <f>IF($D1402="","",IFERROR(VLOOKUP($D1402,'ACAS Capital Tracker'!$A:$H,8,FALSE()),""))</f>
        <v/>
      </c>
      <c r="F1402" s="24"/>
      <c r="G1402" s="25" t="str">
        <f>IF($D1402="","",IFERROR(VLOOKUP($D1402,'ACAS Capital Tracker'!$A:$D,4,FALSE()),""))</f>
        <v/>
      </c>
      <c r="H1402" s="22"/>
    </row>
    <row r="1403" spans="1:8">
      <c r="A1403" s="21"/>
      <c r="B1403" s="22"/>
      <c r="C1403" s="22"/>
      <c r="D1403" s="22"/>
      <c r="E1403" s="23" t="str">
        <f>IF($D1403="","",IFERROR(VLOOKUP($D1403,'ACAS Capital Tracker'!$A:$H,8,FALSE()),""))</f>
        <v/>
      </c>
      <c r="F1403" s="24"/>
      <c r="G1403" s="25" t="str">
        <f>IF($D1403="","",IFERROR(VLOOKUP($D1403,'ACAS Capital Tracker'!$A:$D,4,FALSE()),""))</f>
        <v/>
      </c>
      <c r="H1403" s="22"/>
    </row>
    <row r="1404" spans="1:8">
      <c r="A1404" s="21"/>
      <c r="B1404" s="22"/>
      <c r="C1404" s="22"/>
      <c r="D1404" s="22"/>
      <c r="E1404" s="23" t="str">
        <f>IF($D1404="","",IFERROR(VLOOKUP($D1404,'ACAS Capital Tracker'!$A:$H,8,FALSE()),""))</f>
        <v/>
      </c>
      <c r="F1404" s="24"/>
      <c r="G1404" s="25" t="str">
        <f>IF($D1404="","",IFERROR(VLOOKUP($D1404,'ACAS Capital Tracker'!$A:$D,4,FALSE()),""))</f>
        <v/>
      </c>
      <c r="H1404" s="22"/>
    </row>
    <row r="1405" spans="1:8">
      <c r="A1405" s="21"/>
      <c r="B1405" s="22"/>
      <c r="C1405" s="22"/>
      <c r="D1405" s="22"/>
      <c r="E1405" s="23" t="str">
        <f>IF($D1405="","",IFERROR(VLOOKUP($D1405,'ACAS Capital Tracker'!$A:$H,8,FALSE()),""))</f>
        <v/>
      </c>
      <c r="F1405" s="24"/>
      <c r="G1405" s="25" t="str">
        <f>IF($D1405="","",IFERROR(VLOOKUP($D1405,'ACAS Capital Tracker'!$A:$D,4,FALSE()),""))</f>
        <v/>
      </c>
      <c r="H1405" s="22"/>
    </row>
    <row r="1406" spans="1:8">
      <c r="A1406" s="21"/>
      <c r="B1406" s="22"/>
      <c r="C1406" s="22"/>
      <c r="D1406" s="22"/>
      <c r="E1406" s="23" t="str">
        <f>IF($D1406="","",IFERROR(VLOOKUP($D1406,'ACAS Capital Tracker'!$A:$H,8,FALSE()),""))</f>
        <v/>
      </c>
      <c r="F1406" s="24"/>
      <c r="G1406" s="25" t="str">
        <f>IF($D1406="","",IFERROR(VLOOKUP($D1406,'ACAS Capital Tracker'!$A:$D,4,FALSE()),""))</f>
        <v/>
      </c>
      <c r="H1406" s="22"/>
    </row>
    <row r="1407" spans="1:8">
      <c r="A1407" s="21"/>
      <c r="B1407" s="22"/>
      <c r="C1407" s="22"/>
      <c r="D1407" s="22"/>
      <c r="E1407" s="23" t="str">
        <f>IF($D1407="","",IFERROR(VLOOKUP($D1407,'ACAS Capital Tracker'!$A:$H,8,FALSE()),""))</f>
        <v/>
      </c>
      <c r="F1407" s="24"/>
      <c r="G1407" s="25" t="str">
        <f>IF($D1407="","",IFERROR(VLOOKUP($D1407,'ACAS Capital Tracker'!$A:$D,4,FALSE()),""))</f>
        <v/>
      </c>
      <c r="H1407" s="22"/>
    </row>
    <row r="1408" spans="1:8">
      <c r="A1408" s="21"/>
      <c r="B1408" s="22"/>
      <c r="C1408" s="22"/>
      <c r="D1408" s="22"/>
      <c r="E1408" s="23" t="str">
        <f>IF($D1408="","",IFERROR(VLOOKUP($D1408,'ACAS Capital Tracker'!$A:$H,8,FALSE()),""))</f>
        <v/>
      </c>
      <c r="F1408" s="24"/>
      <c r="G1408" s="25" t="str">
        <f>IF($D1408="","",IFERROR(VLOOKUP($D1408,'ACAS Capital Tracker'!$A:$D,4,FALSE()),""))</f>
        <v/>
      </c>
      <c r="H1408" s="22"/>
    </row>
    <row r="1409" spans="1:8">
      <c r="A1409" s="21"/>
      <c r="B1409" s="22"/>
      <c r="C1409" s="22"/>
      <c r="D1409" s="22"/>
      <c r="E1409" s="23" t="str">
        <f>IF($D1409="","",IFERROR(VLOOKUP($D1409,'ACAS Capital Tracker'!$A:$H,8,FALSE()),""))</f>
        <v/>
      </c>
      <c r="F1409" s="24"/>
      <c r="G1409" s="25" t="str">
        <f>IF($D1409="","",IFERROR(VLOOKUP($D1409,'ACAS Capital Tracker'!$A:$D,4,FALSE()),""))</f>
        <v/>
      </c>
      <c r="H1409" s="22"/>
    </row>
    <row r="1410" spans="1:8">
      <c r="A1410" s="21"/>
      <c r="B1410" s="22"/>
      <c r="C1410" s="22"/>
      <c r="D1410" s="22"/>
      <c r="E1410" s="23" t="str">
        <f>IF($D1410="","",IFERROR(VLOOKUP($D1410,'ACAS Capital Tracker'!$A:$H,8,FALSE()),""))</f>
        <v/>
      </c>
      <c r="F1410" s="24"/>
      <c r="G1410" s="25" t="str">
        <f>IF($D1410="","",IFERROR(VLOOKUP($D1410,'ACAS Capital Tracker'!$A:$D,4,FALSE()),""))</f>
        <v/>
      </c>
      <c r="H1410" s="22"/>
    </row>
    <row r="1411" spans="1:8">
      <c r="A1411" s="21"/>
      <c r="B1411" s="22"/>
      <c r="C1411" s="22"/>
      <c r="D1411" s="22"/>
      <c r="E1411" s="23" t="str">
        <f>IF($D1411="","",IFERROR(VLOOKUP($D1411,'ACAS Capital Tracker'!$A:$H,8,FALSE()),""))</f>
        <v/>
      </c>
      <c r="F1411" s="24"/>
      <c r="G1411" s="25" t="str">
        <f>IF($D1411="","",IFERROR(VLOOKUP($D1411,'ACAS Capital Tracker'!$A:$D,4,FALSE()),""))</f>
        <v/>
      </c>
      <c r="H1411" s="22"/>
    </row>
    <row r="1412" spans="1:8">
      <c r="A1412" s="21"/>
      <c r="B1412" s="22"/>
      <c r="C1412" s="22"/>
      <c r="D1412" s="22"/>
      <c r="E1412" s="23" t="str">
        <f>IF($D1412="","",IFERROR(VLOOKUP($D1412,'ACAS Capital Tracker'!$A:$H,8,FALSE()),""))</f>
        <v/>
      </c>
      <c r="F1412" s="24"/>
      <c r="G1412" s="25" t="str">
        <f>IF($D1412="","",IFERROR(VLOOKUP($D1412,'ACAS Capital Tracker'!$A:$D,4,FALSE()),""))</f>
        <v/>
      </c>
      <c r="H1412" s="22"/>
    </row>
    <row r="1413" spans="1:8">
      <c r="A1413" s="21"/>
      <c r="B1413" s="22"/>
      <c r="C1413" s="22"/>
      <c r="D1413" s="22"/>
      <c r="E1413" s="23" t="str">
        <f>IF($D1413="","",IFERROR(VLOOKUP($D1413,'ACAS Capital Tracker'!$A:$H,8,FALSE()),""))</f>
        <v/>
      </c>
      <c r="F1413" s="24"/>
      <c r="G1413" s="25" t="str">
        <f>IF($D1413="","",IFERROR(VLOOKUP($D1413,'ACAS Capital Tracker'!$A:$D,4,FALSE()),""))</f>
        <v/>
      </c>
      <c r="H1413" s="22"/>
    </row>
    <row r="1414" spans="1:8">
      <c r="A1414" s="21"/>
      <c r="B1414" s="22"/>
      <c r="C1414" s="22"/>
      <c r="D1414" s="22"/>
      <c r="E1414" s="23" t="str">
        <f>IF($D1414="","",IFERROR(VLOOKUP($D1414,'ACAS Capital Tracker'!$A:$H,8,FALSE()),""))</f>
        <v/>
      </c>
      <c r="F1414" s="24"/>
      <c r="G1414" s="25" t="str">
        <f>IF($D1414="","",IFERROR(VLOOKUP($D1414,'ACAS Capital Tracker'!$A:$D,4,FALSE()),""))</f>
        <v/>
      </c>
      <c r="H1414" s="22"/>
    </row>
    <row r="1415" spans="1:8">
      <c r="A1415" s="21"/>
      <c r="B1415" s="22"/>
      <c r="C1415" s="22"/>
      <c r="D1415" s="22"/>
      <c r="E1415" s="23" t="str">
        <f>IF($D1415="","",IFERROR(VLOOKUP($D1415,'ACAS Capital Tracker'!$A:$H,8,FALSE()),""))</f>
        <v/>
      </c>
      <c r="F1415" s="24"/>
      <c r="G1415" s="25" t="str">
        <f>IF($D1415="","",IFERROR(VLOOKUP($D1415,'ACAS Capital Tracker'!$A:$D,4,FALSE()),""))</f>
        <v/>
      </c>
      <c r="H1415" s="22"/>
    </row>
    <row r="1416" spans="1:8">
      <c r="A1416" s="21"/>
      <c r="B1416" s="22"/>
      <c r="C1416" s="22"/>
      <c r="D1416" s="22"/>
      <c r="E1416" s="23" t="str">
        <f>IF($D1416="","",IFERROR(VLOOKUP($D1416,'ACAS Capital Tracker'!$A:$H,8,FALSE()),""))</f>
        <v/>
      </c>
      <c r="F1416" s="24"/>
      <c r="G1416" s="25" t="str">
        <f>IF($D1416="","",IFERROR(VLOOKUP($D1416,'ACAS Capital Tracker'!$A:$D,4,FALSE()),""))</f>
        <v/>
      </c>
      <c r="H1416" s="22"/>
    </row>
    <row r="1417" spans="1:8">
      <c r="A1417" s="21"/>
      <c r="B1417" s="22"/>
      <c r="C1417" s="22"/>
      <c r="D1417" s="22"/>
      <c r="E1417" s="23" t="str">
        <f>IF($D1417="","",IFERROR(VLOOKUP($D1417,'ACAS Capital Tracker'!$A:$H,8,FALSE()),""))</f>
        <v/>
      </c>
      <c r="F1417" s="24"/>
      <c r="G1417" s="25" t="str">
        <f>IF($D1417="","",IFERROR(VLOOKUP($D1417,'ACAS Capital Tracker'!$A:$D,4,FALSE()),""))</f>
        <v/>
      </c>
      <c r="H1417" s="22"/>
    </row>
    <row r="1418" spans="1:8">
      <c r="A1418" s="21"/>
      <c r="B1418" s="22"/>
      <c r="C1418" s="22"/>
      <c r="D1418" s="22"/>
      <c r="E1418" s="23" t="str">
        <f>IF($D1418="","",IFERROR(VLOOKUP($D1418,'ACAS Capital Tracker'!$A:$H,8,FALSE()),""))</f>
        <v/>
      </c>
      <c r="F1418" s="24"/>
      <c r="G1418" s="25" t="str">
        <f>IF($D1418="","",IFERROR(VLOOKUP($D1418,'ACAS Capital Tracker'!$A:$D,4,FALSE()),""))</f>
        <v/>
      </c>
      <c r="H1418" s="22"/>
    </row>
    <row r="1419" spans="1:8">
      <c r="A1419" s="21"/>
      <c r="B1419" s="22"/>
      <c r="C1419" s="22"/>
      <c r="D1419" s="22"/>
      <c r="E1419" s="23" t="str">
        <f>IF($D1419="","",IFERROR(VLOOKUP($D1419,'ACAS Capital Tracker'!$A:$H,8,FALSE()),""))</f>
        <v/>
      </c>
      <c r="F1419" s="24"/>
      <c r="G1419" s="25" t="str">
        <f>IF($D1419="","",IFERROR(VLOOKUP($D1419,'ACAS Capital Tracker'!$A:$D,4,FALSE()),""))</f>
        <v/>
      </c>
      <c r="H1419" s="22"/>
    </row>
    <row r="1420" spans="1:8">
      <c r="A1420" s="21"/>
      <c r="B1420" s="22"/>
      <c r="C1420" s="22"/>
      <c r="D1420" s="22"/>
      <c r="E1420" s="23" t="str">
        <f>IF($D1420="","",IFERROR(VLOOKUP($D1420,'ACAS Capital Tracker'!$A:$H,8,FALSE()),""))</f>
        <v/>
      </c>
      <c r="F1420" s="24"/>
      <c r="G1420" s="25" t="str">
        <f>IF($D1420="","",IFERROR(VLOOKUP($D1420,'ACAS Capital Tracker'!$A:$D,4,FALSE()),""))</f>
        <v/>
      </c>
      <c r="H1420" s="22"/>
    </row>
    <row r="1421" spans="1:8">
      <c r="A1421" s="21"/>
      <c r="B1421" s="22"/>
      <c r="C1421" s="22"/>
      <c r="D1421" s="22"/>
      <c r="E1421" s="23" t="str">
        <f>IF($D1421="","",IFERROR(VLOOKUP($D1421,'ACAS Capital Tracker'!$A:$H,8,FALSE()),""))</f>
        <v/>
      </c>
      <c r="F1421" s="24"/>
      <c r="G1421" s="25" t="str">
        <f>IF($D1421="","",IFERROR(VLOOKUP($D1421,'ACAS Capital Tracker'!$A:$D,4,FALSE()),""))</f>
        <v/>
      </c>
      <c r="H1421" s="22"/>
    </row>
    <row r="1422" spans="1:8">
      <c r="A1422" s="21"/>
      <c r="B1422" s="22"/>
      <c r="C1422" s="22"/>
      <c r="D1422" s="22"/>
      <c r="E1422" s="23" t="str">
        <f>IF($D1422="","",IFERROR(VLOOKUP($D1422,'ACAS Capital Tracker'!$A:$H,8,FALSE()),""))</f>
        <v/>
      </c>
      <c r="F1422" s="24"/>
      <c r="G1422" s="25" t="str">
        <f>IF($D1422="","",IFERROR(VLOOKUP($D1422,'ACAS Capital Tracker'!$A:$D,4,FALSE()),""))</f>
        <v/>
      </c>
      <c r="H1422" s="22"/>
    </row>
    <row r="1423" spans="1:8">
      <c r="A1423" s="21"/>
      <c r="B1423" s="22"/>
      <c r="C1423" s="22"/>
      <c r="D1423" s="22"/>
      <c r="E1423" s="23" t="str">
        <f>IF($D1423="","",IFERROR(VLOOKUP($D1423,'ACAS Capital Tracker'!$A:$H,8,FALSE()),""))</f>
        <v/>
      </c>
      <c r="F1423" s="24"/>
      <c r="G1423" s="25" t="str">
        <f>IF($D1423="","",IFERROR(VLOOKUP($D1423,'ACAS Capital Tracker'!$A:$D,4,FALSE()),""))</f>
        <v/>
      </c>
      <c r="H1423" s="22"/>
    </row>
    <row r="1424" spans="1:8">
      <c r="A1424" s="21"/>
      <c r="B1424" s="22"/>
      <c r="C1424" s="22"/>
      <c r="D1424" s="22"/>
      <c r="E1424" s="23" t="str">
        <f>IF($D1424="","",IFERROR(VLOOKUP($D1424,'ACAS Capital Tracker'!$A:$H,8,FALSE()),""))</f>
        <v/>
      </c>
      <c r="F1424" s="24"/>
      <c r="G1424" s="25" t="str">
        <f>IF($D1424="","",IFERROR(VLOOKUP($D1424,'ACAS Capital Tracker'!$A:$D,4,FALSE()),""))</f>
        <v/>
      </c>
      <c r="H1424" s="22"/>
    </row>
    <row r="1425" spans="1:8">
      <c r="A1425" s="21"/>
      <c r="B1425" s="22"/>
      <c r="C1425" s="22"/>
      <c r="D1425" s="22"/>
      <c r="E1425" s="23" t="str">
        <f>IF($D1425="","",IFERROR(VLOOKUP($D1425,'ACAS Capital Tracker'!$A:$H,8,FALSE()),""))</f>
        <v/>
      </c>
      <c r="F1425" s="24"/>
      <c r="G1425" s="25" t="str">
        <f>IF($D1425="","",IFERROR(VLOOKUP($D1425,'ACAS Capital Tracker'!$A:$D,4,FALSE()),""))</f>
        <v/>
      </c>
      <c r="H1425" s="22"/>
    </row>
    <row r="1426" spans="1:8">
      <c r="A1426" s="21"/>
      <c r="B1426" s="22"/>
      <c r="C1426" s="22"/>
      <c r="D1426" s="22"/>
      <c r="E1426" s="23" t="str">
        <f>IF($D1426="","",IFERROR(VLOOKUP($D1426,'ACAS Capital Tracker'!$A:$H,8,FALSE()),""))</f>
        <v/>
      </c>
      <c r="F1426" s="24"/>
      <c r="G1426" s="25" t="str">
        <f>IF($D1426="","",IFERROR(VLOOKUP($D1426,'ACAS Capital Tracker'!$A:$D,4,FALSE()),""))</f>
        <v/>
      </c>
      <c r="H1426" s="22"/>
    </row>
    <row r="1427" spans="1:8">
      <c r="A1427" s="21"/>
      <c r="B1427" s="22"/>
      <c r="C1427" s="22"/>
      <c r="D1427" s="22"/>
      <c r="E1427" s="23" t="str">
        <f>IF($D1427="","",IFERROR(VLOOKUP($D1427,'ACAS Capital Tracker'!$A:$H,8,FALSE()),""))</f>
        <v/>
      </c>
      <c r="F1427" s="24"/>
      <c r="G1427" s="25" t="str">
        <f>IF($D1427="","",IFERROR(VLOOKUP($D1427,'ACAS Capital Tracker'!$A:$D,4,FALSE()),""))</f>
        <v/>
      </c>
      <c r="H1427" s="22"/>
    </row>
    <row r="1428" spans="1:8">
      <c r="A1428" s="21"/>
      <c r="B1428" s="22"/>
      <c r="C1428" s="22"/>
      <c r="D1428" s="22"/>
      <c r="E1428" s="23" t="str">
        <f>IF($D1428="","",IFERROR(VLOOKUP($D1428,'ACAS Capital Tracker'!$A:$H,8,FALSE()),""))</f>
        <v/>
      </c>
      <c r="F1428" s="24"/>
      <c r="G1428" s="25" t="str">
        <f>IF($D1428="","",IFERROR(VLOOKUP($D1428,'ACAS Capital Tracker'!$A:$D,4,FALSE()),""))</f>
        <v/>
      </c>
      <c r="H1428" s="22"/>
    </row>
    <row r="1429" spans="1:8">
      <c r="A1429" s="21"/>
      <c r="B1429" s="22"/>
      <c r="C1429" s="22"/>
      <c r="D1429" s="22"/>
      <c r="E1429" s="23" t="str">
        <f>IF($D1429="","",IFERROR(VLOOKUP($D1429,'ACAS Capital Tracker'!$A:$H,8,FALSE()),""))</f>
        <v/>
      </c>
      <c r="F1429" s="24"/>
      <c r="G1429" s="25" t="str">
        <f>IF($D1429="","",IFERROR(VLOOKUP($D1429,'ACAS Capital Tracker'!$A:$D,4,FALSE()),""))</f>
        <v/>
      </c>
      <c r="H1429" s="22"/>
    </row>
    <row r="1430" spans="1:8">
      <c r="A1430" s="21"/>
      <c r="B1430" s="22"/>
      <c r="C1430" s="22"/>
      <c r="D1430" s="22"/>
      <c r="E1430" s="23" t="str">
        <f>IF($D1430="","",IFERROR(VLOOKUP($D1430,'ACAS Capital Tracker'!$A:$H,8,FALSE()),""))</f>
        <v/>
      </c>
      <c r="F1430" s="24"/>
      <c r="G1430" s="25" t="str">
        <f>IF($D1430="","",IFERROR(VLOOKUP($D1430,'ACAS Capital Tracker'!$A:$D,4,FALSE()),""))</f>
        <v/>
      </c>
      <c r="H1430" s="22"/>
    </row>
    <row r="1431" spans="1:8">
      <c r="A1431" s="21"/>
      <c r="B1431" s="22"/>
      <c r="C1431" s="22"/>
      <c r="D1431" s="22"/>
      <c r="E1431" s="23" t="str">
        <f>IF($D1431="","",IFERROR(VLOOKUP($D1431,'ACAS Capital Tracker'!$A:$H,8,FALSE()),""))</f>
        <v/>
      </c>
      <c r="F1431" s="24"/>
      <c r="G1431" s="25" t="str">
        <f>IF($D1431="","",IFERROR(VLOOKUP($D1431,'ACAS Capital Tracker'!$A:$D,4,FALSE()),""))</f>
        <v/>
      </c>
      <c r="H1431" s="22"/>
    </row>
    <row r="1432" spans="1:8">
      <c r="A1432" s="21"/>
      <c r="B1432" s="22"/>
      <c r="C1432" s="22"/>
      <c r="D1432" s="22"/>
      <c r="E1432" s="23" t="str">
        <f>IF($D1432="","",IFERROR(VLOOKUP($D1432,'ACAS Capital Tracker'!$A:$H,8,FALSE()),""))</f>
        <v/>
      </c>
      <c r="F1432" s="24"/>
      <c r="G1432" s="25" t="str">
        <f>IF($D1432="","",IFERROR(VLOOKUP($D1432,'ACAS Capital Tracker'!$A:$D,4,FALSE()),""))</f>
        <v/>
      </c>
      <c r="H1432" s="22"/>
    </row>
    <row r="1433" spans="1:8">
      <c r="A1433" s="21"/>
      <c r="B1433" s="22"/>
      <c r="C1433" s="22"/>
      <c r="D1433" s="22"/>
      <c r="E1433" s="23" t="str">
        <f>IF($D1433="","",IFERROR(VLOOKUP($D1433,'ACAS Capital Tracker'!$A:$H,8,FALSE()),""))</f>
        <v/>
      </c>
      <c r="F1433" s="24"/>
      <c r="G1433" s="25" t="str">
        <f>IF($D1433="","",IFERROR(VLOOKUP($D1433,'ACAS Capital Tracker'!$A:$D,4,FALSE()),""))</f>
        <v/>
      </c>
      <c r="H1433" s="22"/>
    </row>
    <row r="1434" spans="1:8">
      <c r="A1434" s="21"/>
      <c r="B1434" s="22"/>
      <c r="C1434" s="22"/>
      <c r="D1434" s="22"/>
      <c r="E1434" s="23" t="str">
        <f>IF($D1434="","",IFERROR(VLOOKUP($D1434,'ACAS Capital Tracker'!$A:$H,8,FALSE()),""))</f>
        <v/>
      </c>
      <c r="F1434" s="24"/>
      <c r="G1434" s="25" t="str">
        <f>IF($D1434="","",IFERROR(VLOOKUP($D1434,'ACAS Capital Tracker'!$A:$D,4,FALSE()),""))</f>
        <v/>
      </c>
      <c r="H1434" s="22"/>
    </row>
    <row r="1435" spans="1:8">
      <c r="A1435" s="21"/>
      <c r="B1435" s="22"/>
      <c r="C1435" s="22"/>
      <c r="D1435" s="22"/>
      <c r="E1435" s="23" t="str">
        <f>IF($D1435="","",IFERROR(VLOOKUP($D1435,'ACAS Capital Tracker'!$A:$H,8,FALSE()),""))</f>
        <v/>
      </c>
      <c r="F1435" s="24"/>
      <c r="G1435" s="25" t="str">
        <f>IF($D1435="","",IFERROR(VLOOKUP($D1435,'ACAS Capital Tracker'!$A:$D,4,FALSE()),""))</f>
        <v/>
      </c>
      <c r="H1435" s="22"/>
    </row>
    <row r="1436" spans="1:8">
      <c r="A1436" s="21"/>
      <c r="B1436" s="22"/>
      <c r="C1436" s="22"/>
      <c r="D1436" s="22"/>
      <c r="E1436" s="23" t="str">
        <f>IF($D1436="","",IFERROR(VLOOKUP($D1436,'ACAS Capital Tracker'!$A:$H,8,FALSE()),""))</f>
        <v/>
      </c>
      <c r="F1436" s="24"/>
      <c r="G1436" s="25" t="str">
        <f>IF($D1436="","",IFERROR(VLOOKUP($D1436,'ACAS Capital Tracker'!$A:$D,4,FALSE()),""))</f>
        <v/>
      </c>
      <c r="H1436" s="22"/>
    </row>
    <row r="1437" spans="1:8">
      <c r="A1437" s="21"/>
      <c r="B1437" s="22"/>
      <c r="C1437" s="22"/>
      <c r="D1437" s="22"/>
      <c r="E1437" s="23" t="str">
        <f>IF($D1437="","",IFERROR(VLOOKUP($D1437,'ACAS Capital Tracker'!$A:$H,8,FALSE()),""))</f>
        <v/>
      </c>
      <c r="F1437" s="24"/>
      <c r="G1437" s="25" t="str">
        <f>IF($D1437="","",IFERROR(VLOOKUP($D1437,'ACAS Capital Tracker'!$A:$D,4,FALSE()),""))</f>
        <v/>
      </c>
      <c r="H1437" s="22"/>
    </row>
    <row r="1438" spans="1:8">
      <c r="A1438" s="21"/>
      <c r="B1438" s="22"/>
      <c r="C1438" s="22"/>
      <c r="D1438" s="22"/>
      <c r="E1438" s="23" t="str">
        <f>IF($D1438="","",IFERROR(VLOOKUP($D1438,'ACAS Capital Tracker'!$A:$H,8,FALSE()),""))</f>
        <v/>
      </c>
      <c r="F1438" s="24"/>
      <c r="G1438" s="25" t="str">
        <f>IF($D1438="","",IFERROR(VLOOKUP($D1438,'ACAS Capital Tracker'!$A:$D,4,FALSE()),""))</f>
        <v/>
      </c>
      <c r="H1438" s="22"/>
    </row>
    <row r="1439" spans="1:8">
      <c r="A1439" s="21"/>
      <c r="B1439" s="22"/>
      <c r="C1439" s="22"/>
      <c r="D1439" s="22"/>
      <c r="E1439" s="23" t="str">
        <f>IF($D1439="","",IFERROR(VLOOKUP($D1439,'ACAS Capital Tracker'!$A:$H,8,FALSE()),""))</f>
        <v/>
      </c>
      <c r="F1439" s="24"/>
      <c r="G1439" s="25" t="str">
        <f>IF($D1439="","",IFERROR(VLOOKUP($D1439,'ACAS Capital Tracker'!$A:$D,4,FALSE()),""))</f>
        <v/>
      </c>
      <c r="H1439" s="22"/>
    </row>
    <row r="1440" spans="1:8">
      <c r="A1440" s="21"/>
      <c r="B1440" s="22"/>
      <c r="C1440" s="22"/>
      <c r="D1440" s="22"/>
      <c r="E1440" s="23" t="str">
        <f>IF($D1440="","",IFERROR(VLOOKUP($D1440,'ACAS Capital Tracker'!$A:$H,8,FALSE()),""))</f>
        <v/>
      </c>
      <c r="F1440" s="24"/>
      <c r="G1440" s="25" t="str">
        <f>IF($D1440="","",IFERROR(VLOOKUP($D1440,'ACAS Capital Tracker'!$A:$D,4,FALSE()),""))</f>
        <v/>
      </c>
      <c r="H1440" s="22"/>
    </row>
    <row r="1441" spans="1:8">
      <c r="A1441" s="21"/>
      <c r="B1441" s="22"/>
      <c r="C1441" s="22"/>
      <c r="D1441" s="22"/>
      <c r="E1441" s="23" t="str">
        <f>IF($D1441="","",IFERROR(VLOOKUP($D1441,'ACAS Capital Tracker'!$A:$H,8,FALSE()),""))</f>
        <v/>
      </c>
      <c r="F1441" s="24"/>
      <c r="G1441" s="25" t="str">
        <f>IF($D1441="","",IFERROR(VLOOKUP($D1441,'ACAS Capital Tracker'!$A:$D,4,FALSE()),""))</f>
        <v/>
      </c>
      <c r="H1441" s="22"/>
    </row>
    <row r="1442" spans="1:8">
      <c r="A1442" s="21"/>
      <c r="B1442" s="22"/>
      <c r="C1442" s="22"/>
      <c r="D1442" s="22"/>
      <c r="E1442" s="23" t="str">
        <f>IF($D1442="","",IFERROR(VLOOKUP($D1442,'ACAS Capital Tracker'!$A:$H,8,FALSE()),""))</f>
        <v/>
      </c>
      <c r="F1442" s="24"/>
      <c r="G1442" s="25" t="str">
        <f>IF($D1442="","",IFERROR(VLOOKUP($D1442,'ACAS Capital Tracker'!$A:$D,4,FALSE()),""))</f>
        <v/>
      </c>
      <c r="H1442" s="22"/>
    </row>
    <row r="1443" spans="1:8">
      <c r="A1443" s="21"/>
      <c r="B1443" s="22"/>
      <c r="C1443" s="22"/>
      <c r="D1443" s="22"/>
      <c r="E1443" s="23" t="str">
        <f>IF($D1443="","",IFERROR(VLOOKUP($D1443,'ACAS Capital Tracker'!$A:$H,8,FALSE()),""))</f>
        <v/>
      </c>
      <c r="F1443" s="24"/>
      <c r="G1443" s="25" t="str">
        <f>IF($D1443="","",IFERROR(VLOOKUP($D1443,'ACAS Capital Tracker'!$A:$D,4,FALSE()),""))</f>
        <v/>
      </c>
      <c r="H1443" s="22"/>
    </row>
    <row r="1444" spans="1:8">
      <c r="A1444" s="21"/>
      <c r="B1444" s="22"/>
      <c r="C1444" s="22"/>
      <c r="D1444" s="22"/>
      <c r="E1444" s="23" t="str">
        <f>IF($D1444="","",IFERROR(VLOOKUP($D1444,'ACAS Capital Tracker'!$A:$H,8,FALSE()),""))</f>
        <v/>
      </c>
      <c r="F1444" s="24"/>
      <c r="G1444" s="25" t="str">
        <f>IF($D1444="","",IFERROR(VLOOKUP($D1444,'ACAS Capital Tracker'!$A:$D,4,FALSE()),""))</f>
        <v/>
      </c>
      <c r="H1444" s="22"/>
    </row>
    <row r="1445" spans="1:8">
      <c r="A1445" s="21"/>
      <c r="B1445" s="22"/>
      <c r="C1445" s="22"/>
      <c r="D1445" s="22"/>
      <c r="E1445" s="23" t="str">
        <f>IF($D1445="","",IFERROR(VLOOKUP($D1445,'ACAS Capital Tracker'!$A:$H,8,FALSE()),""))</f>
        <v/>
      </c>
      <c r="F1445" s="24"/>
      <c r="G1445" s="25" t="str">
        <f>IF($D1445="","",IFERROR(VLOOKUP($D1445,'ACAS Capital Tracker'!$A:$D,4,FALSE()),""))</f>
        <v/>
      </c>
      <c r="H1445" s="22"/>
    </row>
    <row r="1446" spans="1:8">
      <c r="A1446" s="21"/>
      <c r="B1446" s="22"/>
      <c r="C1446" s="22"/>
      <c r="D1446" s="22"/>
      <c r="E1446" s="23" t="str">
        <f>IF($D1446="","",IFERROR(VLOOKUP($D1446,'ACAS Capital Tracker'!$A:$H,8,FALSE()),""))</f>
        <v/>
      </c>
      <c r="F1446" s="24"/>
      <c r="G1446" s="25" t="str">
        <f>IF($D1446="","",IFERROR(VLOOKUP($D1446,'ACAS Capital Tracker'!$A:$D,4,FALSE()),""))</f>
        <v/>
      </c>
      <c r="H1446" s="22"/>
    </row>
    <row r="1447" spans="1:8">
      <c r="A1447" s="21"/>
      <c r="B1447" s="22"/>
      <c r="C1447" s="22"/>
      <c r="D1447" s="22"/>
      <c r="E1447" s="23" t="str">
        <f>IF($D1447="","",IFERROR(VLOOKUP($D1447,'ACAS Capital Tracker'!$A:$H,8,FALSE()),""))</f>
        <v/>
      </c>
      <c r="F1447" s="24"/>
      <c r="G1447" s="25" t="str">
        <f>IF($D1447="","",IFERROR(VLOOKUP($D1447,'ACAS Capital Tracker'!$A:$D,4,FALSE()),""))</f>
        <v/>
      </c>
      <c r="H1447" s="22"/>
    </row>
    <row r="1448" spans="1:8">
      <c r="A1448" s="21"/>
      <c r="B1448" s="22"/>
      <c r="C1448" s="22"/>
      <c r="D1448" s="22"/>
      <c r="E1448" s="23" t="str">
        <f>IF($D1448="","",IFERROR(VLOOKUP($D1448,'ACAS Capital Tracker'!$A:$H,8,FALSE()),""))</f>
        <v/>
      </c>
      <c r="F1448" s="24"/>
      <c r="G1448" s="25" t="str">
        <f>IF($D1448="","",IFERROR(VLOOKUP($D1448,'ACAS Capital Tracker'!$A:$D,4,FALSE()),""))</f>
        <v/>
      </c>
      <c r="H1448" s="22"/>
    </row>
    <row r="1449" spans="1:8">
      <c r="A1449" s="21"/>
      <c r="B1449" s="22"/>
      <c r="C1449" s="22"/>
      <c r="D1449" s="22"/>
      <c r="E1449" s="23" t="str">
        <f>IF($D1449="","",IFERROR(VLOOKUP($D1449,'ACAS Capital Tracker'!$A:$H,8,FALSE()),""))</f>
        <v/>
      </c>
      <c r="F1449" s="24"/>
      <c r="G1449" s="25" t="str">
        <f>IF($D1449="","",IFERROR(VLOOKUP($D1449,'ACAS Capital Tracker'!$A:$D,4,FALSE()),""))</f>
        <v/>
      </c>
      <c r="H1449" s="22"/>
    </row>
    <row r="1450" spans="1:8">
      <c r="A1450" s="21"/>
      <c r="B1450" s="22"/>
      <c r="C1450" s="22"/>
      <c r="D1450" s="22"/>
      <c r="E1450" s="23" t="str">
        <f>IF($D1450="","",IFERROR(VLOOKUP($D1450,'ACAS Capital Tracker'!$A:$H,8,FALSE()),""))</f>
        <v/>
      </c>
      <c r="F1450" s="24"/>
      <c r="G1450" s="25" t="str">
        <f>IF($D1450="","",IFERROR(VLOOKUP($D1450,'ACAS Capital Tracker'!$A:$D,4,FALSE()),""))</f>
        <v/>
      </c>
      <c r="H1450" s="22"/>
    </row>
    <row r="1451" spans="1:8">
      <c r="A1451" s="21"/>
      <c r="B1451" s="22"/>
      <c r="C1451" s="22"/>
      <c r="D1451" s="22"/>
      <c r="E1451" s="23" t="str">
        <f>IF($D1451="","",IFERROR(VLOOKUP($D1451,'ACAS Capital Tracker'!$A:$H,8,FALSE()),""))</f>
        <v/>
      </c>
      <c r="F1451" s="24"/>
      <c r="G1451" s="25" t="str">
        <f>IF($D1451="","",IFERROR(VLOOKUP($D1451,'ACAS Capital Tracker'!$A:$D,4,FALSE()),""))</f>
        <v/>
      </c>
      <c r="H1451" s="22"/>
    </row>
    <row r="1452" spans="1:8">
      <c r="A1452" s="21"/>
      <c r="B1452" s="22"/>
      <c r="C1452" s="22"/>
      <c r="D1452" s="22"/>
      <c r="E1452" s="23" t="str">
        <f>IF($D1452="","",IFERROR(VLOOKUP($D1452,'ACAS Capital Tracker'!$A:$H,8,FALSE()),""))</f>
        <v/>
      </c>
      <c r="F1452" s="24"/>
      <c r="G1452" s="25" t="str">
        <f>IF($D1452="","",IFERROR(VLOOKUP($D1452,'ACAS Capital Tracker'!$A:$D,4,FALSE()),""))</f>
        <v/>
      </c>
      <c r="H1452" s="22"/>
    </row>
    <row r="1453" spans="1:8">
      <c r="A1453" s="21"/>
      <c r="B1453" s="22"/>
      <c r="C1453" s="22"/>
      <c r="D1453" s="22"/>
      <c r="E1453" s="23" t="str">
        <f>IF($D1453="","",IFERROR(VLOOKUP($D1453,'ACAS Capital Tracker'!$A:$H,8,FALSE()),""))</f>
        <v/>
      </c>
      <c r="F1453" s="24"/>
      <c r="G1453" s="25" t="str">
        <f>IF($D1453="","",IFERROR(VLOOKUP($D1453,'ACAS Capital Tracker'!$A:$D,4,FALSE()),""))</f>
        <v/>
      </c>
      <c r="H1453" s="22"/>
    </row>
    <row r="1454" spans="1:8">
      <c r="A1454" s="21"/>
      <c r="B1454" s="22"/>
      <c r="C1454" s="22"/>
      <c r="D1454" s="22"/>
      <c r="E1454" s="23" t="str">
        <f>IF($D1454="","",IFERROR(VLOOKUP($D1454,'ACAS Capital Tracker'!$A:$H,8,FALSE()),""))</f>
        <v/>
      </c>
      <c r="F1454" s="24"/>
      <c r="G1454" s="25" t="str">
        <f>IF($D1454="","",IFERROR(VLOOKUP($D1454,'ACAS Capital Tracker'!$A:$D,4,FALSE()),""))</f>
        <v/>
      </c>
      <c r="H1454" s="22"/>
    </row>
    <row r="1455" spans="1:8">
      <c r="A1455" s="21"/>
      <c r="B1455" s="22"/>
      <c r="C1455" s="22"/>
      <c r="D1455" s="22"/>
      <c r="E1455" s="23" t="str">
        <f>IF($D1455="","",IFERROR(VLOOKUP($D1455,'ACAS Capital Tracker'!$A:$H,8,FALSE()),""))</f>
        <v/>
      </c>
      <c r="F1455" s="24"/>
      <c r="G1455" s="25" t="str">
        <f>IF($D1455="","",IFERROR(VLOOKUP($D1455,'ACAS Capital Tracker'!$A:$D,4,FALSE()),""))</f>
        <v/>
      </c>
      <c r="H1455" s="22"/>
    </row>
    <row r="1456" spans="1:8">
      <c r="A1456" s="21"/>
      <c r="B1456" s="22"/>
      <c r="C1456" s="22"/>
      <c r="D1456" s="22"/>
      <c r="E1456" s="23" t="str">
        <f>IF($D1456="","",IFERROR(VLOOKUP($D1456,'ACAS Capital Tracker'!$A:$H,8,FALSE()),""))</f>
        <v/>
      </c>
      <c r="F1456" s="24"/>
      <c r="G1456" s="25" t="str">
        <f>IF($D1456="","",IFERROR(VLOOKUP($D1456,'ACAS Capital Tracker'!$A:$D,4,FALSE()),""))</f>
        <v/>
      </c>
      <c r="H1456" s="22"/>
    </row>
    <row r="1457" spans="1:8">
      <c r="A1457" s="21"/>
      <c r="B1457" s="22"/>
      <c r="C1457" s="22"/>
      <c r="D1457" s="22"/>
      <c r="E1457" s="23" t="str">
        <f>IF($D1457="","",IFERROR(VLOOKUP($D1457,'ACAS Capital Tracker'!$A:$H,8,FALSE()),""))</f>
        <v/>
      </c>
      <c r="F1457" s="24"/>
      <c r="G1457" s="25" t="str">
        <f>IF($D1457="","",IFERROR(VLOOKUP($D1457,'ACAS Capital Tracker'!$A:$D,4,FALSE()),""))</f>
        <v/>
      </c>
      <c r="H1457" s="22"/>
    </row>
    <row r="1458" spans="1:8">
      <c r="A1458" s="21"/>
      <c r="B1458" s="22"/>
      <c r="C1458" s="22"/>
      <c r="D1458" s="22"/>
      <c r="E1458" s="23" t="str">
        <f>IF($D1458="","",IFERROR(VLOOKUP($D1458,'ACAS Capital Tracker'!$A:$H,8,FALSE()),""))</f>
        <v/>
      </c>
      <c r="F1458" s="24"/>
      <c r="G1458" s="25" t="str">
        <f>IF($D1458="","",IFERROR(VLOOKUP($D1458,'ACAS Capital Tracker'!$A:$D,4,FALSE()),""))</f>
        <v/>
      </c>
      <c r="H1458" s="22"/>
    </row>
    <row r="1459" spans="1:8">
      <c r="A1459" s="21"/>
      <c r="B1459" s="22"/>
      <c r="C1459" s="22"/>
      <c r="D1459" s="22"/>
      <c r="E1459" s="23" t="str">
        <f>IF($D1459="","",IFERROR(VLOOKUP($D1459,'ACAS Capital Tracker'!$A:$H,8,FALSE()),""))</f>
        <v/>
      </c>
      <c r="F1459" s="24"/>
      <c r="G1459" s="25" t="str">
        <f>IF($D1459="","",IFERROR(VLOOKUP($D1459,'ACAS Capital Tracker'!$A:$D,4,FALSE()),""))</f>
        <v/>
      </c>
      <c r="H1459" s="22"/>
    </row>
    <row r="1460" spans="1:8">
      <c r="A1460" s="21"/>
      <c r="B1460" s="22"/>
      <c r="C1460" s="22"/>
      <c r="D1460" s="22"/>
      <c r="E1460" s="23" t="str">
        <f>IF($D1460="","",IFERROR(VLOOKUP($D1460,'ACAS Capital Tracker'!$A:$H,8,FALSE()),""))</f>
        <v/>
      </c>
      <c r="F1460" s="24"/>
      <c r="G1460" s="25" t="str">
        <f>IF($D1460="","",IFERROR(VLOOKUP($D1460,'ACAS Capital Tracker'!$A:$D,4,FALSE()),""))</f>
        <v/>
      </c>
      <c r="H1460" s="22"/>
    </row>
    <row r="1461" spans="1:8">
      <c r="A1461" s="21"/>
      <c r="B1461" s="22"/>
      <c r="C1461" s="22"/>
      <c r="D1461" s="22"/>
      <c r="E1461" s="23" t="str">
        <f>IF($D1461="","",IFERROR(VLOOKUP($D1461,'ACAS Capital Tracker'!$A:$H,8,FALSE()),""))</f>
        <v/>
      </c>
      <c r="F1461" s="24"/>
      <c r="G1461" s="25" t="str">
        <f>IF($D1461="","",IFERROR(VLOOKUP($D1461,'ACAS Capital Tracker'!$A:$D,4,FALSE()),""))</f>
        <v/>
      </c>
      <c r="H1461" s="22"/>
    </row>
    <row r="1462" spans="1:8">
      <c r="A1462" s="21"/>
      <c r="B1462" s="22"/>
      <c r="C1462" s="22"/>
      <c r="D1462" s="22"/>
      <c r="E1462" s="23" t="str">
        <f>IF($D1462="","",IFERROR(VLOOKUP($D1462,'ACAS Capital Tracker'!$A:$H,8,FALSE()),""))</f>
        <v/>
      </c>
      <c r="F1462" s="24"/>
      <c r="G1462" s="25" t="str">
        <f>IF($D1462="","",IFERROR(VLOOKUP($D1462,'ACAS Capital Tracker'!$A:$D,4,FALSE()),""))</f>
        <v/>
      </c>
      <c r="H1462" s="22"/>
    </row>
    <row r="1463" spans="1:8">
      <c r="A1463" s="21"/>
      <c r="B1463" s="22"/>
      <c r="C1463" s="22"/>
      <c r="D1463" s="22"/>
      <c r="E1463" s="23" t="str">
        <f>IF($D1463="","",IFERROR(VLOOKUP($D1463,'ACAS Capital Tracker'!$A:$H,8,FALSE()),""))</f>
        <v/>
      </c>
      <c r="F1463" s="24"/>
      <c r="G1463" s="25" t="str">
        <f>IF($D1463="","",IFERROR(VLOOKUP($D1463,'ACAS Capital Tracker'!$A:$D,4,FALSE()),""))</f>
        <v/>
      </c>
      <c r="H1463" s="22"/>
    </row>
    <row r="1464" spans="1:8">
      <c r="A1464" s="21"/>
      <c r="B1464" s="22"/>
      <c r="C1464" s="22"/>
      <c r="D1464" s="22"/>
      <c r="E1464" s="23" t="str">
        <f>IF($D1464="","",IFERROR(VLOOKUP($D1464,'ACAS Capital Tracker'!$A:$H,8,FALSE()),""))</f>
        <v/>
      </c>
      <c r="F1464" s="24"/>
      <c r="G1464" s="25" t="str">
        <f>IF($D1464="","",IFERROR(VLOOKUP($D1464,'ACAS Capital Tracker'!$A:$D,4,FALSE()),""))</f>
        <v/>
      </c>
      <c r="H1464" s="22"/>
    </row>
    <row r="1465" spans="1:8">
      <c r="A1465" s="21"/>
      <c r="B1465" s="22"/>
      <c r="C1465" s="22"/>
      <c r="D1465" s="22"/>
      <c r="E1465" s="23" t="str">
        <f>IF($D1465="","",IFERROR(VLOOKUP($D1465,'ACAS Capital Tracker'!$A:$H,8,FALSE()),""))</f>
        <v/>
      </c>
      <c r="F1465" s="24"/>
      <c r="G1465" s="25" t="str">
        <f>IF($D1465="","",IFERROR(VLOOKUP($D1465,'ACAS Capital Tracker'!$A:$D,4,FALSE()),""))</f>
        <v/>
      </c>
      <c r="H1465" s="22"/>
    </row>
    <row r="1466" spans="1:8">
      <c r="A1466" s="21"/>
      <c r="B1466" s="22"/>
      <c r="C1466" s="22"/>
      <c r="D1466" s="22"/>
      <c r="E1466" s="23" t="str">
        <f>IF($D1466="","",IFERROR(VLOOKUP($D1466,'ACAS Capital Tracker'!$A:$H,8,FALSE()),""))</f>
        <v/>
      </c>
      <c r="F1466" s="24"/>
      <c r="G1466" s="25" t="str">
        <f>IF($D1466="","",IFERROR(VLOOKUP($D1466,'ACAS Capital Tracker'!$A:$D,4,FALSE()),""))</f>
        <v/>
      </c>
      <c r="H1466" s="22"/>
    </row>
    <row r="1467" spans="1:8">
      <c r="A1467" s="21"/>
      <c r="B1467" s="22"/>
      <c r="C1467" s="22"/>
      <c r="D1467" s="22"/>
      <c r="E1467" s="23" t="str">
        <f>IF($D1467="","",IFERROR(VLOOKUP($D1467,'ACAS Capital Tracker'!$A:$H,8,FALSE()),""))</f>
        <v/>
      </c>
      <c r="F1467" s="24"/>
      <c r="G1467" s="25" t="str">
        <f>IF($D1467="","",IFERROR(VLOOKUP($D1467,'ACAS Capital Tracker'!$A:$D,4,FALSE()),""))</f>
        <v/>
      </c>
      <c r="H1467" s="22"/>
    </row>
    <row r="1468" spans="1:8">
      <c r="A1468" s="21"/>
      <c r="B1468" s="22"/>
      <c r="C1468" s="22"/>
      <c r="D1468" s="22"/>
      <c r="E1468" s="23" t="str">
        <f>IF($D1468="","",IFERROR(VLOOKUP($D1468,'ACAS Capital Tracker'!$A:$H,8,FALSE()),""))</f>
        <v/>
      </c>
      <c r="F1468" s="24"/>
      <c r="G1468" s="25" t="str">
        <f>IF($D1468="","",IFERROR(VLOOKUP($D1468,'ACAS Capital Tracker'!$A:$D,4,FALSE()),""))</f>
        <v/>
      </c>
      <c r="H1468" s="22"/>
    </row>
    <row r="1469" spans="1:8">
      <c r="A1469" s="21"/>
      <c r="B1469" s="22"/>
      <c r="C1469" s="22"/>
      <c r="D1469" s="22"/>
      <c r="E1469" s="23" t="str">
        <f>IF($D1469="","",IFERROR(VLOOKUP($D1469,'ACAS Capital Tracker'!$A:$H,8,FALSE()),""))</f>
        <v/>
      </c>
      <c r="F1469" s="24"/>
      <c r="G1469" s="25" t="str">
        <f>IF($D1469="","",IFERROR(VLOOKUP($D1469,'ACAS Capital Tracker'!$A:$D,4,FALSE()),""))</f>
        <v/>
      </c>
      <c r="H1469" s="22"/>
    </row>
    <row r="1470" spans="1:8">
      <c r="A1470" s="21"/>
      <c r="B1470" s="22"/>
      <c r="C1470" s="22"/>
      <c r="D1470" s="22"/>
      <c r="E1470" s="23" t="str">
        <f>IF($D1470="","",IFERROR(VLOOKUP($D1470,'ACAS Capital Tracker'!$A:$H,8,FALSE()),""))</f>
        <v/>
      </c>
      <c r="F1470" s="24"/>
      <c r="G1470" s="25" t="str">
        <f>IF($D1470="","",IFERROR(VLOOKUP($D1470,'ACAS Capital Tracker'!$A:$D,4,FALSE()),""))</f>
        <v/>
      </c>
      <c r="H1470" s="22"/>
    </row>
    <row r="1471" spans="1:8">
      <c r="A1471" s="21"/>
      <c r="B1471" s="22"/>
      <c r="C1471" s="22"/>
      <c r="D1471" s="22"/>
      <c r="E1471" s="23" t="str">
        <f>IF($D1471="","",IFERROR(VLOOKUP($D1471,'ACAS Capital Tracker'!$A:$H,8,FALSE()),""))</f>
        <v/>
      </c>
      <c r="F1471" s="24"/>
      <c r="G1471" s="25" t="str">
        <f>IF($D1471="","",IFERROR(VLOOKUP($D1471,'ACAS Capital Tracker'!$A:$D,4,FALSE()),""))</f>
        <v/>
      </c>
      <c r="H1471" s="22"/>
    </row>
    <row r="1472" spans="1:8">
      <c r="A1472" s="21"/>
      <c r="B1472" s="22"/>
      <c r="C1472" s="22"/>
      <c r="D1472" s="22"/>
      <c r="E1472" s="23" t="str">
        <f>IF($D1472="","",IFERROR(VLOOKUP($D1472,'ACAS Capital Tracker'!$A:$H,8,FALSE()),""))</f>
        <v/>
      </c>
      <c r="F1472" s="24"/>
      <c r="G1472" s="25" t="str">
        <f>IF($D1472="","",IFERROR(VLOOKUP($D1472,'ACAS Capital Tracker'!$A:$D,4,FALSE()),""))</f>
        <v/>
      </c>
      <c r="H1472" s="22"/>
    </row>
    <row r="1473" spans="1:8">
      <c r="A1473" s="21"/>
      <c r="B1473" s="22"/>
      <c r="C1473" s="22"/>
      <c r="D1473" s="22"/>
      <c r="E1473" s="23" t="str">
        <f>IF($D1473="","",IFERROR(VLOOKUP($D1473,'ACAS Capital Tracker'!$A:$H,8,FALSE()),""))</f>
        <v/>
      </c>
      <c r="F1473" s="24"/>
      <c r="G1473" s="25" t="str">
        <f>IF($D1473="","",IFERROR(VLOOKUP($D1473,'ACAS Capital Tracker'!$A:$D,4,FALSE()),""))</f>
        <v/>
      </c>
      <c r="H1473" s="22"/>
    </row>
    <row r="1474" spans="1:8">
      <c r="A1474" s="21"/>
      <c r="B1474" s="22"/>
      <c r="C1474" s="22"/>
      <c r="D1474" s="22"/>
      <c r="E1474" s="23" t="str">
        <f>IF($D1474="","",IFERROR(VLOOKUP($D1474,'ACAS Capital Tracker'!$A:$H,8,FALSE()),""))</f>
        <v/>
      </c>
      <c r="F1474" s="24"/>
      <c r="G1474" s="25" t="str">
        <f>IF($D1474="","",IFERROR(VLOOKUP($D1474,'ACAS Capital Tracker'!$A:$D,4,FALSE()),""))</f>
        <v/>
      </c>
      <c r="H1474" s="22"/>
    </row>
    <row r="1475" spans="1:8">
      <c r="A1475" s="21"/>
      <c r="B1475" s="22"/>
      <c r="C1475" s="22"/>
      <c r="D1475" s="22"/>
      <c r="E1475" s="23" t="str">
        <f>IF($D1475="","",IFERROR(VLOOKUP($D1475,'ACAS Capital Tracker'!$A:$H,8,FALSE()),""))</f>
        <v/>
      </c>
      <c r="F1475" s="24"/>
      <c r="G1475" s="25" t="str">
        <f>IF($D1475="","",IFERROR(VLOOKUP($D1475,'ACAS Capital Tracker'!$A:$D,4,FALSE()),""))</f>
        <v/>
      </c>
      <c r="H1475" s="22"/>
    </row>
    <row r="1476" spans="1:8">
      <c r="A1476" s="21"/>
      <c r="B1476" s="22"/>
      <c r="C1476" s="22"/>
      <c r="D1476" s="22"/>
      <c r="E1476" s="23" t="str">
        <f>IF($D1476="","",IFERROR(VLOOKUP($D1476,'ACAS Capital Tracker'!$A:$H,8,FALSE()),""))</f>
        <v/>
      </c>
      <c r="F1476" s="24"/>
      <c r="G1476" s="25" t="str">
        <f>IF($D1476="","",IFERROR(VLOOKUP($D1476,'ACAS Capital Tracker'!$A:$D,4,FALSE()),""))</f>
        <v/>
      </c>
      <c r="H1476" s="22"/>
    </row>
    <row r="1477" spans="1:8">
      <c r="A1477" s="21"/>
      <c r="B1477" s="22"/>
      <c r="C1477" s="22"/>
      <c r="D1477" s="22"/>
      <c r="E1477" s="23" t="str">
        <f>IF($D1477="","",IFERROR(VLOOKUP($D1477,'ACAS Capital Tracker'!$A:$H,8,FALSE()),""))</f>
        <v/>
      </c>
      <c r="F1477" s="24"/>
      <c r="G1477" s="25" t="str">
        <f>IF($D1477="","",IFERROR(VLOOKUP($D1477,'ACAS Capital Tracker'!$A:$D,4,FALSE()),""))</f>
        <v/>
      </c>
      <c r="H1477" s="22"/>
    </row>
    <row r="1478" spans="1:8">
      <c r="A1478" s="21"/>
      <c r="B1478" s="22"/>
      <c r="C1478" s="22"/>
      <c r="D1478" s="22"/>
      <c r="E1478" s="23" t="str">
        <f>IF($D1478="","",IFERROR(VLOOKUP($D1478,'ACAS Capital Tracker'!$A:$H,8,FALSE()),""))</f>
        <v/>
      </c>
      <c r="F1478" s="24"/>
      <c r="G1478" s="25" t="str">
        <f>IF($D1478="","",IFERROR(VLOOKUP($D1478,'ACAS Capital Tracker'!$A:$D,4,FALSE()),""))</f>
        <v/>
      </c>
      <c r="H1478" s="22"/>
    </row>
    <row r="1479" spans="1:8">
      <c r="A1479" s="21"/>
      <c r="B1479" s="22"/>
      <c r="C1479" s="22"/>
      <c r="D1479" s="22"/>
      <c r="E1479" s="23" t="str">
        <f>IF($D1479="","",IFERROR(VLOOKUP($D1479,'ACAS Capital Tracker'!$A:$H,8,FALSE()),""))</f>
        <v/>
      </c>
      <c r="F1479" s="24"/>
      <c r="G1479" s="25" t="str">
        <f>IF($D1479="","",IFERROR(VLOOKUP($D1479,'ACAS Capital Tracker'!$A:$D,4,FALSE()),""))</f>
        <v/>
      </c>
      <c r="H1479" s="22"/>
    </row>
    <row r="1480" spans="1:8">
      <c r="A1480" s="21"/>
      <c r="B1480" s="22"/>
      <c r="C1480" s="22"/>
      <c r="D1480" s="22"/>
      <c r="E1480" s="23" t="str">
        <f>IF($D1480="","",IFERROR(VLOOKUP($D1480,'ACAS Capital Tracker'!$A:$H,8,FALSE()),""))</f>
        <v/>
      </c>
      <c r="F1480" s="24"/>
      <c r="G1480" s="25" t="str">
        <f>IF($D1480="","",IFERROR(VLOOKUP($D1480,'ACAS Capital Tracker'!$A:$D,4,FALSE()),""))</f>
        <v/>
      </c>
      <c r="H1480" s="22"/>
    </row>
    <row r="1481" spans="1:8">
      <c r="A1481" s="21"/>
      <c r="B1481" s="22"/>
      <c r="C1481" s="22"/>
      <c r="D1481" s="22"/>
      <c r="E1481" s="23" t="str">
        <f>IF($D1481="","",IFERROR(VLOOKUP($D1481,'ACAS Capital Tracker'!$A:$H,8,FALSE()),""))</f>
        <v/>
      </c>
      <c r="F1481" s="24"/>
      <c r="G1481" s="25" t="str">
        <f>IF($D1481="","",IFERROR(VLOOKUP($D1481,'ACAS Capital Tracker'!$A:$D,4,FALSE()),""))</f>
        <v/>
      </c>
      <c r="H1481" s="22"/>
    </row>
    <row r="1482" spans="1:8">
      <c r="A1482" s="21"/>
      <c r="B1482" s="22"/>
      <c r="C1482" s="22"/>
      <c r="D1482" s="22"/>
      <c r="E1482" s="23" t="str">
        <f>IF($D1482="","",IFERROR(VLOOKUP($D1482,'ACAS Capital Tracker'!$A:$H,8,FALSE()),""))</f>
        <v/>
      </c>
      <c r="F1482" s="24"/>
      <c r="G1482" s="25" t="str">
        <f>IF($D1482="","",IFERROR(VLOOKUP($D1482,'ACAS Capital Tracker'!$A:$D,4,FALSE()),""))</f>
        <v/>
      </c>
      <c r="H1482" s="22"/>
    </row>
    <row r="1483" spans="1:8">
      <c r="A1483" s="21"/>
      <c r="B1483" s="22"/>
      <c r="C1483" s="22"/>
      <c r="D1483" s="22"/>
      <c r="E1483" s="23" t="str">
        <f>IF($D1483="","",IFERROR(VLOOKUP($D1483,'ACAS Capital Tracker'!$A:$H,8,FALSE()),""))</f>
        <v/>
      </c>
      <c r="F1483" s="24"/>
      <c r="G1483" s="25" t="str">
        <f>IF($D1483="","",IFERROR(VLOOKUP($D1483,'ACAS Capital Tracker'!$A:$D,4,FALSE()),""))</f>
        <v/>
      </c>
      <c r="H1483" s="22"/>
    </row>
    <row r="1484" spans="1:8">
      <c r="A1484" s="21"/>
      <c r="B1484" s="22"/>
      <c r="C1484" s="22"/>
      <c r="D1484" s="22"/>
      <c r="E1484" s="23" t="str">
        <f>IF($D1484="","",IFERROR(VLOOKUP($D1484,'ACAS Capital Tracker'!$A:$H,8,FALSE()),""))</f>
        <v/>
      </c>
      <c r="F1484" s="24"/>
      <c r="G1484" s="25" t="str">
        <f>IF($D1484="","",IFERROR(VLOOKUP($D1484,'ACAS Capital Tracker'!$A:$D,4,FALSE()),""))</f>
        <v/>
      </c>
      <c r="H1484" s="22"/>
    </row>
    <row r="1485" spans="1:8">
      <c r="A1485" s="21"/>
      <c r="B1485" s="22"/>
      <c r="C1485" s="22"/>
      <c r="D1485" s="22"/>
      <c r="E1485" s="23" t="str">
        <f>IF($D1485="","",IFERROR(VLOOKUP($D1485,'ACAS Capital Tracker'!$A:$H,8,FALSE()),""))</f>
        <v/>
      </c>
      <c r="F1485" s="24"/>
      <c r="G1485" s="25" t="str">
        <f>IF($D1485="","",IFERROR(VLOOKUP($D1485,'ACAS Capital Tracker'!$A:$D,4,FALSE()),""))</f>
        <v/>
      </c>
      <c r="H1485" s="22"/>
    </row>
    <row r="1486" spans="1:8">
      <c r="A1486" s="21"/>
      <c r="B1486" s="22"/>
      <c r="C1486" s="22"/>
      <c r="D1486" s="22"/>
      <c r="E1486" s="23" t="str">
        <f>IF($D1486="","",IFERROR(VLOOKUP($D1486,'ACAS Capital Tracker'!$A:$H,8,FALSE()),""))</f>
        <v/>
      </c>
      <c r="F1486" s="24"/>
      <c r="G1486" s="25" t="str">
        <f>IF($D1486="","",IFERROR(VLOOKUP($D1486,'ACAS Capital Tracker'!$A:$D,4,FALSE()),""))</f>
        <v/>
      </c>
      <c r="H1486" s="22"/>
    </row>
    <row r="1487" spans="1:8">
      <c r="A1487" s="21"/>
      <c r="B1487" s="22"/>
      <c r="C1487" s="22"/>
      <c r="D1487" s="22"/>
      <c r="E1487" s="23" t="str">
        <f>IF($D1487="","",IFERROR(VLOOKUP($D1487,'ACAS Capital Tracker'!$A:$H,8,FALSE()),""))</f>
        <v/>
      </c>
      <c r="F1487" s="24"/>
      <c r="G1487" s="25" t="str">
        <f>IF($D1487="","",IFERROR(VLOOKUP($D1487,'ACAS Capital Tracker'!$A:$D,4,FALSE()),""))</f>
        <v/>
      </c>
      <c r="H1487" s="22"/>
    </row>
    <row r="1488" spans="1:8">
      <c r="A1488" s="21"/>
      <c r="B1488" s="22"/>
      <c r="C1488" s="22"/>
      <c r="D1488" s="22"/>
      <c r="E1488" s="23" t="str">
        <f>IF($D1488="","",IFERROR(VLOOKUP($D1488,'ACAS Capital Tracker'!$A:$H,8,FALSE()),""))</f>
        <v/>
      </c>
      <c r="F1488" s="24"/>
      <c r="G1488" s="25" t="str">
        <f>IF($D1488="","",IFERROR(VLOOKUP($D1488,'ACAS Capital Tracker'!$A:$D,4,FALSE()),""))</f>
        <v/>
      </c>
      <c r="H1488" s="22"/>
    </row>
    <row r="1489" spans="1:8">
      <c r="A1489" s="21"/>
      <c r="B1489" s="22"/>
      <c r="C1489" s="22"/>
      <c r="D1489" s="22"/>
      <c r="E1489" s="23" t="str">
        <f>IF($D1489="","",IFERROR(VLOOKUP($D1489,'ACAS Capital Tracker'!$A:$H,8,FALSE()),""))</f>
        <v/>
      </c>
      <c r="F1489" s="24"/>
      <c r="G1489" s="25" t="str">
        <f>IF($D1489="","",IFERROR(VLOOKUP($D1489,'ACAS Capital Tracker'!$A:$D,4,FALSE()),""))</f>
        <v/>
      </c>
      <c r="H1489" s="22"/>
    </row>
    <row r="1490" spans="1:8">
      <c r="A1490" s="21"/>
      <c r="B1490" s="22"/>
      <c r="C1490" s="22"/>
      <c r="D1490" s="22"/>
      <c r="E1490" s="23" t="str">
        <f>IF($D1490="","",IFERROR(VLOOKUP($D1490,'ACAS Capital Tracker'!$A:$H,8,FALSE()),""))</f>
        <v/>
      </c>
      <c r="F1490" s="24"/>
      <c r="G1490" s="25" t="str">
        <f>IF($D1490="","",IFERROR(VLOOKUP($D1490,'ACAS Capital Tracker'!$A:$D,4,FALSE()),""))</f>
        <v/>
      </c>
      <c r="H1490" s="22"/>
    </row>
    <row r="1491" spans="1:8">
      <c r="A1491" s="21"/>
      <c r="B1491" s="22"/>
      <c r="C1491" s="22"/>
      <c r="D1491" s="22"/>
      <c r="E1491" s="23" t="str">
        <f>IF($D1491="","",IFERROR(VLOOKUP($D1491,'ACAS Capital Tracker'!$A:$H,8,FALSE()),""))</f>
        <v/>
      </c>
      <c r="F1491" s="24"/>
      <c r="G1491" s="25" t="str">
        <f>IF($D1491="","",IFERROR(VLOOKUP($D1491,'ACAS Capital Tracker'!$A:$D,4,FALSE()),""))</f>
        <v/>
      </c>
      <c r="H1491" s="22"/>
    </row>
    <row r="1492" spans="1:8">
      <c r="A1492" s="21"/>
      <c r="B1492" s="22"/>
      <c r="C1492" s="22"/>
      <c r="D1492" s="22"/>
      <c r="E1492" s="23" t="str">
        <f>IF($D1492="","",IFERROR(VLOOKUP($D1492,'ACAS Capital Tracker'!$A:$H,8,FALSE()),""))</f>
        <v/>
      </c>
      <c r="F1492" s="24"/>
      <c r="G1492" s="25" t="str">
        <f>IF($D1492="","",IFERROR(VLOOKUP($D1492,'ACAS Capital Tracker'!$A:$D,4,FALSE()),""))</f>
        <v/>
      </c>
      <c r="H1492" s="22"/>
    </row>
    <row r="1493" spans="1:8">
      <c r="A1493" s="21"/>
      <c r="B1493" s="22"/>
      <c r="C1493" s="22"/>
      <c r="D1493" s="22"/>
      <c r="E1493" s="23" t="str">
        <f>IF($D1493="","",IFERROR(VLOOKUP($D1493,'ACAS Capital Tracker'!$A:$H,8,FALSE()),""))</f>
        <v/>
      </c>
      <c r="F1493" s="24"/>
      <c r="G1493" s="25" t="str">
        <f>IF($D1493="","",IFERROR(VLOOKUP($D1493,'ACAS Capital Tracker'!$A:$D,4,FALSE()),""))</f>
        <v/>
      </c>
      <c r="H1493" s="22"/>
    </row>
    <row r="1494" spans="1:8">
      <c r="A1494" s="21"/>
      <c r="B1494" s="22"/>
      <c r="C1494" s="22"/>
      <c r="D1494" s="22"/>
      <c r="E1494" s="23" t="str">
        <f>IF($D1494="","",IFERROR(VLOOKUP($D1494,'ACAS Capital Tracker'!$A:$H,8,FALSE()),""))</f>
        <v/>
      </c>
      <c r="F1494" s="24"/>
      <c r="G1494" s="25" t="str">
        <f>IF($D1494="","",IFERROR(VLOOKUP($D1494,'ACAS Capital Tracker'!$A:$D,4,FALSE()),""))</f>
        <v/>
      </c>
      <c r="H1494" s="22"/>
    </row>
    <row r="1495" spans="1:8">
      <c r="A1495" s="21"/>
      <c r="B1495" s="22"/>
      <c r="C1495" s="22"/>
      <c r="D1495" s="22"/>
      <c r="E1495" s="23" t="str">
        <f>IF($D1495="","",IFERROR(VLOOKUP($D1495,'ACAS Capital Tracker'!$A:$H,8,FALSE()),""))</f>
        <v/>
      </c>
      <c r="F1495" s="24"/>
      <c r="G1495" s="25" t="str">
        <f>IF($D1495="","",IFERROR(VLOOKUP($D1495,'ACAS Capital Tracker'!$A:$D,4,FALSE()),""))</f>
        <v/>
      </c>
      <c r="H1495" s="22"/>
    </row>
    <row r="1496" spans="1:8">
      <c r="A1496" s="21"/>
      <c r="B1496" s="22"/>
      <c r="C1496" s="22"/>
      <c r="D1496" s="22"/>
      <c r="E1496" s="23" t="str">
        <f>IF($D1496="","",IFERROR(VLOOKUP($D1496,'ACAS Capital Tracker'!$A:$H,8,FALSE()),""))</f>
        <v/>
      </c>
      <c r="F1496" s="24"/>
      <c r="G1496" s="25" t="str">
        <f>IF($D1496="","",IFERROR(VLOOKUP($D1496,'ACAS Capital Tracker'!$A:$D,4,FALSE()),""))</f>
        <v/>
      </c>
      <c r="H1496" s="22"/>
    </row>
    <row r="1497" spans="1:8">
      <c r="A1497" s="21"/>
      <c r="B1497" s="22"/>
      <c r="C1497" s="22"/>
      <c r="D1497" s="22"/>
      <c r="E1497" s="23" t="str">
        <f>IF($D1497="","",IFERROR(VLOOKUP($D1497,'ACAS Capital Tracker'!$A:$H,8,FALSE()),""))</f>
        <v/>
      </c>
      <c r="F1497" s="24"/>
      <c r="G1497" s="25" t="str">
        <f>IF($D1497="","",IFERROR(VLOOKUP($D1497,'ACAS Capital Tracker'!$A:$D,4,FALSE()),""))</f>
        <v/>
      </c>
      <c r="H1497" s="22"/>
    </row>
    <row r="1498" spans="1:8">
      <c r="A1498" s="21"/>
      <c r="B1498" s="22"/>
      <c r="C1498" s="22"/>
      <c r="D1498" s="22"/>
      <c r="E1498" s="23" t="str">
        <f>IF($D1498="","",IFERROR(VLOOKUP($D1498,'ACAS Capital Tracker'!$A:$H,8,FALSE()),""))</f>
        <v/>
      </c>
      <c r="F1498" s="24"/>
      <c r="G1498" s="25" t="str">
        <f>IF($D1498="","",IFERROR(VLOOKUP($D1498,'ACAS Capital Tracker'!$A:$D,4,FALSE()),""))</f>
        <v/>
      </c>
      <c r="H1498" s="22"/>
    </row>
    <row r="1499" spans="1:8">
      <c r="A1499" s="21"/>
      <c r="B1499" s="22"/>
      <c r="C1499" s="22"/>
      <c r="D1499" s="22"/>
      <c r="E1499" s="23" t="str">
        <f>IF($D1499="","",IFERROR(VLOOKUP($D1499,'ACAS Capital Tracker'!$A:$H,8,FALSE()),""))</f>
        <v/>
      </c>
      <c r="F1499" s="24"/>
      <c r="G1499" s="25" t="str">
        <f>IF($D1499="","",IFERROR(VLOOKUP($D1499,'ACAS Capital Tracker'!$A:$D,4,FALSE()),""))</f>
        <v/>
      </c>
      <c r="H1499" s="22"/>
    </row>
    <row r="1500" spans="1:8">
      <c r="A1500" s="21"/>
      <c r="B1500" s="22"/>
      <c r="C1500" s="22"/>
      <c r="D1500" s="22"/>
      <c r="E1500" s="23" t="str">
        <f>IF($D1500="","",IFERROR(VLOOKUP($D1500,'ACAS Capital Tracker'!$A:$H,8,FALSE()),""))</f>
        <v/>
      </c>
      <c r="F1500" s="24"/>
      <c r="G1500" s="25" t="str">
        <f>IF($D1500="","",IFERROR(VLOOKUP($D1500,'ACAS Capital Tracker'!$A:$D,4,FALSE()),""))</f>
        <v/>
      </c>
      <c r="H1500" s="22"/>
    </row>
    <row r="1501" spans="1:8">
      <c r="A1501" s="21"/>
      <c r="B1501" s="22"/>
      <c r="C1501" s="22"/>
      <c r="D1501" s="22"/>
      <c r="E1501" s="23" t="str">
        <f>IF($D1501="","",IFERROR(VLOOKUP($D1501,'ACAS Capital Tracker'!$A:$H,8,FALSE()),""))</f>
        <v/>
      </c>
      <c r="F1501" s="24"/>
      <c r="G1501" s="25" t="str">
        <f>IF($D1501="","",IFERROR(VLOOKUP($D1501,'ACAS Capital Tracker'!$A:$D,4,FALSE()),""))</f>
        <v/>
      </c>
      <c r="H1501" s="22"/>
    </row>
    <row r="1502" spans="1:8">
      <c r="A1502" s="21"/>
      <c r="B1502" s="22"/>
      <c r="C1502" s="22"/>
      <c r="D1502" s="22"/>
      <c r="E1502" s="23" t="str">
        <f>IF($D1502="","",IFERROR(VLOOKUP($D1502,'ACAS Capital Tracker'!$A:$H,8,FALSE()),""))</f>
        <v/>
      </c>
      <c r="F1502" s="24"/>
      <c r="G1502" s="25" t="str">
        <f>IF($D1502="","",IFERROR(VLOOKUP($D1502,'ACAS Capital Tracker'!$A:$D,4,FALSE()),""))</f>
        <v/>
      </c>
      <c r="H1502" s="22"/>
    </row>
    <row r="1503" spans="1:8">
      <c r="A1503" s="21"/>
      <c r="B1503" s="22"/>
      <c r="C1503" s="22"/>
      <c r="D1503" s="22"/>
      <c r="E1503" s="23" t="str">
        <f>IF($D1503="","",IFERROR(VLOOKUP($D1503,'ACAS Capital Tracker'!$A:$H,8,FALSE()),""))</f>
        <v/>
      </c>
      <c r="F1503" s="24"/>
      <c r="G1503" s="25" t="str">
        <f>IF($D1503="","",IFERROR(VLOOKUP($D1503,'ACAS Capital Tracker'!$A:$D,4,FALSE()),""))</f>
        <v/>
      </c>
      <c r="H1503" s="22"/>
    </row>
    <row r="1504" spans="1:8">
      <c r="A1504" s="21"/>
      <c r="B1504" s="22"/>
      <c r="C1504" s="22"/>
      <c r="D1504" s="22"/>
      <c r="E1504" s="23" t="str">
        <f>IF($D1504="","",IFERROR(VLOOKUP($D1504,'ACAS Capital Tracker'!$A:$H,8,FALSE()),""))</f>
        <v/>
      </c>
      <c r="F1504" s="24"/>
      <c r="G1504" s="25" t="str">
        <f>IF($D1504="","",IFERROR(VLOOKUP($D1504,'ACAS Capital Tracker'!$A:$D,4,FALSE()),""))</f>
        <v/>
      </c>
      <c r="H1504" s="22"/>
    </row>
    <row r="1505" spans="1:8">
      <c r="A1505" s="21"/>
      <c r="B1505" s="22"/>
      <c r="C1505" s="22"/>
      <c r="D1505" s="22"/>
      <c r="E1505" s="23" t="str">
        <f>IF($D1505="","",IFERROR(VLOOKUP($D1505,'ACAS Capital Tracker'!$A:$H,8,FALSE()),""))</f>
        <v/>
      </c>
      <c r="F1505" s="24"/>
      <c r="G1505" s="25" t="str">
        <f>IF($D1505="","",IFERROR(VLOOKUP($D1505,'ACAS Capital Tracker'!$A:$D,4,FALSE()),""))</f>
        <v/>
      </c>
      <c r="H1505" s="22"/>
    </row>
    <row r="1506" spans="1:8">
      <c r="A1506" s="21"/>
      <c r="B1506" s="22"/>
      <c r="C1506" s="22"/>
      <c r="D1506" s="22"/>
      <c r="E1506" s="23" t="str">
        <f>IF($D1506="","",IFERROR(VLOOKUP($D1506,'ACAS Capital Tracker'!$A:$H,8,FALSE()),""))</f>
        <v/>
      </c>
      <c r="F1506" s="24"/>
      <c r="G1506" s="25" t="str">
        <f>IF($D1506="","",IFERROR(VLOOKUP($D1506,'ACAS Capital Tracker'!$A:$D,4,FALSE()),""))</f>
        <v/>
      </c>
      <c r="H1506" s="22"/>
    </row>
    <row r="1507" spans="1:8">
      <c r="A1507" s="21"/>
      <c r="B1507" s="22"/>
      <c r="C1507" s="22"/>
      <c r="D1507" s="22"/>
      <c r="E1507" s="23" t="str">
        <f>IF($D1507="","",IFERROR(VLOOKUP($D1507,'ACAS Capital Tracker'!$A:$H,8,FALSE()),""))</f>
        <v/>
      </c>
      <c r="F1507" s="24"/>
      <c r="G1507" s="25" t="str">
        <f>IF($D1507="","",IFERROR(VLOOKUP($D1507,'ACAS Capital Tracker'!$A:$D,4,FALSE()),""))</f>
        <v/>
      </c>
      <c r="H1507" s="22"/>
    </row>
    <row r="1508" spans="1:8">
      <c r="A1508" s="21"/>
      <c r="B1508" s="22"/>
      <c r="C1508" s="22"/>
      <c r="D1508" s="22"/>
      <c r="E1508" s="23" t="str">
        <f>IF($D1508="","",IFERROR(VLOOKUP($D1508,'ACAS Capital Tracker'!$A:$H,8,FALSE()),""))</f>
        <v/>
      </c>
      <c r="F1508" s="24"/>
      <c r="G1508" s="25" t="str">
        <f>IF($D1508="","",IFERROR(VLOOKUP($D1508,'ACAS Capital Tracker'!$A:$D,4,FALSE()),""))</f>
        <v/>
      </c>
      <c r="H1508" s="22"/>
    </row>
    <row r="1509" spans="1:8">
      <c r="A1509" s="21"/>
      <c r="B1509" s="22"/>
      <c r="C1509" s="22"/>
      <c r="D1509" s="22"/>
      <c r="E1509" s="23" t="str">
        <f>IF($D1509="","",IFERROR(VLOOKUP($D1509,'ACAS Capital Tracker'!$A:$H,8,FALSE()),""))</f>
        <v/>
      </c>
      <c r="F1509" s="24"/>
      <c r="G1509" s="25" t="str">
        <f>IF($D1509="","",IFERROR(VLOOKUP($D1509,'ACAS Capital Tracker'!$A:$D,4,FALSE()),""))</f>
        <v/>
      </c>
      <c r="H1509" s="22"/>
    </row>
    <row r="1510" spans="1:8">
      <c r="A1510" s="21"/>
      <c r="B1510" s="22"/>
      <c r="C1510" s="22"/>
      <c r="D1510" s="22"/>
      <c r="E1510" s="23" t="str">
        <f>IF($D1510="","",IFERROR(VLOOKUP($D1510,'ACAS Capital Tracker'!$A:$H,8,FALSE()),""))</f>
        <v/>
      </c>
      <c r="F1510" s="24"/>
      <c r="G1510" s="25" t="str">
        <f>IF($D1510="","",IFERROR(VLOOKUP($D1510,'ACAS Capital Tracker'!$A:$D,4,FALSE()),""))</f>
        <v/>
      </c>
      <c r="H1510" s="22"/>
    </row>
    <row r="1511" spans="1:8">
      <c r="A1511" s="21"/>
      <c r="B1511" s="22"/>
      <c r="C1511" s="22"/>
      <c r="D1511" s="22"/>
      <c r="E1511" s="23" t="str">
        <f>IF($D1511="","",IFERROR(VLOOKUP($D1511,'ACAS Capital Tracker'!$A:$H,8,FALSE()),""))</f>
        <v/>
      </c>
      <c r="F1511" s="24"/>
      <c r="G1511" s="25" t="str">
        <f>IF($D1511="","",IFERROR(VLOOKUP($D1511,'ACAS Capital Tracker'!$A:$D,4,FALSE()),""))</f>
        <v/>
      </c>
      <c r="H1511" s="22"/>
    </row>
    <row r="1512" spans="1:8">
      <c r="A1512" s="21"/>
      <c r="B1512" s="22"/>
      <c r="C1512" s="22"/>
      <c r="D1512" s="22"/>
      <c r="E1512" s="23" t="str">
        <f>IF($D1512="","",IFERROR(VLOOKUP($D1512,'ACAS Capital Tracker'!$A:$H,8,FALSE()),""))</f>
        <v/>
      </c>
      <c r="F1512" s="24"/>
      <c r="G1512" s="25" t="str">
        <f>IF($D1512="","",IFERROR(VLOOKUP($D1512,'ACAS Capital Tracker'!$A:$D,4,FALSE()),""))</f>
        <v/>
      </c>
      <c r="H1512" s="22"/>
    </row>
    <row r="1513" spans="1:8">
      <c r="A1513" s="21"/>
      <c r="B1513" s="22"/>
      <c r="C1513" s="22"/>
      <c r="D1513" s="22"/>
      <c r="E1513" s="23" t="str">
        <f>IF($D1513="","",IFERROR(VLOOKUP($D1513,'ACAS Capital Tracker'!$A:$H,8,FALSE()),""))</f>
        <v/>
      </c>
      <c r="F1513" s="24"/>
      <c r="G1513" s="25" t="str">
        <f>IF($D1513="","",IFERROR(VLOOKUP($D1513,'ACAS Capital Tracker'!$A:$D,4,FALSE()),""))</f>
        <v/>
      </c>
      <c r="H1513" s="22"/>
    </row>
    <row r="1514" spans="1:8">
      <c r="A1514" s="21"/>
      <c r="B1514" s="22"/>
      <c r="C1514" s="22"/>
      <c r="D1514" s="22"/>
      <c r="E1514" s="23" t="str">
        <f>IF($D1514="","",IFERROR(VLOOKUP($D1514,'ACAS Capital Tracker'!$A:$H,8,FALSE()),""))</f>
        <v/>
      </c>
      <c r="F1514" s="24"/>
      <c r="G1514" s="25" t="str">
        <f>IF($D1514="","",IFERROR(VLOOKUP($D1514,'ACAS Capital Tracker'!$A:$D,4,FALSE()),""))</f>
        <v/>
      </c>
      <c r="H1514" s="22"/>
    </row>
    <row r="1515" spans="1:8">
      <c r="A1515" s="21"/>
      <c r="B1515" s="22"/>
      <c r="C1515" s="22"/>
      <c r="D1515" s="22"/>
      <c r="E1515" s="23" t="str">
        <f>IF($D1515="","",IFERROR(VLOOKUP($D1515,'ACAS Capital Tracker'!$A:$H,8,FALSE()),""))</f>
        <v/>
      </c>
      <c r="F1515" s="24"/>
      <c r="G1515" s="25" t="str">
        <f>IF($D1515="","",IFERROR(VLOOKUP($D1515,'ACAS Capital Tracker'!$A:$D,4,FALSE()),""))</f>
        <v/>
      </c>
      <c r="H1515" s="22"/>
    </row>
    <row r="1516" spans="1:8">
      <c r="A1516" s="21"/>
      <c r="B1516" s="22"/>
      <c r="C1516" s="22"/>
      <c r="D1516" s="22"/>
      <c r="E1516" s="23" t="str">
        <f>IF($D1516="","",IFERROR(VLOOKUP($D1516,'ACAS Capital Tracker'!$A:$H,8,FALSE()),""))</f>
        <v/>
      </c>
      <c r="F1516" s="24"/>
      <c r="G1516" s="25" t="str">
        <f>IF($D1516="","",IFERROR(VLOOKUP($D1516,'ACAS Capital Tracker'!$A:$D,4,FALSE()),""))</f>
        <v/>
      </c>
      <c r="H1516" s="22"/>
    </row>
    <row r="1517" spans="1:8">
      <c r="A1517" s="21"/>
      <c r="B1517" s="22"/>
      <c r="C1517" s="22"/>
      <c r="D1517" s="22"/>
      <c r="E1517" s="23" t="str">
        <f>IF($D1517="","",IFERROR(VLOOKUP($D1517,'ACAS Capital Tracker'!$A:$H,8,FALSE()),""))</f>
        <v/>
      </c>
      <c r="F1517" s="24"/>
      <c r="G1517" s="25" t="str">
        <f>IF($D1517="","",IFERROR(VLOOKUP($D1517,'ACAS Capital Tracker'!$A:$D,4,FALSE()),""))</f>
        <v/>
      </c>
      <c r="H1517" s="22"/>
    </row>
    <row r="1518" spans="1:8">
      <c r="A1518" s="21"/>
      <c r="B1518" s="22"/>
      <c r="C1518" s="22"/>
      <c r="D1518" s="22"/>
      <c r="E1518" s="23" t="str">
        <f>IF($D1518="","",IFERROR(VLOOKUP($D1518,'ACAS Capital Tracker'!$A:$H,8,FALSE()),""))</f>
        <v/>
      </c>
      <c r="F1518" s="24"/>
      <c r="G1518" s="25" t="str">
        <f>IF($D1518="","",IFERROR(VLOOKUP($D1518,'ACAS Capital Tracker'!$A:$D,4,FALSE()),""))</f>
        <v/>
      </c>
      <c r="H1518" s="22"/>
    </row>
    <row r="1519" spans="1:8">
      <c r="A1519" s="21"/>
      <c r="B1519" s="22"/>
      <c r="C1519" s="22"/>
      <c r="D1519" s="22"/>
      <c r="E1519" s="23" t="str">
        <f>IF($D1519="","",IFERROR(VLOOKUP($D1519,'ACAS Capital Tracker'!$A:$H,8,FALSE()),""))</f>
        <v/>
      </c>
      <c r="F1519" s="24"/>
      <c r="G1519" s="25" t="str">
        <f>IF($D1519="","",IFERROR(VLOOKUP($D1519,'ACAS Capital Tracker'!$A:$D,4,FALSE()),""))</f>
        <v/>
      </c>
      <c r="H1519" s="22"/>
    </row>
    <row r="1520" spans="1:8">
      <c r="A1520" s="21"/>
      <c r="B1520" s="22"/>
      <c r="C1520" s="22"/>
      <c r="D1520" s="22"/>
      <c r="E1520" s="23" t="str">
        <f>IF($D1520="","",IFERROR(VLOOKUP($D1520,'ACAS Capital Tracker'!$A:$H,8,FALSE()),""))</f>
        <v/>
      </c>
      <c r="F1520" s="24"/>
      <c r="G1520" s="25" t="str">
        <f>IF($D1520="","",IFERROR(VLOOKUP($D1520,'ACAS Capital Tracker'!$A:$D,4,FALSE()),""))</f>
        <v/>
      </c>
      <c r="H1520" s="22"/>
    </row>
    <row r="1521" spans="1:8">
      <c r="A1521" s="21"/>
      <c r="B1521" s="22"/>
      <c r="C1521" s="22"/>
      <c r="D1521" s="22"/>
      <c r="E1521" s="23" t="str">
        <f>IF($D1521="","",IFERROR(VLOOKUP($D1521,'ACAS Capital Tracker'!$A:$H,8,FALSE()),""))</f>
        <v/>
      </c>
      <c r="F1521" s="24"/>
      <c r="G1521" s="25" t="str">
        <f>IF($D1521="","",IFERROR(VLOOKUP($D1521,'ACAS Capital Tracker'!$A:$D,4,FALSE()),""))</f>
        <v/>
      </c>
      <c r="H1521" s="22"/>
    </row>
    <row r="1522" spans="1:8">
      <c r="A1522" s="21"/>
      <c r="B1522" s="22"/>
      <c r="C1522" s="22"/>
      <c r="D1522" s="22"/>
      <c r="E1522" s="23" t="str">
        <f>IF($D1522="","",IFERROR(VLOOKUP($D1522,'ACAS Capital Tracker'!$A:$H,8,FALSE()),""))</f>
        <v/>
      </c>
      <c r="F1522" s="24"/>
      <c r="G1522" s="25" t="str">
        <f>IF($D1522="","",IFERROR(VLOOKUP($D1522,'ACAS Capital Tracker'!$A:$D,4,FALSE()),""))</f>
        <v/>
      </c>
      <c r="H1522" s="22"/>
    </row>
    <row r="1523" spans="1:8">
      <c r="A1523" s="21"/>
      <c r="B1523" s="22"/>
      <c r="C1523" s="22"/>
      <c r="D1523" s="22"/>
      <c r="E1523" s="23" t="str">
        <f>IF($D1523="","",IFERROR(VLOOKUP($D1523,'ACAS Capital Tracker'!$A:$H,8,FALSE()),""))</f>
        <v/>
      </c>
      <c r="F1523" s="24"/>
      <c r="G1523" s="25" t="str">
        <f>IF($D1523="","",IFERROR(VLOOKUP($D1523,'ACAS Capital Tracker'!$A:$D,4,FALSE()),""))</f>
        <v/>
      </c>
      <c r="H1523" s="22"/>
    </row>
    <row r="1524" spans="1:8">
      <c r="A1524" s="21"/>
      <c r="B1524" s="22"/>
      <c r="C1524" s="22"/>
      <c r="D1524" s="22"/>
      <c r="E1524" s="23" t="str">
        <f>IF($D1524="","",IFERROR(VLOOKUP($D1524,'ACAS Capital Tracker'!$A:$H,8,FALSE()),""))</f>
        <v/>
      </c>
      <c r="F1524" s="24"/>
      <c r="G1524" s="25" t="str">
        <f>IF($D1524="","",IFERROR(VLOOKUP($D1524,'ACAS Capital Tracker'!$A:$D,4,FALSE()),""))</f>
        <v/>
      </c>
      <c r="H1524" s="22"/>
    </row>
    <row r="1525" spans="1:8">
      <c r="A1525" s="21"/>
      <c r="B1525" s="22"/>
      <c r="C1525" s="22"/>
      <c r="D1525" s="22"/>
      <c r="E1525" s="23" t="str">
        <f>IF($D1525="","",IFERROR(VLOOKUP($D1525,'ACAS Capital Tracker'!$A:$H,8,FALSE()),""))</f>
        <v/>
      </c>
      <c r="F1525" s="24"/>
      <c r="G1525" s="25" t="str">
        <f>IF($D1525="","",IFERROR(VLOOKUP($D1525,'ACAS Capital Tracker'!$A:$D,4,FALSE()),""))</f>
        <v/>
      </c>
      <c r="H1525" s="22"/>
    </row>
    <row r="1526" spans="1:8">
      <c r="A1526" s="21"/>
      <c r="B1526" s="22"/>
      <c r="C1526" s="22"/>
      <c r="D1526" s="22"/>
      <c r="E1526" s="23" t="str">
        <f>IF($D1526="","",IFERROR(VLOOKUP($D1526,'ACAS Capital Tracker'!$A:$H,8,FALSE()),""))</f>
        <v/>
      </c>
      <c r="F1526" s="24"/>
      <c r="G1526" s="25" t="str">
        <f>IF($D1526="","",IFERROR(VLOOKUP($D1526,'ACAS Capital Tracker'!$A:$D,4,FALSE()),""))</f>
        <v/>
      </c>
      <c r="H1526" s="22"/>
    </row>
    <row r="1527" spans="1:8">
      <c r="A1527" s="21"/>
      <c r="B1527" s="22"/>
      <c r="C1527" s="22"/>
      <c r="D1527" s="22"/>
      <c r="E1527" s="23" t="str">
        <f>IF($D1527="","",IFERROR(VLOOKUP($D1527,'ACAS Capital Tracker'!$A:$H,8,FALSE()),""))</f>
        <v/>
      </c>
      <c r="F1527" s="24"/>
      <c r="G1527" s="25" t="str">
        <f>IF($D1527="","",IFERROR(VLOOKUP($D1527,'ACAS Capital Tracker'!$A:$D,4,FALSE()),""))</f>
        <v/>
      </c>
      <c r="H1527" s="22"/>
    </row>
    <row r="1528" spans="1:8">
      <c r="A1528" s="21"/>
      <c r="B1528" s="22"/>
      <c r="C1528" s="22"/>
      <c r="D1528" s="22"/>
      <c r="E1528" s="23" t="str">
        <f>IF($D1528="","",IFERROR(VLOOKUP($D1528,'ACAS Capital Tracker'!$A:$H,8,FALSE()),""))</f>
        <v/>
      </c>
      <c r="F1528" s="24"/>
      <c r="G1528" s="25" t="str">
        <f>IF($D1528="","",IFERROR(VLOOKUP($D1528,'ACAS Capital Tracker'!$A:$D,4,FALSE()),""))</f>
        <v/>
      </c>
      <c r="H1528" s="22"/>
    </row>
    <row r="1529" spans="1:8">
      <c r="A1529" s="21"/>
      <c r="B1529" s="22"/>
      <c r="C1529" s="22"/>
      <c r="D1529" s="22"/>
      <c r="E1529" s="23" t="str">
        <f>IF($D1529="","",IFERROR(VLOOKUP($D1529,'ACAS Capital Tracker'!$A:$H,8,FALSE()),""))</f>
        <v/>
      </c>
      <c r="F1529" s="24"/>
      <c r="G1529" s="25" t="str">
        <f>IF($D1529="","",IFERROR(VLOOKUP($D1529,'ACAS Capital Tracker'!$A:$D,4,FALSE()),""))</f>
        <v/>
      </c>
      <c r="H1529" s="22"/>
    </row>
    <row r="1530" spans="1:8">
      <c r="A1530" s="21"/>
      <c r="B1530" s="22"/>
      <c r="C1530" s="22"/>
      <c r="D1530" s="22"/>
      <c r="E1530" s="23" t="str">
        <f>IF($D1530="","",IFERROR(VLOOKUP($D1530,'ACAS Capital Tracker'!$A:$H,8,FALSE()),""))</f>
        <v/>
      </c>
      <c r="F1530" s="24"/>
      <c r="G1530" s="25" t="str">
        <f>IF($D1530="","",IFERROR(VLOOKUP($D1530,'ACAS Capital Tracker'!$A:$D,4,FALSE()),""))</f>
        <v/>
      </c>
      <c r="H1530" s="22"/>
    </row>
    <row r="1531" spans="1:8">
      <c r="A1531" s="21"/>
      <c r="B1531" s="22"/>
      <c r="C1531" s="22"/>
      <c r="D1531" s="22"/>
      <c r="E1531" s="23" t="str">
        <f>IF($D1531="","",IFERROR(VLOOKUP($D1531,'ACAS Capital Tracker'!$A:$H,8,FALSE()),""))</f>
        <v/>
      </c>
      <c r="F1531" s="24"/>
      <c r="G1531" s="25" t="str">
        <f>IF($D1531="","",IFERROR(VLOOKUP($D1531,'ACAS Capital Tracker'!$A:$D,4,FALSE()),""))</f>
        <v/>
      </c>
      <c r="H1531" s="22"/>
    </row>
    <row r="1532" spans="1:8">
      <c r="A1532" s="21"/>
      <c r="B1532" s="22"/>
      <c r="C1532" s="22"/>
      <c r="D1532" s="22"/>
      <c r="E1532" s="23" t="str">
        <f>IF($D1532="","",IFERROR(VLOOKUP($D1532,'ACAS Capital Tracker'!$A:$H,8,FALSE()),""))</f>
        <v/>
      </c>
      <c r="F1532" s="24"/>
      <c r="G1532" s="25" t="str">
        <f>IF($D1532="","",IFERROR(VLOOKUP($D1532,'ACAS Capital Tracker'!$A:$D,4,FALSE()),""))</f>
        <v/>
      </c>
      <c r="H1532" s="22"/>
    </row>
    <row r="1533" spans="1:8">
      <c r="A1533" s="21"/>
      <c r="B1533" s="22"/>
      <c r="C1533" s="22"/>
      <c r="D1533" s="22"/>
      <c r="E1533" s="23" t="str">
        <f>IF($D1533="","",IFERROR(VLOOKUP($D1533,'ACAS Capital Tracker'!$A:$H,8,FALSE()),""))</f>
        <v/>
      </c>
      <c r="F1533" s="24"/>
      <c r="G1533" s="25" t="str">
        <f>IF($D1533="","",IFERROR(VLOOKUP($D1533,'ACAS Capital Tracker'!$A:$D,4,FALSE()),""))</f>
        <v/>
      </c>
      <c r="H1533" s="22"/>
    </row>
    <row r="1534" spans="1:8">
      <c r="A1534" s="21"/>
      <c r="B1534" s="22"/>
      <c r="C1534" s="22"/>
      <c r="D1534" s="22"/>
      <c r="E1534" s="23" t="str">
        <f>IF($D1534="","",IFERROR(VLOOKUP($D1534,'ACAS Capital Tracker'!$A:$H,8,FALSE()),""))</f>
        <v/>
      </c>
      <c r="F1534" s="24"/>
      <c r="G1534" s="25" t="str">
        <f>IF($D1534="","",IFERROR(VLOOKUP($D1534,'ACAS Capital Tracker'!$A:$D,4,FALSE()),""))</f>
        <v/>
      </c>
      <c r="H1534" s="22"/>
    </row>
    <row r="1535" spans="1:8">
      <c r="A1535" s="21"/>
      <c r="B1535" s="22"/>
      <c r="C1535" s="22"/>
      <c r="D1535" s="22"/>
      <c r="E1535" s="23" t="str">
        <f>IF($D1535="","",IFERROR(VLOOKUP($D1535,'ACAS Capital Tracker'!$A:$H,8,FALSE()),""))</f>
        <v/>
      </c>
      <c r="F1535" s="24"/>
      <c r="G1535" s="25" t="str">
        <f>IF($D1535="","",IFERROR(VLOOKUP($D1535,'ACAS Capital Tracker'!$A:$D,4,FALSE()),""))</f>
        <v/>
      </c>
      <c r="H1535" s="22"/>
    </row>
    <row r="1536" spans="1:8">
      <c r="A1536" s="21"/>
      <c r="B1536" s="22"/>
      <c r="C1536" s="22"/>
      <c r="D1536" s="22"/>
      <c r="E1536" s="23" t="str">
        <f>IF($D1536="","",IFERROR(VLOOKUP($D1536,'ACAS Capital Tracker'!$A:$H,8,FALSE()),""))</f>
        <v/>
      </c>
      <c r="F1536" s="24"/>
      <c r="G1536" s="25" t="str">
        <f>IF($D1536="","",IFERROR(VLOOKUP($D1536,'ACAS Capital Tracker'!$A:$D,4,FALSE()),""))</f>
        <v/>
      </c>
      <c r="H1536" s="22"/>
    </row>
    <row r="1537" spans="1:8">
      <c r="A1537" s="21"/>
      <c r="B1537" s="22"/>
      <c r="C1537" s="22"/>
      <c r="D1537" s="22"/>
      <c r="E1537" s="23" t="str">
        <f>IF($D1537="","",IFERROR(VLOOKUP($D1537,'ACAS Capital Tracker'!$A:$H,8,FALSE()),""))</f>
        <v/>
      </c>
      <c r="F1537" s="24"/>
      <c r="G1537" s="25" t="str">
        <f>IF($D1537="","",IFERROR(VLOOKUP($D1537,'ACAS Capital Tracker'!$A:$D,4,FALSE()),""))</f>
        <v/>
      </c>
      <c r="H1537" s="22"/>
    </row>
    <row r="1538" spans="1:8">
      <c r="A1538" s="21"/>
      <c r="B1538" s="22"/>
      <c r="C1538" s="22"/>
      <c r="D1538" s="22"/>
      <c r="E1538" s="23" t="str">
        <f>IF($D1538="","",IFERROR(VLOOKUP($D1538,'ACAS Capital Tracker'!$A:$H,8,FALSE()),""))</f>
        <v/>
      </c>
      <c r="F1538" s="24"/>
      <c r="G1538" s="25" t="str">
        <f>IF($D1538="","",IFERROR(VLOOKUP($D1538,'ACAS Capital Tracker'!$A:$D,4,FALSE()),""))</f>
        <v/>
      </c>
      <c r="H1538" s="22"/>
    </row>
    <row r="1539" spans="1:8">
      <c r="A1539" s="21"/>
      <c r="B1539" s="22"/>
      <c r="C1539" s="22"/>
      <c r="D1539" s="22"/>
      <c r="E1539" s="23" t="str">
        <f>IF($D1539="","",IFERROR(VLOOKUP($D1539,'ACAS Capital Tracker'!$A:$H,8,FALSE()),""))</f>
        <v/>
      </c>
      <c r="F1539" s="24"/>
      <c r="G1539" s="25" t="str">
        <f>IF($D1539="","",IFERROR(VLOOKUP($D1539,'ACAS Capital Tracker'!$A:$D,4,FALSE()),""))</f>
        <v/>
      </c>
      <c r="H1539" s="22"/>
    </row>
    <row r="1540" spans="1:8">
      <c r="A1540" s="21"/>
      <c r="B1540" s="22"/>
      <c r="C1540" s="22"/>
      <c r="D1540" s="22"/>
      <c r="E1540" s="23" t="str">
        <f>IF($D1540="","",IFERROR(VLOOKUP($D1540,'ACAS Capital Tracker'!$A:$H,8,FALSE()),""))</f>
        <v/>
      </c>
      <c r="F1540" s="24"/>
      <c r="G1540" s="25" t="str">
        <f>IF($D1540="","",IFERROR(VLOOKUP($D1540,'ACAS Capital Tracker'!$A:$D,4,FALSE()),""))</f>
        <v/>
      </c>
      <c r="H1540" s="22"/>
    </row>
    <row r="1541" spans="1:8">
      <c r="A1541" s="21"/>
      <c r="B1541" s="22"/>
      <c r="C1541" s="22"/>
      <c r="D1541" s="22"/>
      <c r="E1541" s="23" t="str">
        <f>IF($D1541="","",IFERROR(VLOOKUP($D1541,'ACAS Capital Tracker'!$A:$H,8,FALSE()),""))</f>
        <v/>
      </c>
      <c r="F1541" s="24"/>
      <c r="G1541" s="25" t="str">
        <f>IF($D1541="","",IFERROR(VLOOKUP($D1541,'ACAS Capital Tracker'!$A:$D,4,FALSE()),""))</f>
        <v/>
      </c>
      <c r="H1541" s="22"/>
    </row>
    <row r="1542" spans="1:8">
      <c r="A1542" s="21"/>
      <c r="B1542" s="22"/>
      <c r="C1542" s="22"/>
      <c r="D1542" s="22"/>
      <c r="E1542" s="23" t="str">
        <f>IF($D1542="","",IFERROR(VLOOKUP($D1542,'ACAS Capital Tracker'!$A:$H,8,FALSE()),""))</f>
        <v/>
      </c>
      <c r="F1542" s="24"/>
      <c r="G1542" s="25" t="str">
        <f>IF($D1542="","",IFERROR(VLOOKUP($D1542,'ACAS Capital Tracker'!$A:$D,4,FALSE()),""))</f>
        <v/>
      </c>
      <c r="H1542" s="22"/>
    </row>
    <row r="1543" spans="1:8">
      <c r="A1543" s="21"/>
      <c r="B1543" s="22"/>
      <c r="C1543" s="22"/>
      <c r="D1543" s="22"/>
      <c r="E1543" s="23" t="str">
        <f>IF($D1543="","",IFERROR(VLOOKUP($D1543,'ACAS Capital Tracker'!$A:$H,8,FALSE()),""))</f>
        <v/>
      </c>
      <c r="F1543" s="24"/>
      <c r="G1543" s="25" t="str">
        <f>IF($D1543="","",IFERROR(VLOOKUP($D1543,'ACAS Capital Tracker'!$A:$D,4,FALSE()),""))</f>
        <v/>
      </c>
      <c r="H1543" s="22"/>
    </row>
    <row r="1544" spans="1:8">
      <c r="A1544" s="21"/>
      <c r="B1544" s="22"/>
      <c r="C1544" s="22"/>
      <c r="D1544" s="22"/>
      <c r="E1544" s="23" t="str">
        <f>IF($D1544="","",IFERROR(VLOOKUP($D1544,'ACAS Capital Tracker'!$A:$H,8,FALSE()),""))</f>
        <v/>
      </c>
      <c r="F1544" s="24"/>
      <c r="G1544" s="25" t="str">
        <f>IF($D1544="","",IFERROR(VLOOKUP($D1544,'ACAS Capital Tracker'!$A:$D,4,FALSE()),""))</f>
        <v/>
      </c>
      <c r="H1544" s="22"/>
    </row>
    <row r="1545" spans="1:8">
      <c r="A1545" s="21"/>
      <c r="B1545" s="22"/>
      <c r="C1545" s="22"/>
      <c r="D1545" s="22"/>
      <c r="E1545" s="23" t="str">
        <f>IF($D1545="","",IFERROR(VLOOKUP($D1545,'ACAS Capital Tracker'!$A:$H,8,FALSE()),""))</f>
        <v/>
      </c>
      <c r="F1545" s="24"/>
      <c r="G1545" s="25" t="str">
        <f>IF($D1545="","",IFERROR(VLOOKUP($D1545,'ACAS Capital Tracker'!$A:$D,4,FALSE()),""))</f>
        <v/>
      </c>
      <c r="H1545" s="22"/>
    </row>
    <row r="1546" spans="1:8">
      <c r="A1546" s="21"/>
      <c r="B1546" s="22"/>
      <c r="C1546" s="22"/>
      <c r="D1546" s="22"/>
      <c r="E1546" s="23" t="str">
        <f>IF($D1546="","",IFERROR(VLOOKUP($D1546,'ACAS Capital Tracker'!$A:$H,8,FALSE()),""))</f>
        <v/>
      </c>
      <c r="F1546" s="24"/>
      <c r="G1546" s="25" t="str">
        <f>IF($D1546="","",IFERROR(VLOOKUP($D1546,'ACAS Capital Tracker'!$A:$D,4,FALSE()),""))</f>
        <v/>
      </c>
      <c r="H1546" s="22"/>
    </row>
    <row r="1547" spans="1:8">
      <c r="A1547" s="21"/>
      <c r="B1547" s="22"/>
      <c r="C1547" s="22"/>
      <c r="D1547" s="22"/>
      <c r="E1547" s="23" t="str">
        <f>IF($D1547="","",IFERROR(VLOOKUP($D1547,'ACAS Capital Tracker'!$A:$H,8,FALSE()),""))</f>
        <v/>
      </c>
      <c r="F1547" s="24"/>
      <c r="G1547" s="25" t="str">
        <f>IF($D1547="","",IFERROR(VLOOKUP($D1547,'ACAS Capital Tracker'!$A:$D,4,FALSE()),""))</f>
        <v/>
      </c>
      <c r="H1547" s="22"/>
    </row>
    <row r="1548" spans="1:8">
      <c r="A1548" s="21"/>
      <c r="B1548" s="22"/>
      <c r="C1548" s="22"/>
      <c r="D1548" s="22"/>
      <c r="E1548" s="23" t="str">
        <f>IF($D1548="","",IFERROR(VLOOKUP($D1548,'ACAS Capital Tracker'!$A:$H,8,FALSE()),""))</f>
        <v/>
      </c>
      <c r="F1548" s="24"/>
      <c r="G1548" s="25" t="str">
        <f>IF($D1548="","",IFERROR(VLOOKUP($D1548,'ACAS Capital Tracker'!$A:$D,4,FALSE()),""))</f>
        <v/>
      </c>
      <c r="H1548" s="22"/>
    </row>
    <row r="1549" spans="1:8">
      <c r="A1549" s="21"/>
      <c r="B1549" s="22"/>
      <c r="C1549" s="22"/>
      <c r="D1549" s="22"/>
      <c r="E1549" s="23" t="str">
        <f>IF($D1549="","",IFERROR(VLOOKUP($D1549,'ACAS Capital Tracker'!$A:$H,8,FALSE()),""))</f>
        <v/>
      </c>
      <c r="F1549" s="24"/>
      <c r="G1549" s="25" t="str">
        <f>IF($D1549="","",IFERROR(VLOOKUP($D1549,'ACAS Capital Tracker'!$A:$D,4,FALSE()),""))</f>
        <v/>
      </c>
      <c r="H1549" s="22"/>
    </row>
    <row r="1550" spans="1:8">
      <c r="A1550" s="21"/>
      <c r="B1550" s="22"/>
      <c r="C1550" s="22"/>
      <c r="D1550" s="22"/>
      <c r="E1550" s="23" t="str">
        <f>IF($D1550="","",IFERROR(VLOOKUP($D1550,'ACAS Capital Tracker'!$A:$H,8,FALSE()),""))</f>
        <v/>
      </c>
      <c r="F1550" s="24"/>
      <c r="G1550" s="25" t="str">
        <f>IF($D1550="","",IFERROR(VLOOKUP($D1550,'ACAS Capital Tracker'!$A:$D,4,FALSE()),""))</f>
        <v/>
      </c>
      <c r="H1550" s="22"/>
    </row>
    <row r="1551" spans="1:8">
      <c r="A1551" s="21"/>
      <c r="B1551" s="22"/>
      <c r="C1551" s="22"/>
      <c r="D1551" s="22"/>
      <c r="E1551" s="23" t="str">
        <f>IF($D1551="","",IFERROR(VLOOKUP($D1551,'ACAS Capital Tracker'!$A:$H,8,FALSE()),""))</f>
        <v/>
      </c>
      <c r="F1551" s="24"/>
      <c r="G1551" s="25" t="str">
        <f>IF($D1551="","",IFERROR(VLOOKUP($D1551,'ACAS Capital Tracker'!$A:$D,4,FALSE()),""))</f>
        <v/>
      </c>
      <c r="H1551" s="22"/>
    </row>
    <row r="1552" spans="1:8">
      <c r="A1552" s="21"/>
      <c r="B1552" s="22"/>
      <c r="C1552" s="22"/>
      <c r="D1552" s="22"/>
      <c r="E1552" s="23" t="str">
        <f>IF($D1552="","",IFERROR(VLOOKUP($D1552,'ACAS Capital Tracker'!$A:$H,8,FALSE()),""))</f>
        <v/>
      </c>
      <c r="F1552" s="24"/>
      <c r="G1552" s="25" t="str">
        <f>IF($D1552="","",IFERROR(VLOOKUP($D1552,'ACAS Capital Tracker'!$A:$D,4,FALSE()),""))</f>
        <v/>
      </c>
      <c r="H1552" s="22"/>
    </row>
    <row r="1553" spans="1:8">
      <c r="A1553" s="21"/>
      <c r="B1553" s="22"/>
      <c r="C1553" s="22"/>
      <c r="D1553" s="22"/>
      <c r="E1553" s="23" t="str">
        <f>IF($D1553="","",IFERROR(VLOOKUP($D1553,'ACAS Capital Tracker'!$A:$H,8,FALSE()),""))</f>
        <v/>
      </c>
      <c r="F1553" s="24"/>
      <c r="G1553" s="25" t="str">
        <f>IF($D1553="","",IFERROR(VLOOKUP($D1553,'ACAS Capital Tracker'!$A:$D,4,FALSE()),""))</f>
        <v/>
      </c>
      <c r="H1553" s="22"/>
    </row>
    <row r="1554" spans="1:8">
      <c r="A1554" s="21"/>
      <c r="B1554" s="22"/>
      <c r="C1554" s="22"/>
      <c r="D1554" s="22"/>
      <c r="E1554" s="23" t="str">
        <f>IF($D1554="","",IFERROR(VLOOKUP($D1554,'ACAS Capital Tracker'!$A:$H,8,FALSE()),""))</f>
        <v/>
      </c>
      <c r="F1554" s="24"/>
      <c r="G1554" s="25" t="str">
        <f>IF($D1554="","",IFERROR(VLOOKUP($D1554,'ACAS Capital Tracker'!$A:$D,4,FALSE()),""))</f>
        <v/>
      </c>
      <c r="H1554" s="22"/>
    </row>
    <row r="1555" spans="1:8">
      <c r="A1555" s="21"/>
      <c r="B1555" s="22"/>
      <c r="C1555" s="22"/>
      <c r="D1555" s="22"/>
      <c r="E1555" s="23" t="str">
        <f>IF($D1555="","",IFERROR(VLOOKUP($D1555,'ACAS Capital Tracker'!$A:$H,8,FALSE()),""))</f>
        <v/>
      </c>
      <c r="F1555" s="24"/>
      <c r="G1555" s="25" t="str">
        <f>IF($D1555="","",IFERROR(VLOOKUP($D1555,'ACAS Capital Tracker'!$A:$D,4,FALSE()),""))</f>
        <v/>
      </c>
      <c r="H1555" s="22"/>
    </row>
    <row r="1556" spans="1:8">
      <c r="A1556" s="21"/>
      <c r="B1556" s="22"/>
      <c r="C1556" s="22"/>
      <c r="D1556" s="22"/>
      <c r="E1556" s="23" t="str">
        <f>IF($D1556="","",IFERROR(VLOOKUP($D1556,'ACAS Capital Tracker'!$A:$H,8,FALSE()),""))</f>
        <v/>
      </c>
      <c r="F1556" s="24"/>
      <c r="G1556" s="25" t="str">
        <f>IF($D1556="","",IFERROR(VLOOKUP($D1556,'ACAS Capital Tracker'!$A:$D,4,FALSE()),""))</f>
        <v/>
      </c>
      <c r="H1556" s="22"/>
    </row>
    <row r="1557" spans="1:8">
      <c r="A1557" s="21"/>
      <c r="B1557" s="22"/>
      <c r="C1557" s="22"/>
      <c r="D1557" s="22"/>
      <c r="E1557" s="23" t="str">
        <f>IF($D1557="","",IFERROR(VLOOKUP($D1557,'ACAS Capital Tracker'!$A:$H,8,FALSE()),""))</f>
        <v/>
      </c>
      <c r="F1557" s="24"/>
      <c r="G1557" s="25" t="str">
        <f>IF($D1557="","",IFERROR(VLOOKUP($D1557,'ACAS Capital Tracker'!$A:$D,4,FALSE()),""))</f>
        <v/>
      </c>
      <c r="H1557" s="22"/>
    </row>
    <row r="1558" spans="1:8">
      <c r="A1558" s="21"/>
      <c r="B1558" s="22"/>
      <c r="C1558" s="22"/>
      <c r="D1558" s="22"/>
      <c r="E1558" s="23" t="str">
        <f>IF($D1558="","",IFERROR(VLOOKUP($D1558,'ACAS Capital Tracker'!$A:$H,8,FALSE()),""))</f>
        <v/>
      </c>
      <c r="F1558" s="24"/>
      <c r="G1558" s="25" t="str">
        <f>IF($D1558="","",IFERROR(VLOOKUP($D1558,'ACAS Capital Tracker'!$A:$D,4,FALSE()),""))</f>
        <v/>
      </c>
      <c r="H1558" s="22"/>
    </row>
    <row r="1559" spans="1:8">
      <c r="A1559" s="21"/>
      <c r="B1559" s="22"/>
      <c r="C1559" s="22"/>
      <c r="D1559" s="22"/>
      <c r="E1559" s="23" t="str">
        <f>IF($D1559="","",IFERROR(VLOOKUP($D1559,'ACAS Capital Tracker'!$A:$H,8,FALSE()),""))</f>
        <v/>
      </c>
      <c r="F1559" s="24"/>
      <c r="G1559" s="25" t="str">
        <f>IF($D1559="","",IFERROR(VLOOKUP($D1559,'ACAS Capital Tracker'!$A:$D,4,FALSE()),""))</f>
        <v/>
      </c>
      <c r="H1559" s="22"/>
    </row>
    <row r="1560" spans="1:8">
      <c r="A1560" s="21"/>
      <c r="B1560" s="22"/>
      <c r="C1560" s="22"/>
      <c r="D1560" s="22"/>
      <c r="E1560" s="23" t="str">
        <f>IF($D1560="","",IFERROR(VLOOKUP($D1560,'ACAS Capital Tracker'!$A:$H,8,FALSE()),""))</f>
        <v/>
      </c>
      <c r="F1560" s="24"/>
      <c r="G1560" s="25" t="str">
        <f>IF($D1560="","",IFERROR(VLOOKUP($D1560,'ACAS Capital Tracker'!$A:$D,4,FALSE()),""))</f>
        <v/>
      </c>
      <c r="H1560" s="22"/>
    </row>
    <row r="1561" spans="1:8">
      <c r="A1561" s="21"/>
      <c r="B1561" s="22"/>
      <c r="C1561" s="22"/>
      <c r="D1561" s="22"/>
      <c r="E1561" s="23" t="str">
        <f>IF($D1561="","",IFERROR(VLOOKUP($D1561,'ACAS Capital Tracker'!$A:$H,8,FALSE()),""))</f>
        <v/>
      </c>
      <c r="F1561" s="24"/>
      <c r="G1561" s="25" t="str">
        <f>IF($D1561="","",IFERROR(VLOOKUP($D1561,'ACAS Capital Tracker'!$A:$D,4,FALSE()),""))</f>
        <v/>
      </c>
      <c r="H1561" s="22"/>
    </row>
    <row r="1562" spans="1:8">
      <c r="A1562" s="21"/>
      <c r="B1562" s="22"/>
      <c r="C1562" s="22"/>
      <c r="D1562" s="22"/>
      <c r="E1562" s="23" t="str">
        <f>IF($D1562="","",IFERROR(VLOOKUP($D1562,'ACAS Capital Tracker'!$A:$H,8,FALSE()),""))</f>
        <v/>
      </c>
      <c r="F1562" s="24"/>
      <c r="G1562" s="25" t="str">
        <f>IF($D1562="","",IFERROR(VLOOKUP($D1562,'ACAS Capital Tracker'!$A:$D,4,FALSE()),""))</f>
        <v/>
      </c>
      <c r="H1562" s="22"/>
    </row>
    <row r="1563" spans="1:8">
      <c r="A1563" s="21"/>
      <c r="B1563" s="22"/>
      <c r="C1563" s="22"/>
      <c r="D1563" s="22"/>
      <c r="E1563" s="23" t="str">
        <f>IF($D1563="","",IFERROR(VLOOKUP($D1563,'ACAS Capital Tracker'!$A:$H,8,FALSE()),""))</f>
        <v/>
      </c>
      <c r="F1563" s="24"/>
      <c r="G1563" s="25" t="str">
        <f>IF($D1563="","",IFERROR(VLOOKUP($D1563,'ACAS Capital Tracker'!$A:$D,4,FALSE()),""))</f>
        <v/>
      </c>
      <c r="H1563" s="22"/>
    </row>
    <row r="1564" spans="1:8">
      <c r="A1564" s="21"/>
      <c r="B1564" s="22"/>
      <c r="C1564" s="22"/>
      <c r="D1564" s="22"/>
      <c r="E1564" s="23" t="str">
        <f>IF($D1564="","",IFERROR(VLOOKUP($D1564,'ACAS Capital Tracker'!$A:$H,8,FALSE()),""))</f>
        <v/>
      </c>
      <c r="F1564" s="24"/>
      <c r="G1564" s="25" t="str">
        <f>IF($D1564="","",IFERROR(VLOOKUP($D1564,'ACAS Capital Tracker'!$A:$D,4,FALSE()),""))</f>
        <v/>
      </c>
      <c r="H1564" s="22"/>
    </row>
    <row r="1565" spans="1:8">
      <c r="A1565" s="21"/>
      <c r="B1565" s="22"/>
      <c r="C1565" s="22"/>
      <c r="D1565" s="22"/>
      <c r="E1565" s="23" t="str">
        <f>IF($D1565="","",IFERROR(VLOOKUP($D1565,'ACAS Capital Tracker'!$A:$H,8,FALSE()),""))</f>
        <v/>
      </c>
      <c r="F1565" s="24"/>
      <c r="G1565" s="25" t="str">
        <f>IF($D1565="","",IFERROR(VLOOKUP($D1565,'ACAS Capital Tracker'!$A:$D,4,FALSE()),""))</f>
        <v/>
      </c>
      <c r="H1565" s="22"/>
    </row>
    <row r="1566" spans="1:8">
      <c r="A1566" s="21"/>
      <c r="B1566" s="22"/>
      <c r="C1566" s="22"/>
      <c r="D1566" s="22"/>
      <c r="E1566" s="23" t="str">
        <f>IF($D1566="","",IFERROR(VLOOKUP($D1566,'ACAS Capital Tracker'!$A:$H,8,FALSE()),""))</f>
        <v/>
      </c>
      <c r="F1566" s="24"/>
      <c r="G1566" s="25" t="str">
        <f>IF($D1566="","",IFERROR(VLOOKUP($D1566,'ACAS Capital Tracker'!$A:$D,4,FALSE()),""))</f>
        <v/>
      </c>
      <c r="H1566" s="22"/>
    </row>
    <row r="1567" spans="1:8">
      <c r="A1567" s="21"/>
      <c r="B1567" s="22"/>
      <c r="C1567" s="22"/>
      <c r="D1567" s="22"/>
      <c r="E1567" s="23" t="str">
        <f>IF($D1567="","",IFERROR(VLOOKUP($D1567,'ACAS Capital Tracker'!$A:$H,8,FALSE()),""))</f>
        <v/>
      </c>
      <c r="F1567" s="24"/>
      <c r="G1567" s="25" t="str">
        <f>IF($D1567="","",IFERROR(VLOOKUP($D1567,'ACAS Capital Tracker'!$A:$D,4,FALSE()),""))</f>
        <v/>
      </c>
      <c r="H1567" s="22"/>
    </row>
    <row r="1568" spans="1:8">
      <c r="A1568" s="21"/>
      <c r="B1568" s="22"/>
      <c r="C1568" s="22"/>
      <c r="D1568" s="22"/>
      <c r="E1568" s="23" t="str">
        <f>IF($D1568="","",IFERROR(VLOOKUP($D1568,'ACAS Capital Tracker'!$A:$H,8,FALSE()),""))</f>
        <v/>
      </c>
      <c r="F1568" s="24"/>
      <c r="G1568" s="25" t="str">
        <f>IF($D1568="","",IFERROR(VLOOKUP($D1568,'ACAS Capital Tracker'!$A:$D,4,FALSE()),""))</f>
        <v/>
      </c>
      <c r="H1568" s="22"/>
    </row>
    <row r="1569" spans="1:8">
      <c r="A1569" s="21"/>
      <c r="B1569" s="22"/>
      <c r="C1569" s="22"/>
      <c r="D1569" s="22"/>
      <c r="E1569" s="23" t="str">
        <f>IF($D1569="","",IFERROR(VLOOKUP($D1569,'ACAS Capital Tracker'!$A:$H,8,FALSE()),""))</f>
        <v/>
      </c>
      <c r="F1569" s="24"/>
      <c r="G1569" s="25" t="str">
        <f>IF($D1569="","",IFERROR(VLOOKUP($D1569,'ACAS Capital Tracker'!$A:$D,4,FALSE()),""))</f>
        <v/>
      </c>
      <c r="H1569" s="22"/>
    </row>
    <row r="1570" spans="1:8">
      <c r="A1570" s="21"/>
      <c r="B1570" s="22"/>
      <c r="C1570" s="22"/>
      <c r="D1570" s="22"/>
      <c r="E1570" s="23" t="str">
        <f>IF($D1570="","",IFERROR(VLOOKUP($D1570,'ACAS Capital Tracker'!$A:$H,8,FALSE()),""))</f>
        <v/>
      </c>
      <c r="F1570" s="24"/>
      <c r="G1570" s="25" t="str">
        <f>IF($D1570="","",IFERROR(VLOOKUP($D1570,'ACAS Capital Tracker'!$A:$D,4,FALSE()),""))</f>
        <v/>
      </c>
      <c r="H1570" s="22"/>
    </row>
    <row r="1571" spans="1:8">
      <c r="A1571" s="21"/>
      <c r="B1571" s="22"/>
      <c r="C1571" s="22"/>
      <c r="D1571" s="22"/>
      <c r="E1571" s="23" t="str">
        <f>IF($D1571="","",IFERROR(VLOOKUP($D1571,'ACAS Capital Tracker'!$A:$H,8,FALSE()),""))</f>
        <v/>
      </c>
      <c r="F1571" s="24"/>
      <c r="G1571" s="25" t="str">
        <f>IF($D1571="","",IFERROR(VLOOKUP($D1571,'ACAS Capital Tracker'!$A:$D,4,FALSE()),""))</f>
        <v/>
      </c>
      <c r="H1571" s="22"/>
    </row>
    <row r="1572" spans="1:8">
      <c r="A1572" s="21"/>
      <c r="B1572" s="22"/>
      <c r="C1572" s="22"/>
      <c r="D1572" s="22"/>
      <c r="E1572" s="23" t="str">
        <f>IF($D1572="","",IFERROR(VLOOKUP($D1572,'ACAS Capital Tracker'!$A:$H,8,FALSE()),""))</f>
        <v/>
      </c>
      <c r="F1572" s="24"/>
      <c r="G1572" s="25" t="str">
        <f>IF($D1572="","",IFERROR(VLOOKUP($D1572,'ACAS Capital Tracker'!$A:$D,4,FALSE()),""))</f>
        <v/>
      </c>
      <c r="H1572" s="22"/>
    </row>
    <row r="1573" spans="1:8">
      <c r="A1573" s="21"/>
      <c r="B1573" s="22"/>
      <c r="C1573" s="22"/>
      <c r="D1573" s="22"/>
      <c r="E1573" s="23" t="str">
        <f>IF($D1573="","",IFERROR(VLOOKUP($D1573,'ACAS Capital Tracker'!$A:$H,8,FALSE()),""))</f>
        <v/>
      </c>
      <c r="F1573" s="24"/>
      <c r="G1573" s="25" t="str">
        <f>IF($D1573="","",IFERROR(VLOOKUP($D1573,'ACAS Capital Tracker'!$A:$D,4,FALSE()),""))</f>
        <v/>
      </c>
      <c r="H1573" s="22"/>
    </row>
    <row r="1574" spans="1:8">
      <c r="A1574" s="21"/>
      <c r="B1574" s="22"/>
      <c r="C1574" s="22"/>
      <c r="D1574" s="22"/>
      <c r="E1574" s="23" t="str">
        <f>IF($D1574="","",IFERROR(VLOOKUP($D1574,'ACAS Capital Tracker'!$A:$H,8,FALSE()),""))</f>
        <v/>
      </c>
      <c r="F1574" s="24"/>
      <c r="G1574" s="25" t="str">
        <f>IF($D1574="","",IFERROR(VLOOKUP($D1574,'ACAS Capital Tracker'!$A:$D,4,FALSE()),""))</f>
        <v/>
      </c>
      <c r="H1574" s="22"/>
    </row>
    <row r="1575" spans="1:8">
      <c r="A1575" s="21"/>
      <c r="B1575" s="22"/>
      <c r="C1575" s="22"/>
      <c r="D1575" s="22"/>
      <c r="E1575" s="23" t="str">
        <f>IF($D1575="","",IFERROR(VLOOKUP($D1575,'ACAS Capital Tracker'!$A:$H,8,FALSE()),""))</f>
        <v/>
      </c>
      <c r="F1575" s="24"/>
      <c r="G1575" s="25" t="str">
        <f>IF($D1575="","",IFERROR(VLOOKUP($D1575,'ACAS Capital Tracker'!$A:$D,4,FALSE()),""))</f>
        <v/>
      </c>
      <c r="H1575" s="22"/>
    </row>
    <row r="1576" spans="1:8">
      <c r="A1576" s="21"/>
      <c r="B1576" s="22"/>
      <c r="C1576" s="22"/>
      <c r="D1576" s="22"/>
      <c r="E1576" s="23" t="str">
        <f>IF($D1576="","",IFERROR(VLOOKUP($D1576,'ACAS Capital Tracker'!$A:$H,8,FALSE()),""))</f>
        <v/>
      </c>
      <c r="F1576" s="24"/>
      <c r="G1576" s="25" t="str">
        <f>IF($D1576="","",IFERROR(VLOOKUP($D1576,'ACAS Capital Tracker'!$A:$D,4,FALSE()),""))</f>
        <v/>
      </c>
      <c r="H1576" s="22"/>
    </row>
    <row r="1577" spans="1:8">
      <c r="A1577" s="21"/>
      <c r="B1577" s="22"/>
      <c r="C1577" s="22"/>
      <c r="D1577" s="22"/>
      <c r="E1577" s="23" t="str">
        <f>IF($D1577="","",IFERROR(VLOOKUP($D1577,'ACAS Capital Tracker'!$A:$H,8,FALSE()),""))</f>
        <v/>
      </c>
      <c r="F1577" s="24"/>
      <c r="G1577" s="25" t="str">
        <f>IF($D1577="","",IFERROR(VLOOKUP($D1577,'ACAS Capital Tracker'!$A:$D,4,FALSE()),""))</f>
        <v/>
      </c>
      <c r="H1577" s="22"/>
    </row>
    <row r="1578" spans="1:8">
      <c r="A1578" s="21"/>
      <c r="B1578" s="22"/>
      <c r="C1578" s="22"/>
      <c r="D1578" s="22"/>
      <c r="E1578" s="23" t="str">
        <f>IF($D1578="","",IFERROR(VLOOKUP($D1578,'ACAS Capital Tracker'!$A:$H,8,FALSE()),""))</f>
        <v/>
      </c>
      <c r="F1578" s="24"/>
      <c r="G1578" s="25" t="str">
        <f>IF($D1578="","",IFERROR(VLOOKUP($D1578,'ACAS Capital Tracker'!$A:$D,4,FALSE()),""))</f>
        <v/>
      </c>
      <c r="H1578" s="22"/>
    </row>
    <row r="1579" spans="1:8">
      <c r="A1579" s="21"/>
      <c r="B1579" s="22"/>
      <c r="C1579" s="22"/>
      <c r="D1579" s="22"/>
      <c r="E1579" s="23" t="str">
        <f>IF($D1579="","",IFERROR(VLOOKUP($D1579,'ACAS Capital Tracker'!$A:$H,8,FALSE()),""))</f>
        <v/>
      </c>
      <c r="F1579" s="24"/>
      <c r="G1579" s="25" t="str">
        <f>IF($D1579="","",IFERROR(VLOOKUP($D1579,'ACAS Capital Tracker'!$A:$D,4,FALSE()),""))</f>
        <v/>
      </c>
      <c r="H1579" s="22"/>
    </row>
    <row r="1580" spans="1:8">
      <c r="A1580" s="21"/>
      <c r="B1580" s="22"/>
      <c r="C1580" s="22"/>
      <c r="D1580" s="22"/>
      <c r="E1580" s="23" t="str">
        <f>IF($D1580="","",IFERROR(VLOOKUP($D1580,'ACAS Capital Tracker'!$A:$H,8,FALSE()),""))</f>
        <v/>
      </c>
      <c r="F1580" s="24"/>
      <c r="G1580" s="25" t="str">
        <f>IF($D1580="","",IFERROR(VLOOKUP($D1580,'ACAS Capital Tracker'!$A:$D,4,FALSE()),""))</f>
        <v/>
      </c>
      <c r="H1580" s="22"/>
    </row>
    <row r="1581" spans="1:8">
      <c r="A1581" s="21"/>
      <c r="B1581" s="22"/>
      <c r="C1581" s="22"/>
      <c r="D1581" s="22"/>
      <c r="E1581" s="23" t="str">
        <f>IF($D1581="","",IFERROR(VLOOKUP($D1581,'ACAS Capital Tracker'!$A:$H,8,FALSE()),""))</f>
        <v/>
      </c>
      <c r="F1581" s="24"/>
      <c r="G1581" s="25" t="str">
        <f>IF($D1581="","",IFERROR(VLOOKUP($D1581,'ACAS Capital Tracker'!$A:$D,4,FALSE()),""))</f>
        <v/>
      </c>
      <c r="H1581" s="22"/>
    </row>
    <row r="1582" spans="1:8">
      <c r="A1582" s="21"/>
      <c r="B1582" s="22"/>
      <c r="C1582" s="22"/>
      <c r="D1582" s="22"/>
      <c r="E1582" s="23" t="str">
        <f>IF($D1582="","",IFERROR(VLOOKUP($D1582,'ACAS Capital Tracker'!$A:$H,8,FALSE()),""))</f>
        <v/>
      </c>
      <c r="F1582" s="24"/>
      <c r="G1582" s="25" t="str">
        <f>IF($D1582="","",IFERROR(VLOOKUP($D1582,'ACAS Capital Tracker'!$A:$D,4,FALSE()),""))</f>
        <v/>
      </c>
      <c r="H1582" s="22"/>
    </row>
    <row r="1583" spans="1:8">
      <c r="A1583" s="21"/>
      <c r="B1583" s="22"/>
      <c r="C1583" s="22"/>
      <c r="D1583" s="22"/>
      <c r="E1583" s="23" t="str">
        <f>IF($D1583="","",IFERROR(VLOOKUP($D1583,'ACAS Capital Tracker'!$A:$H,8,FALSE()),""))</f>
        <v/>
      </c>
      <c r="F1583" s="24"/>
      <c r="G1583" s="25" t="str">
        <f>IF($D1583="","",IFERROR(VLOOKUP($D1583,'ACAS Capital Tracker'!$A:$D,4,FALSE()),""))</f>
        <v/>
      </c>
      <c r="H1583" s="22"/>
    </row>
    <row r="1584" spans="1:8">
      <c r="A1584" s="21"/>
      <c r="B1584" s="22"/>
      <c r="C1584" s="22"/>
      <c r="D1584" s="22"/>
      <c r="E1584" s="23" t="str">
        <f>IF($D1584="","",IFERROR(VLOOKUP($D1584,'ACAS Capital Tracker'!$A:$H,8,FALSE()),""))</f>
        <v/>
      </c>
      <c r="F1584" s="24"/>
      <c r="G1584" s="25" t="str">
        <f>IF($D1584="","",IFERROR(VLOOKUP($D1584,'ACAS Capital Tracker'!$A:$D,4,FALSE()),""))</f>
        <v/>
      </c>
      <c r="H1584" s="22"/>
    </row>
    <row r="1585" spans="1:8">
      <c r="A1585" s="21"/>
      <c r="B1585" s="22"/>
      <c r="C1585" s="22"/>
      <c r="D1585" s="22"/>
      <c r="E1585" s="23" t="str">
        <f>IF($D1585="","",IFERROR(VLOOKUP($D1585,'ACAS Capital Tracker'!$A:$H,8,FALSE()),""))</f>
        <v/>
      </c>
      <c r="F1585" s="24"/>
      <c r="G1585" s="25" t="str">
        <f>IF($D1585="","",IFERROR(VLOOKUP($D1585,'ACAS Capital Tracker'!$A:$D,4,FALSE()),""))</f>
        <v/>
      </c>
      <c r="H1585" s="22"/>
    </row>
    <row r="1586" spans="1:8">
      <c r="A1586" s="21"/>
      <c r="B1586" s="22"/>
      <c r="C1586" s="22"/>
      <c r="D1586" s="22"/>
      <c r="E1586" s="23" t="str">
        <f>IF($D1586="","",IFERROR(VLOOKUP($D1586,'ACAS Capital Tracker'!$A:$H,8,FALSE()),""))</f>
        <v/>
      </c>
      <c r="F1586" s="24"/>
      <c r="G1586" s="25" t="str">
        <f>IF($D1586="","",IFERROR(VLOOKUP($D1586,'ACAS Capital Tracker'!$A:$D,4,FALSE()),""))</f>
        <v/>
      </c>
      <c r="H1586" s="22"/>
    </row>
    <row r="1587" spans="1:8">
      <c r="A1587" s="21"/>
      <c r="B1587" s="22"/>
      <c r="C1587" s="22"/>
      <c r="D1587" s="22"/>
      <c r="E1587" s="23" t="str">
        <f>IF($D1587="","",IFERROR(VLOOKUP($D1587,'ACAS Capital Tracker'!$A:$H,8,FALSE()),""))</f>
        <v/>
      </c>
      <c r="F1587" s="24"/>
      <c r="G1587" s="25" t="str">
        <f>IF($D1587="","",IFERROR(VLOOKUP($D1587,'ACAS Capital Tracker'!$A:$D,4,FALSE()),""))</f>
        <v/>
      </c>
      <c r="H1587" s="22"/>
    </row>
    <row r="1588" spans="1:8">
      <c r="A1588" s="21"/>
      <c r="B1588" s="22"/>
      <c r="C1588" s="22"/>
      <c r="D1588" s="22"/>
      <c r="E1588" s="23" t="str">
        <f>IF($D1588="","",IFERROR(VLOOKUP($D1588,'ACAS Capital Tracker'!$A:$H,8,FALSE()),""))</f>
        <v/>
      </c>
      <c r="F1588" s="24"/>
      <c r="G1588" s="25" t="str">
        <f>IF($D1588="","",IFERROR(VLOOKUP($D1588,'ACAS Capital Tracker'!$A:$D,4,FALSE()),""))</f>
        <v/>
      </c>
      <c r="H1588" s="22"/>
    </row>
    <row r="1589" spans="1:8">
      <c r="A1589" s="21"/>
      <c r="B1589" s="22"/>
      <c r="C1589" s="22"/>
      <c r="D1589" s="22"/>
      <c r="E1589" s="23" t="str">
        <f>IF($D1589="","",IFERROR(VLOOKUP($D1589,'ACAS Capital Tracker'!$A:$H,8,FALSE()),""))</f>
        <v/>
      </c>
      <c r="F1589" s="24"/>
      <c r="G1589" s="25" t="str">
        <f>IF($D1589="","",IFERROR(VLOOKUP($D1589,'ACAS Capital Tracker'!$A:$D,4,FALSE()),""))</f>
        <v/>
      </c>
      <c r="H1589" s="22"/>
    </row>
    <row r="1590" spans="1:8">
      <c r="A1590" s="21"/>
      <c r="B1590" s="22"/>
      <c r="C1590" s="22"/>
      <c r="D1590" s="22"/>
      <c r="E1590" s="23" t="str">
        <f>IF($D1590="","",IFERROR(VLOOKUP($D1590,'ACAS Capital Tracker'!$A:$H,8,FALSE()),""))</f>
        <v/>
      </c>
      <c r="F1590" s="24"/>
      <c r="G1590" s="25" t="str">
        <f>IF($D1590="","",IFERROR(VLOOKUP($D1590,'ACAS Capital Tracker'!$A:$D,4,FALSE()),""))</f>
        <v/>
      </c>
      <c r="H1590" s="22"/>
    </row>
    <row r="1591" spans="1:8">
      <c r="A1591" s="21"/>
      <c r="B1591" s="22"/>
      <c r="C1591" s="22"/>
      <c r="D1591" s="22"/>
      <c r="E1591" s="23" t="str">
        <f>IF($D1591="","",IFERROR(VLOOKUP($D1591,'ACAS Capital Tracker'!$A:$H,8,FALSE()),""))</f>
        <v/>
      </c>
      <c r="F1591" s="24"/>
      <c r="G1591" s="25" t="str">
        <f>IF($D1591="","",IFERROR(VLOOKUP($D1591,'ACAS Capital Tracker'!$A:$D,4,FALSE()),""))</f>
        <v/>
      </c>
      <c r="H1591" s="22"/>
    </row>
    <row r="1592" spans="1:8">
      <c r="A1592" s="21"/>
      <c r="B1592" s="22"/>
      <c r="C1592" s="22"/>
      <c r="D1592" s="22"/>
      <c r="E1592" s="23" t="str">
        <f>IF($D1592="","",IFERROR(VLOOKUP($D1592,'ACAS Capital Tracker'!$A:$H,8,FALSE()),""))</f>
        <v/>
      </c>
      <c r="F1592" s="24"/>
      <c r="G1592" s="25" t="str">
        <f>IF($D1592="","",IFERROR(VLOOKUP($D1592,'ACAS Capital Tracker'!$A:$D,4,FALSE()),""))</f>
        <v/>
      </c>
      <c r="H1592" s="22"/>
    </row>
    <row r="1593" spans="1:8">
      <c r="A1593" s="21"/>
      <c r="B1593" s="22"/>
      <c r="C1593" s="22"/>
      <c r="D1593" s="22"/>
      <c r="E1593" s="23" t="str">
        <f>IF($D1593="","",IFERROR(VLOOKUP($D1593,'ACAS Capital Tracker'!$A:$H,8,FALSE()),""))</f>
        <v/>
      </c>
      <c r="F1593" s="24"/>
      <c r="G1593" s="25" t="str">
        <f>IF($D1593="","",IFERROR(VLOOKUP($D1593,'ACAS Capital Tracker'!$A:$D,4,FALSE()),""))</f>
        <v/>
      </c>
      <c r="H1593" s="22"/>
    </row>
    <row r="1594" spans="1:8">
      <c r="A1594" s="21"/>
      <c r="B1594" s="22"/>
      <c r="C1594" s="22"/>
      <c r="D1594" s="22"/>
      <c r="E1594" s="23" t="str">
        <f>IF($D1594="","",IFERROR(VLOOKUP($D1594,'ACAS Capital Tracker'!$A:$H,8,FALSE()),""))</f>
        <v/>
      </c>
      <c r="F1594" s="24"/>
      <c r="G1594" s="25" t="str">
        <f>IF($D1594="","",IFERROR(VLOOKUP($D1594,'ACAS Capital Tracker'!$A:$D,4,FALSE()),""))</f>
        <v/>
      </c>
      <c r="H1594" s="22"/>
    </row>
    <row r="1595" spans="1:8">
      <c r="A1595" s="21"/>
      <c r="B1595" s="22"/>
      <c r="C1595" s="22"/>
      <c r="D1595" s="22"/>
      <c r="E1595" s="23" t="str">
        <f>IF($D1595="","",IFERROR(VLOOKUP($D1595,'ACAS Capital Tracker'!$A:$H,8,FALSE()),""))</f>
        <v/>
      </c>
      <c r="F1595" s="24"/>
      <c r="G1595" s="25" t="str">
        <f>IF($D1595="","",IFERROR(VLOOKUP($D1595,'ACAS Capital Tracker'!$A:$D,4,FALSE()),""))</f>
        <v/>
      </c>
      <c r="H1595" s="22"/>
    </row>
    <row r="1596" spans="1:8">
      <c r="A1596" s="21"/>
      <c r="B1596" s="22"/>
      <c r="C1596" s="22"/>
      <c r="D1596" s="22"/>
      <c r="E1596" s="23" t="str">
        <f>IF($D1596="","",IFERROR(VLOOKUP($D1596,'ACAS Capital Tracker'!$A:$H,8,FALSE()),""))</f>
        <v/>
      </c>
      <c r="F1596" s="24"/>
      <c r="G1596" s="25" t="str">
        <f>IF($D1596="","",IFERROR(VLOOKUP($D1596,'ACAS Capital Tracker'!$A:$D,4,FALSE()),""))</f>
        <v/>
      </c>
      <c r="H1596" s="22"/>
    </row>
    <row r="1597" spans="1:8">
      <c r="A1597" s="21"/>
      <c r="B1597" s="22"/>
      <c r="C1597" s="22"/>
      <c r="D1597" s="22"/>
      <c r="E1597" s="23" t="str">
        <f>IF($D1597="","",IFERROR(VLOOKUP($D1597,'ACAS Capital Tracker'!$A:$H,8,FALSE()),""))</f>
        <v/>
      </c>
      <c r="F1597" s="24"/>
      <c r="G1597" s="25" t="str">
        <f>IF($D1597="","",IFERROR(VLOOKUP($D1597,'ACAS Capital Tracker'!$A:$D,4,FALSE()),""))</f>
        <v/>
      </c>
      <c r="H1597" s="22"/>
    </row>
    <row r="1598" spans="1:8">
      <c r="A1598" s="21"/>
      <c r="B1598" s="22"/>
      <c r="C1598" s="22"/>
      <c r="D1598" s="22"/>
      <c r="E1598" s="23" t="str">
        <f>IF($D1598="","",IFERROR(VLOOKUP($D1598,'ACAS Capital Tracker'!$A:$H,8,FALSE()),""))</f>
        <v/>
      </c>
      <c r="F1598" s="24"/>
      <c r="G1598" s="25" t="str">
        <f>IF($D1598="","",IFERROR(VLOOKUP($D1598,'ACAS Capital Tracker'!$A:$D,4,FALSE()),""))</f>
        <v/>
      </c>
      <c r="H1598" s="22"/>
    </row>
    <row r="1599" spans="1:8">
      <c r="A1599" s="21"/>
      <c r="B1599" s="22"/>
      <c r="C1599" s="22"/>
      <c r="D1599" s="22"/>
      <c r="E1599" s="23" t="str">
        <f>IF($D1599="","",IFERROR(VLOOKUP($D1599,'ACAS Capital Tracker'!$A:$H,8,FALSE()),""))</f>
        <v/>
      </c>
      <c r="F1599" s="24"/>
      <c r="G1599" s="25" t="str">
        <f>IF($D1599="","",IFERROR(VLOOKUP($D1599,'ACAS Capital Tracker'!$A:$D,4,FALSE()),""))</f>
        <v/>
      </c>
      <c r="H1599" s="22"/>
    </row>
    <row r="1600" spans="1:8">
      <c r="A1600" s="21"/>
      <c r="B1600" s="22"/>
      <c r="C1600" s="22"/>
      <c r="D1600" s="22"/>
      <c r="E1600" s="23" t="str">
        <f>IF($D1600="","",IFERROR(VLOOKUP($D1600,'ACAS Capital Tracker'!$A:$H,8,FALSE()),""))</f>
        <v/>
      </c>
      <c r="F1600" s="24"/>
      <c r="G1600" s="25" t="str">
        <f>IF($D1600="","",IFERROR(VLOOKUP($D1600,'ACAS Capital Tracker'!$A:$D,4,FALSE()),""))</f>
        <v/>
      </c>
      <c r="H1600" s="22"/>
    </row>
    <row r="1601" spans="1:8">
      <c r="A1601" s="21"/>
      <c r="B1601" s="22"/>
      <c r="C1601" s="22"/>
      <c r="D1601" s="22"/>
      <c r="E1601" s="23" t="str">
        <f>IF($D1601="","",IFERROR(VLOOKUP($D1601,'ACAS Capital Tracker'!$A:$H,8,FALSE()),""))</f>
        <v/>
      </c>
      <c r="F1601" s="24"/>
      <c r="G1601" s="25" t="str">
        <f>IF($D1601="","",IFERROR(VLOOKUP($D1601,'ACAS Capital Tracker'!$A:$D,4,FALSE()),""))</f>
        <v/>
      </c>
      <c r="H1601" s="22"/>
    </row>
    <row r="1602" spans="1:8">
      <c r="A1602" s="21"/>
      <c r="B1602" s="22"/>
      <c r="C1602" s="22"/>
      <c r="D1602" s="22"/>
      <c r="E1602" s="23" t="str">
        <f>IF($D1602="","",IFERROR(VLOOKUP($D1602,'ACAS Capital Tracker'!$A:$H,8,FALSE()),""))</f>
        <v/>
      </c>
      <c r="F1602" s="24"/>
      <c r="G1602" s="25" t="str">
        <f>IF($D1602="","",IFERROR(VLOOKUP($D1602,'ACAS Capital Tracker'!$A:$D,4,FALSE()),""))</f>
        <v/>
      </c>
      <c r="H1602" s="22"/>
    </row>
    <row r="1603" spans="1:8">
      <c r="A1603" s="21"/>
      <c r="B1603" s="22"/>
      <c r="C1603" s="22"/>
      <c r="D1603" s="22"/>
      <c r="E1603" s="23" t="str">
        <f>IF($D1603="","",IFERROR(VLOOKUP($D1603,'ACAS Capital Tracker'!$A:$H,8,FALSE()),""))</f>
        <v/>
      </c>
      <c r="F1603" s="24"/>
      <c r="G1603" s="25" t="str">
        <f>IF($D1603="","",IFERROR(VLOOKUP($D1603,'ACAS Capital Tracker'!$A:$D,4,FALSE()),""))</f>
        <v/>
      </c>
      <c r="H1603" s="22"/>
    </row>
    <row r="1604" spans="1:8">
      <c r="A1604" s="21"/>
      <c r="B1604" s="22"/>
      <c r="C1604" s="22"/>
      <c r="D1604" s="22"/>
      <c r="E1604" s="23" t="str">
        <f>IF($D1604="","",IFERROR(VLOOKUP($D1604,'ACAS Capital Tracker'!$A:$H,8,FALSE()),""))</f>
        <v/>
      </c>
      <c r="F1604" s="24"/>
      <c r="G1604" s="25" t="str">
        <f>IF($D1604="","",IFERROR(VLOOKUP($D1604,'ACAS Capital Tracker'!$A:$D,4,FALSE()),""))</f>
        <v/>
      </c>
      <c r="H1604" s="22"/>
    </row>
    <row r="1605" spans="1:8">
      <c r="A1605" s="21"/>
      <c r="B1605" s="22"/>
      <c r="C1605" s="22"/>
      <c r="D1605" s="22"/>
      <c r="E1605" s="23" t="str">
        <f>IF($D1605="","",IFERROR(VLOOKUP($D1605,'ACAS Capital Tracker'!$A:$H,8,FALSE()),""))</f>
        <v/>
      </c>
      <c r="F1605" s="24"/>
      <c r="G1605" s="25" t="str">
        <f>IF($D1605="","",IFERROR(VLOOKUP($D1605,'ACAS Capital Tracker'!$A:$D,4,FALSE()),""))</f>
        <v/>
      </c>
      <c r="H1605" s="22"/>
    </row>
    <row r="1606" spans="1:8">
      <c r="A1606" s="21"/>
      <c r="B1606" s="22"/>
      <c r="C1606" s="22"/>
      <c r="D1606" s="22"/>
      <c r="E1606" s="23" t="str">
        <f>IF($D1606="","",IFERROR(VLOOKUP($D1606,'ACAS Capital Tracker'!$A:$H,8,FALSE()),""))</f>
        <v/>
      </c>
      <c r="F1606" s="24"/>
      <c r="G1606" s="25" t="str">
        <f>IF($D1606="","",IFERROR(VLOOKUP($D1606,'ACAS Capital Tracker'!$A:$D,4,FALSE()),""))</f>
        <v/>
      </c>
      <c r="H1606" s="22"/>
    </row>
    <row r="1607" spans="1:8">
      <c r="A1607" s="21"/>
      <c r="B1607" s="22"/>
      <c r="C1607" s="22"/>
      <c r="D1607" s="22"/>
      <c r="E1607" s="23" t="str">
        <f>IF($D1607="","",IFERROR(VLOOKUP($D1607,'ACAS Capital Tracker'!$A:$H,8,FALSE()),""))</f>
        <v/>
      </c>
      <c r="F1607" s="24"/>
      <c r="G1607" s="25" t="str">
        <f>IF($D1607="","",IFERROR(VLOOKUP($D1607,'ACAS Capital Tracker'!$A:$D,4,FALSE()),""))</f>
        <v/>
      </c>
      <c r="H1607" s="22"/>
    </row>
    <row r="1608" spans="1:8">
      <c r="A1608" s="21"/>
      <c r="B1608" s="22"/>
      <c r="C1608" s="22"/>
      <c r="D1608" s="22"/>
      <c r="E1608" s="23" t="str">
        <f>IF($D1608="","",IFERROR(VLOOKUP($D1608,'ACAS Capital Tracker'!$A:$H,8,FALSE()),""))</f>
        <v/>
      </c>
      <c r="F1608" s="24"/>
      <c r="G1608" s="25" t="str">
        <f>IF($D1608="","",IFERROR(VLOOKUP($D1608,'ACAS Capital Tracker'!$A:$D,4,FALSE()),""))</f>
        <v/>
      </c>
      <c r="H1608" s="22"/>
    </row>
    <row r="1609" spans="1:8">
      <c r="A1609" s="21"/>
      <c r="B1609" s="22"/>
      <c r="C1609" s="22"/>
      <c r="D1609" s="22"/>
      <c r="E1609" s="23" t="str">
        <f>IF($D1609="","",IFERROR(VLOOKUP($D1609,'ACAS Capital Tracker'!$A:$H,8,FALSE()),""))</f>
        <v/>
      </c>
      <c r="F1609" s="24"/>
      <c r="G1609" s="25" t="str">
        <f>IF($D1609="","",IFERROR(VLOOKUP($D1609,'ACAS Capital Tracker'!$A:$D,4,FALSE()),""))</f>
        <v/>
      </c>
      <c r="H1609" s="22"/>
    </row>
    <row r="1610" spans="1:8">
      <c r="A1610" s="21"/>
      <c r="B1610" s="22"/>
      <c r="C1610" s="22"/>
      <c r="D1610" s="22"/>
      <c r="E1610" s="23" t="str">
        <f>IF($D1610="","",IFERROR(VLOOKUP($D1610,'ACAS Capital Tracker'!$A:$H,8,FALSE()),""))</f>
        <v/>
      </c>
      <c r="F1610" s="24"/>
      <c r="G1610" s="25" t="str">
        <f>IF($D1610="","",IFERROR(VLOOKUP($D1610,'ACAS Capital Tracker'!$A:$D,4,FALSE()),""))</f>
        <v/>
      </c>
      <c r="H1610" s="22"/>
    </row>
    <row r="1611" spans="1:8">
      <c r="A1611" s="21"/>
      <c r="B1611" s="22"/>
      <c r="C1611" s="22"/>
      <c r="D1611" s="22"/>
      <c r="E1611" s="23" t="str">
        <f>IF($D1611="","",IFERROR(VLOOKUP($D1611,'ACAS Capital Tracker'!$A:$H,8,FALSE()),""))</f>
        <v/>
      </c>
      <c r="F1611" s="24"/>
      <c r="G1611" s="25" t="str">
        <f>IF($D1611="","",IFERROR(VLOOKUP($D1611,'ACAS Capital Tracker'!$A:$D,4,FALSE()),""))</f>
        <v/>
      </c>
      <c r="H1611" s="22"/>
    </row>
    <row r="1612" spans="1:8">
      <c r="A1612" s="21"/>
      <c r="B1612" s="22"/>
      <c r="C1612" s="22"/>
      <c r="D1612" s="22"/>
      <c r="E1612" s="23" t="str">
        <f>IF($D1612="","",IFERROR(VLOOKUP($D1612,'ACAS Capital Tracker'!$A:$H,8,FALSE()),""))</f>
        <v/>
      </c>
      <c r="F1612" s="24"/>
      <c r="G1612" s="25" t="str">
        <f>IF($D1612="","",IFERROR(VLOOKUP($D1612,'ACAS Capital Tracker'!$A:$D,4,FALSE()),""))</f>
        <v/>
      </c>
      <c r="H1612" s="22"/>
    </row>
    <row r="1613" spans="1:8">
      <c r="A1613" s="21"/>
      <c r="B1613" s="22"/>
      <c r="C1613" s="22"/>
      <c r="D1613" s="22"/>
      <c r="E1613" s="23" t="str">
        <f>IF($D1613="","",IFERROR(VLOOKUP($D1613,'ACAS Capital Tracker'!$A:$H,8,FALSE()),""))</f>
        <v/>
      </c>
      <c r="F1613" s="24"/>
      <c r="G1613" s="25" t="str">
        <f>IF($D1613="","",IFERROR(VLOOKUP($D1613,'ACAS Capital Tracker'!$A:$D,4,FALSE()),""))</f>
        <v/>
      </c>
      <c r="H1613" s="22"/>
    </row>
    <row r="1614" spans="1:8">
      <c r="A1614" s="21"/>
      <c r="B1614" s="22"/>
      <c r="C1614" s="22"/>
      <c r="D1614" s="22"/>
      <c r="E1614" s="23" t="str">
        <f>IF($D1614="","",IFERROR(VLOOKUP($D1614,'ACAS Capital Tracker'!$A:$H,8,FALSE()),""))</f>
        <v/>
      </c>
      <c r="F1614" s="24"/>
      <c r="G1614" s="25" t="str">
        <f>IF($D1614="","",IFERROR(VLOOKUP($D1614,'ACAS Capital Tracker'!$A:$D,4,FALSE()),""))</f>
        <v/>
      </c>
      <c r="H1614" s="22"/>
    </row>
    <row r="1615" spans="1:8">
      <c r="A1615" s="21"/>
      <c r="B1615" s="22"/>
      <c r="C1615" s="22"/>
      <c r="D1615" s="22"/>
      <c r="E1615" s="23" t="str">
        <f>IF($D1615="","",IFERROR(VLOOKUP($D1615,'ACAS Capital Tracker'!$A:$H,8,FALSE()),""))</f>
        <v/>
      </c>
      <c r="F1615" s="24"/>
      <c r="G1615" s="25" t="str">
        <f>IF($D1615="","",IFERROR(VLOOKUP($D1615,'ACAS Capital Tracker'!$A:$D,4,FALSE()),""))</f>
        <v/>
      </c>
      <c r="H1615" s="22"/>
    </row>
    <row r="1616" spans="1:8">
      <c r="A1616" s="21"/>
      <c r="B1616" s="22"/>
      <c r="C1616" s="22"/>
      <c r="D1616" s="22"/>
      <c r="E1616" s="23" t="str">
        <f>IF($D1616="","",IFERROR(VLOOKUP($D1616,'ACAS Capital Tracker'!$A:$H,8,FALSE()),""))</f>
        <v/>
      </c>
      <c r="F1616" s="24"/>
      <c r="G1616" s="25" t="str">
        <f>IF($D1616="","",IFERROR(VLOOKUP($D1616,'ACAS Capital Tracker'!$A:$D,4,FALSE()),""))</f>
        <v/>
      </c>
      <c r="H1616" s="22"/>
    </row>
    <row r="1617" spans="1:8">
      <c r="A1617" s="21"/>
      <c r="B1617" s="22"/>
      <c r="C1617" s="22"/>
      <c r="D1617" s="22"/>
      <c r="E1617" s="23" t="str">
        <f>IF($D1617="","",IFERROR(VLOOKUP($D1617,'ACAS Capital Tracker'!$A:$H,8,FALSE()),""))</f>
        <v/>
      </c>
      <c r="F1617" s="24"/>
      <c r="G1617" s="25" t="str">
        <f>IF($D1617="","",IFERROR(VLOOKUP($D1617,'ACAS Capital Tracker'!$A:$D,4,FALSE()),""))</f>
        <v/>
      </c>
      <c r="H1617" s="22"/>
    </row>
    <row r="1618" spans="1:8">
      <c r="A1618" s="21"/>
      <c r="B1618" s="22"/>
      <c r="C1618" s="22"/>
      <c r="D1618" s="22"/>
      <c r="E1618" s="23" t="str">
        <f>IF($D1618="","",IFERROR(VLOOKUP($D1618,'ACAS Capital Tracker'!$A:$H,8,FALSE()),""))</f>
        <v/>
      </c>
      <c r="F1618" s="24"/>
      <c r="G1618" s="25" t="str">
        <f>IF($D1618="","",IFERROR(VLOOKUP($D1618,'ACAS Capital Tracker'!$A:$D,4,FALSE()),""))</f>
        <v/>
      </c>
      <c r="H1618" s="22"/>
    </row>
    <row r="1619" spans="1:8">
      <c r="A1619" s="21"/>
      <c r="B1619" s="22"/>
      <c r="C1619" s="22"/>
      <c r="D1619" s="22"/>
      <c r="E1619" s="23" t="str">
        <f>IF($D1619="","",IFERROR(VLOOKUP($D1619,'ACAS Capital Tracker'!$A:$H,8,FALSE()),""))</f>
        <v/>
      </c>
      <c r="F1619" s="24"/>
      <c r="G1619" s="25" t="str">
        <f>IF($D1619="","",IFERROR(VLOOKUP($D1619,'ACAS Capital Tracker'!$A:$D,4,FALSE()),""))</f>
        <v/>
      </c>
      <c r="H1619" s="22"/>
    </row>
    <row r="1620" spans="1:8">
      <c r="A1620" s="21"/>
      <c r="B1620" s="22"/>
      <c r="C1620" s="22"/>
      <c r="D1620" s="22"/>
      <c r="E1620" s="23" t="str">
        <f>IF($D1620="","",IFERROR(VLOOKUP($D1620,'ACAS Capital Tracker'!$A:$H,8,FALSE()),""))</f>
        <v/>
      </c>
      <c r="F1620" s="24"/>
      <c r="G1620" s="25" t="str">
        <f>IF($D1620="","",IFERROR(VLOOKUP($D1620,'ACAS Capital Tracker'!$A:$D,4,FALSE()),""))</f>
        <v/>
      </c>
      <c r="H1620" s="22"/>
    </row>
    <row r="1621" spans="1:8">
      <c r="A1621" s="21"/>
      <c r="B1621" s="22"/>
      <c r="C1621" s="22"/>
      <c r="D1621" s="22"/>
      <c r="E1621" s="23" t="str">
        <f>IF($D1621="","",IFERROR(VLOOKUP($D1621,'ACAS Capital Tracker'!$A:$H,8,FALSE()),""))</f>
        <v/>
      </c>
      <c r="F1621" s="24"/>
      <c r="G1621" s="25" t="str">
        <f>IF($D1621="","",IFERROR(VLOOKUP($D1621,'ACAS Capital Tracker'!$A:$D,4,FALSE()),""))</f>
        <v/>
      </c>
      <c r="H1621" s="22"/>
    </row>
    <row r="1622" spans="1:8">
      <c r="A1622" s="21"/>
      <c r="B1622" s="22"/>
      <c r="C1622" s="22"/>
      <c r="D1622" s="22"/>
      <c r="E1622" s="23" t="str">
        <f>IF($D1622="","",IFERROR(VLOOKUP($D1622,'ACAS Capital Tracker'!$A:$H,8,FALSE()),""))</f>
        <v/>
      </c>
      <c r="F1622" s="24"/>
      <c r="G1622" s="25" t="str">
        <f>IF($D1622="","",IFERROR(VLOOKUP($D1622,'ACAS Capital Tracker'!$A:$D,4,FALSE()),""))</f>
        <v/>
      </c>
      <c r="H1622" s="22"/>
    </row>
    <row r="1623" spans="1:8">
      <c r="A1623" s="21"/>
      <c r="B1623" s="22"/>
      <c r="C1623" s="22"/>
      <c r="D1623" s="22"/>
      <c r="E1623" s="23" t="str">
        <f>IF($D1623="","",IFERROR(VLOOKUP($D1623,'ACAS Capital Tracker'!$A:$H,8,FALSE()),""))</f>
        <v/>
      </c>
      <c r="F1623" s="24"/>
      <c r="G1623" s="25" t="str">
        <f>IF($D1623="","",IFERROR(VLOOKUP($D1623,'ACAS Capital Tracker'!$A:$D,4,FALSE()),""))</f>
        <v/>
      </c>
      <c r="H1623" s="22"/>
    </row>
    <row r="1624" spans="1:8">
      <c r="A1624" s="21"/>
      <c r="B1624" s="22"/>
      <c r="C1624" s="22"/>
      <c r="D1624" s="22"/>
      <c r="E1624" s="23" t="str">
        <f>IF($D1624="","",IFERROR(VLOOKUP($D1624,'ACAS Capital Tracker'!$A:$H,8,FALSE()),""))</f>
        <v/>
      </c>
      <c r="F1624" s="24"/>
      <c r="G1624" s="25" t="str">
        <f>IF($D1624="","",IFERROR(VLOOKUP($D1624,'ACAS Capital Tracker'!$A:$D,4,FALSE()),""))</f>
        <v/>
      </c>
      <c r="H1624" s="22"/>
    </row>
    <row r="1625" spans="1:8">
      <c r="A1625" s="21"/>
      <c r="B1625" s="22"/>
      <c r="C1625" s="22"/>
      <c r="D1625" s="22"/>
      <c r="E1625" s="23" t="str">
        <f>IF($D1625="","",IFERROR(VLOOKUP($D1625,'ACAS Capital Tracker'!$A:$H,8,FALSE()),""))</f>
        <v/>
      </c>
      <c r="F1625" s="24"/>
      <c r="G1625" s="25" t="str">
        <f>IF($D1625="","",IFERROR(VLOOKUP($D1625,'ACAS Capital Tracker'!$A:$D,4,FALSE()),""))</f>
        <v/>
      </c>
      <c r="H1625" s="22"/>
    </row>
    <row r="1626" spans="1:8">
      <c r="A1626" s="21"/>
      <c r="B1626" s="22"/>
      <c r="C1626" s="22"/>
      <c r="D1626" s="22"/>
      <c r="E1626" s="23" t="str">
        <f>IF($D1626="","",IFERROR(VLOOKUP($D1626,'ACAS Capital Tracker'!$A:$H,8,FALSE()),""))</f>
        <v/>
      </c>
      <c r="F1626" s="24"/>
      <c r="G1626" s="25" t="str">
        <f>IF($D1626="","",IFERROR(VLOOKUP($D1626,'ACAS Capital Tracker'!$A:$D,4,FALSE()),""))</f>
        <v/>
      </c>
      <c r="H1626" s="22"/>
    </row>
    <row r="1627" spans="1:8">
      <c r="A1627" s="21"/>
      <c r="B1627" s="22"/>
      <c r="C1627" s="22"/>
      <c r="D1627" s="22"/>
      <c r="E1627" s="23" t="str">
        <f>IF($D1627="","",IFERROR(VLOOKUP($D1627,'ACAS Capital Tracker'!$A:$H,8,FALSE()),""))</f>
        <v/>
      </c>
      <c r="F1627" s="24"/>
      <c r="G1627" s="25" t="str">
        <f>IF($D1627="","",IFERROR(VLOOKUP($D1627,'ACAS Capital Tracker'!$A:$D,4,FALSE()),""))</f>
        <v/>
      </c>
      <c r="H1627" s="22"/>
    </row>
    <row r="1628" spans="1:8">
      <c r="A1628" s="21"/>
      <c r="B1628" s="22"/>
      <c r="C1628" s="22"/>
      <c r="D1628" s="22"/>
      <c r="E1628" s="23" t="str">
        <f>IF($D1628="","",IFERROR(VLOOKUP($D1628,'ACAS Capital Tracker'!$A:$H,8,FALSE()),""))</f>
        <v/>
      </c>
      <c r="F1628" s="24"/>
      <c r="G1628" s="25" t="str">
        <f>IF($D1628="","",IFERROR(VLOOKUP($D1628,'ACAS Capital Tracker'!$A:$D,4,FALSE()),""))</f>
        <v/>
      </c>
      <c r="H1628" s="22"/>
    </row>
    <row r="1629" spans="1:8">
      <c r="A1629" s="21"/>
      <c r="B1629" s="22"/>
      <c r="C1629" s="22"/>
      <c r="D1629" s="22"/>
      <c r="E1629" s="23" t="str">
        <f>IF($D1629="","",IFERROR(VLOOKUP($D1629,'ACAS Capital Tracker'!$A:$H,8,FALSE()),""))</f>
        <v/>
      </c>
      <c r="F1629" s="24"/>
      <c r="G1629" s="25" t="str">
        <f>IF($D1629="","",IFERROR(VLOOKUP($D1629,'ACAS Capital Tracker'!$A:$D,4,FALSE()),""))</f>
        <v/>
      </c>
      <c r="H1629" s="22"/>
    </row>
    <row r="1630" spans="1:8">
      <c r="A1630" s="21"/>
      <c r="B1630" s="22"/>
      <c r="C1630" s="22"/>
      <c r="D1630" s="22"/>
      <c r="E1630" s="23" t="str">
        <f>IF($D1630="","",IFERROR(VLOOKUP($D1630,'ACAS Capital Tracker'!$A:$H,8,FALSE()),""))</f>
        <v/>
      </c>
      <c r="F1630" s="24"/>
      <c r="G1630" s="25" t="str">
        <f>IF($D1630="","",IFERROR(VLOOKUP($D1630,'ACAS Capital Tracker'!$A:$D,4,FALSE()),""))</f>
        <v/>
      </c>
      <c r="H1630" s="22"/>
    </row>
    <row r="1631" spans="1:8">
      <c r="A1631" s="21"/>
      <c r="B1631" s="22"/>
      <c r="C1631" s="22"/>
      <c r="D1631" s="22"/>
      <c r="E1631" s="23" t="str">
        <f>IF($D1631="","",IFERROR(VLOOKUP($D1631,'ACAS Capital Tracker'!$A:$H,8,FALSE()),""))</f>
        <v/>
      </c>
      <c r="F1631" s="24"/>
      <c r="G1631" s="25" t="str">
        <f>IF($D1631="","",IFERROR(VLOOKUP($D1631,'ACAS Capital Tracker'!$A:$D,4,FALSE()),""))</f>
        <v/>
      </c>
      <c r="H1631" s="22"/>
    </row>
    <row r="1632" spans="1:8">
      <c r="A1632" s="21"/>
      <c r="B1632" s="22"/>
      <c r="C1632" s="22"/>
      <c r="D1632" s="22"/>
      <c r="E1632" s="23" t="str">
        <f>IF($D1632="","",IFERROR(VLOOKUP($D1632,'ACAS Capital Tracker'!$A:$H,8,FALSE()),""))</f>
        <v/>
      </c>
      <c r="F1632" s="24"/>
      <c r="G1632" s="25" t="str">
        <f>IF($D1632="","",IFERROR(VLOOKUP($D1632,'ACAS Capital Tracker'!$A:$D,4,FALSE()),""))</f>
        <v/>
      </c>
      <c r="H1632" s="22"/>
    </row>
    <row r="1633" spans="1:8">
      <c r="A1633" s="21"/>
      <c r="B1633" s="22"/>
      <c r="C1633" s="22"/>
      <c r="D1633" s="22"/>
      <c r="E1633" s="23" t="str">
        <f>IF($D1633="","",IFERROR(VLOOKUP($D1633,'ACAS Capital Tracker'!$A:$H,8,FALSE()),""))</f>
        <v/>
      </c>
      <c r="F1633" s="24"/>
      <c r="G1633" s="25" t="str">
        <f>IF($D1633="","",IFERROR(VLOOKUP($D1633,'ACAS Capital Tracker'!$A:$D,4,FALSE()),""))</f>
        <v/>
      </c>
      <c r="H1633" s="22"/>
    </row>
    <row r="1634" spans="1:8">
      <c r="A1634" s="21"/>
      <c r="B1634" s="22"/>
      <c r="C1634" s="22"/>
      <c r="D1634" s="22"/>
      <c r="E1634" s="23" t="str">
        <f>IF($D1634="","",IFERROR(VLOOKUP($D1634,'ACAS Capital Tracker'!$A:$H,8,FALSE()),""))</f>
        <v/>
      </c>
      <c r="F1634" s="24"/>
      <c r="G1634" s="25" t="str">
        <f>IF($D1634="","",IFERROR(VLOOKUP($D1634,'ACAS Capital Tracker'!$A:$D,4,FALSE()),""))</f>
        <v/>
      </c>
      <c r="H1634" s="22"/>
    </row>
    <row r="1635" spans="1:8">
      <c r="A1635" s="21"/>
      <c r="B1635" s="22"/>
      <c r="C1635" s="22"/>
      <c r="D1635" s="22"/>
      <c r="E1635" s="23" t="str">
        <f>IF($D1635="","",IFERROR(VLOOKUP($D1635,'ACAS Capital Tracker'!$A:$H,8,FALSE()),""))</f>
        <v/>
      </c>
      <c r="F1635" s="24"/>
      <c r="G1635" s="25" t="str">
        <f>IF($D1635="","",IFERROR(VLOOKUP($D1635,'ACAS Capital Tracker'!$A:$D,4,FALSE()),""))</f>
        <v/>
      </c>
      <c r="H1635" s="22"/>
    </row>
    <row r="1636" spans="1:8">
      <c r="A1636" s="21"/>
      <c r="B1636" s="22"/>
      <c r="C1636" s="22"/>
      <c r="D1636" s="22"/>
      <c r="E1636" s="23" t="str">
        <f>IF($D1636="","",IFERROR(VLOOKUP($D1636,'ACAS Capital Tracker'!$A:$H,8,FALSE()),""))</f>
        <v/>
      </c>
      <c r="F1636" s="24"/>
      <c r="G1636" s="25" t="str">
        <f>IF($D1636="","",IFERROR(VLOOKUP($D1636,'ACAS Capital Tracker'!$A:$D,4,FALSE()),""))</f>
        <v/>
      </c>
      <c r="H1636" s="22"/>
    </row>
    <row r="1637" spans="1:8">
      <c r="A1637" s="21"/>
      <c r="B1637" s="22"/>
      <c r="C1637" s="22"/>
      <c r="D1637" s="22"/>
      <c r="E1637" s="23" t="str">
        <f>IF($D1637="","",IFERROR(VLOOKUP($D1637,'ACAS Capital Tracker'!$A:$H,8,FALSE()),""))</f>
        <v/>
      </c>
      <c r="F1637" s="24"/>
      <c r="G1637" s="25" t="str">
        <f>IF($D1637="","",IFERROR(VLOOKUP($D1637,'ACAS Capital Tracker'!$A:$D,4,FALSE()),""))</f>
        <v/>
      </c>
      <c r="H1637" s="22"/>
    </row>
    <row r="1638" spans="1:8">
      <c r="A1638" s="21"/>
      <c r="B1638" s="22"/>
      <c r="C1638" s="22"/>
      <c r="D1638" s="22"/>
      <c r="E1638" s="23" t="str">
        <f>IF($D1638="","",IFERROR(VLOOKUP($D1638,'ACAS Capital Tracker'!$A:$H,8,FALSE()),""))</f>
        <v/>
      </c>
      <c r="F1638" s="24"/>
      <c r="G1638" s="25" t="str">
        <f>IF($D1638="","",IFERROR(VLOOKUP($D1638,'ACAS Capital Tracker'!$A:$D,4,FALSE()),""))</f>
        <v/>
      </c>
      <c r="H1638" s="22"/>
    </row>
    <row r="1639" spans="1:8">
      <c r="A1639" s="21"/>
      <c r="B1639" s="22"/>
      <c r="C1639" s="22"/>
      <c r="D1639" s="22"/>
      <c r="E1639" s="23" t="str">
        <f>IF($D1639="","",IFERROR(VLOOKUP($D1639,'ACAS Capital Tracker'!$A:$H,8,FALSE()),""))</f>
        <v/>
      </c>
      <c r="F1639" s="24"/>
      <c r="G1639" s="25" t="str">
        <f>IF($D1639="","",IFERROR(VLOOKUP($D1639,'ACAS Capital Tracker'!$A:$D,4,FALSE()),""))</f>
        <v/>
      </c>
      <c r="H1639" s="22"/>
    </row>
    <row r="1640" spans="1:8">
      <c r="A1640" s="21"/>
      <c r="B1640" s="22"/>
      <c r="C1640" s="22"/>
      <c r="D1640" s="22"/>
      <c r="E1640" s="23" t="str">
        <f>IF($D1640="","",IFERROR(VLOOKUP($D1640,'ACAS Capital Tracker'!$A:$H,8,FALSE()),""))</f>
        <v/>
      </c>
      <c r="F1640" s="24"/>
      <c r="G1640" s="25" t="str">
        <f>IF($D1640="","",IFERROR(VLOOKUP($D1640,'ACAS Capital Tracker'!$A:$D,4,FALSE()),""))</f>
        <v/>
      </c>
      <c r="H1640" s="22"/>
    </row>
    <row r="1641" spans="1:8">
      <c r="A1641" s="21"/>
      <c r="B1641" s="22"/>
      <c r="C1641" s="22"/>
      <c r="D1641" s="22"/>
      <c r="E1641" s="23" t="str">
        <f>IF($D1641="","",IFERROR(VLOOKUP($D1641,'ACAS Capital Tracker'!$A:$H,8,FALSE()),""))</f>
        <v/>
      </c>
      <c r="F1641" s="24"/>
      <c r="G1641" s="25" t="str">
        <f>IF($D1641="","",IFERROR(VLOOKUP($D1641,'ACAS Capital Tracker'!$A:$D,4,FALSE()),""))</f>
        <v/>
      </c>
      <c r="H1641" s="22"/>
    </row>
    <row r="1642" spans="1:8">
      <c r="A1642" s="21"/>
      <c r="B1642" s="22"/>
      <c r="C1642" s="22"/>
      <c r="D1642" s="22"/>
      <c r="E1642" s="23" t="str">
        <f>IF($D1642="","",IFERROR(VLOOKUP($D1642,'ACAS Capital Tracker'!$A:$H,8,FALSE()),""))</f>
        <v/>
      </c>
      <c r="F1642" s="24"/>
      <c r="G1642" s="25" t="str">
        <f>IF($D1642="","",IFERROR(VLOOKUP($D1642,'ACAS Capital Tracker'!$A:$D,4,FALSE()),""))</f>
        <v/>
      </c>
      <c r="H1642" s="22"/>
    </row>
    <row r="1643" spans="1:8">
      <c r="A1643" s="21"/>
      <c r="B1643" s="22"/>
      <c r="C1643" s="22"/>
      <c r="D1643" s="22"/>
      <c r="E1643" s="23" t="str">
        <f>IF($D1643="","",IFERROR(VLOOKUP($D1643,'ACAS Capital Tracker'!$A:$H,8,FALSE()),""))</f>
        <v/>
      </c>
      <c r="F1643" s="24"/>
      <c r="G1643" s="25" t="str">
        <f>IF($D1643="","",IFERROR(VLOOKUP($D1643,'ACAS Capital Tracker'!$A:$D,4,FALSE()),""))</f>
        <v/>
      </c>
      <c r="H1643" s="22"/>
    </row>
    <row r="1644" spans="1:8">
      <c r="A1644" s="21"/>
      <c r="B1644" s="22"/>
      <c r="C1644" s="22"/>
      <c r="D1644" s="22"/>
      <c r="E1644" s="23" t="str">
        <f>IF($D1644="","",IFERROR(VLOOKUP($D1644,'ACAS Capital Tracker'!$A:$H,8,FALSE()),""))</f>
        <v/>
      </c>
      <c r="F1644" s="24"/>
      <c r="G1644" s="25" t="str">
        <f>IF($D1644="","",IFERROR(VLOOKUP($D1644,'ACAS Capital Tracker'!$A:$D,4,FALSE()),""))</f>
        <v/>
      </c>
      <c r="H1644" s="22"/>
    </row>
    <row r="1645" spans="1:8">
      <c r="A1645" s="21"/>
      <c r="B1645" s="22"/>
      <c r="C1645" s="22"/>
      <c r="D1645" s="22"/>
      <c r="E1645" s="23" t="str">
        <f>IF($D1645="","",IFERROR(VLOOKUP($D1645,'ACAS Capital Tracker'!$A:$H,8,FALSE()),""))</f>
        <v/>
      </c>
      <c r="F1645" s="24"/>
      <c r="G1645" s="25" t="str">
        <f>IF($D1645="","",IFERROR(VLOOKUP($D1645,'ACAS Capital Tracker'!$A:$D,4,FALSE()),""))</f>
        <v/>
      </c>
      <c r="H1645" s="22"/>
    </row>
    <row r="1646" spans="1:8">
      <c r="A1646" s="21"/>
      <c r="B1646" s="22"/>
      <c r="C1646" s="22"/>
      <c r="D1646" s="22"/>
      <c r="E1646" s="23" t="str">
        <f>IF($D1646="","",IFERROR(VLOOKUP($D1646,'ACAS Capital Tracker'!$A:$H,8,FALSE()),""))</f>
        <v/>
      </c>
      <c r="F1646" s="24"/>
      <c r="G1646" s="25" t="str">
        <f>IF($D1646="","",IFERROR(VLOOKUP($D1646,'ACAS Capital Tracker'!$A:$D,4,FALSE()),""))</f>
        <v/>
      </c>
      <c r="H1646" s="22"/>
    </row>
    <row r="1647" spans="1:8">
      <c r="A1647" s="21"/>
      <c r="B1647" s="22"/>
      <c r="C1647" s="22"/>
      <c r="D1647" s="22"/>
      <c r="E1647" s="23" t="str">
        <f>IF($D1647="","",IFERROR(VLOOKUP($D1647,'ACAS Capital Tracker'!$A:$H,8,FALSE()),""))</f>
        <v/>
      </c>
      <c r="F1647" s="24"/>
      <c r="G1647" s="25" t="str">
        <f>IF($D1647="","",IFERROR(VLOOKUP($D1647,'ACAS Capital Tracker'!$A:$D,4,FALSE()),""))</f>
        <v/>
      </c>
      <c r="H1647" s="22"/>
    </row>
    <row r="1648" spans="1:8">
      <c r="A1648" s="21"/>
      <c r="B1648" s="22"/>
      <c r="C1648" s="22"/>
      <c r="D1648" s="22"/>
      <c r="E1648" s="23" t="str">
        <f>IF($D1648="","",IFERROR(VLOOKUP($D1648,'ACAS Capital Tracker'!$A:$H,8,FALSE()),""))</f>
        <v/>
      </c>
      <c r="F1648" s="24"/>
      <c r="G1648" s="25" t="str">
        <f>IF($D1648="","",IFERROR(VLOOKUP($D1648,'ACAS Capital Tracker'!$A:$D,4,FALSE()),""))</f>
        <v/>
      </c>
      <c r="H1648" s="22"/>
    </row>
    <row r="1649" spans="1:8">
      <c r="A1649" s="21"/>
      <c r="B1649" s="22"/>
      <c r="C1649" s="22"/>
      <c r="D1649" s="22"/>
      <c r="E1649" s="23" t="str">
        <f>IF($D1649="","",IFERROR(VLOOKUP($D1649,'ACAS Capital Tracker'!$A:$H,8,FALSE()),""))</f>
        <v/>
      </c>
      <c r="F1649" s="24"/>
      <c r="G1649" s="25" t="str">
        <f>IF($D1649="","",IFERROR(VLOOKUP($D1649,'ACAS Capital Tracker'!$A:$D,4,FALSE()),""))</f>
        <v/>
      </c>
      <c r="H1649" s="22"/>
    </row>
    <row r="1650" spans="1:8">
      <c r="A1650" s="21"/>
      <c r="B1650" s="22"/>
      <c r="C1650" s="22"/>
      <c r="D1650" s="22"/>
      <c r="E1650" s="23" t="str">
        <f>IF($D1650="","",IFERROR(VLOOKUP($D1650,'ACAS Capital Tracker'!$A:$H,8,FALSE()),""))</f>
        <v/>
      </c>
      <c r="F1650" s="24"/>
      <c r="G1650" s="25" t="str">
        <f>IF($D1650="","",IFERROR(VLOOKUP($D1650,'ACAS Capital Tracker'!$A:$D,4,FALSE()),""))</f>
        <v/>
      </c>
      <c r="H1650" s="22"/>
    </row>
    <row r="1651" spans="1:8">
      <c r="A1651" s="21"/>
      <c r="B1651" s="22"/>
      <c r="C1651" s="22"/>
      <c r="D1651" s="22"/>
      <c r="E1651" s="23" t="str">
        <f>IF($D1651="","",IFERROR(VLOOKUP($D1651,'ACAS Capital Tracker'!$A:$H,8,FALSE()),""))</f>
        <v/>
      </c>
      <c r="F1651" s="24"/>
      <c r="G1651" s="25" t="str">
        <f>IF($D1651="","",IFERROR(VLOOKUP($D1651,'ACAS Capital Tracker'!$A:$D,4,FALSE()),""))</f>
        <v/>
      </c>
      <c r="H1651" s="22"/>
    </row>
    <row r="1652" spans="1:8">
      <c r="A1652" s="21"/>
      <c r="B1652" s="22"/>
      <c r="C1652" s="22"/>
      <c r="D1652" s="22"/>
      <c r="E1652" s="23" t="str">
        <f>IF($D1652="","",IFERROR(VLOOKUP($D1652,'ACAS Capital Tracker'!$A:$H,8,FALSE()),""))</f>
        <v/>
      </c>
      <c r="F1652" s="24"/>
      <c r="G1652" s="25" t="str">
        <f>IF($D1652="","",IFERROR(VLOOKUP($D1652,'ACAS Capital Tracker'!$A:$D,4,FALSE()),""))</f>
        <v/>
      </c>
      <c r="H1652" s="22"/>
    </row>
    <row r="1653" spans="1:8">
      <c r="A1653" s="21"/>
      <c r="B1653" s="22"/>
      <c r="C1653" s="22"/>
      <c r="D1653" s="22"/>
      <c r="E1653" s="23" t="str">
        <f>IF($D1653="","",IFERROR(VLOOKUP($D1653,'ACAS Capital Tracker'!$A:$H,8,FALSE()),""))</f>
        <v/>
      </c>
      <c r="F1653" s="24"/>
      <c r="G1653" s="25" t="str">
        <f>IF($D1653="","",IFERROR(VLOOKUP($D1653,'ACAS Capital Tracker'!$A:$D,4,FALSE()),""))</f>
        <v/>
      </c>
      <c r="H1653" s="22"/>
    </row>
    <row r="1654" spans="1:8">
      <c r="A1654" s="21"/>
      <c r="B1654" s="22"/>
      <c r="C1654" s="22"/>
      <c r="D1654" s="22"/>
      <c r="E1654" s="23" t="str">
        <f>IF($D1654="","",IFERROR(VLOOKUP($D1654,'ACAS Capital Tracker'!$A:$H,8,FALSE()),""))</f>
        <v/>
      </c>
      <c r="F1654" s="24"/>
      <c r="G1654" s="25" t="str">
        <f>IF($D1654="","",IFERROR(VLOOKUP($D1654,'ACAS Capital Tracker'!$A:$D,4,FALSE()),""))</f>
        <v/>
      </c>
      <c r="H1654" s="22"/>
    </row>
    <row r="1655" spans="1:8">
      <c r="A1655" s="21"/>
      <c r="B1655" s="22"/>
      <c r="C1655" s="22"/>
      <c r="D1655" s="22"/>
      <c r="E1655" s="23" t="str">
        <f>IF($D1655="","",IFERROR(VLOOKUP($D1655,'ACAS Capital Tracker'!$A:$H,8,FALSE()),""))</f>
        <v/>
      </c>
      <c r="F1655" s="24"/>
      <c r="G1655" s="25" t="str">
        <f>IF($D1655="","",IFERROR(VLOOKUP($D1655,'ACAS Capital Tracker'!$A:$D,4,FALSE()),""))</f>
        <v/>
      </c>
      <c r="H1655" s="22"/>
    </row>
    <row r="1656" spans="1:8">
      <c r="A1656" s="21"/>
      <c r="B1656" s="22"/>
      <c r="C1656" s="22"/>
      <c r="D1656" s="22"/>
      <c r="E1656" s="23" t="str">
        <f>IF($D1656="","",IFERROR(VLOOKUP($D1656,'ACAS Capital Tracker'!$A:$H,8,FALSE()),""))</f>
        <v/>
      </c>
      <c r="F1656" s="24"/>
      <c r="G1656" s="25" t="str">
        <f>IF($D1656="","",IFERROR(VLOOKUP($D1656,'ACAS Capital Tracker'!$A:$D,4,FALSE()),""))</f>
        <v/>
      </c>
      <c r="H1656" s="22"/>
    </row>
    <row r="1657" spans="1:8">
      <c r="A1657" s="21"/>
      <c r="B1657" s="22"/>
      <c r="C1657" s="22"/>
      <c r="D1657" s="22"/>
      <c r="E1657" s="23" t="str">
        <f>IF($D1657="","",IFERROR(VLOOKUP($D1657,'ACAS Capital Tracker'!$A:$H,8,FALSE()),""))</f>
        <v/>
      </c>
      <c r="F1657" s="24"/>
      <c r="G1657" s="25" t="str">
        <f>IF($D1657="","",IFERROR(VLOOKUP($D1657,'ACAS Capital Tracker'!$A:$D,4,FALSE()),""))</f>
        <v/>
      </c>
      <c r="H1657" s="22"/>
    </row>
    <row r="1658" spans="1:8">
      <c r="A1658" s="21"/>
      <c r="B1658" s="22"/>
      <c r="C1658" s="22"/>
      <c r="D1658" s="22"/>
      <c r="E1658" s="23" t="str">
        <f>IF($D1658="","",IFERROR(VLOOKUP($D1658,'ACAS Capital Tracker'!$A:$H,8,FALSE()),""))</f>
        <v/>
      </c>
      <c r="F1658" s="24"/>
      <c r="G1658" s="25" t="str">
        <f>IF($D1658="","",IFERROR(VLOOKUP($D1658,'ACAS Capital Tracker'!$A:$D,4,FALSE()),""))</f>
        <v/>
      </c>
      <c r="H1658" s="22"/>
    </row>
    <row r="1659" spans="1:8">
      <c r="A1659" s="21"/>
      <c r="B1659" s="22"/>
      <c r="C1659" s="22"/>
      <c r="D1659" s="22"/>
      <c r="E1659" s="23" t="str">
        <f>IF($D1659="","",IFERROR(VLOOKUP($D1659,'ACAS Capital Tracker'!$A:$H,8,FALSE()),""))</f>
        <v/>
      </c>
      <c r="F1659" s="24"/>
      <c r="G1659" s="25" t="str">
        <f>IF($D1659="","",IFERROR(VLOOKUP($D1659,'ACAS Capital Tracker'!$A:$D,4,FALSE()),""))</f>
        <v/>
      </c>
      <c r="H1659" s="22"/>
    </row>
    <row r="1660" spans="1:8">
      <c r="A1660" s="21"/>
      <c r="B1660" s="22"/>
      <c r="C1660" s="22"/>
      <c r="D1660" s="22"/>
      <c r="E1660" s="23" t="str">
        <f>IF($D1660="","",IFERROR(VLOOKUP($D1660,'ACAS Capital Tracker'!$A:$H,8,FALSE()),""))</f>
        <v/>
      </c>
      <c r="F1660" s="24"/>
      <c r="G1660" s="25" t="str">
        <f>IF($D1660="","",IFERROR(VLOOKUP($D1660,'ACAS Capital Tracker'!$A:$D,4,FALSE()),""))</f>
        <v/>
      </c>
      <c r="H1660" s="22"/>
    </row>
    <row r="1661" spans="1:8">
      <c r="A1661" s="21"/>
      <c r="B1661" s="22"/>
      <c r="C1661" s="22"/>
      <c r="D1661" s="22"/>
      <c r="E1661" s="23" t="str">
        <f>IF($D1661="","",IFERROR(VLOOKUP($D1661,'ACAS Capital Tracker'!$A:$H,8,FALSE()),""))</f>
        <v/>
      </c>
      <c r="F1661" s="24"/>
      <c r="G1661" s="25" t="str">
        <f>IF($D1661="","",IFERROR(VLOOKUP($D1661,'ACAS Capital Tracker'!$A:$D,4,FALSE()),""))</f>
        <v/>
      </c>
      <c r="H1661" s="22"/>
    </row>
    <row r="1662" spans="1:8">
      <c r="A1662" s="21"/>
      <c r="B1662" s="22"/>
      <c r="C1662" s="22"/>
      <c r="D1662" s="22"/>
      <c r="E1662" s="23" t="str">
        <f>IF($D1662="","",IFERROR(VLOOKUP($D1662,'ACAS Capital Tracker'!$A:$H,8,FALSE()),""))</f>
        <v/>
      </c>
      <c r="F1662" s="24"/>
      <c r="G1662" s="25" t="str">
        <f>IF($D1662="","",IFERROR(VLOOKUP($D1662,'ACAS Capital Tracker'!$A:$D,4,FALSE()),""))</f>
        <v/>
      </c>
      <c r="H1662" s="22"/>
    </row>
    <row r="1663" spans="1:8">
      <c r="A1663" s="21"/>
      <c r="B1663" s="22"/>
      <c r="C1663" s="22"/>
      <c r="D1663" s="22"/>
      <c r="E1663" s="23" t="str">
        <f>IF($D1663="","",IFERROR(VLOOKUP($D1663,'ACAS Capital Tracker'!$A:$H,8,FALSE()),""))</f>
        <v/>
      </c>
      <c r="F1663" s="24"/>
      <c r="G1663" s="25" t="str">
        <f>IF($D1663="","",IFERROR(VLOOKUP($D1663,'ACAS Capital Tracker'!$A:$D,4,FALSE()),""))</f>
        <v/>
      </c>
      <c r="H1663" s="22"/>
    </row>
    <row r="1664" spans="1:8">
      <c r="A1664" s="21"/>
      <c r="B1664" s="22"/>
      <c r="C1664" s="22"/>
      <c r="D1664" s="22"/>
      <c r="E1664" s="23" t="str">
        <f>IF($D1664="","",IFERROR(VLOOKUP($D1664,'ACAS Capital Tracker'!$A:$H,8,FALSE()),""))</f>
        <v/>
      </c>
      <c r="F1664" s="24"/>
      <c r="G1664" s="25" t="str">
        <f>IF($D1664="","",IFERROR(VLOOKUP($D1664,'ACAS Capital Tracker'!$A:$D,4,FALSE()),""))</f>
        <v/>
      </c>
      <c r="H1664" s="22"/>
    </row>
    <row r="1665" spans="1:8">
      <c r="A1665" s="21"/>
      <c r="B1665" s="22"/>
      <c r="C1665" s="22"/>
      <c r="D1665" s="22"/>
      <c r="E1665" s="23" t="str">
        <f>IF($D1665="","",IFERROR(VLOOKUP($D1665,'ACAS Capital Tracker'!$A:$H,8,FALSE()),""))</f>
        <v/>
      </c>
      <c r="F1665" s="24"/>
      <c r="G1665" s="25" t="str">
        <f>IF($D1665="","",IFERROR(VLOOKUP($D1665,'ACAS Capital Tracker'!$A:$D,4,FALSE()),""))</f>
        <v/>
      </c>
      <c r="H1665" s="22"/>
    </row>
    <row r="1666" spans="1:8">
      <c r="A1666" s="21"/>
      <c r="B1666" s="22"/>
      <c r="C1666" s="22"/>
      <c r="D1666" s="22"/>
      <c r="E1666" s="23" t="str">
        <f>IF($D1666="","",IFERROR(VLOOKUP($D1666,'ACAS Capital Tracker'!$A:$H,8,FALSE()),""))</f>
        <v/>
      </c>
      <c r="F1666" s="24"/>
      <c r="G1666" s="25" t="str">
        <f>IF($D1666="","",IFERROR(VLOOKUP($D1666,'ACAS Capital Tracker'!$A:$D,4,FALSE()),""))</f>
        <v/>
      </c>
      <c r="H1666" s="22"/>
    </row>
    <row r="1667" spans="1:8">
      <c r="A1667" s="21"/>
      <c r="B1667" s="22"/>
      <c r="C1667" s="22"/>
      <c r="D1667" s="22"/>
      <c r="E1667" s="23" t="str">
        <f>IF($D1667="","",IFERROR(VLOOKUP($D1667,'ACAS Capital Tracker'!$A:$H,8,FALSE()),""))</f>
        <v/>
      </c>
      <c r="F1667" s="24"/>
      <c r="G1667" s="25" t="str">
        <f>IF($D1667="","",IFERROR(VLOOKUP($D1667,'ACAS Capital Tracker'!$A:$D,4,FALSE()),""))</f>
        <v/>
      </c>
      <c r="H1667" s="22"/>
    </row>
    <row r="1668" spans="1:8">
      <c r="A1668" s="21"/>
      <c r="B1668" s="22"/>
      <c r="C1668" s="22"/>
      <c r="D1668" s="22"/>
      <c r="E1668" s="23" t="str">
        <f>IF($D1668="","",IFERROR(VLOOKUP($D1668,'ACAS Capital Tracker'!$A:$H,8,FALSE()),""))</f>
        <v/>
      </c>
      <c r="F1668" s="24"/>
      <c r="G1668" s="25" t="str">
        <f>IF($D1668="","",IFERROR(VLOOKUP($D1668,'ACAS Capital Tracker'!$A:$D,4,FALSE()),""))</f>
        <v/>
      </c>
      <c r="H1668" s="22"/>
    </row>
    <row r="1669" spans="1:8">
      <c r="A1669" s="21"/>
      <c r="B1669" s="22"/>
      <c r="C1669" s="22"/>
      <c r="D1669" s="22"/>
      <c r="E1669" s="23" t="str">
        <f>IF($D1669="","",IFERROR(VLOOKUP($D1669,'ACAS Capital Tracker'!$A:$H,8,FALSE()),""))</f>
        <v/>
      </c>
      <c r="F1669" s="24"/>
      <c r="G1669" s="25" t="str">
        <f>IF($D1669="","",IFERROR(VLOOKUP($D1669,'ACAS Capital Tracker'!$A:$D,4,FALSE()),""))</f>
        <v/>
      </c>
      <c r="H1669" s="22"/>
    </row>
    <row r="1670" spans="1:8">
      <c r="A1670" s="21"/>
      <c r="B1670" s="22"/>
      <c r="C1670" s="22"/>
      <c r="D1670" s="22"/>
      <c r="E1670" s="23" t="str">
        <f>IF($D1670="","",IFERROR(VLOOKUP($D1670,'ACAS Capital Tracker'!$A:$H,8,FALSE()),""))</f>
        <v/>
      </c>
      <c r="F1670" s="24"/>
      <c r="G1670" s="25" t="str">
        <f>IF($D1670="","",IFERROR(VLOOKUP($D1670,'ACAS Capital Tracker'!$A:$D,4,FALSE()),""))</f>
        <v/>
      </c>
      <c r="H1670" s="22"/>
    </row>
    <row r="1671" spans="1:8">
      <c r="A1671" s="21"/>
      <c r="B1671" s="22"/>
      <c r="C1671" s="22"/>
      <c r="D1671" s="22"/>
      <c r="E1671" s="23" t="str">
        <f>IF($D1671="","",IFERROR(VLOOKUP($D1671,'ACAS Capital Tracker'!$A:$H,8,FALSE()),""))</f>
        <v/>
      </c>
      <c r="F1671" s="24"/>
      <c r="G1671" s="25" t="str">
        <f>IF($D1671="","",IFERROR(VLOOKUP($D1671,'ACAS Capital Tracker'!$A:$D,4,FALSE()),""))</f>
        <v/>
      </c>
      <c r="H1671" s="22"/>
    </row>
    <row r="1672" spans="1:8">
      <c r="A1672" s="21"/>
      <c r="B1672" s="22"/>
      <c r="C1672" s="22"/>
      <c r="D1672" s="22"/>
      <c r="E1672" s="23" t="str">
        <f>IF($D1672="","",IFERROR(VLOOKUP($D1672,'ACAS Capital Tracker'!$A:$H,8,FALSE()),""))</f>
        <v/>
      </c>
      <c r="F1672" s="24"/>
      <c r="G1672" s="25" t="str">
        <f>IF($D1672="","",IFERROR(VLOOKUP($D1672,'ACAS Capital Tracker'!$A:$D,4,FALSE()),""))</f>
        <v/>
      </c>
      <c r="H1672" s="22"/>
    </row>
    <row r="1673" spans="1:8">
      <c r="A1673" s="21"/>
      <c r="B1673" s="22"/>
      <c r="C1673" s="22"/>
      <c r="D1673" s="22"/>
      <c r="E1673" s="23" t="str">
        <f>IF($D1673="","",IFERROR(VLOOKUP($D1673,'ACAS Capital Tracker'!$A:$H,8,FALSE()),""))</f>
        <v/>
      </c>
      <c r="F1673" s="24"/>
      <c r="G1673" s="25" t="str">
        <f>IF($D1673="","",IFERROR(VLOOKUP($D1673,'ACAS Capital Tracker'!$A:$D,4,FALSE()),""))</f>
        <v/>
      </c>
      <c r="H1673" s="22"/>
    </row>
    <row r="1674" spans="1:8">
      <c r="A1674" s="21"/>
      <c r="B1674" s="22"/>
      <c r="C1674" s="22"/>
      <c r="D1674" s="22"/>
      <c r="E1674" s="23" t="str">
        <f>IF($D1674="","",IFERROR(VLOOKUP($D1674,'ACAS Capital Tracker'!$A:$H,8,FALSE()),""))</f>
        <v/>
      </c>
      <c r="F1674" s="24"/>
      <c r="G1674" s="25" t="str">
        <f>IF($D1674="","",IFERROR(VLOOKUP($D1674,'ACAS Capital Tracker'!$A:$D,4,FALSE()),""))</f>
        <v/>
      </c>
      <c r="H1674" s="22"/>
    </row>
    <row r="1675" spans="1:8">
      <c r="A1675" s="21"/>
      <c r="B1675" s="22"/>
      <c r="C1675" s="22"/>
      <c r="D1675" s="22"/>
      <c r="E1675" s="23" t="str">
        <f>IF($D1675="","",IFERROR(VLOOKUP($D1675,'ACAS Capital Tracker'!$A:$H,8,FALSE()),""))</f>
        <v/>
      </c>
      <c r="F1675" s="24"/>
      <c r="G1675" s="25" t="str">
        <f>IF($D1675="","",IFERROR(VLOOKUP($D1675,'ACAS Capital Tracker'!$A:$D,4,FALSE()),""))</f>
        <v/>
      </c>
      <c r="H1675" s="22"/>
    </row>
    <row r="1676" spans="1:8">
      <c r="A1676" s="21"/>
      <c r="B1676" s="22"/>
      <c r="C1676" s="22"/>
      <c r="D1676" s="22"/>
      <c r="E1676" s="23" t="str">
        <f>IF($D1676="","",IFERROR(VLOOKUP($D1676,'ACAS Capital Tracker'!$A:$H,8,FALSE()),""))</f>
        <v/>
      </c>
      <c r="F1676" s="24"/>
      <c r="G1676" s="25" t="str">
        <f>IF($D1676="","",IFERROR(VLOOKUP($D1676,'ACAS Capital Tracker'!$A:$D,4,FALSE()),""))</f>
        <v/>
      </c>
      <c r="H1676" s="22"/>
    </row>
    <row r="1677" spans="1:8">
      <c r="A1677" s="21"/>
      <c r="B1677" s="22"/>
      <c r="C1677" s="22"/>
      <c r="D1677" s="22"/>
      <c r="E1677" s="23" t="str">
        <f>IF($D1677="","",IFERROR(VLOOKUP($D1677,'ACAS Capital Tracker'!$A:$H,8,FALSE()),""))</f>
        <v/>
      </c>
      <c r="F1677" s="24"/>
      <c r="G1677" s="25" t="str">
        <f>IF($D1677="","",IFERROR(VLOOKUP($D1677,'ACAS Capital Tracker'!$A:$D,4,FALSE()),""))</f>
        <v/>
      </c>
      <c r="H1677" s="22"/>
    </row>
    <row r="1678" spans="1:8">
      <c r="A1678" s="21"/>
      <c r="B1678" s="22"/>
      <c r="C1678" s="22"/>
      <c r="D1678" s="22"/>
      <c r="E1678" s="23" t="str">
        <f>IF($D1678="","",IFERROR(VLOOKUP($D1678,'ACAS Capital Tracker'!$A:$H,8,FALSE()),""))</f>
        <v/>
      </c>
      <c r="F1678" s="24"/>
      <c r="G1678" s="25" t="str">
        <f>IF($D1678="","",IFERROR(VLOOKUP($D1678,'ACAS Capital Tracker'!$A:$D,4,FALSE()),""))</f>
        <v/>
      </c>
      <c r="H1678" s="22"/>
    </row>
    <row r="1679" spans="1:8">
      <c r="A1679" s="21"/>
      <c r="B1679" s="22"/>
      <c r="C1679" s="22"/>
      <c r="D1679" s="22"/>
      <c r="E1679" s="23" t="str">
        <f>IF($D1679="","",IFERROR(VLOOKUP($D1679,'ACAS Capital Tracker'!$A:$H,8,FALSE()),""))</f>
        <v/>
      </c>
      <c r="F1679" s="24"/>
      <c r="G1679" s="25" t="str">
        <f>IF($D1679="","",IFERROR(VLOOKUP($D1679,'ACAS Capital Tracker'!$A:$D,4,FALSE()),""))</f>
        <v/>
      </c>
      <c r="H1679" s="22"/>
    </row>
    <row r="1680" spans="1:8">
      <c r="A1680" s="21"/>
      <c r="B1680" s="22"/>
      <c r="C1680" s="22"/>
      <c r="D1680" s="22"/>
      <c r="E1680" s="23" t="str">
        <f>IF($D1680="","",IFERROR(VLOOKUP($D1680,'ACAS Capital Tracker'!$A:$H,8,FALSE()),""))</f>
        <v/>
      </c>
      <c r="F1680" s="24"/>
      <c r="G1680" s="25" t="str">
        <f>IF($D1680="","",IFERROR(VLOOKUP($D1680,'ACAS Capital Tracker'!$A:$D,4,FALSE()),""))</f>
        <v/>
      </c>
      <c r="H1680" s="22"/>
    </row>
    <row r="1681" spans="1:8">
      <c r="A1681" s="21"/>
      <c r="B1681" s="22"/>
      <c r="C1681" s="22"/>
      <c r="D1681" s="22"/>
      <c r="E1681" s="23" t="str">
        <f>IF($D1681="","",IFERROR(VLOOKUP($D1681,'ACAS Capital Tracker'!$A:$H,8,FALSE()),""))</f>
        <v/>
      </c>
      <c r="F1681" s="24"/>
      <c r="G1681" s="25" t="str">
        <f>IF($D1681="","",IFERROR(VLOOKUP($D1681,'ACAS Capital Tracker'!$A:$D,4,FALSE()),""))</f>
        <v/>
      </c>
      <c r="H1681" s="22"/>
    </row>
    <row r="1682" spans="1:8">
      <c r="A1682" s="21"/>
      <c r="B1682" s="22"/>
      <c r="C1682" s="22"/>
      <c r="D1682" s="22"/>
      <c r="E1682" s="23" t="str">
        <f>IF($D1682="","",IFERROR(VLOOKUP($D1682,'ACAS Capital Tracker'!$A:$H,8,FALSE()),""))</f>
        <v/>
      </c>
      <c r="F1682" s="24"/>
      <c r="G1682" s="25" t="str">
        <f>IF($D1682="","",IFERROR(VLOOKUP($D1682,'ACAS Capital Tracker'!$A:$D,4,FALSE()),""))</f>
        <v/>
      </c>
      <c r="H1682" s="22"/>
    </row>
    <row r="1683" spans="1:8">
      <c r="A1683" s="21"/>
      <c r="B1683" s="22"/>
      <c r="C1683" s="22"/>
      <c r="D1683" s="22"/>
      <c r="E1683" s="23" t="str">
        <f>IF($D1683="","",IFERROR(VLOOKUP($D1683,'ACAS Capital Tracker'!$A:$H,8,FALSE()),""))</f>
        <v/>
      </c>
      <c r="F1683" s="24"/>
      <c r="G1683" s="25" t="str">
        <f>IF($D1683="","",IFERROR(VLOOKUP($D1683,'ACAS Capital Tracker'!$A:$D,4,FALSE()),""))</f>
        <v/>
      </c>
      <c r="H1683" s="22"/>
    </row>
    <row r="1684" spans="1:8">
      <c r="A1684" s="21"/>
      <c r="B1684" s="22"/>
      <c r="C1684" s="22"/>
      <c r="D1684" s="22"/>
      <c r="E1684" s="23" t="str">
        <f>IF($D1684="","",IFERROR(VLOOKUP($D1684,'ACAS Capital Tracker'!$A:$H,8,FALSE()),""))</f>
        <v/>
      </c>
      <c r="F1684" s="24"/>
      <c r="G1684" s="25" t="str">
        <f>IF($D1684="","",IFERROR(VLOOKUP($D1684,'ACAS Capital Tracker'!$A:$D,4,FALSE()),""))</f>
        <v/>
      </c>
      <c r="H1684" s="22"/>
    </row>
    <row r="1685" spans="1:8">
      <c r="A1685" s="21"/>
      <c r="B1685" s="22"/>
      <c r="C1685" s="22"/>
      <c r="D1685" s="22"/>
      <c r="E1685" s="23" t="str">
        <f>IF($D1685="","",IFERROR(VLOOKUP($D1685,'ACAS Capital Tracker'!$A:$H,8,FALSE()),""))</f>
        <v/>
      </c>
      <c r="F1685" s="24"/>
      <c r="G1685" s="25" t="str">
        <f>IF($D1685="","",IFERROR(VLOOKUP($D1685,'ACAS Capital Tracker'!$A:$D,4,FALSE()),""))</f>
        <v/>
      </c>
      <c r="H1685" s="22"/>
    </row>
    <row r="1686" spans="1:8">
      <c r="A1686" s="21"/>
      <c r="B1686" s="22"/>
      <c r="C1686" s="22"/>
      <c r="D1686" s="22"/>
      <c r="E1686" s="23" t="str">
        <f>IF($D1686="","",IFERROR(VLOOKUP($D1686,'ACAS Capital Tracker'!$A:$H,8,FALSE()),""))</f>
        <v/>
      </c>
      <c r="F1686" s="24"/>
      <c r="G1686" s="25" t="str">
        <f>IF($D1686="","",IFERROR(VLOOKUP($D1686,'ACAS Capital Tracker'!$A:$D,4,FALSE()),""))</f>
        <v/>
      </c>
      <c r="H1686" s="22"/>
    </row>
    <row r="1687" spans="1:8">
      <c r="A1687" s="21"/>
      <c r="B1687" s="22"/>
      <c r="C1687" s="22"/>
      <c r="D1687" s="22"/>
      <c r="E1687" s="23" t="str">
        <f>IF($D1687="","",IFERROR(VLOOKUP($D1687,'ACAS Capital Tracker'!$A:$H,8,FALSE()),""))</f>
        <v/>
      </c>
      <c r="F1687" s="24"/>
      <c r="G1687" s="25" t="str">
        <f>IF($D1687="","",IFERROR(VLOOKUP($D1687,'ACAS Capital Tracker'!$A:$D,4,FALSE()),""))</f>
        <v/>
      </c>
      <c r="H1687" s="22"/>
    </row>
    <row r="1688" spans="1:8">
      <c r="A1688" s="21"/>
      <c r="B1688" s="22"/>
      <c r="C1688" s="22"/>
      <c r="D1688" s="22"/>
      <c r="E1688" s="23" t="str">
        <f>IF($D1688="","",IFERROR(VLOOKUP($D1688,'ACAS Capital Tracker'!$A:$H,8,FALSE()),""))</f>
        <v/>
      </c>
      <c r="F1688" s="24"/>
      <c r="G1688" s="25" t="str">
        <f>IF($D1688="","",IFERROR(VLOOKUP($D1688,'ACAS Capital Tracker'!$A:$D,4,FALSE()),""))</f>
        <v/>
      </c>
      <c r="H1688" s="22"/>
    </row>
    <row r="1689" spans="1:8">
      <c r="A1689" s="21"/>
      <c r="B1689" s="22"/>
      <c r="C1689" s="22"/>
      <c r="D1689" s="22"/>
      <c r="E1689" s="23" t="str">
        <f>IF($D1689="","",IFERROR(VLOOKUP($D1689,'ACAS Capital Tracker'!$A:$H,8,FALSE()),""))</f>
        <v/>
      </c>
      <c r="F1689" s="24"/>
      <c r="G1689" s="25" t="str">
        <f>IF($D1689="","",IFERROR(VLOOKUP($D1689,'ACAS Capital Tracker'!$A:$D,4,FALSE()),""))</f>
        <v/>
      </c>
      <c r="H1689" s="22"/>
    </row>
    <row r="1690" spans="1:8">
      <c r="A1690" s="21"/>
      <c r="B1690" s="22"/>
      <c r="C1690" s="22"/>
      <c r="D1690" s="22"/>
      <c r="E1690" s="23" t="str">
        <f>IF($D1690="","",IFERROR(VLOOKUP($D1690,'ACAS Capital Tracker'!$A:$H,8,FALSE()),""))</f>
        <v/>
      </c>
      <c r="F1690" s="24"/>
      <c r="G1690" s="25" t="str">
        <f>IF($D1690="","",IFERROR(VLOOKUP($D1690,'ACAS Capital Tracker'!$A:$D,4,FALSE()),""))</f>
        <v/>
      </c>
      <c r="H1690" s="22"/>
    </row>
    <row r="1691" spans="1:8">
      <c r="A1691" s="21"/>
      <c r="B1691" s="22"/>
      <c r="C1691" s="22"/>
      <c r="D1691" s="22"/>
      <c r="E1691" s="23" t="str">
        <f>IF($D1691="","",IFERROR(VLOOKUP($D1691,'ACAS Capital Tracker'!$A:$H,8,FALSE()),""))</f>
        <v/>
      </c>
      <c r="F1691" s="24"/>
      <c r="G1691" s="25" t="str">
        <f>IF($D1691="","",IFERROR(VLOOKUP($D1691,'ACAS Capital Tracker'!$A:$D,4,FALSE()),""))</f>
        <v/>
      </c>
      <c r="H1691" s="22"/>
    </row>
    <row r="1692" spans="1:8">
      <c r="A1692" s="21"/>
      <c r="B1692" s="22"/>
      <c r="C1692" s="22"/>
      <c r="D1692" s="22"/>
      <c r="E1692" s="23" t="str">
        <f>IF($D1692="","",IFERROR(VLOOKUP($D1692,'ACAS Capital Tracker'!$A:$H,8,FALSE()),""))</f>
        <v/>
      </c>
      <c r="F1692" s="24"/>
      <c r="G1692" s="25" t="str">
        <f>IF($D1692="","",IFERROR(VLOOKUP($D1692,'ACAS Capital Tracker'!$A:$D,4,FALSE()),""))</f>
        <v/>
      </c>
      <c r="H1692" s="22"/>
    </row>
    <row r="1693" spans="1:8">
      <c r="A1693" s="21"/>
      <c r="B1693" s="22"/>
      <c r="C1693" s="22"/>
      <c r="D1693" s="22"/>
      <c r="E1693" s="23" t="str">
        <f>IF($D1693="","",IFERROR(VLOOKUP($D1693,'ACAS Capital Tracker'!$A:$H,8,FALSE()),""))</f>
        <v/>
      </c>
      <c r="F1693" s="24"/>
      <c r="G1693" s="25" t="str">
        <f>IF($D1693="","",IFERROR(VLOOKUP($D1693,'ACAS Capital Tracker'!$A:$D,4,FALSE()),""))</f>
        <v/>
      </c>
      <c r="H1693" s="22"/>
    </row>
    <row r="1694" spans="1:8">
      <c r="A1694" s="21"/>
      <c r="B1694" s="22"/>
      <c r="C1694" s="22"/>
      <c r="D1694" s="22"/>
      <c r="E1694" s="23" t="str">
        <f>IF($D1694="","",IFERROR(VLOOKUP($D1694,'ACAS Capital Tracker'!$A:$H,8,FALSE()),""))</f>
        <v/>
      </c>
      <c r="F1694" s="24"/>
      <c r="G1694" s="25" t="str">
        <f>IF($D1694="","",IFERROR(VLOOKUP($D1694,'ACAS Capital Tracker'!$A:$D,4,FALSE()),""))</f>
        <v/>
      </c>
      <c r="H1694" s="22"/>
    </row>
    <row r="1695" spans="1:8">
      <c r="A1695" s="21"/>
      <c r="B1695" s="22"/>
      <c r="C1695" s="22"/>
      <c r="D1695" s="22"/>
      <c r="E1695" s="23" t="str">
        <f>IF($D1695="","",IFERROR(VLOOKUP($D1695,'ACAS Capital Tracker'!$A:$H,8,FALSE()),""))</f>
        <v/>
      </c>
      <c r="F1695" s="24"/>
      <c r="G1695" s="25" t="str">
        <f>IF($D1695="","",IFERROR(VLOOKUP($D1695,'ACAS Capital Tracker'!$A:$D,4,FALSE()),""))</f>
        <v/>
      </c>
      <c r="H1695" s="22"/>
    </row>
    <row r="1696" spans="1:8">
      <c r="A1696" s="21"/>
      <c r="B1696" s="22"/>
      <c r="C1696" s="22"/>
      <c r="D1696" s="22"/>
      <c r="E1696" s="23" t="str">
        <f>IF($D1696="","",IFERROR(VLOOKUP($D1696,'ACAS Capital Tracker'!$A:$H,8,FALSE()),""))</f>
        <v/>
      </c>
      <c r="F1696" s="24"/>
      <c r="G1696" s="25" t="str">
        <f>IF($D1696="","",IFERROR(VLOOKUP($D1696,'ACAS Capital Tracker'!$A:$D,4,FALSE()),""))</f>
        <v/>
      </c>
      <c r="H1696" s="22"/>
    </row>
    <row r="1697" spans="1:8">
      <c r="A1697" s="21"/>
      <c r="B1697" s="22"/>
      <c r="C1697" s="22"/>
      <c r="D1697" s="22"/>
      <c r="E1697" s="23" t="str">
        <f>IF($D1697="","",IFERROR(VLOOKUP($D1697,'ACAS Capital Tracker'!$A:$H,8,FALSE()),""))</f>
        <v/>
      </c>
      <c r="F1697" s="24"/>
      <c r="G1697" s="25" t="str">
        <f>IF($D1697="","",IFERROR(VLOOKUP($D1697,'ACAS Capital Tracker'!$A:$D,4,FALSE()),""))</f>
        <v/>
      </c>
      <c r="H1697" s="22"/>
    </row>
    <row r="1698" spans="1:8">
      <c r="A1698" s="21"/>
      <c r="B1698" s="22"/>
      <c r="C1698" s="22"/>
      <c r="D1698" s="22"/>
      <c r="E1698" s="23" t="str">
        <f>IF($D1698="","",IFERROR(VLOOKUP($D1698,'ACAS Capital Tracker'!$A:$H,8,FALSE()),""))</f>
        <v/>
      </c>
      <c r="F1698" s="24"/>
      <c r="G1698" s="25" t="str">
        <f>IF($D1698="","",IFERROR(VLOOKUP($D1698,'ACAS Capital Tracker'!$A:$D,4,FALSE()),""))</f>
        <v/>
      </c>
      <c r="H1698" s="22"/>
    </row>
    <row r="1699" spans="1:8">
      <c r="A1699" s="21"/>
      <c r="B1699" s="22"/>
      <c r="C1699" s="22"/>
      <c r="D1699" s="22"/>
      <c r="E1699" s="23" t="str">
        <f>IF($D1699="","",IFERROR(VLOOKUP($D1699,'ACAS Capital Tracker'!$A:$H,8,FALSE()),""))</f>
        <v/>
      </c>
      <c r="F1699" s="24"/>
      <c r="G1699" s="25" t="str">
        <f>IF($D1699="","",IFERROR(VLOOKUP($D1699,'ACAS Capital Tracker'!$A:$D,4,FALSE()),""))</f>
        <v/>
      </c>
      <c r="H1699" s="22"/>
    </row>
    <row r="1700" spans="1:8">
      <c r="A1700" s="21"/>
      <c r="B1700" s="22"/>
      <c r="C1700" s="22"/>
      <c r="D1700" s="22"/>
      <c r="E1700" s="23" t="str">
        <f>IF($D1700="","",IFERROR(VLOOKUP($D1700,'ACAS Capital Tracker'!$A:$H,8,FALSE()),""))</f>
        <v/>
      </c>
      <c r="F1700" s="24"/>
      <c r="G1700" s="25" t="str">
        <f>IF($D1700="","",IFERROR(VLOOKUP($D1700,'ACAS Capital Tracker'!$A:$D,4,FALSE()),""))</f>
        <v/>
      </c>
      <c r="H1700" s="22"/>
    </row>
    <row r="1701" spans="1:8">
      <c r="A1701" s="21"/>
      <c r="B1701" s="22"/>
      <c r="C1701" s="22"/>
      <c r="D1701" s="22"/>
      <c r="E1701" s="23" t="str">
        <f>IF($D1701="","",IFERROR(VLOOKUP($D1701,'ACAS Capital Tracker'!$A:$H,8,FALSE()),""))</f>
        <v/>
      </c>
      <c r="F1701" s="24"/>
      <c r="G1701" s="25" t="str">
        <f>IF($D1701="","",IFERROR(VLOOKUP($D1701,'ACAS Capital Tracker'!$A:$D,4,FALSE()),""))</f>
        <v/>
      </c>
      <c r="H1701" s="22"/>
    </row>
    <row r="1702" spans="1:8">
      <c r="A1702" s="21"/>
      <c r="B1702" s="22"/>
      <c r="C1702" s="22"/>
      <c r="D1702" s="22"/>
      <c r="E1702" s="23" t="str">
        <f>IF($D1702="","",IFERROR(VLOOKUP($D1702,'ACAS Capital Tracker'!$A:$H,8,FALSE()),""))</f>
        <v/>
      </c>
      <c r="F1702" s="24"/>
      <c r="G1702" s="25" t="str">
        <f>IF($D1702="","",IFERROR(VLOOKUP($D1702,'ACAS Capital Tracker'!$A:$D,4,FALSE()),""))</f>
        <v/>
      </c>
      <c r="H1702" s="22"/>
    </row>
    <row r="1703" spans="1:8">
      <c r="A1703" s="21"/>
      <c r="B1703" s="22"/>
      <c r="C1703" s="22"/>
      <c r="D1703" s="22"/>
      <c r="E1703" s="23" t="str">
        <f>IF($D1703="","",IFERROR(VLOOKUP($D1703,'ACAS Capital Tracker'!$A:$H,8,FALSE()),""))</f>
        <v/>
      </c>
      <c r="F1703" s="24"/>
      <c r="G1703" s="25" t="str">
        <f>IF($D1703="","",IFERROR(VLOOKUP($D1703,'ACAS Capital Tracker'!$A:$D,4,FALSE()),""))</f>
        <v/>
      </c>
      <c r="H1703" s="22"/>
    </row>
    <row r="1704" spans="1:8">
      <c r="A1704" s="21"/>
      <c r="B1704" s="22"/>
      <c r="C1704" s="22"/>
      <c r="D1704" s="22"/>
      <c r="E1704" s="23" t="str">
        <f>IF($D1704="","",IFERROR(VLOOKUP($D1704,'ACAS Capital Tracker'!$A:$H,8,FALSE()),""))</f>
        <v/>
      </c>
      <c r="F1704" s="24"/>
      <c r="G1704" s="25" t="str">
        <f>IF($D1704="","",IFERROR(VLOOKUP($D1704,'ACAS Capital Tracker'!$A:$D,4,FALSE()),""))</f>
        <v/>
      </c>
      <c r="H1704" s="22"/>
    </row>
    <row r="1705" spans="1:8">
      <c r="A1705" s="21"/>
      <c r="B1705" s="22"/>
      <c r="C1705" s="22"/>
      <c r="D1705" s="22"/>
      <c r="E1705" s="23" t="str">
        <f>IF($D1705="","",IFERROR(VLOOKUP($D1705,'ACAS Capital Tracker'!$A:$H,8,FALSE()),""))</f>
        <v/>
      </c>
      <c r="F1705" s="24"/>
      <c r="G1705" s="25" t="str">
        <f>IF($D1705="","",IFERROR(VLOOKUP($D1705,'ACAS Capital Tracker'!$A:$D,4,FALSE()),""))</f>
        <v/>
      </c>
      <c r="H1705" s="22"/>
    </row>
    <row r="1706" spans="1:8">
      <c r="A1706" s="21"/>
      <c r="B1706" s="22"/>
      <c r="C1706" s="22"/>
      <c r="D1706" s="22"/>
      <c r="E1706" s="23" t="str">
        <f>IF($D1706="","",IFERROR(VLOOKUP($D1706,'ACAS Capital Tracker'!$A:$H,8,FALSE()),""))</f>
        <v/>
      </c>
      <c r="F1706" s="24"/>
      <c r="G1706" s="25" t="str">
        <f>IF($D1706="","",IFERROR(VLOOKUP($D1706,'ACAS Capital Tracker'!$A:$D,4,FALSE()),""))</f>
        <v/>
      </c>
      <c r="H1706" s="22"/>
    </row>
    <row r="1707" spans="1:8">
      <c r="A1707" s="21"/>
      <c r="B1707" s="22"/>
      <c r="C1707" s="22"/>
      <c r="D1707" s="22"/>
      <c r="E1707" s="23" t="str">
        <f>IF($D1707="","",IFERROR(VLOOKUP($D1707,'ACAS Capital Tracker'!$A:$H,8,FALSE()),""))</f>
        <v/>
      </c>
      <c r="F1707" s="24"/>
      <c r="G1707" s="25" t="str">
        <f>IF($D1707="","",IFERROR(VLOOKUP($D1707,'ACAS Capital Tracker'!$A:$D,4,FALSE()),""))</f>
        <v/>
      </c>
      <c r="H1707" s="22"/>
    </row>
    <row r="1708" spans="1:8">
      <c r="A1708" s="21"/>
      <c r="B1708" s="22"/>
      <c r="C1708" s="22"/>
      <c r="D1708" s="22"/>
      <c r="E1708" s="23" t="str">
        <f>IF($D1708="","",IFERROR(VLOOKUP($D1708,'ACAS Capital Tracker'!$A:$H,8,FALSE()),""))</f>
        <v/>
      </c>
      <c r="F1708" s="24"/>
      <c r="G1708" s="25" t="str">
        <f>IF($D1708="","",IFERROR(VLOOKUP($D1708,'ACAS Capital Tracker'!$A:$D,4,FALSE()),""))</f>
        <v/>
      </c>
      <c r="H1708" s="22"/>
    </row>
    <row r="1709" spans="1:8">
      <c r="A1709" s="21"/>
      <c r="B1709" s="22"/>
      <c r="C1709" s="22"/>
      <c r="D1709" s="22"/>
      <c r="E1709" s="23" t="str">
        <f>IF($D1709="","",IFERROR(VLOOKUP($D1709,'ACAS Capital Tracker'!$A:$H,8,FALSE()),""))</f>
        <v/>
      </c>
      <c r="F1709" s="24"/>
      <c r="G1709" s="25" t="str">
        <f>IF($D1709="","",IFERROR(VLOOKUP($D1709,'ACAS Capital Tracker'!$A:$D,4,FALSE()),""))</f>
        <v/>
      </c>
      <c r="H1709" s="22"/>
    </row>
    <row r="1710" spans="1:8">
      <c r="A1710" s="21"/>
      <c r="B1710" s="22"/>
      <c r="C1710" s="22"/>
      <c r="D1710" s="22"/>
      <c r="E1710" s="23" t="str">
        <f>IF($D1710="","",IFERROR(VLOOKUP($D1710,'ACAS Capital Tracker'!$A:$H,8,FALSE()),""))</f>
        <v/>
      </c>
      <c r="F1710" s="24"/>
      <c r="G1710" s="25" t="str">
        <f>IF($D1710="","",IFERROR(VLOOKUP($D1710,'ACAS Capital Tracker'!$A:$D,4,FALSE()),""))</f>
        <v/>
      </c>
      <c r="H1710" s="22"/>
    </row>
    <row r="1711" spans="1:8">
      <c r="A1711" s="21"/>
      <c r="B1711" s="22"/>
      <c r="C1711" s="22"/>
      <c r="D1711" s="22"/>
      <c r="E1711" s="23" t="str">
        <f>IF($D1711="","",IFERROR(VLOOKUP($D1711,'ACAS Capital Tracker'!$A:$H,8,FALSE()),""))</f>
        <v/>
      </c>
      <c r="F1711" s="24"/>
      <c r="G1711" s="25" t="str">
        <f>IF($D1711="","",IFERROR(VLOOKUP($D1711,'ACAS Capital Tracker'!$A:$D,4,FALSE()),""))</f>
        <v/>
      </c>
      <c r="H1711" s="22"/>
    </row>
    <row r="1712" spans="1:8">
      <c r="A1712" s="21"/>
      <c r="B1712" s="22"/>
      <c r="C1712" s="22"/>
      <c r="D1712" s="22"/>
      <c r="E1712" s="23" t="str">
        <f>IF($D1712="","",IFERROR(VLOOKUP($D1712,'ACAS Capital Tracker'!$A:$H,8,FALSE()),""))</f>
        <v/>
      </c>
      <c r="F1712" s="24"/>
      <c r="G1712" s="25" t="str">
        <f>IF($D1712="","",IFERROR(VLOOKUP($D1712,'ACAS Capital Tracker'!$A:$D,4,FALSE()),""))</f>
        <v/>
      </c>
      <c r="H1712" s="22"/>
    </row>
    <row r="1713" spans="1:8">
      <c r="A1713" s="21"/>
      <c r="B1713" s="22"/>
      <c r="C1713" s="22"/>
      <c r="D1713" s="22"/>
      <c r="E1713" s="23" t="str">
        <f>IF($D1713="","",IFERROR(VLOOKUP($D1713,'ACAS Capital Tracker'!$A:$H,8,FALSE()),""))</f>
        <v/>
      </c>
      <c r="F1713" s="24"/>
      <c r="G1713" s="25" t="str">
        <f>IF($D1713="","",IFERROR(VLOOKUP($D1713,'ACAS Capital Tracker'!$A:$D,4,FALSE()),""))</f>
        <v/>
      </c>
      <c r="H1713" s="22"/>
    </row>
    <row r="1714" spans="1:8">
      <c r="A1714" s="21"/>
      <c r="B1714" s="22"/>
      <c r="C1714" s="22"/>
      <c r="D1714" s="22"/>
      <c r="E1714" s="23" t="str">
        <f>IF($D1714="","",IFERROR(VLOOKUP($D1714,'ACAS Capital Tracker'!$A:$H,8,FALSE()),""))</f>
        <v/>
      </c>
      <c r="F1714" s="24"/>
      <c r="G1714" s="25" t="str">
        <f>IF($D1714="","",IFERROR(VLOOKUP($D1714,'ACAS Capital Tracker'!$A:$D,4,FALSE()),""))</f>
        <v/>
      </c>
      <c r="H1714" s="22"/>
    </row>
    <row r="1715" spans="1:8">
      <c r="A1715" s="21"/>
      <c r="B1715" s="22"/>
      <c r="C1715" s="22"/>
      <c r="D1715" s="22"/>
      <c r="E1715" s="23" t="str">
        <f>IF($D1715="","",IFERROR(VLOOKUP($D1715,'ACAS Capital Tracker'!$A:$H,8,FALSE()),""))</f>
        <v/>
      </c>
      <c r="F1715" s="24"/>
      <c r="G1715" s="25" t="str">
        <f>IF($D1715="","",IFERROR(VLOOKUP($D1715,'ACAS Capital Tracker'!$A:$D,4,FALSE()),""))</f>
        <v/>
      </c>
      <c r="H1715" s="22"/>
    </row>
    <row r="1716" spans="1:8">
      <c r="A1716" s="21"/>
      <c r="B1716" s="22"/>
      <c r="C1716" s="22"/>
      <c r="D1716" s="22"/>
      <c r="E1716" s="23" t="str">
        <f>IF($D1716="","",IFERROR(VLOOKUP($D1716,'ACAS Capital Tracker'!$A:$H,8,FALSE()),""))</f>
        <v/>
      </c>
      <c r="F1716" s="24"/>
      <c r="G1716" s="25" t="str">
        <f>IF($D1716="","",IFERROR(VLOOKUP($D1716,'ACAS Capital Tracker'!$A:$D,4,FALSE()),""))</f>
        <v/>
      </c>
      <c r="H1716" s="22"/>
    </row>
    <row r="1717" spans="1:8">
      <c r="A1717" s="21"/>
      <c r="B1717" s="22"/>
      <c r="C1717" s="22"/>
      <c r="D1717" s="22"/>
      <c r="E1717" s="23" t="str">
        <f>IF($D1717="","",IFERROR(VLOOKUP($D1717,'ACAS Capital Tracker'!$A:$H,8,FALSE()),""))</f>
        <v/>
      </c>
      <c r="F1717" s="24"/>
      <c r="G1717" s="25" t="str">
        <f>IF($D1717="","",IFERROR(VLOOKUP($D1717,'ACAS Capital Tracker'!$A:$D,4,FALSE()),""))</f>
        <v/>
      </c>
      <c r="H1717" s="22"/>
    </row>
    <row r="1718" spans="1:8">
      <c r="A1718" s="21"/>
      <c r="B1718" s="22"/>
      <c r="C1718" s="22"/>
      <c r="D1718" s="22"/>
      <c r="E1718" s="23" t="str">
        <f>IF($D1718="","",IFERROR(VLOOKUP($D1718,'ACAS Capital Tracker'!$A:$H,8,FALSE()),""))</f>
        <v/>
      </c>
      <c r="F1718" s="24"/>
      <c r="G1718" s="25" t="str">
        <f>IF($D1718="","",IFERROR(VLOOKUP($D1718,'ACAS Capital Tracker'!$A:$D,4,FALSE()),""))</f>
        <v/>
      </c>
      <c r="H1718" s="22"/>
    </row>
    <row r="1719" spans="1:8">
      <c r="A1719" s="21"/>
      <c r="B1719" s="22"/>
      <c r="C1719" s="22"/>
      <c r="D1719" s="22"/>
      <c r="E1719" s="23" t="str">
        <f>IF($D1719="","",IFERROR(VLOOKUP($D1719,'ACAS Capital Tracker'!$A:$H,8,FALSE()),""))</f>
        <v/>
      </c>
      <c r="F1719" s="24"/>
      <c r="G1719" s="25" t="str">
        <f>IF($D1719="","",IFERROR(VLOOKUP($D1719,'ACAS Capital Tracker'!$A:$D,4,FALSE()),""))</f>
        <v/>
      </c>
      <c r="H1719" s="22"/>
    </row>
    <row r="1720" spans="1:8">
      <c r="A1720" s="21"/>
      <c r="B1720" s="22"/>
      <c r="C1720" s="22"/>
      <c r="D1720" s="22"/>
      <c r="E1720" s="23" t="str">
        <f>IF($D1720="","",IFERROR(VLOOKUP($D1720,'ACAS Capital Tracker'!$A:$H,8,FALSE()),""))</f>
        <v/>
      </c>
      <c r="F1720" s="24"/>
      <c r="G1720" s="25" t="str">
        <f>IF($D1720="","",IFERROR(VLOOKUP($D1720,'ACAS Capital Tracker'!$A:$D,4,FALSE()),""))</f>
        <v/>
      </c>
      <c r="H1720" s="22"/>
    </row>
    <row r="1721" spans="1:8">
      <c r="A1721" s="21"/>
      <c r="B1721" s="22"/>
      <c r="C1721" s="22"/>
      <c r="D1721" s="22"/>
      <c r="E1721" s="23" t="str">
        <f>IF($D1721="","",IFERROR(VLOOKUP($D1721,'ACAS Capital Tracker'!$A:$H,8,FALSE()),""))</f>
        <v/>
      </c>
      <c r="F1721" s="24"/>
      <c r="G1721" s="25" t="str">
        <f>IF($D1721="","",IFERROR(VLOOKUP($D1721,'ACAS Capital Tracker'!$A:$D,4,FALSE()),""))</f>
        <v/>
      </c>
      <c r="H1721" s="22"/>
    </row>
    <row r="1722" spans="1:8">
      <c r="A1722" s="21"/>
      <c r="B1722" s="22"/>
      <c r="C1722" s="22"/>
      <c r="D1722" s="22"/>
      <c r="E1722" s="23" t="str">
        <f>IF($D1722="","",IFERROR(VLOOKUP($D1722,'ACAS Capital Tracker'!$A:$H,8,FALSE()),""))</f>
        <v/>
      </c>
      <c r="F1722" s="24"/>
      <c r="G1722" s="25" t="str">
        <f>IF($D1722="","",IFERROR(VLOOKUP($D1722,'ACAS Capital Tracker'!$A:$D,4,FALSE()),""))</f>
        <v/>
      </c>
      <c r="H1722" s="22"/>
    </row>
    <row r="1723" spans="1:8">
      <c r="A1723" s="21"/>
      <c r="B1723" s="22"/>
      <c r="C1723" s="22"/>
      <c r="D1723" s="22"/>
      <c r="E1723" s="23" t="str">
        <f>IF($D1723="","",IFERROR(VLOOKUP($D1723,'ACAS Capital Tracker'!$A:$H,8,FALSE()),""))</f>
        <v/>
      </c>
      <c r="F1723" s="24"/>
      <c r="G1723" s="25" t="str">
        <f>IF($D1723="","",IFERROR(VLOOKUP($D1723,'ACAS Capital Tracker'!$A:$D,4,FALSE()),""))</f>
        <v/>
      </c>
      <c r="H1723" s="22"/>
    </row>
    <row r="1724" spans="1:8">
      <c r="A1724" s="21"/>
      <c r="B1724" s="22"/>
      <c r="C1724" s="22"/>
      <c r="D1724" s="22"/>
      <c r="E1724" s="23" t="str">
        <f>IF($D1724="","",IFERROR(VLOOKUP($D1724,'ACAS Capital Tracker'!$A:$H,8,FALSE()),""))</f>
        <v/>
      </c>
      <c r="F1724" s="24"/>
      <c r="G1724" s="25" t="str">
        <f>IF($D1724="","",IFERROR(VLOOKUP($D1724,'ACAS Capital Tracker'!$A:$D,4,FALSE()),""))</f>
        <v/>
      </c>
      <c r="H1724" s="22"/>
    </row>
    <row r="1725" spans="1:8">
      <c r="A1725" s="21"/>
      <c r="B1725" s="22"/>
      <c r="C1725" s="22"/>
      <c r="D1725" s="22"/>
      <c r="E1725" s="23" t="str">
        <f>IF($D1725="","",IFERROR(VLOOKUP($D1725,'ACAS Capital Tracker'!$A:$H,8,FALSE()),""))</f>
        <v/>
      </c>
      <c r="F1725" s="24"/>
      <c r="G1725" s="25" t="str">
        <f>IF($D1725="","",IFERROR(VLOOKUP($D1725,'ACAS Capital Tracker'!$A:$D,4,FALSE()),""))</f>
        <v/>
      </c>
      <c r="H1725" s="22"/>
    </row>
    <row r="1726" spans="1:8">
      <c r="A1726" s="21"/>
      <c r="B1726" s="22"/>
      <c r="C1726" s="22"/>
      <c r="D1726" s="22"/>
      <c r="E1726" s="23" t="str">
        <f>IF($D1726="","",IFERROR(VLOOKUP($D1726,'ACAS Capital Tracker'!$A:$H,8,FALSE()),""))</f>
        <v/>
      </c>
      <c r="F1726" s="24"/>
      <c r="G1726" s="25" t="str">
        <f>IF($D1726="","",IFERROR(VLOOKUP($D1726,'ACAS Capital Tracker'!$A:$D,4,FALSE()),""))</f>
        <v/>
      </c>
      <c r="H1726" s="22"/>
    </row>
    <row r="1727" spans="1:8">
      <c r="A1727" s="21"/>
      <c r="B1727" s="22"/>
      <c r="C1727" s="22"/>
      <c r="D1727" s="22"/>
      <c r="E1727" s="23" t="str">
        <f>IF($D1727="","",IFERROR(VLOOKUP($D1727,'ACAS Capital Tracker'!$A:$H,8,FALSE()),""))</f>
        <v/>
      </c>
      <c r="F1727" s="24"/>
      <c r="G1727" s="25" t="str">
        <f>IF($D1727="","",IFERROR(VLOOKUP($D1727,'ACAS Capital Tracker'!$A:$D,4,FALSE()),""))</f>
        <v/>
      </c>
      <c r="H1727" s="22"/>
    </row>
    <row r="1728" spans="1:8">
      <c r="A1728" s="21"/>
      <c r="B1728" s="22"/>
      <c r="C1728" s="22"/>
      <c r="D1728" s="22"/>
      <c r="E1728" s="23" t="str">
        <f>IF($D1728="","",IFERROR(VLOOKUP($D1728,'ACAS Capital Tracker'!$A:$H,8,FALSE()),""))</f>
        <v/>
      </c>
      <c r="F1728" s="24"/>
      <c r="G1728" s="25" t="str">
        <f>IF($D1728="","",IFERROR(VLOOKUP($D1728,'ACAS Capital Tracker'!$A:$D,4,FALSE()),""))</f>
        <v/>
      </c>
      <c r="H1728" s="22"/>
    </row>
    <row r="1729" spans="1:8">
      <c r="A1729" s="21"/>
      <c r="B1729" s="22"/>
      <c r="C1729" s="22"/>
      <c r="D1729" s="22"/>
      <c r="E1729" s="23" t="str">
        <f>IF($D1729="","",IFERROR(VLOOKUP($D1729,'ACAS Capital Tracker'!$A:$H,8,FALSE()),""))</f>
        <v/>
      </c>
      <c r="F1729" s="24"/>
      <c r="G1729" s="25" t="str">
        <f>IF($D1729="","",IFERROR(VLOOKUP($D1729,'ACAS Capital Tracker'!$A:$D,4,FALSE()),""))</f>
        <v/>
      </c>
      <c r="H1729" s="22"/>
    </row>
    <row r="1730" spans="1:8">
      <c r="A1730" s="21"/>
      <c r="B1730" s="22"/>
      <c r="C1730" s="22"/>
      <c r="D1730" s="22"/>
      <c r="E1730" s="23" t="str">
        <f>IF($D1730="","",IFERROR(VLOOKUP($D1730,'ACAS Capital Tracker'!$A:$H,8,FALSE()),""))</f>
        <v/>
      </c>
      <c r="F1730" s="24"/>
      <c r="G1730" s="25" t="str">
        <f>IF($D1730="","",IFERROR(VLOOKUP($D1730,'ACAS Capital Tracker'!$A:$D,4,FALSE()),""))</f>
        <v/>
      </c>
      <c r="H1730" s="22"/>
    </row>
    <row r="1731" spans="1:8">
      <c r="A1731" s="21"/>
      <c r="B1731" s="22"/>
      <c r="C1731" s="22"/>
      <c r="D1731" s="22"/>
      <c r="E1731" s="23" t="str">
        <f>IF($D1731="","",IFERROR(VLOOKUP($D1731,'ACAS Capital Tracker'!$A:$H,8,FALSE()),""))</f>
        <v/>
      </c>
      <c r="F1731" s="24"/>
      <c r="G1731" s="25" t="str">
        <f>IF($D1731="","",IFERROR(VLOOKUP($D1731,'ACAS Capital Tracker'!$A:$D,4,FALSE()),""))</f>
        <v/>
      </c>
      <c r="H1731" s="22"/>
    </row>
    <row r="1732" spans="1:8">
      <c r="A1732" s="21"/>
      <c r="B1732" s="22"/>
      <c r="C1732" s="22"/>
      <c r="D1732" s="22"/>
      <c r="E1732" s="23" t="str">
        <f>IF($D1732="","",IFERROR(VLOOKUP($D1732,'ACAS Capital Tracker'!$A:$H,8,FALSE()),""))</f>
        <v/>
      </c>
      <c r="F1732" s="24"/>
      <c r="G1732" s="25" t="str">
        <f>IF($D1732="","",IFERROR(VLOOKUP($D1732,'ACAS Capital Tracker'!$A:$D,4,FALSE()),""))</f>
        <v/>
      </c>
      <c r="H1732" s="22"/>
    </row>
    <row r="1733" spans="1:8">
      <c r="A1733" s="21"/>
      <c r="B1733" s="22"/>
      <c r="C1733" s="22"/>
      <c r="D1733" s="22"/>
      <c r="E1733" s="23" t="str">
        <f>IF($D1733="","",IFERROR(VLOOKUP($D1733,'ACAS Capital Tracker'!$A:$H,8,FALSE()),""))</f>
        <v/>
      </c>
      <c r="F1733" s="24"/>
      <c r="G1733" s="25" t="str">
        <f>IF($D1733="","",IFERROR(VLOOKUP($D1733,'ACAS Capital Tracker'!$A:$D,4,FALSE()),""))</f>
        <v/>
      </c>
      <c r="H1733" s="22"/>
    </row>
    <row r="1734" spans="1:8">
      <c r="A1734" s="21"/>
      <c r="B1734" s="22"/>
      <c r="C1734" s="22"/>
      <c r="D1734" s="22"/>
      <c r="E1734" s="23" t="str">
        <f>IF($D1734="","",IFERROR(VLOOKUP($D1734,'ACAS Capital Tracker'!$A:$H,8,FALSE()),""))</f>
        <v/>
      </c>
      <c r="F1734" s="24"/>
      <c r="G1734" s="25" t="str">
        <f>IF($D1734="","",IFERROR(VLOOKUP($D1734,'ACAS Capital Tracker'!$A:$D,4,FALSE()),""))</f>
        <v/>
      </c>
      <c r="H1734" s="22"/>
    </row>
    <row r="1735" spans="1:8">
      <c r="A1735" s="21"/>
      <c r="B1735" s="22"/>
      <c r="C1735" s="22"/>
      <c r="D1735" s="22"/>
      <c r="E1735" s="23" t="str">
        <f>IF($D1735="","",IFERROR(VLOOKUP($D1735,'ACAS Capital Tracker'!$A:$H,8,FALSE()),""))</f>
        <v/>
      </c>
      <c r="F1735" s="24"/>
      <c r="G1735" s="25" t="str">
        <f>IF($D1735="","",IFERROR(VLOOKUP($D1735,'ACAS Capital Tracker'!$A:$D,4,FALSE()),""))</f>
        <v/>
      </c>
      <c r="H1735" s="22"/>
    </row>
    <row r="1736" spans="1:8">
      <c r="A1736" s="21"/>
      <c r="B1736" s="22"/>
      <c r="C1736" s="22"/>
      <c r="D1736" s="22"/>
      <c r="E1736" s="23" t="str">
        <f>IF($D1736="","",IFERROR(VLOOKUP($D1736,'ACAS Capital Tracker'!$A:$H,8,FALSE()),""))</f>
        <v/>
      </c>
      <c r="F1736" s="24"/>
      <c r="G1736" s="25" t="str">
        <f>IF($D1736="","",IFERROR(VLOOKUP($D1736,'ACAS Capital Tracker'!$A:$D,4,FALSE()),""))</f>
        <v/>
      </c>
      <c r="H1736" s="22"/>
    </row>
    <row r="1737" spans="1:8">
      <c r="A1737" s="21"/>
      <c r="B1737" s="22"/>
      <c r="C1737" s="22"/>
      <c r="D1737" s="22"/>
      <c r="E1737" s="23" t="str">
        <f>IF($D1737="","",IFERROR(VLOOKUP($D1737,'ACAS Capital Tracker'!$A:$H,8,FALSE()),""))</f>
        <v/>
      </c>
      <c r="F1737" s="24"/>
      <c r="G1737" s="25" t="str">
        <f>IF($D1737="","",IFERROR(VLOOKUP($D1737,'ACAS Capital Tracker'!$A:$D,4,FALSE()),""))</f>
        <v/>
      </c>
      <c r="H1737" s="22"/>
    </row>
    <row r="1738" spans="1:8">
      <c r="A1738" s="21"/>
      <c r="B1738" s="22"/>
      <c r="C1738" s="22"/>
      <c r="D1738" s="22"/>
      <c r="E1738" s="23" t="str">
        <f>IF($D1738="","",IFERROR(VLOOKUP($D1738,'ACAS Capital Tracker'!$A:$H,8,FALSE()),""))</f>
        <v/>
      </c>
      <c r="F1738" s="24"/>
      <c r="G1738" s="25" t="str">
        <f>IF($D1738="","",IFERROR(VLOOKUP($D1738,'ACAS Capital Tracker'!$A:$D,4,FALSE()),""))</f>
        <v/>
      </c>
      <c r="H1738" s="22"/>
    </row>
    <row r="1739" spans="1:8">
      <c r="A1739" s="21"/>
      <c r="B1739" s="22"/>
      <c r="C1739" s="22"/>
      <c r="D1739" s="22"/>
      <c r="E1739" s="23" t="str">
        <f>IF($D1739="","",IFERROR(VLOOKUP($D1739,'ACAS Capital Tracker'!$A:$H,8,FALSE()),""))</f>
        <v/>
      </c>
      <c r="F1739" s="24"/>
      <c r="G1739" s="25" t="str">
        <f>IF($D1739="","",IFERROR(VLOOKUP($D1739,'ACAS Capital Tracker'!$A:$D,4,FALSE()),""))</f>
        <v/>
      </c>
      <c r="H1739" s="22"/>
    </row>
    <row r="1740" spans="1:8">
      <c r="A1740" s="21"/>
      <c r="B1740" s="22"/>
      <c r="C1740" s="22"/>
      <c r="D1740" s="22"/>
      <c r="E1740" s="23" t="str">
        <f>IF($D1740="","",IFERROR(VLOOKUP($D1740,'ACAS Capital Tracker'!$A:$H,8,FALSE()),""))</f>
        <v/>
      </c>
      <c r="F1740" s="24"/>
      <c r="G1740" s="25" t="str">
        <f>IF($D1740="","",IFERROR(VLOOKUP($D1740,'ACAS Capital Tracker'!$A:$D,4,FALSE()),""))</f>
        <v/>
      </c>
      <c r="H1740" s="22"/>
    </row>
    <row r="1741" spans="1:8">
      <c r="A1741" s="21"/>
      <c r="B1741" s="22"/>
      <c r="C1741" s="22"/>
      <c r="D1741" s="22"/>
      <c r="E1741" s="23" t="str">
        <f>IF($D1741="","",IFERROR(VLOOKUP($D1741,'ACAS Capital Tracker'!$A:$H,8,FALSE()),""))</f>
        <v/>
      </c>
      <c r="F1741" s="24"/>
      <c r="G1741" s="25" t="str">
        <f>IF($D1741="","",IFERROR(VLOOKUP($D1741,'ACAS Capital Tracker'!$A:$D,4,FALSE()),""))</f>
        <v/>
      </c>
      <c r="H1741" s="22"/>
    </row>
    <row r="1742" spans="1:8">
      <c r="A1742" s="21"/>
      <c r="B1742" s="22"/>
      <c r="C1742" s="22"/>
      <c r="D1742" s="22"/>
      <c r="E1742" s="23" t="str">
        <f>IF($D1742="","",IFERROR(VLOOKUP($D1742,'ACAS Capital Tracker'!$A:$H,8,FALSE()),""))</f>
        <v/>
      </c>
      <c r="F1742" s="24"/>
      <c r="G1742" s="25" t="str">
        <f>IF($D1742="","",IFERROR(VLOOKUP($D1742,'ACAS Capital Tracker'!$A:$D,4,FALSE()),""))</f>
        <v/>
      </c>
      <c r="H1742" s="22"/>
    </row>
    <row r="1743" spans="1:8">
      <c r="A1743" s="21"/>
      <c r="B1743" s="22"/>
      <c r="C1743" s="22"/>
      <c r="D1743" s="22"/>
      <c r="E1743" s="23" t="str">
        <f>IF($D1743="","",IFERROR(VLOOKUP($D1743,'ACAS Capital Tracker'!$A:$H,8,FALSE()),""))</f>
        <v/>
      </c>
      <c r="F1743" s="24"/>
      <c r="G1743" s="25" t="str">
        <f>IF($D1743="","",IFERROR(VLOOKUP($D1743,'ACAS Capital Tracker'!$A:$D,4,FALSE()),""))</f>
        <v/>
      </c>
      <c r="H1743" s="22"/>
    </row>
    <row r="1744" spans="1:8">
      <c r="A1744" s="21"/>
      <c r="B1744" s="22"/>
      <c r="C1744" s="22"/>
      <c r="D1744" s="22"/>
      <c r="E1744" s="23" t="str">
        <f>IF($D1744="","",IFERROR(VLOOKUP($D1744,'ACAS Capital Tracker'!$A:$H,8,FALSE()),""))</f>
        <v/>
      </c>
      <c r="F1744" s="24"/>
      <c r="G1744" s="25" t="str">
        <f>IF($D1744="","",IFERROR(VLOOKUP($D1744,'ACAS Capital Tracker'!$A:$D,4,FALSE()),""))</f>
        <v/>
      </c>
      <c r="H1744" s="22"/>
    </row>
    <row r="1745" spans="1:8">
      <c r="A1745" s="21"/>
      <c r="B1745" s="22"/>
      <c r="C1745" s="22"/>
      <c r="D1745" s="22"/>
      <c r="E1745" s="23" t="str">
        <f>IF($D1745="","",IFERROR(VLOOKUP($D1745,'ACAS Capital Tracker'!$A:$H,8,FALSE()),""))</f>
        <v/>
      </c>
      <c r="F1745" s="24"/>
      <c r="G1745" s="25" t="str">
        <f>IF($D1745="","",IFERROR(VLOOKUP($D1745,'ACAS Capital Tracker'!$A:$D,4,FALSE()),""))</f>
        <v/>
      </c>
      <c r="H1745" s="22"/>
    </row>
    <row r="1746" spans="1:8">
      <c r="A1746" s="21"/>
      <c r="B1746" s="22"/>
      <c r="C1746" s="22"/>
      <c r="D1746" s="22"/>
      <c r="E1746" s="23" t="str">
        <f>IF($D1746="","",IFERROR(VLOOKUP($D1746,'ACAS Capital Tracker'!$A:$H,8,FALSE()),""))</f>
        <v/>
      </c>
      <c r="F1746" s="24"/>
      <c r="G1746" s="25" t="str">
        <f>IF($D1746="","",IFERROR(VLOOKUP($D1746,'ACAS Capital Tracker'!$A:$D,4,FALSE()),""))</f>
        <v/>
      </c>
      <c r="H1746" s="22"/>
    </row>
    <row r="1747" spans="1:8">
      <c r="A1747" s="21"/>
      <c r="B1747" s="22"/>
      <c r="C1747" s="22"/>
      <c r="D1747" s="22"/>
      <c r="E1747" s="23" t="str">
        <f>IF($D1747="","",IFERROR(VLOOKUP($D1747,'ACAS Capital Tracker'!$A:$H,8,FALSE()),""))</f>
        <v/>
      </c>
      <c r="F1747" s="24"/>
      <c r="G1747" s="25" t="str">
        <f>IF($D1747="","",IFERROR(VLOOKUP($D1747,'ACAS Capital Tracker'!$A:$D,4,FALSE()),""))</f>
        <v/>
      </c>
      <c r="H1747" s="22"/>
    </row>
    <row r="1748" spans="1:8">
      <c r="A1748" s="21"/>
      <c r="B1748" s="22"/>
      <c r="C1748" s="22"/>
      <c r="D1748" s="22"/>
      <c r="E1748" s="23" t="str">
        <f>IF($D1748="","",IFERROR(VLOOKUP($D1748,'ACAS Capital Tracker'!$A:$H,8,FALSE()),""))</f>
        <v/>
      </c>
      <c r="F1748" s="24"/>
      <c r="G1748" s="25" t="str">
        <f>IF($D1748="","",IFERROR(VLOOKUP($D1748,'ACAS Capital Tracker'!$A:$D,4,FALSE()),""))</f>
        <v/>
      </c>
      <c r="H1748" s="22"/>
    </row>
    <row r="1749" spans="1:8">
      <c r="A1749" s="21"/>
      <c r="B1749" s="22"/>
      <c r="C1749" s="22"/>
      <c r="D1749" s="22"/>
      <c r="E1749" s="23" t="str">
        <f>IF($D1749="","",IFERROR(VLOOKUP($D1749,'ACAS Capital Tracker'!$A:$H,8,FALSE()),""))</f>
        <v/>
      </c>
      <c r="F1749" s="24"/>
      <c r="G1749" s="25" t="str">
        <f>IF($D1749="","",IFERROR(VLOOKUP($D1749,'ACAS Capital Tracker'!$A:$D,4,FALSE()),""))</f>
        <v/>
      </c>
      <c r="H1749" s="22"/>
    </row>
    <row r="1750" spans="1:8">
      <c r="A1750" s="21"/>
      <c r="B1750" s="22"/>
      <c r="C1750" s="22"/>
      <c r="D1750" s="22"/>
      <c r="E1750" s="23" t="str">
        <f>IF($D1750="","",IFERROR(VLOOKUP($D1750,'ACAS Capital Tracker'!$A:$H,8,FALSE()),""))</f>
        <v/>
      </c>
      <c r="F1750" s="24"/>
      <c r="G1750" s="25" t="str">
        <f>IF($D1750="","",IFERROR(VLOOKUP($D1750,'ACAS Capital Tracker'!$A:$D,4,FALSE()),""))</f>
        <v/>
      </c>
      <c r="H1750" s="22"/>
    </row>
    <row r="1751" spans="1:8">
      <c r="A1751" s="21"/>
      <c r="B1751" s="22"/>
      <c r="C1751" s="22"/>
      <c r="D1751" s="22"/>
      <c r="E1751" s="23" t="str">
        <f>IF($D1751="","",IFERROR(VLOOKUP($D1751,'ACAS Capital Tracker'!$A:$H,8,FALSE()),""))</f>
        <v/>
      </c>
      <c r="F1751" s="24"/>
      <c r="G1751" s="25" t="str">
        <f>IF($D1751="","",IFERROR(VLOOKUP($D1751,'ACAS Capital Tracker'!$A:$D,4,FALSE()),""))</f>
        <v/>
      </c>
      <c r="H1751" s="22"/>
    </row>
    <row r="1752" spans="1:8">
      <c r="A1752" s="21"/>
      <c r="B1752" s="22"/>
      <c r="C1752" s="22"/>
      <c r="D1752" s="22"/>
      <c r="E1752" s="23" t="str">
        <f>IF($D1752="","",IFERROR(VLOOKUP($D1752,'ACAS Capital Tracker'!$A:$H,8,FALSE()),""))</f>
        <v/>
      </c>
      <c r="F1752" s="24"/>
      <c r="G1752" s="25" t="str">
        <f>IF($D1752="","",IFERROR(VLOOKUP($D1752,'ACAS Capital Tracker'!$A:$D,4,FALSE()),""))</f>
        <v/>
      </c>
      <c r="H1752" s="22"/>
    </row>
    <row r="1753" spans="1:8">
      <c r="A1753" s="21"/>
      <c r="B1753" s="22"/>
      <c r="C1753" s="22"/>
      <c r="D1753" s="22"/>
      <c r="E1753" s="23" t="str">
        <f>IF($D1753="","",IFERROR(VLOOKUP($D1753,'ACAS Capital Tracker'!$A:$H,8,FALSE()),""))</f>
        <v/>
      </c>
      <c r="F1753" s="24"/>
      <c r="G1753" s="25" t="str">
        <f>IF($D1753="","",IFERROR(VLOOKUP($D1753,'ACAS Capital Tracker'!$A:$D,4,FALSE()),""))</f>
        <v/>
      </c>
      <c r="H1753" s="22"/>
    </row>
    <row r="1754" spans="1:8">
      <c r="A1754" s="21"/>
      <c r="B1754" s="22"/>
      <c r="C1754" s="22"/>
      <c r="D1754" s="22"/>
      <c r="E1754" s="23" t="str">
        <f>IF($D1754="","",IFERROR(VLOOKUP($D1754,'ACAS Capital Tracker'!$A:$H,8,FALSE()),""))</f>
        <v/>
      </c>
      <c r="F1754" s="24"/>
      <c r="G1754" s="25" t="str">
        <f>IF($D1754="","",IFERROR(VLOOKUP($D1754,'ACAS Capital Tracker'!$A:$D,4,FALSE()),""))</f>
        <v/>
      </c>
      <c r="H1754" s="22"/>
    </row>
    <row r="1755" spans="1:8">
      <c r="A1755" s="21"/>
      <c r="B1755" s="22"/>
      <c r="C1755" s="22"/>
      <c r="D1755" s="22"/>
      <c r="E1755" s="23" t="str">
        <f>IF($D1755="","",IFERROR(VLOOKUP($D1755,'ACAS Capital Tracker'!$A:$H,8,FALSE()),""))</f>
        <v/>
      </c>
      <c r="F1755" s="24"/>
      <c r="G1755" s="25" t="str">
        <f>IF($D1755="","",IFERROR(VLOOKUP($D1755,'ACAS Capital Tracker'!$A:$D,4,FALSE()),""))</f>
        <v/>
      </c>
      <c r="H1755" s="22"/>
    </row>
    <row r="1756" spans="1:8">
      <c r="A1756" s="21"/>
      <c r="B1756" s="22"/>
      <c r="C1756" s="22"/>
      <c r="D1756" s="22"/>
      <c r="E1756" s="23" t="str">
        <f>IF($D1756="","",IFERROR(VLOOKUP($D1756,'ACAS Capital Tracker'!$A:$H,8,FALSE()),""))</f>
        <v/>
      </c>
      <c r="F1756" s="24"/>
      <c r="G1756" s="25" t="str">
        <f>IF($D1756="","",IFERROR(VLOOKUP($D1756,'ACAS Capital Tracker'!$A:$D,4,FALSE()),""))</f>
        <v/>
      </c>
      <c r="H1756" s="22"/>
    </row>
    <row r="1757" spans="1:8">
      <c r="A1757" s="21"/>
      <c r="B1757" s="22"/>
      <c r="C1757" s="22"/>
      <c r="D1757" s="22"/>
      <c r="E1757" s="23" t="str">
        <f>IF($D1757="","",IFERROR(VLOOKUP($D1757,'ACAS Capital Tracker'!$A:$H,8,FALSE()),""))</f>
        <v/>
      </c>
      <c r="F1757" s="24"/>
      <c r="G1757" s="25" t="str">
        <f>IF($D1757="","",IFERROR(VLOOKUP($D1757,'ACAS Capital Tracker'!$A:$D,4,FALSE()),""))</f>
        <v/>
      </c>
      <c r="H1757" s="22"/>
    </row>
    <row r="1758" spans="1:8">
      <c r="A1758" s="21"/>
      <c r="B1758" s="22"/>
      <c r="C1758" s="22"/>
      <c r="D1758" s="22"/>
      <c r="E1758" s="23" t="str">
        <f>IF($D1758="","",IFERROR(VLOOKUP($D1758,'ACAS Capital Tracker'!$A:$H,8,FALSE()),""))</f>
        <v/>
      </c>
      <c r="F1758" s="24"/>
      <c r="G1758" s="25" t="str">
        <f>IF($D1758="","",IFERROR(VLOOKUP($D1758,'ACAS Capital Tracker'!$A:$D,4,FALSE()),""))</f>
        <v/>
      </c>
      <c r="H1758" s="22"/>
    </row>
    <row r="1759" spans="1:8">
      <c r="A1759" s="21"/>
      <c r="B1759" s="22"/>
      <c r="C1759" s="22"/>
      <c r="D1759" s="22"/>
      <c r="E1759" s="23" t="str">
        <f>IF($D1759="","",IFERROR(VLOOKUP($D1759,'ACAS Capital Tracker'!$A:$H,8,FALSE()),""))</f>
        <v/>
      </c>
      <c r="F1759" s="24"/>
      <c r="G1759" s="25" t="str">
        <f>IF($D1759="","",IFERROR(VLOOKUP($D1759,'ACAS Capital Tracker'!$A:$D,4,FALSE()),""))</f>
        <v/>
      </c>
      <c r="H1759" s="22"/>
    </row>
    <row r="1760" spans="1:8">
      <c r="A1760" s="21"/>
      <c r="B1760" s="22"/>
      <c r="C1760" s="22"/>
      <c r="D1760" s="22"/>
      <c r="E1760" s="23" t="str">
        <f>IF($D1760="","",IFERROR(VLOOKUP($D1760,'ACAS Capital Tracker'!$A:$H,8,FALSE()),""))</f>
        <v/>
      </c>
      <c r="F1760" s="24"/>
      <c r="G1760" s="25" t="str">
        <f>IF($D1760="","",IFERROR(VLOOKUP($D1760,'ACAS Capital Tracker'!$A:$D,4,FALSE()),""))</f>
        <v/>
      </c>
      <c r="H1760" s="22"/>
    </row>
    <row r="1761" spans="1:8">
      <c r="A1761" s="21"/>
      <c r="B1761" s="22"/>
      <c r="C1761" s="22"/>
      <c r="D1761" s="22"/>
      <c r="E1761" s="23" t="str">
        <f>IF($D1761="","",IFERROR(VLOOKUP($D1761,'ACAS Capital Tracker'!$A:$H,8,FALSE()),""))</f>
        <v/>
      </c>
      <c r="F1761" s="24"/>
      <c r="G1761" s="25" t="str">
        <f>IF($D1761="","",IFERROR(VLOOKUP($D1761,'ACAS Capital Tracker'!$A:$D,4,FALSE()),""))</f>
        <v/>
      </c>
      <c r="H1761" s="22"/>
    </row>
    <row r="1762" spans="1:8">
      <c r="A1762" s="21"/>
      <c r="B1762" s="22"/>
      <c r="C1762" s="22"/>
      <c r="D1762" s="22"/>
      <c r="E1762" s="23" t="str">
        <f>IF($D1762="","",IFERROR(VLOOKUP($D1762,'ACAS Capital Tracker'!$A:$H,8,FALSE()),""))</f>
        <v/>
      </c>
      <c r="F1762" s="24"/>
      <c r="G1762" s="25" t="str">
        <f>IF($D1762="","",IFERROR(VLOOKUP($D1762,'ACAS Capital Tracker'!$A:$D,4,FALSE()),""))</f>
        <v/>
      </c>
      <c r="H1762" s="22"/>
    </row>
    <row r="1763" spans="1:8">
      <c r="A1763" s="21"/>
      <c r="B1763" s="22"/>
      <c r="C1763" s="22"/>
      <c r="D1763" s="22"/>
      <c r="E1763" s="23" t="str">
        <f>IF($D1763="","",IFERROR(VLOOKUP($D1763,'ACAS Capital Tracker'!$A:$H,8,FALSE()),""))</f>
        <v/>
      </c>
      <c r="F1763" s="24"/>
      <c r="G1763" s="25" t="str">
        <f>IF($D1763="","",IFERROR(VLOOKUP($D1763,'ACAS Capital Tracker'!$A:$D,4,FALSE()),""))</f>
        <v/>
      </c>
      <c r="H1763" s="22"/>
    </row>
    <row r="1764" spans="1:8">
      <c r="A1764" s="21"/>
      <c r="B1764" s="22"/>
      <c r="C1764" s="22"/>
      <c r="D1764" s="22"/>
      <c r="E1764" s="23" t="str">
        <f>IF($D1764="","",IFERROR(VLOOKUP($D1764,'ACAS Capital Tracker'!$A:$H,8,FALSE()),""))</f>
        <v/>
      </c>
      <c r="F1764" s="24"/>
      <c r="G1764" s="25" t="str">
        <f>IF($D1764="","",IFERROR(VLOOKUP($D1764,'ACAS Capital Tracker'!$A:$D,4,FALSE()),""))</f>
        <v/>
      </c>
      <c r="H1764" s="22"/>
    </row>
    <row r="1765" spans="1:8">
      <c r="A1765" s="21"/>
      <c r="B1765" s="22"/>
      <c r="C1765" s="22"/>
      <c r="D1765" s="22"/>
      <c r="E1765" s="23" t="str">
        <f>IF($D1765="","",IFERROR(VLOOKUP($D1765,'ACAS Capital Tracker'!$A:$H,8,FALSE()),""))</f>
        <v/>
      </c>
      <c r="F1765" s="24"/>
      <c r="G1765" s="25" t="str">
        <f>IF($D1765="","",IFERROR(VLOOKUP($D1765,'ACAS Capital Tracker'!$A:$D,4,FALSE()),""))</f>
        <v/>
      </c>
      <c r="H1765" s="22"/>
    </row>
    <row r="1766" spans="1:8">
      <c r="A1766" s="21"/>
      <c r="B1766" s="22"/>
      <c r="C1766" s="22"/>
      <c r="D1766" s="22"/>
      <c r="E1766" s="23" t="str">
        <f>IF($D1766="","",IFERROR(VLOOKUP($D1766,'ACAS Capital Tracker'!$A:$H,8,FALSE()),""))</f>
        <v/>
      </c>
      <c r="F1766" s="24"/>
      <c r="G1766" s="25" t="str">
        <f>IF($D1766="","",IFERROR(VLOOKUP($D1766,'ACAS Capital Tracker'!$A:$D,4,FALSE()),""))</f>
        <v/>
      </c>
      <c r="H1766" s="22"/>
    </row>
    <row r="1767" spans="1:8">
      <c r="A1767" s="21"/>
      <c r="B1767" s="22"/>
      <c r="C1767" s="22"/>
      <c r="D1767" s="22"/>
      <c r="E1767" s="23" t="str">
        <f>IF($D1767="","",IFERROR(VLOOKUP($D1767,'ACAS Capital Tracker'!$A:$H,8,FALSE()),""))</f>
        <v/>
      </c>
      <c r="F1767" s="24"/>
      <c r="G1767" s="25" t="str">
        <f>IF($D1767="","",IFERROR(VLOOKUP($D1767,'ACAS Capital Tracker'!$A:$D,4,FALSE()),""))</f>
        <v/>
      </c>
      <c r="H1767" s="22"/>
    </row>
    <row r="1768" spans="1:8">
      <c r="A1768" s="21"/>
      <c r="B1768" s="22"/>
      <c r="C1768" s="22"/>
      <c r="D1768" s="22"/>
      <c r="E1768" s="23" t="str">
        <f>IF($D1768="","",IFERROR(VLOOKUP($D1768,'ACAS Capital Tracker'!$A:$H,8,FALSE()),""))</f>
        <v/>
      </c>
      <c r="F1768" s="24"/>
      <c r="G1768" s="25" t="str">
        <f>IF($D1768="","",IFERROR(VLOOKUP($D1768,'ACAS Capital Tracker'!$A:$D,4,FALSE()),""))</f>
        <v/>
      </c>
      <c r="H1768" s="22"/>
    </row>
    <row r="1769" spans="1:8">
      <c r="A1769" s="21"/>
      <c r="B1769" s="22"/>
      <c r="C1769" s="22"/>
      <c r="D1769" s="22"/>
      <c r="E1769" s="23" t="str">
        <f>IF($D1769="","",IFERROR(VLOOKUP($D1769,'ACAS Capital Tracker'!$A:$H,8,FALSE()),""))</f>
        <v/>
      </c>
      <c r="F1769" s="24"/>
      <c r="G1769" s="25" t="str">
        <f>IF($D1769="","",IFERROR(VLOOKUP($D1769,'ACAS Capital Tracker'!$A:$D,4,FALSE()),""))</f>
        <v/>
      </c>
      <c r="H1769" s="22"/>
    </row>
    <row r="1770" spans="1:8">
      <c r="A1770" s="21"/>
      <c r="B1770" s="22"/>
      <c r="C1770" s="22"/>
      <c r="D1770" s="22"/>
      <c r="E1770" s="23" t="str">
        <f>IF($D1770="","",IFERROR(VLOOKUP($D1770,'ACAS Capital Tracker'!$A:$H,8,FALSE()),""))</f>
        <v/>
      </c>
      <c r="F1770" s="24"/>
      <c r="G1770" s="25" t="str">
        <f>IF($D1770="","",IFERROR(VLOOKUP($D1770,'ACAS Capital Tracker'!$A:$D,4,FALSE()),""))</f>
        <v/>
      </c>
      <c r="H1770" s="22"/>
    </row>
    <row r="1771" spans="1:8">
      <c r="A1771" s="21"/>
      <c r="B1771" s="22"/>
      <c r="C1771" s="22"/>
      <c r="D1771" s="22"/>
      <c r="E1771" s="23" t="str">
        <f>IF($D1771="","",IFERROR(VLOOKUP($D1771,'ACAS Capital Tracker'!$A:$H,8,FALSE()),""))</f>
        <v/>
      </c>
      <c r="F1771" s="24"/>
      <c r="G1771" s="25" t="str">
        <f>IF($D1771="","",IFERROR(VLOOKUP($D1771,'ACAS Capital Tracker'!$A:$D,4,FALSE()),""))</f>
        <v/>
      </c>
      <c r="H1771" s="22"/>
    </row>
    <row r="1772" spans="1:8">
      <c r="A1772" s="21"/>
      <c r="B1772" s="22"/>
      <c r="C1772" s="22"/>
      <c r="D1772" s="22"/>
      <c r="E1772" s="23" t="str">
        <f>IF($D1772="","",IFERROR(VLOOKUP($D1772,'ACAS Capital Tracker'!$A:$H,8,FALSE()),""))</f>
        <v/>
      </c>
      <c r="F1772" s="24"/>
      <c r="G1772" s="25" t="str">
        <f>IF($D1772="","",IFERROR(VLOOKUP($D1772,'ACAS Capital Tracker'!$A:$D,4,FALSE()),""))</f>
        <v/>
      </c>
      <c r="H1772" s="22"/>
    </row>
    <row r="1773" spans="1:8">
      <c r="A1773" s="21"/>
      <c r="B1773" s="22"/>
      <c r="C1773" s="22"/>
      <c r="D1773" s="22"/>
      <c r="E1773" s="23" t="str">
        <f>IF($D1773="","",IFERROR(VLOOKUP($D1773,'ACAS Capital Tracker'!$A:$H,8,FALSE()),""))</f>
        <v/>
      </c>
      <c r="F1773" s="24"/>
      <c r="G1773" s="25" t="str">
        <f>IF($D1773="","",IFERROR(VLOOKUP($D1773,'ACAS Capital Tracker'!$A:$D,4,FALSE()),""))</f>
        <v/>
      </c>
      <c r="H1773" s="22"/>
    </row>
    <row r="1774" spans="1:8">
      <c r="A1774" s="21"/>
      <c r="B1774" s="22"/>
      <c r="C1774" s="22"/>
      <c r="D1774" s="22"/>
      <c r="E1774" s="23" t="str">
        <f>IF($D1774="","",IFERROR(VLOOKUP($D1774,'ACAS Capital Tracker'!$A:$H,8,FALSE()),""))</f>
        <v/>
      </c>
      <c r="F1774" s="24"/>
      <c r="G1774" s="25" t="str">
        <f>IF($D1774="","",IFERROR(VLOOKUP($D1774,'ACAS Capital Tracker'!$A:$D,4,FALSE()),""))</f>
        <v/>
      </c>
      <c r="H1774" s="22"/>
    </row>
    <row r="1775" spans="1:8">
      <c r="A1775" s="21"/>
      <c r="B1775" s="22"/>
      <c r="C1775" s="22"/>
      <c r="D1775" s="22"/>
      <c r="E1775" s="23" t="str">
        <f>IF($D1775="","",IFERROR(VLOOKUP($D1775,'ACAS Capital Tracker'!$A:$H,8,FALSE()),""))</f>
        <v/>
      </c>
      <c r="F1775" s="24"/>
      <c r="G1775" s="25" t="str">
        <f>IF($D1775="","",IFERROR(VLOOKUP($D1775,'ACAS Capital Tracker'!$A:$D,4,FALSE()),""))</f>
        <v/>
      </c>
      <c r="H1775" s="22"/>
    </row>
    <row r="1776" spans="1:8">
      <c r="A1776" s="21"/>
      <c r="B1776" s="22"/>
      <c r="C1776" s="22"/>
      <c r="D1776" s="22"/>
      <c r="E1776" s="23" t="str">
        <f>IF($D1776="","",IFERROR(VLOOKUP($D1776,'ACAS Capital Tracker'!$A:$H,8,FALSE()),""))</f>
        <v/>
      </c>
      <c r="F1776" s="24"/>
      <c r="G1776" s="25" t="str">
        <f>IF($D1776="","",IFERROR(VLOOKUP($D1776,'ACAS Capital Tracker'!$A:$D,4,FALSE()),""))</f>
        <v/>
      </c>
      <c r="H1776" s="22"/>
    </row>
    <row r="1777" spans="1:8">
      <c r="A1777" s="21"/>
      <c r="B1777" s="22"/>
      <c r="C1777" s="22"/>
      <c r="D1777" s="22"/>
      <c r="E1777" s="23" t="str">
        <f>IF($D1777="","",IFERROR(VLOOKUP($D1777,'ACAS Capital Tracker'!$A:$H,8,FALSE()),""))</f>
        <v/>
      </c>
      <c r="F1777" s="24"/>
      <c r="G1777" s="25" t="str">
        <f>IF($D1777="","",IFERROR(VLOOKUP($D1777,'ACAS Capital Tracker'!$A:$D,4,FALSE()),""))</f>
        <v/>
      </c>
      <c r="H1777" s="22"/>
    </row>
    <row r="1778" spans="1:8">
      <c r="A1778" s="21"/>
      <c r="B1778" s="22"/>
      <c r="C1778" s="22"/>
      <c r="D1778" s="22"/>
      <c r="E1778" s="23" t="str">
        <f>IF($D1778="","",IFERROR(VLOOKUP($D1778,'ACAS Capital Tracker'!$A:$H,8,FALSE()),""))</f>
        <v/>
      </c>
      <c r="F1778" s="24"/>
      <c r="G1778" s="25" t="str">
        <f>IF($D1778="","",IFERROR(VLOOKUP($D1778,'ACAS Capital Tracker'!$A:$D,4,FALSE()),""))</f>
        <v/>
      </c>
      <c r="H1778" s="22"/>
    </row>
    <row r="1779" spans="1:8">
      <c r="A1779" s="21"/>
      <c r="B1779" s="22"/>
      <c r="C1779" s="22"/>
      <c r="D1779" s="22"/>
      <c r="E1779" s="23" t="str">
        <f>IF($D1779="","",IFERROR(VLOOKUP($D1779,'ACAS Capital Tracker'!$A:$H,8,FALSE()),""))</f>
        <v/>
      </c>
      <c r="F1779" s="24"/>
      <c r="G1779" s="25" t="str">
        <f>IF($D1779="","",IFERROR(VLOOKUP($D1779,'ACAS Capital Tracker'!$A:$D,4,FALSE()),""))</f>
        <v/>
      </c>
      <c r="H1779" s="22"/>
    </row>
    <row r="1780" spans="1:8">
      <c r="A1780" s="21"/>
      <c r="B1780" s="22"/>
      <c r="C1780" s="22"/>
      <c r="D1780" s="22"/>
      <c r="E1780" s="23" t="str">
        <f>IF($D1780="","",IFERROR(VLOOKUP($D1780,'ACAS Capital Tracker'!$A:$H,8,FALSE()),""))</f>
        <v/>
      </c>
      <c r="F1780" s="24"/>
      <c r="G1780" s="25" t="str">
        <f>IF($D1780="","",IFERROR(VLOOKUP($D1780,'ACAS Capital Tracker'!$A:$D,4,FALSE()),""))</f>
        <v/>
      </c>
      <c r="H1780" s="22"/>
    </row>
    <row r="1781" spans="1:8">
      <c r="A1781" s="21"/>
      <c r="B1781" s="22"/>
      <c r="C1781" s="22"/>
      <c r="D1781" s="22"/>
      <c r="E1781" s="23" t="str">
        <f>IF($D1781="","",IFERROR(VLOOKUP($D1781,'ACAS Capital Tracker'!$A:$H,8,FALSE()),""))</f>
        <v/>
      </c>
      <c r="F1781" s="24"/>
      <c r="G1781" s="25" t="str">
        <f>IF($D1781="","",IFERROR(VLOOKUP($D1781,'ACAS Capital Tracker'!$A:$D,4,FALSE()),""))</f>
        <v/>
      </c>
      <c r="H1781" s="22"/>
    </row>
    <row r="1782" spans="1:8">
      <c r="A1782" s="21"/>
      <c r="B1782" s="22"/>
      <c r="C1782" s="22"/>
      <c r="D1782" s="22"/>
      <c r="E1782" s="23" t="str">
        <f>IF($D1782="","",IFERROR(VLOOKUP($D1782,'ACAS Capital Tracker'!$A:$H,8,FALSE()),""))</f>
        <v/>
      </c>
      <c r="F1782" s="24"/>
      <c r="G1782" s="25" t="str">
        <f>IF($D1782="","",IFERROR(VLOOKUP($D1782,'ACAS Capital Tracker'!$A:$D,4,FALSE()),""))</f>
        <v/>
      </c>
      <c r="H1782" s="22"/>
    </row>
    <row r="1783" spans="1:8">
      <c r="A1783" s="21"/>
      <c r="B1783" s="22"/>
      <c r="C1783" s="22"/>
      <c r="D1783" s="22"/>
      <c r="E1783" s="23" t="str">
        <f>IF($D1783="","",IFERROR(VLOOKUP($D1783,'ACAS Capital Tracker'!$A:$H,8,FALSE()),""))</f>
        <v/>
      </c>
      <c r="F1783" s="24"/>
      <c r="G1783" s="25" t="str">
        <f>IF($D1783="","",IFERROR(VLOOKUP($D1783,'ACAS Capital Tracker'!$A:$D,4,FALSE()),""))</f>
        <v/>
      </c>
      <c r="H1783" s="22"/>
    </row>
    <row r="1784" spans="1:8">
      <c r="A1784" s="21"/>
      <c r="B1784" s="22"/>
      <c r="C1784" s="22"/>
      <c r="D1784" s="22"/>
      <c r="E1784" s="23" t="str">
        <f>IF($D1784="","",IFERROR(VLOOKUP($D1784,'ACAS Capital Tracker'!$A:$H,8,FALSE()),""))</f>
        <v/>
      </c>
      <c r="F1784" s="24"/>
      <c r="G1784" s="25" t="str">
        <f>IF($D1784="","",IFERROR(VLOOKUP($D1784,'ACAS Capital Tracker'!$A:$D,4,FALSE()),""))</f>
        <v/>
      </c>
      <c r="H1784" s="22"/>
    </row>
    <row r="1785" spans="1:8">
      <c r="A1785" s="21"/>
      <c r="B1785" s="22"/>
      <c r="C1785" s="22"/>
      <c r="D1785" s="22"/>
      <c r="E1785" s="23" t="str">
        <f>IF($D1785="","",IFERROR(VLOOKUP($D1785,'ACAS Capital Tracker'!$A:$H,8,FALSE()),""))</f>
        <v/>
      </c>
      <c r="F1785" s="24"/>
      <c r="G1785" s="25" t="str">
        <f>IF($D1785="","",IFERROR(VLOOKUP($D1785,'ACAS Capital Tracker'!$A:$D,4,FALSE()),""))</f>
        <v/>
      </c>
      <c r="H1785" s="22"/>
    </row>
    <row r="1786" spans="1:8">
      <c r="A1786" s="21"/>
      <c r="B1786" s="22"/>
      <c r="C1786" s="22"/>
      <c r="D1786" s="22"/>
      <c r="E1786" s="23" t="str">
        <f>IF($D1786="","",IFERROR(VLOOKUP($D1786,'ACAS Capital Tracker'!$A:$H,8,FALSE()),""))</f>
        <v/>
      </c>
      <c r="F1786" s="24"/>
      <c r="G1786" s="25" t="str">
        <f>IF($D1786="","",IFERROR(VLOOKUP($D1786,'ACAS Capital Tracker'!$A:$D,4,FALSE()),""))</f>
        <v/>
      </c>
      <c r="H1786" s="22"/>
    </row>
    <row r="1787" spans="1:8">
      <c r="A1787" s="21"/>
      <c r="B1787" s="22"/>
      <c r="C1787" s="22"/>
      <c r="D1787" s="22"/>
      <c r="E1787" s="23" t="str">
        <f>IF($D1787="","",IFERROR(VLOOKUP($D1787,'ACAS Capital Tracker'!$A:$H,8,FALSE()),""))</f>
        <v/>
      </c>
      <c r="F1787" s="24"/>
      <c r="G1787" s="25" t="str">
        <f>IF($D1787="","",IFERROR(VLOOKUP($D1787,'ACAS Capital Tracker'!$A:$D,4,FALSE()),""))</f>
        <v/>
      </c>
      <c r="H1787" s="22"/>
    </row>
    <row r="1788" spans="1:8">
      <c r="A1788" s="21"/>
      <c r="B1788" s="22"/>
      <c r="C1788" s="22"/>
      <c r="D1788" s="22"/>
      <c r="E1788" s="23" t="str">
        <f>IF($D1788="","",IFERROR(VLOOKUP($D1788,'ACAS Capital Tracker'!$A:$H,8,FALSE()),""))</f>
        <v/>
      </c>
      <c r="F1788" s="24"/>
      <c r="G1788" s="25" t="str">
        <f>IF($D1788="","",IFERROR(VLOOKUP($D1788,'ACAS Capital Tracker'!$A:$D,4,FALSE()),""))</f>
        <v/>
      </c>
      <c r="H1788" s="22"/>
    </row>
    <row r="1789" spans="1:8">
      <c r="A1789" s="21"/>
      <c r="B1789" s="22"/>
      <c r="C1789" s="22"/>
      <c r="D1789" s="22"/>
      <c r="E1789" s="23" t="str">
        <f>IF($D1789="","",IFERROR(VLOOKUP($D1789,'ACAS Capital Tracker'!$A:$H,8,FALSE()),""))</f>
        <v/>
      </c>
      <c r="F1789" s="24"/>
      <c r="G1789" s="25" t="str">
        <f>IF($D1789="","",IFERROR(VLOOKUP($D1789,'ACAS Capital Tracker'!$A:$D,4,FALSE()),""))</f>
        <v/>
      </c>
      <c r="H1789" s="22"/>
    </row>
    <row r="1790" spans="1:8">
      <c r="A1790" s="21"/>
      <c r="B1790" s="22"/>
      <c r="C1790" s="22"/>
      <c r="D1790" s="22"/>
      <c r="E1790" s="23" t="str">
        <f>IF($D1790="","",IFERROR(VLOOKUP($D1790,'ACAS Capital Tracker'!$A:$H,8,FALSE()),""))</f>
        <v/>
      </c>
      <c r="F1790" s="24"/>
      <c r="G1790" s="25" t="str">
        <f>IF($D1790="","",IFERROR(VLOOKUP($D1790,'ACAS Capital Tracker'!$A:$D,4,FALSE()),""))</f>
        <v/>
      </c>
      <c r="H1790" s="22"/>
    </row>
    <row r="1791" spans="1:8">
      <c r="A1791" s="21"/>
      <c r="B1791" s="22"/>
      <c r="C1791" s="22"/>
      <c r="D1791" s="22"/>
      <c r="E1791" s="23" t="str">
        <f>IF($D1791="","",IFERROR(VLOOKUP($D1791,'ACAS Capital Tracker'!$A:$H,8,FALSE()),""))</f>
        <v/>
      </c>
      <c r="F1791" s="24"/>
      <c r="G1791" s="25" t="str">
        <f>IF($D1791="","",IFERROR(VLOOKUP($D1791,'ACAS Capital Tracker'!$A:$D,4,FALSE()),""))</f>
        <v/>
      </c>
      <c r="H1791" s="22"/>
    </row>
    <row r="1792" spans="1:8">
      <c r="A1792" s="21"/>
      <c r="B1792" s="22"/>
      <c r="C1792" s="22"/>
      <c r="D1792" s="22"/>
      <c r="E1792" s="23" t="str">
        <f>IF($D1792="","",IFERROR(VLOOKUP($D1792,'ACAS Capital Tracker'!$A:$H,8,FALSE()),""))</f>
        <v/>
      </c>
      <c r="F1792" s="24"/>
      <c r="G1792" s="25" t="str">
        <f>IF($D1792="","",IFERROR(VLOOKUP($D1792,'ACAS Capital Tracker'!$A:$D,4,FALSE()),""))</f>
        <v/>
      </c>
      <c r="H1792" s="22"/>
    </row>
    <row r="1793" spans="1:8">
      <c r="A1793" s="21"/>
      <c r="B1793" s="22"/>
      <c r="C1793" s="22"/>
      <c r="D1793" s="22"/>
      <c r="E1793" s="23" t="str">
        <f>IF($D1793="","",IFERROR(VLOOKUP($D1793,'ACAS Capital Tracker'!$A:$H,8,FALSE()),""))</f>
        <v/>
      </c>
      <c r="F1793" s="24"/>
      <c r="G1793" s="25" t="str">
        <f>IF($D1793="","",IFERROR(VLOOKUP($D1793,'ACAS Capital Tracker'!$A:$D,4,FALSE()),""))</f>
        <v/>
      </c>
      <c r="H1793" s="22"/>
    </row>
    <row r="1794" spans="1:8">
      <c r="A1794" s="21"/>
      <c r="B1794" s="22"/>
      <c r="C1794" s="22"/>
      <c r="D1794" s="22"/>
      <c r="E1794" s="23" t="str">
        <f>IF($D1794="","",IFERROR(VLOOKUP($D1794,'ACAS Capital Tracker'!$A:$H,8,FALSE()),""))</f>
        <v/>
      </c>
      <c r="F1794" s="24"/>
      <c r="G1794" s="25" t="str">
        <f>IF($D1794="","",IFERROR(VLOOKUP($D1794,'ACAS Capital Tracker'!$A:$D,4,FALSE()),""))</f>
        <v/>
      </c>
      <c r="H1794" s="22"/>
    </row>
    <row r="1795" spans="1:8">
      <c r="A1795" s="21"/>
      <c r="B1795" s="22"/>
      <c r="C1795" s="22"/>
      <c r="D1795" s="22"/>
      <c r="E1795" s="23" t="str">
        <f>IF($D1795="","",IFERROR(VLOOKUP($D1795,'ACAS Capital Tracker'!$A:$H,8,FALSE()),""))</f>
        <v/>
      </c>
      <c r="F1795" s="24"/>
      <c r="G1795" s="25" t="str">
        <f>IF($D1795="","",IFERROR(VLOOKUP($D1795,'ACAS Capital Tracker'!$A:$D,4,FALSE()),""))</f>
        <v/>
      </c>
      <c r="H1795" s="22"/>
    </row>
    <row r="1796" spans="1:8">
      <c r="A1796" s="21"/>
      <c r="B1796" s="22"/>
      <c r="C1796" s="22"/>
      <c r="D1796" s="22"/>
      <c r="E1796" s="23" t="str">
        <f>IF($D1796="","",IFERROR(VLOOKUP($D1796,'ACAS Capital Tracker'!$A:$H,8,FALSE()),""))</f>
        <v/>
      </c>
      <c r="F1796" s="24"/>
      <c r="G1796" s="25" t="str">
        <f>IF($D1796="","",IFERROR(VLOOKUP($D1796,'ACAS Capital Tracker'!$A:$D,4,FALSE()),""))</f>
        <v/>
      </c>
      <c r="H1796" s="22"/>
    </row>
    <row r="1797" spans="1:8">
      <c r="A1797" s="21"/>
      <c r="B1797" s="22"/>
      <c r="C1797" s="22"/>
      <c r="D1797" s="22"/>
      <c r="E1797" s="23" t="str">
        <f>IF($D1797="","",IFERROR(VLOOKUP($D1797,'ACAS Capital Tracker'!$A:$H,8,FALSE()),""))</f>
        <v/>
      </c>
      <c r="F1797" s="24"/>
      <c r="G1797" s="25" t="str">
        <f>IF($D1797="","",IFERROR(VLOOKUP($D1797,'ACAS Capital Tracker'!$A:$D,4,FALSE()),""))</f>
        <v/>
      </c>
      <c r="H1797" s="22"/>
    </row>
    <row r="1798" spans="1:8">
      <c r="A1798" s="21"/>
      <c r="B1798" s="22"/>
      <c r="C1798" s="22"/>
      <c r="D1798" s="22"/>
      <c r="E1798" s="23" t="str">
        <f>IF($D1798="","",IFERROR(VLOOKUP($D1798,'ACAS Capital Tracker'!$A:$H,8,FALSE()),""))</f>
        <v/>
      </c>
      <c r="F1798" s="24"/>
      <c r="G1798" s="25" t="str">
        <f>IF($D1798="","",IFERROR(VLOOKUP($D1798,'ACAS Capital Tracker'!$A:$D,4,FALSE()),""))</f>
        <v/>
      </c>
      <c r="H1798" s="22"/>
    </row>
    <row r="1799" spans="1:8">
      <c r="A1799" s="21"/>
      <c r="B1799" s="22"/>
      <c r="C1799" s="22"/>
      <c r="D1799" s="22"/>
      <c r="E1799" s="23" t="str">
        <f>IF($D1799="","",IFERROR(VLOOKUP($D1799,'ACAS Capital Tracker'!$A:$H,8,FALSE()),""))</f>
        <v/>
      </c>
      <c r="F1799" s="24"/>
      <c r="G1799" s="25" t="str">
        <f>IF($D1799="","",IFERROR(VLOOKUP($D1799,'ACAS Capital Tracker'!$A:$D,4,FALSE()),""))</f>
        <v/>
      </c>
      <c r="H1799" s="22"/>
    </row>
    <row r="1800" spans="1:8">
      <c r="A1800" s="21"/>
      <c r="B1800" s="22"/>
      <c r="C1800" s="22"/>
      <c r="D1800" s="22"/>
      <c r="E1800" s="23" t="str">
        <f>IF($D1800="","",IFERROR(VLOOKUP($D1800,'ACAS Capital Tracker'!$A:$H,8,FALSE()),""))</f>
        <v/>
      </c>
      <c r="F1800" s="24"/>
      <c r="G1800" s="25" t="str">
        <f>IF($D1800="","",IFERROR(VLOOKUP($D1800,'ACAS Capital Tracker'!$A:$D,4,FALSE()),""))</f>
        <v/>
      </c>
      <c r="H1800" s="22"/>
    </row>
    <row r="1801" spans="1:8">
      <c r="A1801" s="21"/>
      <c r="B1801" s="22"/>
      <c r="C1801" s="22"/>
      <c r="D1801" s="22"/>
      <c r="E1801" s="23" t="str">
        <f>IF($D1801="","",IFERROR(VLOOKUP($D1801,'ACAS Capital Tracker'!$A:$H,8,FALSE()),""))</f>
        <v/>
      </c>
      <c r="F1801" s="24"/>
      <c r="G1801" s="25" t="str">
        <f>IF($D1801="","",IFERROR(VLOOKUP($D1801,'ACAS Capital Tracker'!$A:$D,4,FALSE()),""))</f>
        <v/>
      </c>
      <c r="H1801" s="22"/>
    </row>
    <row r="1802" spans="1:8">
      <c r="A1802" s="21"/>
      <c r="B1802" s="22"/>
      <c r="C1802" s="22"/>
      <c r="D1802" s="22"/>
      <c r="E1802" s="23" t="str">
        <f>IF($D1802="","",IFERROR(VLOOKUP($D1802,'ACAS Capital Tracker'!$A:$H,8,FALSE()),""))</f>
        <v/>
      </c>
      <c r="F1802" s="24"/>
      <c r="G1802" s="25" t="str">
        <f>IF($D1802="","",IFERROR(VLOOKUP($D1802,'ACAS Capital Tracker'!$A:$D,4,FALSE()),""))</f>
        <v/>
      </c>
      <c r="H1802" s="22"/>
    </row>
    <row r="1803" spans="1:8">
      <c r="A1803" s="21"/>
      <c r="B1803" s="22"/>
      <c r="C1803" s="22"/>
      <c r="D1803" s="22"/>
      <c r="E1803" s="23" t="str">
        <f>IF($D1803="","",IFERROR(VLOOKUP($D1803,'ACAS Capital Tracker'!$A:$H,8,FALSE()),""))</f>
        <v/>
      </c>
      <c r="F1803" s="24"/>
      <c r="G1803" s="25" t="str">
        <f>IF($D1803="","",IFERROR(VLOOKUP($D1803,'ACAS Capital Tracker'!$A:$D,4,FALSE()),""))</f>
        <v/>
      </c>
      <c r="H1803" s="22"/>
    </row>
    <row r="1804" spans="1:8">
      <c r="A1804" s="21"/>
      <c r="B1804" s="22"/>
      <c r="C1804" s="22"/>
      <c r="D1804" s="22"/>
      <c r="E1804" s="23" t="str">
        <f>IF($D1804="","",IFERROR(VLOOKUP($D1804,'ACAS Capital Tracker'!$A:$H,8,FALSE()),""))</f>
        <v/>
      </c>
      <c r="F1804" s="24"/>
      <c r="G1804" s="25" t="str">
        <f>IF($D1804="","",IFERROR(VLOOKUP($D1804,'ACAS Capital Tracker'!$A:$D,4,FALSE()),""))</f>
        <v/>
      </c>
      <c r="H1804" s="22"/>
    </row>
    <row r="1805" spans="1:8">
      <c r="A1805" s="21"/>
      <c r="B1805" s="22"/>
      <c r="C1805" s="22"/>
      <c r="D1805" s="22"/>
      <c r="E1805" s="23" t="str">
        <f>IF($D1805="","",IFERROR(VLOOKUP($D1805,'ACAS Capital Tracker'!$A:$H,8,FALSE()),""))</f>
        <v/>
      </c>
      <c r="F1805" s="24"/>
      <c r="G1805" s="25" t="str">
        <f>IF($D1805="","",IFERROR(VLOOKUP($D1805,'ACAS Capital Tracker'!$A:$D,4,FALSE()),""))</f>
        <v/>
      </c>
      <c r="H1805" s="22"/>
    </row>
    <row r="1806" spans="1:8">
      <c r="A1806" s="21"/>
      <c r="B1806" s="22"/>
      <c r="C1806" s="22"/>
      <c r="D1806" s="22"/>
      <c r="E1806" s="23" t="str">
        <f>IF($D1806="","",IFERROR(VLOOKUP($D1806,'ACAS Capital Tracker'!$A:$H,8,FALSE()),""))</f>
        <v/>
      </c>
      <c r="F1806" s="24"/>
      <c r="G1806" s="25" t="str">
        <f>IF($D1806="","",IFERROR(VLOOKUP($D1806,'ACAS Capital Tracker'!$A:$D,4,FALSE()),""))</f>
        <v/>
      </c>
      <c r="H1806" s="22"/>
    </row>
    <row r="1807" spans="1:8">
      <c r="A1807" s="21"/>
      <c r="B1807" s="22"/>
      <c r="C1807" s="22"/>
      <c r="D1807" s="22"/>
      <c r="E1807" s="23" t="str">
        <f>IF($D1807="","",IFERROR(VLOOKUP($D1807,'ACAS Capital Tracker'!$A:$H,8,FALSE()),""))</f>
        <v/>
      </c>
      <c r="F1807" s="24"/>
      <c r="G1807" s="25" t="str">
        <f>IF($D1807="","",IFERROR(VLOOKUP($D1807,'ACAS Capital Tracker'!$A:$D,4,FALSE()),""))</f>
        <v/>
      </c>
      <c r="H1807" s="22"/>
    </row>
    <row r="1808" spans="1:8">
      <c r="A1808" s="21"/>
      <c r="B1808" s="22"/>
      <c r="C1808" s="22"/>
      <c r="D1808" s="22"/>
      <c r="E1808" s="23" t="str">
        <f>IF($D1808="","",IFERROR(VLOOKUP($D1808,'ACAS Capital Tracker'!$A:$H,8,FALSE()),""))</f>
        <v/>
      </c>
      <c r="F1808" s="24"/>
      <c r="G1808" s="25" t="str">
        <f>IF($D1808="","",IFERROR(VLOOKUP($D1808,'ACAS Capital Tracker'!$A:$D,4,FALSE()),""))</f>
        <v/>
      </c>
      <c r="H1808" s="22"/>
    </row>
    <row r="1809" spans="1:8">
      <c r="A1809" s="21"/>
      <c r="B1809" s="22"/>
      <c r="C1809" s="22"/>
      <c r="D1809" s="22"/>
      <c r="E1809" s="23" t="str">
        <f>IF($D1809="","",IFERROR(VLOOKUP($D1809,'ACAS Capital Tracker'!$A:$H,8,FALSE()),""))</f>
        <v/>
      </c>
      <c r="F1809" s="24"/>
      <c r="G1809" s="25" t="str">
        <f>IF($D1809="","",IFERROR(VLOOKUP($D1809,'ACAS Capital Tracker'!$A:$D,4,FALSE()),""))</f>
        <v/>
      </c>
      <c r="H1809" s="22"/>
    </row>
    <row r="1810" spans="1:8">
      <c r="A1810" s="21"/>
      <c r="B1810" s="22"/>
      <c r="C1810" s="22"/>
      <c r="D1810" s="22"/>
      <c r="E1810" s="23" t="str">
        <f>IF($D1810="","",IFERROR(VLOOKUP($D1810,'ACAS Capital Tracker'!$A:$H,8,FALSE()),""))</f>
        <v/>
      </c>
      <c r="F1810" s="24"/>
      <c r="G1810" s="25" t="str">
        <f>IF($D1810="","",IFERROR(VLOOKUP($D1810,'ACAS Capital Tracker'!$A:$D,4,FALSE()),""))</f>
        <v/>
      </c>
      <c r="H1810" s="22"/>
    </row>
    <row r="1811" spans="1:8">
      <c r="A1811" s="21"/>
      <c r="B1811" s="22"/>
      <c r="C1811" s="22"/>
      <c r="D1811" s="22"/>
      <c r="E1811" s="23" t="str">
        <f>IF($D1811="","",IFERROR(VLOOKUP($D1811,'ACAS Capital Tracker'!$A:$H,8,FALSE()),""))</f>
        <v/>
      </c>
      <c r="F1811" s="24"/>
      <c r="G1811" s="25" t="str">
        <f>IF($D1811="","",IFERROR(VLOOKUP($D1811,'ACAS Capital Tracker'!$A:$D,4,FALSE()),""))</f>
        <v/>
      </c>
      <c r="H1811" s="22"/>
    </row>
    <row r="1812" spans="1:8">
      <c r="A1812" s="21"/>
      <c r="B1812" s="22"/>
      <c r="C1812" s="22"/>
      <c r="D1812" s="22"/>
      <c r="E1812" s="23" t="str">
        <f>IF($D1812="","",IFERROR(VLOOKUP($D1812,'ACAS Capital Tracker'!$A:$H,8,FALSE()),""))</f>
        <v/>
      </c>
      <c r="F1812" s="24"/>
      <c r="G1812" s="25" t="str">
        <f>IF($D1812="","",IFERROR(VLOOKUP($D1812,'ACAS Capital Tracker'!$A:$D,4,FALSE()),""))</f>
        <v/>
      </c>
      <c r="H1812" s="22"/>
    </row>
    <row r="1813" spans="1:8">
      <c r="A1813" s="21"/>
      <c r="B1813" s="22"/>
      <c r="C1813" s="22"/>
      <c r="D1813" s="22"/>
      <c r="E1813" s="23" t="str">
        <f>IF($D1813="","",IFERROR(VLOOKUP($D1813,'ACAS Capital Tracker'!$A:$H,8,FALSE()),""))</f>
        <v/>
      </c>
      <c r="F1813" s="24"/>
      <c r="G1813" s="25" t="str">
        <f>IF($D1813="","",IFERROR(VLOOKUP($D1813,'ACAS Capital Tracker'!$A:$D,4,FALSE()),""))</f>
        <v/>
      </c>
      <c r="H1813" s="22"/>
    </row>
    <row r="1814" spans="1:8">
      <c r="A1814" s="21"/>
      <c r="B1814" s="22"/>
      <c r="C1814" s="22"/>
      <c r="D1814" s="22"/>
      <c r="E1814" s="23" t="str">
        <f>IF($D1814="","",IFERROR(VLOOKUP($D1814,'ACAS Capital Tracker'!$A:$H,8,FALSE()),""))</f>
        <v/>
      </c>
      <c r="F1814" s="24"/>
      <c r="G1814" s="25" t="str">
        <f>IF($D1814="","",IFERROR(VLOOKUP($D1814,'ACAS Capital Tracker'!$A:$D,4,FALSE()),""))</f>
        <v/>
      </c>
      <c r="H1814" s="22"/>
    </row>
    <row r="1815" spans="1:8">
      <c r="A1815" s="21"/>
      <c r="B1815" s="22"/>
      <c r="C1815" s="22"/>
      <c r="D1815" s="22"/>
      <c r="E1815" s="23" t="str">
        <f>IF($D1815="","",IFERROR(VLOOKUP($D1815,'ACAS Capital Tracker'!$A:$H,8,FALSE()),""))</f>
        <v/>
      </c>
      <c r="F1815" s="24"/>
      <c r="G1815" s="25" t="str">
        <f>IF($D1815="","",IFERROR(VLOOKUP($D1815,'ACAS Capital Tracker'!$A:$D,4,FALSE()),""))</f>
        <v/>
      </c>
      <c r="H1815" s="22"/>
    </row>
    <row r="1816" spans="1:8">
      <c r="A1816" s="21"/>
      <c r="B1816" s="22"/>
      <c r="C1816" s="22"/>
      <c r="D1816" s="22"/>
      <c r="E1816" s="23" t="str">
        <f>IF($D1816="","",IFERROR(VLOOKUP($D1816,'ACAS Capital Tracker'!$A:$H,8,FALSE()),""))</f>
        <v/>
      </c>
      <c r="F1816" s="24"/>
      <c r="G1816" s="25" t="str">
        <f>IF($D1816="","",IFERROR(VLOOKUP($D1816,'ACAS Capital Tracker'!$A:$D,4,FALSE()),""))</f>
        <v/>
      </c>
      <c r="H1816" s="22"/>
    </row>
    <row r="1817" spans="1:8">
      <c r="A1817" s="21"/>
      <c r="B1817" s="22"/>
      <c r="C1817" s="22"/>
      <c r="D1817" s="22"/>
      <c r="E1817" s="23" t="str">
        <f>IF($D1817="","",IFERROR(VLOOKUP($D1817,'ACAS Capital Tracker'!$A:$H,8,FALSE()),""))</f>
        <v/>
      </c>
      <c r="F1817" s="24"/>
      <c r="G1817" s="25" t="str">
        <f>IF($D1817="","",IFERROR(VLOOKUP($D1817,'ACAS Capital Tracker'!$A:$D,4,FALSE()),""))</f>
        <v/>
      </c>
      <c r="H1817" s="22"/>
    </row>
    <row r="1818" spans="1:8">
      <c r="A1818" s="21"/>
      <c r="B1818" s="22"/>
      <c r="C1818" s="22"/>
      <c r="D1818" s="22"/>
      <c r="E1818" s="23" t="str">
        <f>IF($D1818="","",IFERROR(VLOOKUP($D1818,'ACAS Capital Tracker'!$A:$H,8,FALSE()),""))</f>
        <v/>
      </c>
      <c r="F1818" s="24"/>
      <c r="G1818" s="25" t="str">
        <f>IF($D1818="","",IFERROR(VLOOKUP($D1818,'ACAS Capital Tracker'!$A:$D,4,FALSE()),""))</f>
        <v/>
      </c>
      <c r="H1818" s="22"/>
    </row>
    <row r="1819" spans="1:8">
      <c r="A1819" s="21"/>
      <c r="B1819" s="22"/>
      <c r="C1819" s="22"/>
      <c r="D1819" s="22"/>
      <c r="E1819" s="23" t="str">
        <f>IF($D1819="","",IFERROR(VLOOKUP($D1819,'ACAS Capital Tracker'!$A:$H,8,FALSE()),""))</f>
        <v/>
      </c>
      <c r="F1819" s="24"/>
      <c r="G1819" s="25" t="str">
        <f>IF($D1819="","",IFERROR(VLOOKUP($D1819,'ACAS Capital Tracker'!$A:$D,4,FALSE()),""))</f>
        <v/>
      </c>
      <c r="H1819" s="22"/>
    </row>
    <row r="1820" spans="1:8">
      <c r="A1820" s="21"/>
      <c r="B1820" s="22"/>
      <c r="C1820" s="22"/>
      <c r="D1820" s="22"/>
      <c r="E1820" s="23" t="str">
        <f>IF($D1820="","",IFERROR(VLOOKUP($D1820,'ACAS Capital Tracker'!$A:$H,8,FALSE()),""))</f>
        <v/>
      </c>
      <c r="F1820" s="24"/>
      <c r="G1820" s="25" t="str">
        <f>IF($D1820="","",IFERROR(VLOOKUP($D1820,'ACAS Capital Tracker'!$A:$D,4,FALSE()),""))</f>
        <v/>
      </c>
      <c r="H1820" s="22"/>
    </row>
    <row r="1821" spans="1:8">
      <c r="A1821" s="21"/>
      <c r="B1821" s="22"/>
      <c r="C1821" s="22"/>
      <c r="D1821" s="22"/>
      <c r="E1821" s="23" t="str">
        <f>IF($D1821="","",IFERROR(VLOOKUP($D1821,'ACAS Capital Tracker'!$A:$H,8,FALSE()),""))</f>
        <v/>
      </c>
      <c r="F1821" s="24"/>
      <c r="G1821" s="25" t="str">
        <f>IF($D1821="","",IFERROR(VLOOKUP($D1821,'ACAS Capital Tracker'!$A:$D,4,FALSE()),""))</f>
        <v/>
      </c>
      <c r="H1821" s="22"/>
    </row>
    <row r="1822" spans="1:8">
      <c r="A1822" s="21"/>
      <c r="B1822" s="22"/>
      <c r="C1822" s="22"/>
      <c r="D1822" s="22"/>
      <c r="E1822" s="23" t="str">
        <f>IF($D1822="","",IFERROR(VLOOKUP($D1822,'ACAS Capital Tracker'!$A:$H,8,FALSE()),""))</f>
        <v/>
      </c>
      <c r="F1822" s="24"/>
      <c r="G1822" s="25" t="str">
        <f>IF($D1822="","",IFERROR(VLOOKUP($D1822,'ACAS Capital Tracker'!$A:$D,4,FALSE()),""))</f>
        <v/>
      </c>
      <c r="H1822" s="22"/>
    </row>
    <row r="1823" spans="1:8">
      <c r="A1823" s="21"/>
      <c r="B1823" s="22"/>
      <c r="C1823" s="22"/>
      <c r="D1823" s="22"/>
      <c r="E1823" s="23" t="str">
        <f>IF($D1823="","",IFERROR(VLOOKUP($D1823,'ACAS Capital Tracker'!$A:$H,8,FALSE()),""))</f>
        <v/>
      </c>
      <c r="F1823" s="24"/>
      <c r="G1823" s="25" t="str">
        <f>IF($D1823="","",IFERROR(VLOOKUP($D1823,'ACAS Capital Tracker'!$A:$D,4,FALSE()),""))</f>
        <v/>
      </c>
      <c r="H1823" s="22"/>
    </row>
    <row r="1824" spans="1:8">
      <c r="A1824" s="21"/>
      <c r="B1824" s="22"/>
      <c r="C1824" s="22"/>
      <c r="D1824" s="22"/>
      <c r="E1824" s="23" t="str">
        <f>IF($D1824="","",IFERROR(VLOOKUP($D1824,'ACAS Capital Tracker'!$A:$H,8,FALSE()),""))</f>
        <v/>
      </c>
      <c r="F1824" s="24"/>
      <c r="G1824" s="25" t="str">
        <f>IF($D1824="","",IFERROR(VLOOKUP($D1824,'ACAS Capital Tracker'!$A:$D,4,FALSE()),""))</f>
        <v/>
      </c>
      <c r="H1824" s="22"/>
    </row>
    <row r="1825" spans="1:8">
      <c r="A1825" s="21"/>
      <c r="B1825" s="22"/>
      <c r="C1825" s="22"/>
      <c r="D1825" s="22"/>
      <c r="E1825" s="23" t="str">
        <f>IF($D1825="","",IFERROR(VLOOKUP($D1825,'ACAS Capital Tracker'!$A:$H,8,FALSE()),""))</f>
        <v/>
      </c>
      <c r="F1825" s="24"/>
      <c r="G1825" s="25" t="str">
        <f>IF($D1825="","",IFERROR(VLOOKUP($D1825,'ACAS Capital Tracker'!$A:$D,4,FALSE()),""))</f>
        <v/>
      </c>
      <c r="H1825" s="22"/>
    </row>
    <row r="1826" spans="1:8">
      <c r="A1826" s="21"/>
      <c r="B1826" s="22"/>
      <c r="C1826" s="22"/>
      <c r="D1826" s="22"/>
      <c r="E1826" s="23" t="str">
        <f>IF($D1826="","",IFERROR(VLOOKUP($D1826,'ACAS Capital Tracker'!$A:$H,8,FALSE()),""))</f>
        <v/>
      </c>
      <c r="F1826" s="24"/>
      <c r="G1826" s="25" t="str">
        <f>IF($D1826="","",IFERROR(VLOOKUP($D1826,'ACAS Capital Tracker'!$A:$D,4,FALSE()),""))</f>
        <v/>
      </c>
      <c r="H1826" s="22"/>
    </row>
    <row r="1827" spans="1:8">
      <c r="A1827" s="21"/>
      <c r="B1827" s="22"/>
      <c r="C1827" s="22"/>
      <c r="D1827" s="22"/>
      <c r="E1827" s="23" t="str">
        <f>IF($D1827="","",IFERROR(VLOOKUP($D1827,'ACAS Capital Tracker'!$A:$H,8,FALSE()),""))</f>
        <v/>
      </c>
      <c r="F1827" s="24"/>
      <c r="G1827" s="25" t="str">
        <f>IF($D1827="","",IFERROR(VLOOKUP($D1827,'ACAS Capital Tracker'!$A:$D,4,FALSE()),""))</f>
        <v/>
      </c>
      <c r="H1827" s="22"/>
    </row>
    <row r="1828" spans="1:8">
      <c r="A1828" s="21"/>
      <c r="B1828" s="22"/>
      <c r="C1828" s="22"/>
      <c r="D1828" s="22"/>
      <c r="E1828" s="23" t="str">
        <f>IF($D1828="","",IFERROR(VLOOKUP($D1828,'ACAS Capital Tracker'!$A:$H,8,FALSE()),""))</f>
        <v/>
      </c>
      <c r="F1828" s="24"/>
      <c r="G1828" s="25" t="str">
        <f>IF($D1828="","",IFERROR(VLOOKUP($D1828,'ACAS Capital Tracker'!$A:$D,4,FALSE()),""))</f>
        <v/>
      </c>
      <c r="H1828" s="22"/>
    </row>
    <row r="1829" spans="1:8">
      <c r="A1829" s="21"/>
      <c r="B1829" s="22"/>
      <c r="C1829" s="22"/>
      <c r="D1829" s="22"/>
      <c r="E1829" s="23" t="str">
        <f>IF($D1829="","",IFERROR(VLOOKUP($D1829,'ACAS Capital Tracker'!$A:$H,8,FALSE()),""))</f>
        <v/>
      </c>
      <c r="F1829" s="24"/>
      <c r="G1829" s="25" t="str">
        <f>IF($D1829="","",IFERROR(VLOOKUP($D1829,'ACAS Capital Tracker'!$A:$D,4,FALSE()),""))</f>
        <v/>
      </c>
      <c r="H1829" s="22"/>
    </row>
    <row r="1830" spans="1:8">
      <c r="A1830" s="21"/>
      <c r="B1830" s="22"/>
      <c r="C1830" s="22"/>
      <c r="D1830" s="22"/>
      <c r="E1830" s="23" t="str">
        <f>IF($D1830="","",IFERROR(VLOOKUP($D1830,'ACAS Capital Tracker'!$A:$H,8,FALSE()),""))</f>
        <v/>
      </c>
      <c r="F1830" s="24"/>
      <c r="G1830" s="25" t="str">
        <f>IF($D1830="","",IFERROR(VLOOKUP($D1830,'ACAS Capital Tracker'!$A:$D,4,FALSE()),""))</f>
        <v/>
      </c>
      <c r="H1830" s="22"/>
    </row>
    <row r="1831" spans="1:8">
      <c r="A1831" s="21"/>
      <c r="B1831" s="22"/>
      <c r="C1831" s="22"/>
      <c r="D1831" s="22"/>
      <c r="E1831" s="23" t="str">
        <f>IF($D1831="","",IFERROR(VLOOKUP($D1831,'ACAS Capital Tracker'!$A:$H,8,FALSE()),""))</f>
        <v/>
      </c>
      <c r="F1831" s="24"/>
      <c r="G1831" s="25" t="str">
        <f>IF($D1831="","",IFERROR(VLOOKUP($D1831,'ACAS Capital Tracker'!$A:$D,4,FALSE()),""))</f>
        <v/>
      </c>
      <c r="H1831" s="22"/>
    </row>
    <row r="1832" spans="1:8">
      <c r="A1832" s="21"/>
      <c r="B1832" s="22"/>
      <c r="C1832" s="22"/>
      <c r="D1832" s="22"/>
      <c r="E1832" s="23" t="str">
        <f>IF($D1832="","",IFERROR(VLOOKUP($D1832,'ACAS Capital Tracker'!$A:$H,8,FALSE()),""))</f>
        <v/>
      </c>
      <c r="F1832" s="24"/>
      <c r="G1832" s="25" t="str">
        <f>IF($D1832="","",IFERROR(VLOOKUP($D1832,'ACAS Capital Tracker'!$A:$D,4,FALSE()),""))</f>
        <v/>
      </c>
      <c r="H1832" s="22"/>
    </row>
    <row r="1833" spans="1:8">
      <c r="A1833" s="21"/>
      <c r="B1833" s="22"/>
      <c r="C1833" s="22"/>
      <c r="D1833" s="22"/>
      <c r="E1833" s="23" t="str">
        <f>IF($D1833="","",IFERROR(VLOOKUP($D1833,'ACAS Capital Tracker'!$A:$H,8,FALSE()),""))</f>
        <v/>
      </c>
      <c r="F1833" s="24"/>
      <c r="G1833" s="25" t="str">
        <f>IF($D1833="","",IFERROR(VLOOKUP($D1833,'ACAS Capital Tracker'!$A:$D,4,FALSE()),""))</f>
        <v/>
      </c>
      <c r="H1833" s="22"/>
    </row>
    <row r="1834" spans="1:8">
      <c r="A1834" s="21"/>
      <c r="B1834" s="22"/>
      <c r="C1834" s="22"/>
      <c r="D1834" s="22"/>
      <c r="E1834" s="23" t="str">
        <f>IF($D1834="","",IFERROR(VLOOKUP($D1834,'ACAS Capital Tracker'!$A:$H,8,FALSE()),""))</f>
        <v/>
      </c>
      <c r="F1834" s="24"/>
      <c r="G1834" s="25" t="str">
        <f>IF($D1834="","",IFERROR(VLOOKUP($D1834,'ACAS Capital Tracker'!$A:$D,4,FALSE()),""))</f>
        <v/>
      </c>
      <c r="H1834" s="22"/>
    </row>
    <row r="1835" spans="1:8">
      <c r="A1835" s="21"/>
      <c r="B1835" s="22"/>
      <c r="C1835" s="22"/>
      <c r="D1835" s="22"/>
      <c r="E1835" s="23" t="str">
        <f>IF($D1835="","",IFERROR(VLOOKUP($D1835,'ACAS Capital Tracker'!$A:$H,8,FALSE()),""))</f>
        <v/>
      </c>
      <c r="F1835" s="24"/>
      <c r="G1835" s="25" t="str">
        <f>IF($D1835="","",IFERROR(VLOOKUP($D1835,'ACAS Capital Tracker'!$A:$D,4,FALSE()),""))</f>
        <v/>
      </c>
      <c r="H1835" s="22"/>
    </row>
    <row r="1836" spans="1:8">
      <c r="A1836" s="21"/>
      <c r="B1836" s="22"/>
      <c r="C1836" s="22"/>
      <c r="D1836" s="22"/>
      <c r="E1836" s="23" t="str">
        <f>IF($D1836="","",IFERROR(VLOOKUP($D1836,'ACAS Capital Tracker'!$A:$H,8,FALSE()),""))</f>
        <v/>
      </c>
      <c r="F1836" s="24"/>
      <c r="G1836" s="25" t="str">
        <f>IF($D1836="","",IFERROR(VLOOKUP($D1836,'ACAS Capital Tracker'!$A:$D,4,FALSE()),""))</f>
        <v/>
      </c>
      <c r="H1836" s="22"/>
    </row>
    <row r="1837" spans="1:8">
      <c r="A1837" s="21"/>
      <c r="B1837" s="22"/>
      <c r="C1837" s="22"/>
      <c r="D1837" s="22"/>
      <c r="E1837" s="23" t="str">
        <f>IF($D1837="","",IFERROR(VLOOKUP($D1837,'ACAS Capital Tracker'!$A:$H,8,FALSE()),""))</f>
        <v/>
      </c>
      <c r="F1837" s="24"/>
      <c r="G1837" s="25" t="str">
        <f>IF($D1837="","",IFERROR(VLOOKUP($D1837,'ACAS Capital Tracker'!$A:$D,4,FALSE()),""))</f>
        <v/>
      </c>
      <c r="H1837" s="22"/>
    </row>
    <row r="1838" spans="1:8">
      <c r="A1838" s="21"/>
      <c r="B1838" s="22"/>
      <c r="C1838" s="22"/>
      <c r="D1838" s="22"/>
      <c r="E1838" s="23" t="str">
        <f>IF($D1838="","",IFERROR(VLOOKUP($D1838,'ACAS Capital Tracker'!$A:$H,8,FALSE()),""))</f>
        <v/>
      </c>
      <c r="F1838" s="24"/>
      <c r="G1838" s="25" t="str">
        <f>IF($D1838="","",IFERROR(VLOOKUP($D1838,'ACAS Capital Tracker'!$A:$D,4,FALSE()),""))</f>
        <v/>
      </c>
      <c r="H1838" s="22"/>
    </row>
    <row r="1839" spans="1:8">
      <c r="A1839" s="21"/>
      <c r="B1839" s="22"/>
      <c r="C1839" s="22"/>
      <c r="D1839" s="22"/>
      <c r="E1839" s="23" t="str">
        <f>IF($D1839="","",IFERROR(VLOOKUP($D1839,'ACAS Capital Tracker'!$A:$H,8,FALSE()),""))</f>
        <v/>
      </c>
      <c r="F1839" s="24"/>
      <c r="G1839" s="25" t="str">
        <f>IF($D1839="","",IFERROR(VLOOKUP($D1839,'ACAS Capital Tracker'!$A:$D,4,FALSE()),""))</f>
        <v/>
      </c>
      <c r="H1839" s="22"/>
    </row>
    <row r="1840" spans="1:8">
      <c r="A1840" s="21"/>
      <c r="B1840" s="22"/>
      <c r="C1840" s="22"/>
      <c r="D1840" s="22"/>
      <c r="E1840" s="23" t="str">
        <f>IF($D1840="","",IFERROR(VLOOKUP($D1840,'ACAS Capital Tracker'!$A:$H,8,FALSE()),""))</f>
        <v/>
      </c>
      <c r="F1840" s="24"/>
      <c r="G1840" s="25" t="str">
        <f>IF($D1840="","",IFERROR(VLOOKUP($D1840,'ACAS Capital Tracker'!$A:$D,4,FALSE()),""))</f>
        <v/>
      </c>
      <c r="H1840" s="22"/>
    </row>
    <row r="1841" spans="1:8">
      <c r="A1841" s="21"/>
      <c r="B1841" s="22"/>
      <c r="C1841" s="22"/>
      <c r="D1841" s="22"/>
      <c r="E1841" s="23" t="str">
        <f>IF($D1841="","",IFERROR(VLOOKUP($D1841,'ACAS Capital Tracker'!$A:$H,8,FALSE()),""))</f>
        <v/>
      </c>
      <c r="F1841" s="24"/>
      <c r="G1841" s="25" t="str">
        <f>IF($D1841="","",IFERROR(VLOOKUP($D1841,'ACAS Capital Tracker'!$A:$D,4,FALSE()),""))</f>
        <v/>
      </c>
      <c r="H1841" s="22"/>
    </row>
    <row r="1842" spans="1:8">
      <c r="A1842" s="21"/>
      <c r="B1842" s="22"/>
      <c r="C1842" s="22"/>
      <c r="D1842" s="22"/>
      <c r="E1842" s="23" t="str">
        <f>IF($D1842="","",IFERROR(VLOOKUP($D1842,'ACAS Capital Tracker'!$A:$H,8,FALSE()),""))</f>
        <v/>
      </c>
      <c r="F1842" s="24"/>
      <c r="G1842" s="25" t="str">
        <f>IF($D1842="","",IFERROR(VLOOKUP($D1842,'ACAS Capital Tracker'!$A:$D,4,FALSE()),""))</f>
        <v/>
      </c>
      <c r="H1842" s="22"/>
    </row>
    <row r="1843" spans="1:8">
      <c r="A1843" s="21"/>
      <c r="B1843" s="22"/>
      <c r="C1843" s="22"/>
      <c r="D1843" s="22"/>
      <c r="E1843" s="23" t="str">
        <f>IF($D1843="","",IFERROR(VLOOKUP($D1843,'ACAS Capital Tracker'!$A:$H,8,FALSE()),""))</f>
        <v/>
      </c>
      <c r="F1843" s="24"/>
      <c r="G1843" s="25" t="str">
        <f>IF($D1843="","",IFERROR(VLOOKUP($D1843,'ACAS Capital Tracker'!$A:$D,4,FALSE()),""))</f>
        <v/>
      </c>
      <c r="H1843" s="22"/>
    </row>
    <row r="1844" spans="1:8">
      <c r="A1844" s="21"/>
      <c r="B1844" s="22"/>
      <c r="C1844" s="22"/>
      <c r="D1844" s="22"/>
      <c r="E1844" s="23" t="str">
        <f>IF($D1844="","",IFERROR(VLOOKUP($D1844,'ACAS Capital Tracker'!$A:$H,8,FALSE()),""))</f>
        <v/>
      </c>
      <c r="F1844" s="24"/>
      <c r="G1844" s="25" t="str">
        <f>IF($D1844="","",IFERROR(VLOOKUP($D1844,'ACAS Capital Tracker'!$A:$D,4,FALSE()),""))</f>
        <v/>
      </c>
      <c r="H1844" s="22"/>
    </row>
    <row r="1845" spans="1:8">
      <c r="A1845" s="21"/>
      <c r="B1845" s="22"/>
      <c r="C1845" s="22"/>
      <c r="D1845" s="22"/>
      <c r="E1845" s="23" t="str">
        <f>IF($D1845="","",IFERROR(VLOOKUP($D1845,'ACAS Capital Tracker'!$A:$H,8,FALSE()),""))</f>
        <v/>
      </c>
      <c r="F1845" s="24"/>
      <c r="G1845" s="25" t="str">
        <f>IF($D1845="","",IFERROR(VLOOKUP($D1845,'ACAS Capital Tracker'!$A:$D,4,FALSE()),""))</f>
        <v/>
      </c>
      <c r="H1845" s="22"/>
    </row>
    <row r="1846" spans="1:8">
      <c r="A1846" s="21"/>
      <c r="B1846" s="22"/>
      <c r="C1846" s="22"/>
      <c r="D1846" s="22"/>
      <c r="E1846" s="23" t="str">
        <f>IF($D1846="","",IFERROR(VLOOKUP($D1846,'ACAS Capital Tracker'!$A:$H,8,FALSE()),""))</f>
        <v/>
      </c>
      <c r="F1846" s="24"/>
      <c r="G1846" s="25" t="str">
        <f>IF($D1846="","",IFERROR(VLOOKUP($D1846,'ACAS Capital Tracker'!$A:$D,4,FALSE()),""))</f>
        <v/>
      </c>
      <c r="H1846" s="22"/>
    </row>
    <row r="1847" spans="1:8">
      <c r="A1847" s="21"/>
      <c r="B1847" s="22"/>
      <c r="C1847" s="22"/>
      <c r="D1847" s="22"/>
      <c r="E1847" s="23" t="str">
        <f>IF($D1847="","",IFERROR(VLOOKUP($D1847,'ACAS Capital Tracker'!$A:$H,8,FALSE()),""))</f>
        <v/>
      </c>
      <c r="F1847" s="24"/>
      <c r="G1847" s="25" t="str">
        <f>IF($D1847="","",IFERROR(VLOOKUP($D1847,'ACAS Capital Tracker'!$A:$D,4,FALSE()),""))</f>
        <v/>
      </c>
      <c r="H1847" s="22"/>
    </row>
    <row r="1848" spans="1:8">
      <c r="A1848" s="21"/>
      <c r="B1848" s="22"/>
      <c r="C1848" s="22"/>
      <c r="D1848" s="22"/>
      <c r="E1848" s="23" t="str">
        <f>IF($D1848="","",IFERROR(VLOOKUP($D1848,'ACAS Capital Tracker'!$A:$H,8,FALSE()),""))</f>
        <v/>
      </c>
      <c r="F1848" s="24"/>
      <c r="G1848" s="25" t="str">
        <f>IF($D1848="","",IFERROR(VLOOKUP($D1848,'ACAS Capital Tracker'!$A:$D,4,FALSE()),""))</f>
        <v/>
      </c>
      <c r="H1848" s="22"/>
    </row>
    <row r="1849" spans="1:8">
      <c r="A1849" s="21"/>
      <c r="B1849" s="22"/>
      <c r="C1849" s="22"/>
      <c r="D1849" s="22"/>
      <c r="E1849" s="23" t="str">
        <f>IF($D1849="","",IFERROR(VLOOKUP($D1849,'ACAS Capital Tracker'!$A:$H,8,FALSE()),""))</f>
        <v/>
      </c>
      <c r="F1849" s="24"/>
      <c r="G1849" s="25" t="str">
        <f>IF($D1849="","",IFERROR(VLOOKUP($D1849,'ACAS Capital Tracker'!$A:$D,4,FALSE()),""))</f>
        <v/>
      </c>
      <c r="H1849" s="22"/>
    </row>
    <row r="1850" spans="1:8">
      <c r="A1850" s="21"/>
      <c r="B1850" s="22"/>
      <c r="C1850" s="22"/>
      <c r="D1850" s="22"/>
      <c r="E1850" s="23" t="str">
        <f>IF($D1850="","",IFERROR(VLOOKUP($D1850,'ACAS Capital Tracker'!$A:$H,8,FALSE()),""))</f>
        <v/>
      </c>
      <c r="F1850" s="24"/>
      <c r="G1850" s="25" t="str">
        <f>IF($D1850="","",IFERROR(VLOOKUP($D1850,'ACAS Capital Tracker'!$A:$D,4,FALSE()),""))</f>
        <v/>
      </c>
      <c r="H1850" s="22"/>
    </row>
    <row r="1851" spans="1:8">
      <c r="A1851" s="21"/>
      <c r="B1851" s="22"/>
      <c r="C1851" s="22"/>
      <c r="D1851" s="22"/>
      <c r="E1851" s="23" t="str">
        <f>IF($D1851="","",IFERROR(VLOOKUP($D1851,'ACAS Capital Tracker'!$A:$H,8,FALSE()),""))</f>
        <v/>
      </c>
      <c r="F1851" s="24"/>
      <c r="G1851" s="25" t="str">
        <f>IF($D1851="","",IFERROR(VLOOKUP($D1851,'ACAS Capital Tracker'!$A:$D,4,FALSE()),""))</f>
        <v/>
      </c>
      <c r="H1851" s="22"/>
    </row>
    <row r="1852" spans="1:8">
      <c r="A1852" s="21"/>
      <c r="B1852" s="22"/>
      <c r="C1852" s="22"/>
      <c r="D1852" s="22"/>
      <c r="E1852" s="23" t="str">
        <f>IF($D1852="","",IFERROR(VLOOKUP($D1852,'ACAS Capital Tracker'!$A:$H,8,FALSE()),""))</f>
        <v/>
      </c>
      <c r="F1852" s="24"/>
      <c r="G1852" s="25" t="str">
        <f>IF($D1852="","",IFERROR(VLOOKUP($D1852,'ACAS Capital Tracker'!$A:$D,4,FALSE()),""))</f>
        <v/>
      </c>
      <c r="H1852" s="22"/>
    </row>
    <row r="1853" spans="1:8">
      <c r="A1853" s="21"/>
      <c r="B1853" s="22"/>
      <c r="C1853" s="22"/>
      <c r="D1853" s="22"/>
      <c r="E1853" s="23" t="str">
        <f>IF($D1853="","",IFERROR(VLOOKUP($D1853,'ACAS Capital Tracker'!$A:$H,8,FALSE()),""))</f>
        <v/>
      </c>
      <c r="F1853" s="24"/>
      <c r="G1853" s="25" t="str">
        <f>IF($D1853="","",IFERROR(VLOOKUP($D1853,'ACAS Capital Tracker'!$A:$D,4,FALSE()),""))</f>
        <v/>
      </c>
      <c r="H1853" s="22"/>
    </row>
    <row r="1854" spans="1:8">
      <c r="A1854" s="21"/>
      <c r="B1854" s="22"/>
      <c r="C1854" s="22"/>
      <c r="D1854" s="22"/>
      <c r="E1854" s="23" t="str">
        <f>IF($D1854="","",IFERROR(VLOOKUP($D1854,'ACAS Capital Tracker'!$A:$H,8,FALSE()),""))</f>
        <v/>
      </c>
      <c r="F1854" s="24"/>
      <c r="G1854" s="25" t="str">
        <f>IF($D1854="","",IFERROR(VLOOKUP($D1854,'ACAS Capital Tracker'!$A:$D,4,FALSE()),""))</f>
        <v/>
      </c>
      <c r="H1854" s="22"/>
    </row>
    <row r="1855" spans="1:8">
      <c r="A1855" s="21"/>
      <c r="B1855" s="22"/>
      <c r="C1855" s="22"/>
      <c r="D1855" s="22"/>
      <c r="E1855" s="23" t="str">
        <f>IF($D1855="","",IFERROR(VLOOKUP($D1855,'ACAS Capital Tracker'!$A:$H,8,FALSE()),""))</f>
        <v/>
      </c>
      <c r="F1855" s="24"/>
      <c r="G1855" s="25" t="str">
        <f>IF($D1855="","",IFERROR(VLOOKUP($D1855,'ACAS Capital Tracker'!$A:$D,4,FALSE()),""))</f>
        <v/>
      </c>
      <c r="H1855" s="22"/>
    </row>
    <row r="1856" spans="1:8">
      <c r="A1856" s="21"/>
      <c r="B1856" s="22"/>
      <c r="C1856" s="22"/>
      <c r="D1856" s="22"/>
      <c r="E1856" s="23" t="str">
        <f>IF($D1856="","",IFERROR(VLOOKUP($D1856,'ACAS Capital Tracker'!$A:$H,8,FALSE()),""))</f>
        <v/>
      </c>
      <c r="F1856" s="24"/>
      <c r="G1856" s="25" t="str">
        <f>IF($D1856="","",IFERROR(VLOOKUP($D1856,'ACAS Capital Tracker'!$A:$D,4,FALSE()),""))</f>
        <v/>
      </c>
      <c r="H1856" s="22"/>
    </row>
    <row r="1857" spans="1:8">
      <c r="A1857" s="21"/>
      <c r="B1857" s="22"/>
      <c r="C1857" s="22"/>
      <c r="D1857" s="22"/>
      <c r="E1857" s="23" t="str">
        <f>IF($D1857="","",IFERROR(VLOOKUP($D1857,'ACAS Capital Tracker'!$A:$H,8,FALSE()),""))</f>
        <v/>
      </c>
      <c r="F1857" s="24"/>
      <c r="G1857" s="25" t="str">
        <f>IF($D1857="","",IFERROR(VLOOKUP($D1857,'ACAS Capital Tracker'!$A:$D,4,FALSE()),""))</f>
        <v/>
      </c>
      <c r="H1857" s="22"/>
    </row>
    <row r="1858" spans="1:8">
      <c r="A1858" s="21"/>
      <c r="B1858" s="22"/>
      <c r="C1858" s="22"/>
      <c r="D1858" s="22"/>
      <c r="E1858" s="23" t="str">
        <f>IF($D1858="","",IFERROR(VLOOKUP($D1858,'ACAS Capital Tracker'!$A:$H,8,FALSE()),""))</f>
        <v/>
      </c>
      <c r="F1858" s="24"/>
      <c r="G1858" s="25" t="str">
        <f>IF($D1858="","",IFERROR(VLOOKUP($D1858,'ACAS Capital Tracker'!$A:$D,4,FALSE()),""))</f>
        <v/>
      </c>
      <c r="H1858" s="22"/>
    </row>
    <row r="1859" spans="1:8">
      <c r="A1859" s="21"/>
      <c r="B1859" s="22"/>
      <c r="C1859" s="22"/>
      <c r="D1859" s="22"/>
      <c r="E1859" s="23" t="str">
        <f>IF($D1859="","",IFERROR(VLOOKUP($D1859,'ACAS Capital Tracker'!$A:$H,8,FALSE()),""))</f>
        <v/>
      </c>
      <c r="F1859" s="24"/>
      <c r="G1859" s="25" t="str">
        <f>IF($D1859="","",IFERROR(VLOOKUP($D1859,'ACAS Capital Tracker'!$A:$D,4,FALSE()),""))</f>
        <v/>
      </c>
      <c r="H1859" s="22"/>
    </row>
    <row r="1860" spans="1:8">
      <c r="A1860" s="21"/>
      <c r="B1860" s="22"/>
      <c r="C1860" s="22"/>
      <c r="D1860" s="22"/>
      <c r="E1860" s="23" t="str">
        <f>IF($D1860="","",IFERROR(VLOOKUP($D1860,'ACAS Capital Tracker'!$A:$H,8,FALSE()),""))</f>
        <v/>
      </c>
      <c r="F1860" s="24"/>
      <c r="G1860" s="25" t="str">
        <f>IF($D1860="","",IFERROR(VLOOKUP($D1860,'ACAS Capital Tracker'!$A:$D,4,FALSE()),""))</f>
        <v/>
      </c>
      <c r="H1860" s="22"/>
    </row>
    <row r="1861" spans="1:8">
      <c r="A1861" s="21"/>
      <c r="B1861" s="22"/>
      <c r="C1861" s="22"/>
      <c r="D1861" s="22"/>
      <c r="E1861" s="23" t="str">
        <f>IF($D1861="","",IFERROR(VLOOKUP($D1861,'ACAS Capital Tracker'!$A:$H,8,FALSE()),""))</f>
        <v/>
      </c>
      <c r="F1861" s="24"/>
      <c r="G1861" s="25" t="str">
        <f>IF($D1861="","",IFERROR(VLOOKUP($D1861,'ACAS Capital Tracker'!$A:$D,4,FALSE()),""))</f>
        <v/>
      </c>
      <c r="H1861" s="22"/>
    </row>
    <row r="1862" spans="1:8">
      <c r="A1862" s="21"/>
      <c r="B1862" s="22"/>
      <c r="C1862" s="22"/>
      <c r="D1862" s="22"/>
      <c r="E1862" s="23" t="str">
        <f>IF($D1862="","",IFERROR(VLOOKUP($D1862,'ACAS Capital Tracker'!$A:$H,8,FALSE()),""))</f>
        <v/>
      </c>
      <c r="F1862" s="24"/>
      <c r="G1862" s="25" t="str">
        <f>IF($D1862="","",IFERROR(VLOOKUP($D1862,'ACAS Capital Tracker'!$A:$D,4,FALSE()),""))</f>
        <v/>
      </c>
      <c r="H1862" s="22"/>
    </row>
    <row r="1863" spans="1:8">
      <c r="A1863" s="21"/>
      <c r="B1863" s="22"/>
      <c r="C1863" s="22"/>
      <c r="D1863" s="22"/>
      <c r="E1863" s="23" t="str">
        <f>IF($D1863="","",IFERROR(VLOOKUP($D1863,'ACAS Capital Tracker'!$A:$H,8,FALSE()),""))</f>
        <v/>
      </c>
      <c r="F1863" s="24"/>
      <c r="G1863" s="25" t="str">
        <f>IF($D1863="","",IFERROR(VLOOKUP($D1863,'ACAS Capital Tracker'!$A:$D,4,FALSE()),""))</f>
        <v/>
      </c>
      <c r="H1863" s="22"/>
    </row>
    <row r="1864" spans="1:8">
      <c r="A1864" s="21"/>
      <c r="B1864" s="22"/>
      <c r="C1864" s="22"/>
      <c r="D1864" s="22"/>
      <c r="E1864" s="23" t="str">
        <f>IF($D1864="","",IFERROR(VLOOKUP($D1864,'ACAS Capital Tracker'!$A:$H,8,FALSE()),""))</f>
        <v/>
      </c>
      <c r="F1864" s="24"/>
      <c r="G1864" s="25" t="str">
        <f>IF($D1864="","",IFERROR(VLOOKUP($D1864,'ACAS Capital Tracker'!$A:$D,4,FALSE()),""))</f>
        <v/>
      </c>
      <c r="H1864" s="22"/>
    </row>
    <row r="1865" spans="1:8">
      <c r="A1865" s="21"/>
      <c r="B1865" s="22"/>
      <c r="C1865" s="22"/>
      <c r="D1865" s="22"/>
      <c r="E1865" s="23" t="str">
        <f>IF($D1865="","",IFERROR(VLOOKUP($D1865,'ACAS Capital Tracker'!$A:$H,8,FALSE()),""))</f>
        <v/>
      </c>
      <c r="F1865" s="24"/>
      <c r="G1865" s="25" t="str">
        <f>IF($D1865="","",IFERROR(VLOOKUP($D1865,'ACAS Capital Tracker'!$A:$D,4,FALSE()),""))</f>
        <v/>
      </c>
      <c r="H1865" s="22"/>
    </row>
    <row r="1866" spans="1:8">
      <c r="A1866" s="21"/>
      <c r="B1866" s="22"/>
      <c r="C1866" s="22"/>
      <c r="D1866" s="22"/>
      <c r="E1866" s="23" t="str">
        <f>IF($D1866="","",IFERROR(VLOOKUP($D1866,'ACAS Capital Tracker'!$A:$H,8,FALSE()),""))</f>
        <v/>
      </c>
      <c r="F1866" s="24"/>
      <c r="G1866" s="25" t="str">
        <f>IF($D1866="","",IFERROR(VLOOKUP($D1866,'ACAS Capital Tracker'!$A:$D,4,FALSE()),""))</f>
        <v/>
      </c>
      <c r="H1866" s="22"/>
    </row>
    <row r="1867" spans="1:8">
      <c r="A1867" s="21"/>
      <c r="B1867" s="22"/>
      <c r="C1867" s="22"/>
      <c r="D1867" s="22"/>
      <c r="E1867" s="23" t="str">
        <f>IF($D1867="","",IFERROR(VLOOKUP($D1867,'ACAS Capital Tracker'!$A:$H,8,FALSE()),""))</f>
        <v/>
      </c>
      <c r="F1867" s="24"/>
      <c r="G1867" s="25" t="str">
        <f>IF($D1867="","",IFERROR(VLOOKUP($D1867,'ACAS Capital Tracker'!$A:$D,4,FALSE()),""))</f>
        <v/>
      </c>
      <c r="H1867" s="22"/>
    </row>
    <row r="1868" spans="1:8">
      <c r="A1868" s="21"/>
      <c r="B1868" s="22"/>
      <c r="C1868" s="22"/>
      <c r="D1868" s="22"/>
      <c r="E1868" s="23" t="str">
        <f>IF($D1868="","",IFERROR(VLOOKUP($D1868,'ACAS Capital Tracker'!$A:$H,8,FALSE()),""))</f>
        <v/>
      </c>
      <c r="F1868" s="24"/>
      <c r="G1868" s="25" t="str">
        <f>IF($D1868="","",IFERROR(VLOOKUP($D1868,'ACAS Capital Tracker'!$A:$D,4,FALSE()),""))</f>
        <v/>
      </c>
      <c r="H1868" s="22"/>
    </row>
    <row r="1869" spans="1:8">
      <c r="A1869" s="21"/>
      <c r="B1869" s="22"/>
      <c r="C1869" s="22"/>
      <c r="D1869" s="22"/>
      <c r="E1869" s="23" t="str">
        <f>IF($D1869="","",IFERROR(VLOOKUP($D1869,'ACAS Capital Tracker'!$A:$H,8,FALSE()),""))</f>
        <v/>
      </c>
      <c r="F1869" s="24"/>
      <c r="G1869" s="25" t="str">
        <f>IF($D1869="","",IFERROR(VLOOKUP($D1869,'ACAS Capital Tracker'!$A:$D,4,FALSE()),""))</f>
        <v/>
      </c>
      <c r="H1869" s="22"/>
    </row>
    <row r="1870" spans="1:8">
      <c r="A1870" s="21"/>
      <c r="B1870" s="22"/>
      <c r="C1870" s="22"/>
      <c r="D1870" s="22"/>
      <c r="E1870" s="23" t="str">
        <f>IF($D1870="","",IFERROR(VLOOKUP($D1870,'ACAS Capital Tracker'!$A:$H,8,FALSE()),""))</f>
        <v/>
      </c>
      <c r="F1870" s="24"/>
      <c r="G1870" s="25" t="str">
        <f>IF($D1870="","",IFERROR(VLOOKUP($D1870,'ACAS Capital Tracker'!$A:$D,4,FALSE()),""))</f>
        <v/>
      </c>
      <c r="H1870" s="22"/>
    </row>
    <row r="1871" spans="1:8">
      <c r="A1871" s="21"/>
      <c r="B1871" s="22"/>
      <c r="C1871" s="22"/>
      <c r="D1871" s="22"/>
      <c r="E1871" s="23" t="str">
        <f>IF($D1871="","",IFERROR(VLOOKUP($D1871,'ACAS Capital Tracker'!$A:$H,8,FALSE()),""))</f>
        <v/>
      </c>
      <c r="F1871" s="24"/>
      <c r="G1871" s="25" t="str">
        <f>IF($D1871="","",IFERROR(VLOOKUP($D1871,'ACAS Capital Tracker'!$A:$D,4,FALSE()),""))</f>
        <v/>
      </c>
      <c r="H1871" s="22"/>
    </row>
    <row r="1872" spans="1:8">
      <c r="A1872" s="21"/>
      <c r="B1872" s="22"/>
      <c r="C1872" s="22"/>
      <c r="D1872" s="22"/>
      <c r="E1872" s="23" t="str">
        <f>IF($D1872="","",IFERROR(VLOOKUP($D1872,'ACAS Capital Tracker'!$A:$H,8,FALSE()),""))</f>
        <v/>
      </c>
      <c r="F1872" s="24"/>
      <c r="G1872" s="25" t="str">
        <f>IF($D1872="","",IFERROR(VLOOKUP($D1872,'ACAS Capital Tracker'!$A:$D,4,FALSE()),""))</f>
        <v/>
      </c>
      <c r="H1872" s="22"/>
    </row>
    <row r="1873" spans="1:8">
      <c r="A1873" s="21"/>
      <c r="B1873" s="22"/>
      <c r="C1873" s="22"/>
      <c r="D1873" s="22"/>
      <c r="E1873" s="23" t="str">
        <f>IF($D1873="","",IFERROR(VLOOKUP($D1873,'ACAS Capital Tracker'!$A:$H,8,FALSE()),""))</f>
        <v/>
      </c>
      <c r="F1873" s="24"/>
      <c r="G1873" s="25" t="str">
        <f>IF($D1873="","",IFERROR(VLOOKUP($D1873,'ACAS Capital Tracker'!$A:$D,4,FALSE()),""))</f>
        <v/>
      </c>
      <c r="H1873" s="22"/>
    </row>
    <row r="1874" spans="1:8">
      <c r="A1874" s="21"/>
      <c r="B1874" s="22"/>
      <c r="C1874" s="22"/>
      <c r="D1874" s="22"/>
      <c r="E1874" s="23" t="str">
        <f>IF($D1874="","",IFERROR(VLOOKUP($D1874,'ACAS Capital Tracker'!$A:$H,8,FALSE()),""))</f>
        <v/>
      </c>
      <c r="F1874" s="24"/>
      <c r="G1874" s="25" t="str">
        <f>IF($D1874="","",IFERROR(VLOOKUP($D1874,'ACAS Capital Tracker'!$A:$D,4,FALSE()),""))</f>
        <v/>
      </c>
      <c r="H1874" s="22"/>
    </row>
    <row r="1875" spans="1:8">
      <c r="A1875" s="21"/>
      <c r="B1875" s="22"/>
      <c r="C1875" s="22"/>
      <c r="D1875" s="22"/>
      <c r="E1875" s="23" t="str">
        <f>IF($D1875="","",IFERROR(VLOOKUP($D1875,'ACAS Capital Tracker'!$A:$H,8,FALSE()),""))</f>
        <v/>
      </c>
      <c r="F1875" s="24"/>
      <c r="G1875" s="25" t="str">
        <f>IF($D1875="","",IFERROR(VLOOKUP($D1875,'ACAS Capital Tracker'!$A:$D,4,FALSE()),""))</f>
        <v/>
      </c>
      <c r="H1875" s="22"/>
    </row>
    <row r="1876" spans="1:8">
      <c r="A1876" s="21"/>
      <c r="B1876" s="22"/>
      <c r="C1876" s="22"/>
      <c r="D1876" s="22"/>
      <c r="E1876" s="23" t="str">
        <f>IF($D1876="","",IFERROR(VLOOKUP($D1876,'ACAS Capital Tracker'!$A:$H,8,FALSE()),""))</f>
        <v/>
      </c>
      <c r="F1876" s="24"/>
      <c r="G1876" s="25" t="str">
        <f>IF($D1876="","",IFERROR(VLOOKUP($D1876,'ACAS Capital Tracker'!$A:$D,4,FALSE()),""))</f>
        <v/>
      </c>
      <c r="H1876" s="22"/>
    </row>
    <row r="1877" spans="1:8">
      <c r="A1877" s="21"/>
      <c r="B1877" s="22"/>
      <c r="C1877" s="22"/>
      <c r="D1877" s="22"/>
      <c r="E1877" s="23" t="str">
        <f>IF($D1877="","",IFERROR(VLOOKUP($D1877,'ACAS Capital Tracker'!$A:$H,8,FALSE()),""))</f>
        <v/>
      </c>
      <c r="F1877" s="24"/>
      <c r="G1877" s="25" t="str">
        <f>IF($D1877="","",IFERROR(VLOOKUP($D1877,'ACAS Capital Tracker'!$A:$D,4,FALSE()),""))</f>
        <v/>
      </c>
      <c r="H1877" s="22"/>
    </row>
    <row r="1878" spans="1:8">
      <c r="A1878" s="21"/>
      <c r="B1878" s="22"/>
      <c r="C1878" s="22"/>
      <c r="D1878" s="22"/>
      <c r="E1878" s="23" t="str">
        <f>IF($D1878="","",IFERROR(VLOOKUP($D1878,'ACAS Capital Tracker'!$A:$H,8,FALSE()),""))</f>
        <v/>
      </c>
      <c r="F1878" s="24"/>
      <c r="G1878" s="25" t="str">
        <f>IF($D1878="","",IFERROR(VLOOKUP($D1878,'ACAS Capital Tracker'!$A:$D,4,FALSE()),""))</f>
        <v/>
      </c>
      <c r="H1878" s="22"/>
    </row>
    <row r="1879" spans="1:8">
      <c r="A1879" s="21"/>
      <c r="B1879" s="22"/>
      <c r="C1879" s="22"/>
      <c r="D1879" s="22"/>
      <c r="E1879" s="23" t="str">
        <f>IF($D1879="","",IFERROR(VLOOKUP($D1879,'ACAS Capital Tracker'!$A:$H,8,FALSE()),""))</f>
        <v/>
      </c>
      <c r="F1879" s="24"/>
      <c r="G1879" s="25" t="str">
        <f>IF($D1879="","",IFERROR(VLOOKUP($D1879,'ACAS Capital Tracker'!$A:$D,4,FALSE()),""))</f>
        <v/>
      </c>
      <c r="H1879" s="22"/>
    </row>
    <row r="1880" spans="1:8">
      <c r="A1880" s="21"/>
      <c r="B1880" s="22"/>
      <c r="C1880" s="22"/>
      <c r="D1880" s="22"/>
      <c r="E1880" s="23" t="str">
        <f>IF($D1880="","",IFERROR(VLOOKUP($D1880,'ACAS Capital Tracker'!$A:$H,8,FALSE()),""))</f>
        <v/>
      </c>
      <c r="F1880" s="24"/>
      <c r="G1880" s="25" t="str">
        <f>IF($D1880="","",IFERROR(VLOOKUP($D1880,'ACAS Capital Tracker'!$A:$D,4,FALSE()),""))</f>
        <v/>
      </c>
      <c r="H1880" s="22"/>
    </row>
    <row r="1881" spans="1:8">
      <c r="A1881" s="21"/>
      <c r="B1881" s="22"/>
      <c r="C1881" s="22"/>
      <c r="D1881" s="22"/>
      <c r="E1881" s="23" t="str">
        <f>IF($D1881="","",IFERROR(VLOOKUP($D1881,'ACAS Capital Tracker'!$A:$H,8,FALSE()),""))</f>
        <v/>
      </c>
      <c r="F1881" s="24"/>
      <c r="G1881" s="25" t="str">
        <f>IF($D1881="","",IFERROR(VLOOKUP($D1881,'ACAS Capital Tracker'!$A:$D,4,FALSE()),""))</f>
        <v/>
      </c>
      <c r="H1881" s="22"/>
    </row>
    <row r="1882" spans="1:8">
      <c r="A1882" s="21"/>
      <c r="B1882" s="22"/>
      <c r="C1882" s="22"/>
      <c r="D1882" s="22"/>
      <c r="E1882" s="23" t="str">
        <f>IF($D1882="","",IFERROR(VLOOKUP($D1882,'ACAS Capital Tracker'!$A:$H,8,FALSE()),""))</f>
        <v/>
      </c>
      <c r="F1882" s="24"/>
      <c r="G1882" s="25" t="str">
        <f>IF($D1882="","",IFERROR(VLOOKUP($D1882,'ACAS Capital Tracker'!$A:$D,4,FALSE()),""))</f>
        <v/>
      </c>
      <c r="H1882" s="22"/>
    </row>
    <row r="1883" spans="1:8">
      <c r="A1883" s="21"/>
      <c r="B1883" s="22"/>
      <c r="C1883" s="22"/>
      <c r="D1883" s="22"/>
      <c r="E1883" s="23" t="str">
        <f>IF($D1883="","",IFERROR(VLOOKUP($D1883,'ACAS Capital Tracker'!$A:$H,8,FALSE()),""))</f>
        <v/>
      </c>
      <c r="F1883" s="24"/>
      <c r="G1883" s="25" t="str">
        <f>IF($D1883="","",IFERROR(VLOOKUP($D1883,'ACAS Capital Tracker'!$A:$D,4,FALSE()),""))</f>
        <v/>
      </c>
      <c r="H1883" s="22"/>
    </row>
    <row r="1884" spans="1:8">
      <c r="A1884" s="21"/>
      <c r="B1884" s="22"/>
      <c r="C1884" s="22"/>
      <c r="D1884" s="22"/>
      <c r="E1884" s="23" t="str">
        <f>IF($D1884="","",IFERROR(VLOOKUP($D1884,'ACAS Capital Tracker'!$A:$H,8,FALSE()),""))</f>
        <v/>
      </c>
      <c r="F1884" s="24"/>
      <c r="G1884" s="25" t="str">
        <f>IF($D1884="","",IFERROR(VLOOKUP($D1884,'ACAS Capital Tracker'!$A:$D,4,FALSE()),""))</f>
        <v/>
      </c>
      <c r="H1884" s="22"/>
    </row>
    <row r="1885" spans="1:8">
      <c r="A1885" s="21"/>
      <c r="B1885" s="22"/>
      <c r="C1885" s="22"/>
      <c r="D1885" s="22"/>
      <c r="E1885" s="23" t="str">
        <f>IF($D1885="","",IFERROR(VLOOKUP($D1885,'ACAS Capital Tracker'!$A:$H,8,FALSE()),""))</f>
        <v/>
      </c>
      <c r="F1885" s="24"/>
      <c r="G1885" s="25" t="str">
        <f>IF($D1885="","",IFERROR(VLOOKUP($D1885,'ACAS Capital Tracker'!$A:$D,4,FALSE()),""))</f>
        <v/>
      </c>
      <c r="H1885" s="22"/>
    </row>
    <row r="1886" spans="1:8">
      <c r="A1886" s="21"/>
      <c r="B1886" s="22"/>
      <c r="C1886" s="22"/>
      <c r="D1886" s="22"/>
      <c r="E1886" s="23" t="str">
        <f>IF($D1886="","",IFERROR(VLOOKUP($D1886,'ACAS Capital Tracker'!$A:$H,8,FALSE()),""))</f>
        <v/>
      </c>
      <c r="F1886" s="24"/>
      <c r="G1886" s="25" t="str">
        <f>IF($D1886="","",IFERROR(VLOOKUP($D1886,'ACAS Capital Tracker'!$A:$D,4,FALSE()),""))</f>
        <v/>
      </c>
      <c r="H1886" s="22"/>
    </row>
    <row r="1887" spans="1:8">
      <c r="A1887" s="21"/>
      <c r="B1887" s="22"/>
      <c r="C1887" s="22"/>
      <c r="D1887" s="22"/>
      <c r="E1887" s="23" t="str">
        <f>IF($D1887="","",IFERROR(VLOOKUP($D1887,'ACAS Capital Tracker'!$A:$H,8,FALSE()),""))</f>
        <v/>
      </c>
      <c r="F1887" s="24"/>
      <c r="G1887" s="25" t="str">
        <f>IF($D1887="","",IFERROR(VLOOKUP($D1887,'ACAS Capital Tracker'!$A:$D,4,FALSE()),""))</f>
        <v/>
      </c>
      <c r="H1887" s="22"/>
    </row>
    <row r="1888" spans="1:8">
      <c r="A1888" s="21"/>
      <c r="B1888" s="22"/>
      <c r="C1888" s="22"/>
      <c r="D1888" s="22"/>
      <c r="E1888" s="23" t="str">
        <f>IF($D1888="","",IFERROR(VLOOKUP($D1888,'ACAS Capital Tracker'!$A:$H,8,FALSE()),""))</f>
        <v/>
      </c>
      <c r="F1888" s="24"/>
      <c r="G1888" s="25" t="str">
        <f>IF($D1888="","",IFERROR(VLOOKUP($D1888,'ACAS Capital Tracker'!$A:$D,4,FALSE()),""))</f>
        <v/>
      </c>
      <c r="H1888" s="22"/>
    </row>
    <row r="1889" spans="1:8">
      <c r="A1889" s="21"/>
      <c r="B1889" s="22"/>
      <c r="C1889" s="22"/>
      <c r="D1889" s="22"/>
      <c r="E1889" s="23" t="str">
        <f>IF($D1889="","",IFERROR(VLOOKUP($D1889,'ACAS Capital Tracker'!$A:$H,8,FALSE()),""))</f>
        <v/>
      </c>
      <c r="F1889" s="24"/>
      <c r="G1889" s="25" t="str">
        <f>IF($D1889="","",IFERROR(VLOOKUP($D1889,'ACAS Capital Tracker'!$A:$D,4,FALSE()),""))</f>
        <v/>
      </c>
      <c r="H1889" s="22"/>
    </row>
    <row r="1890" spans="1:8">
      <c r="A1890" s="21"/>
      <c r="B1890" s="22"/>
      <c r="C1890" s="22"/>
      <c r="D1890" s="22"/>
      <c r="E1890" s="23" t="str">
        <f>IF($D1890="","",IFERROR(VLOOKUP($D1890,'ACAS Capital Tracker'!$A:$H,8,FALSE()),""))</f>
        <v/>
      </c>
      <c r="F1890" s="24"/>
      <c r="G1890" s="25" t="str">
        <f>IF($D1890="","",IFERROR(VLOOKUP($D1890,'ACAS Capital Tracker'!$A:$D,4,FALSE()),""))</f>
        <v/>
      </c>
      <c r="H1890" s="22"/>
    </row>
    <row r="1891" spans="1:8">
      <c r="A1891" s="21"/>
      <c r="B1891" s="22"/>
      <c r="C1891" s="22"/>
      <c r="D1891" s="22"/>
      <c r="E1891" s="23" t="str">
        <f>IF($D1891="","",IFERROR(VLOOKUP($D1891,'ACAS Capital Tracker'!$A:$H,8,FALSE()),""))</f>
        <v/>
      </c>
      <c r="F1891" s="24"/>
      <c r="G1891" s="25" t="str">
        <f>IF($D1891="","",IFERROR(VLOOKUP($D1891,'ACAS Capital Tracker'!$A:$D,4,FALSE()),""))</f>
        <v/>
      </c>
      <c r="H1891" s="22"/>
    </row>
    <row r="1892" spans="1:8">
      <c r="A1892" s="21"/>
      <c r="B1892" s="22"/>
      <c r="C1892" s="22"/>
      <c r="D1892" s="22"/>
      <c r="E1892" s="23" t="str">
        <f>IF($D1892="","",IFERROR(VLOOKUP($D1892,'ACAS Capital Tracker'!$A:$H,8,FALSE()),""))</f>
        <v/>
      </c>
      <c r="F1892" s="24"/>
      <c r="G1892" s="25" t="str">
        <f>IF($D1892="","",IFERROR(VLOOKUP($D1892,'ACAS Capital Tracker'!$A:$D,4,FALSE()),""))</f>
        <v/>
      </c>
      <c r="H1892" s="22"/>
    </row>
    <row r="1893" spans="1:8">
      <c r="A1893" s="21"/>
      <c r="B1893" s="22"/>
      <c r="C1893" s="22"/>
      <c r="D1893" s="22"/>
      <c r="E1893" s="23" t="str">
        <f>IF($D1893="","",IFERROR(VLOOKUP($D1893,'ACAS Capital Tracker'!$A:$H,8,FALSE()),""))</f>
        <v/>
      </c>
      <c r="F1893" s="24"/>
      <c r="G1893" s="25" t="str">
        <f>IF($D1893="","",IFERROR(VLOOKUP($D1893,'ACAS Capital Tracker'!$A:$D,4,FALSE()),""))</f>
        <v/>
      </c>
      <c r="H1893" s="22"/>
    </row>
    <row r="1894" spans="1:8">
      <c r="A1894" s="21"/>
      <c r="B1894" s="22"/>
      <c r="C1894" s="22"/>
      <c r="D1894" s="22"/>
      <c r="E1894" s="23" t="str">
        <f>IF($D1894="","",IFERROR(VLOOKUP($D1894,'ACAS Capital Tracker'!$A:$H,8,FALSE()),""))</f>
        <v/>
      </c>
      <c r="F1894" s="24"/>
      <c r="G1894" s="25" t="str">
        <f>IF($D1894="","",IFERROR(VLOOKUP($D1894,'ACAS Capital Tracker'!$A:$D,4,FALSE()),""))</f>
        <v/>
      </c>
      <c r="H1894" s="22"/>
    </row>
    <row r="1895" spans="1:8">
      <c r="A1895" s="21"/>
      <c r="B1895" s="22"/>
      <c r="C1895" s="22"/>
      <c r="D1895" s="22"/>
      <c r="E1895" s="23" t="str">
        <f>IF($D1895="","",IFERROR(VLOOKUP($D1895,'ACAS Capital Tracker'!$A:$H,8,FALSE()),""))</f>
        <v/>
      </c>
      <c r="F1895" s="24"/>
      <c r="G1895" s="25" t="str">
        <f>IF($D1895="","",IFERROR(VLOOKUP($D1895,'ACAS Capital Tracker'!$A:$D,4,FALSE()),""))</f>
        <v/>
      </c>
      <c r="H1895" s="22"/>
    </row>
    <row r="1896" spans="1:8">
      <c r="A1896" s="21"/>
      <c r="B1896" s="22"/>
      <c r="C1896" s="22"/>
      <c r="D1896" s="22"/>
      <c r="E1896" s="23" t="str">
        <f>IF($D1896="","",IFERROR(VLOOKUP($D1896,'ACAS Capital Tracker'!$A:$H,8,FALSE()),""))</f>
        <v/>
      </c>
      <c r="F1896" s="24"/>
      <c r="G1896" s="25" t="str">
        <f>IF($D1896="","",IFERROR(VLOOKUP($D1896,'ACAS Capital Tracker'!$A:$D,4,FALSE()),""))</f>
        <v/>
      </c>
      <c r="H1896" s="22"/>
    </row>
    <row r="1897" spans="1:8">
      <c r="A1897" s="21"/>
      <c r="B1897" s="22"/>
      <c r="C1897" s="22"/>
      <c r="D1897" s="22"/>
      <c r="E1897" s="23" t="str">
        <f>IF($D1897="","",IFERROR(VLOOKUP($D1897,'ACAS Capital Tracker'!$A:$H,8,FALSE()),""))</f>
        <v/>
      </c>
      <c r="F1897" s="24"/>
      <c r="G1897" s="25" t="str">
        <f>IF($D1897="","",IFERROR(VLOOKUP($D1897,'ACAS Capital Tracker'!$A:$D,4,FALSE()),""))</f>
        <v/>
      </c>
      <c r="H1897" s="22"/>
    </row>
    <row r="1898" spans="1:8">
      <c r="A1898" s="21"/>
      <c r="B1898" s="22"/>
      <c r="C1898" s="22"/>
      <c r="D1898" s="22"/>
      <c r="E1898" s="23" t="str">
        <f>IF($D1898="","",IFERROR(VLOOKUP($D1898,'ACAS Capital Tracker'!$A:$H,8,FALSE()),""))</f>
        <v/>
      </c>
      <c r="F1898" s="24"/>
      <c r="G1898" s="25" t="str">
        <f>IF($D1898="","",IFERROR(VLOOKUP($D1898,'ACAS Capital Tracker'!$A:$D,4,FALSE()),""))</f>
        <v/>
      </c>
      <c r="H1898" s="22"/>
    </row>
    <row r="1899" spans="1:8">
      <c r="A1899" s="21"/>
      <c r="B1899" s="22"/>
      <c r="C1899" s="22"/>
      <c r="D1899" s="22"/>
      <c r="E1899" s="23" t="str">
        <f>IF($D1899="","",IFERROR(VLOOKUP($D1899,'ACAS Capital Tracker'!$A:$H,8,FALSE()),""))</f>
        <v/>
      </c>
      <c r="F1899" s="24"/>
      <c r="G1899" s="25" t="str">
        <f>IF($D1899="","",IFERROR(VLOOKUP($D1899,'ACAS Capital Tracker'!$A:$D,4,FALSE()),""))</f>
        <v/>
      </c>
      <c r="H1899" s="22"/>
    </row>
    <row r="1900" spans="1:8">
      <c r="A1900" s="21"/>
      <c r="B1900" s="22"/>
      <c r="C1900" s="22"/>
      <c r="D1900" s="22"/>
      <c r="E1900" s="23" t="str">
        <f>IF($D1900="","",IFERROR(VLOOKUP($D1900,'ACAS Capital Tracker'!$A:$H,8,FALSE()),""))</f>
        <v/>
      </c>
      <c r="F1900" s="24"/>
      <c r="G1900" s="25" t="str">
        <f>IF($D1900="","",IFERROR(VLOOKUP($D1900,'ACAS Capital Tracker'!$A:$D,4,FALSE()),""))</f>
        <v/>
      </c>
      <c r="H1900" s="22"/>
    </row>
    <row r="1901" spans="1:8">
      <c r="A1901" s="21"/>
      <c r="B1901" s="22"/>
      <c r="C1901" s="22"/>
      <c r="D1901" s="22"/>
      <c r="E1901" s="23" t="str">
        <f>IF($D1901="","",IFERROR(VLOOKUP($D1901,'ACAS Capital Tracker'!$A:$H,8,FALSE()),""))</f>
        <v/>
      </c>
      <c r="F1901" s="24"/>
      <c r="G1901" s="25" t="str">
        <f>IF($D1901="","",IFERROR(VLOOKUP($D1901,'ACAS Capital Tracker'!$A:$D,4,FALSE()),""))</f>
        <v/>
      </c>
      <c r="H1901" s="22"/>
    </row>
    <row r="1902" spans="1:8">
      <c r="A1902" s="21"/>
      <c r="B1902" s="22"/>
      <c r="C1902" s="22"/>
      <c r="D1902" s="22"/>
      <c r="E1902" s="23" t="str">
        <f>IF($D1902="","",IFERROR(VLOOKUP($D1902,'ACAS Capital Tracker'!$A:$H,8,FALSE()),""))</f>
        <v/>
      </c>
      <c r="F1902" s="24"/>
      <c r="G1902" s="25" t="str">
        <f>IF($D1902="","",IFERROR(VLOOKUP($D1902,'ACAS Capital Tracker'!$A:$D,4,FALSE()),""))</f>
        <v/>
      </c>
      <c r="H1902" s="22"/>
    </row>
    <row r="1903" spans="1:8">
      <c r="A1903" s="21"/>
      <c r="B1903" s="22"/>
      <c r="C1903" s="22"/>
      <c r="D1903" s="22"/>
      <c r="E1903" s="23" t="str">
        <f>IF($D1903="","",IFERROR(VLOOKUP($D1903,'ACAS Capital Tracker'!$A:$H,8,FALSE()),""))</f>
        <v/>
      </c>
      <c r="F1903" s="24"/>
      <c r="G1903" s="25" t="str">
        <f>IF($D1903="","",IFERROR(VLOOKUP($D1903,'ACAS Capital Tracker'!$A:$D,4,FALSE()),""))</f>
        <v/>
      </c>
      <c r="H1903" s="22"/>
    </row>
    <row r="1904" spans="1:8">
      <c r="A1904" s="21"/>
      <c r="B1904" s="22"/>
      <c r="C1904" s="22"/>
      <c r="D1904" s="22"/>
      <c r="E1904" s="23" t="str">
        <f>IF($D1904="","",IFERROR(VLOOKUP($D1904,'ACAS Capital Tracker'!$A:$H,8,FALSE()),""))</f>
        <v/>
      </c>
      <c r="F1904" s="24"/>
      <c r="G1904" s="25" t="str">
        <f>IF($D1904="","",IFERROR(VLOOKUP($D1904,'ACAS Capital Tracker'!$A:$D,4,FALSE()),""))</f>
        <v/>
      </c>
      <c r="H1904" s="22"/>
    </row>
    <row r="1905" spans="1:8">
      <c r="A1905" s="21"/>
      <c r="B1905" s="22"/>
      <c r="C1905" s="22"/>
      <c r="D1905" s="22"/>
      <c r="E1905" s="23" t="str">
        <f>IF($D1905="","",IFERROR(VLOOKUP($D1905,'ACAS Capital Tracker'!$A:$H,8,FALSE()),""))</f>
        <v/>
      </c>
      <c r="F1905" s="24"/>
      <c r="G1905" s="25" t="str">
        <f>IF($D1905="","",IFERROR(VLOOKUP($D1905,'ACAS Capital Tracker'!$A:$D,4,FALSE()),""))</f>
        <v/>
      </c>
      <c r="H1905" s="22"/>
    </row>
    <row r="1906" spans="1:8">
      <c r="A1906" s="21"/>
      <c r="B1906" s="22"/>
      <c r="C1906" s="22"/>
      <c r="D1906" s="22"/>
      <c r="E1906" s="23" t="str">
        <f>IF($D1906="","",IFERROR(VLOOKUP($D1906,'ACAS Capital Tracker'!$A:$H,8,FALSE()),""))</f>
        <v/>
      </c>
      <c r="F1906" s="24"/>
      <c r="G1906" s="25" t="str">
        <f>IF($D1906="","",IFERROR(VLOOKUP($D1906,'ACAS Capital Tracker'!$A:$D,4,FALSE()),""))</f>
        <v/>
      </c>
      <c r="H1906" s="22"/>
    </row>
    <row r="1907" spans="1:8">
      <c r="A1907" s="21"/>
      <c r="B1907" s="22"/>
      <c r="C1907" s="22"/>
      <c r="D1907" s="22"/>
      <c r="E1907" s="23" t="str">
        <f>IF($D1907="","",IFERROR(VLOOKUP($D1907,'ACAS Capital Tracker'!$A:$H,8,FALSE()),""))</f>
        <v/>
      </c>
      <c r="F1907" s="24"/>
      <c r="G1907" s="25" t="str">
        <f>IF($D1907="","",IFERROR(VLOOKUP($D1907,'ACAS Capital Tracker'!$A:$D,4,FALSE()),""))</f>
        <v/>
      </c>
      <c r="H1907" s="22"/>
    </row>
    <row r="1908" spans="1:8">
      <c r="A1908" s="21"/>
      <c r="B1908" s="22"/>
      <c r="C1908" s="22"/>
      <c r="D1908" s="22"/>
      <c r="E1908" s="23" t="str">
        <f>IF($D1908="","",IFERROR(VLOOKUP($D1908,'ACAS Capital Tracker'!$A:$H,8,FALSE()),""))</f>
        <v/>
      </c>
      <c r="F1908" s="24"/>
      <c r="G1908" s="25" t="str">
        <f>IF($D1908="","",IFERROR(VLOOKUP($D1908,'ACAS Capital Tracker'!$A:$D,4,FALSE()),""))</f>
        <v/>
      </c>
      <c r="H1908" s="22"/>
    </row>
    <row r="1909" spans="1:8">
      <c r="A1909" s="21"/>
      <c r="B1909" s="22"/>
      <c r="C1909" s="22"/>
      <c r="D1909" s="22"/>
      <c r="E1909" s="23" t="str">
        <f>IF($D1909="","",IFERROR(VLOOKUP($D1909,'ACAS Capital Tracker'!$A:$H,8,FALSE()),""))</f>
        <v/>
      </c>
      <c r="F1909" s="24"/>
      <c r="G1909" s="25" t="str">
        <f>IF($D1909="","",IFERROR(VLOOKUP($D1909,'ACAS Capital Tracker'!$A:$D,4,FALSE()),""))</f>
        <v/>
      </c>
      <c r="H1909" s="22"/>
    </row>
    <row r="1910" spans="1:8">
      <c r="A1910" s="21"/>
      <c r="B1910" s="22"/>
      <c r="C1910" s="22"/>
      <c r="D1910" s="22"/>
      <c r="E1910" s="23" t="str">
        <f>IF($D1910="","",IFERROR(VLOOKUP($D1910,'ACAS Capital Tracker'!$A:$H,8,FALSE()),""))</f>
        <v/>
      </c>
      <c r="F1910" s="24"/>
      <c r="G1910" s="25" t="str">
        <f>IF($D1910="","",IFERROR(VLOOKUP($D1910,'ACAS Capital Tracker'!$A:$D,4,FALSE()),""))</f>
        <v/>
      </c>
      <c r="H1910" s="22"/>
    </row>
    <row r="1911" spans="1:8">
      <c r="A1911" s="21"/>
      <c r="B1911" s="22"/>
      <c r="C1911" s="22"/>
      <c r="D1911" s="22"/>
      <c r="E1911" s="23" t="str">
        <f>IF($D1911="","",IFERROR(VLOOKUP($D1911,'ACAS Capital Tracker'!$A:$H,8,FALSE()),""))</f>
        <v/>
      </c>
      <c r="F1911" s="24"/>
      <c r="G1911" s="25" t="str">
        <f>IF($D1911="","",IFERROR(VLOOKUP($D1911,'ACAS Capital Tracker'!$A:$D,4,FALSE()),""))</f>
        <v/>
      </c>
      <c r="H1911" s="22"/>
    </row>
    <row r="1912" spans="1:8">
      <c r="A1912" s="21"/>
      <c r="B1912" s="22"/>
      <c r="C1912" s="22"/>
      <c r="D1912" s="22"/>
      <c r="E1912" s="23" t="str">
        <f>IF($D1912="","",IFERROR(VLOOKUP($D1912,'ACAS Capital Tracker'!$A:$H,8,FALSE()),""))</f>
        <v/>
      </c>
      <c r="F1912" s="24"/>
      <c r="G1912" s="25" t="str">
        <f>IF($D1912="","",IFERROR(VLOOKUP($D1912,'ACAS Capital Tracker'!$A:$D,4,FALSE()),""))</f>
        <v/>
      </c>
      <c r="H1912" s="22"/>
    </row>
    <row r="1913" spans="1:8">
      <c r="A1913" s="21"/>
      <c r="B1913" s="22"/>
      <c r="C1913" s="22"/>
      <c r="D1913" s="22"/>
      <c r="E1913" s="23" t="str">
        <f>IF($D1913="","",IFERROR(VLOOKUP($D1913,'ACAS Capital Tracker'!$A:$H,8,FALSE()),""))</f>
        <v/>
      </c>
      <c r="F1913" s="24"/>
      <c r="G1913" s="25" t="str">
        <f>IF($D1913="","",IFERROR(VLOOKUP($D1913,'ACAS Capital Tracker'!$A:$D,4,FALSE()),""))</f>
        <v/>
      </c>
      <c r="H1913" s="22"/>
    </row>
    <row r="1914" spans="1:8">
      <c r="A1914" s="21"/>
      <c r="B1914" s="22"/>
      <c r="C1914" s="22"/>
      <c r="D1914" s="22"/>
      <c r="E1914" s="23" t="str">
        <f>IF($D1914="","",IFERROR(VLOOKUP($D1914,'ACAS Capital Tracker'!$A:$H,8,FALSE()),""))</f>
        <v/>
      </c>
      <c r="F1914" s="24"/>
      <c r="G1914" s="25" t="str">
        <f>IF($D1914="","",IFERROR(VLOOKUP($D1914,'ACAS Capital Tracker'!$A:$D,4,FALSE()),""))</f>
        <v/>
      </c>
      <c r="H1914" s="22"/>
    </row>
    <row r="1915" spans="1:8">
      <c r="A1915" s="21"/>
      <c r="B1915" s="22"/>
      <c r="C1915" s="22"/>
      <c r="D1915" s="22"/>
      <c r="E1915" s="23" t="str">
        <f>IF($D1915="","",IFERROR(VLOOKUP($D1915,'ACAS Capital Tracker'!$A:$H,8,FALSE()),""))</f>
        <v/>
      </c>
      <c r="F1915" s="24"/>
      <c r="G1915" s="25" t="str">
        <f>IF($D1915="","",IFERROR(VLOOKUP($D1915,'ACAS Capital Tracker'!$A:$D,4,FALSE()),""))</f>
        <v/>
      </c>
      <c r="H1915" s="22"/>
    </row>
    <row r="1916" spans="1:8">
      <c r="A1916" s="21"/>
      <c r="B1916" s="22"/>
      <c r="C1916" s="22"/>
      <c r="D1916" s="22"/>
      <c r="E1916" s="23" t="str">
        <f>IF($D1916="","",IFERROR(VLOOKUP($D1916,'ACAS Capital Tracker'!$A:$H,8,FALSE()),""))</f>
        <v/>
      </c>
      <c r="F1916" s="24"/>
      <c r="G1916" s="25" t="str">
        <f>IF($D1916="","",IFERROR(VLOOKUP($D1916,'ACAS Capital Tracker'!$A:$D,4,FALSE()),""))</f>
        <v/>
      </c>
      <c r="H1916" s="22"/>
    </row>
    <row r="1917" spans="1:8">
      <c r="A1917" s="21"/>
      <c r="B1917" s="22"/>
      <c r="C1917" s="22"/>
      <c r="D1917" s="22"/>
      <c r="E1917" s="23" t="str">
        <f>IF($D1917="","",IFERROR(VLOOKUP($D1917,'ACAS Capital Tracker'!$A:$H,8,FALSE()),""))</f>
        <v/>
      </c>
      <c r="F1917" s="24"/>
      <c r="G1917" s="25" t="str">
        <f>IF($D1917="","",IFERROR(VLOOKUP($D1917,'ACAS Capital Tracker'!$A:$D,4,FALSE()),""))</f>
        <v/>
      </c>
      <c r="H1917" s="22"/>
    </row>
    <row r="1918" spans="1:8">
      <c r="A1918" s="21"/>
      <c r="B1918" s="22"/>
      <c r="C1918" s="22"/>
      <c r="D1918" s="22"/>
      <c r="E1918" s="23" t="str">
        <f>IF($D1918="","",IFERROR(VLOOKUP($D1918,'ACAS Capital Tracker'!$A:$H,8,FALSE()),""))</f>
        <v/>
      </c>
      <c r="F1918" s="24"/>
      <c r="G1918" s="25" t="str">
        <f>IF($D1918="","",IFERROR(VLOOKUP($D1918,'ACAS Capital Tracker'!$A:$D,4,FALSE()),""))</f>
        <v/>
      </c>
      <c r="H1918" s="22"/>
    </row>
    <row r="1919" spans="1:8">
      <c r="A1919" s="21"/>
      <c r="B1919" s="22"/>
      <c r="C1919" s="22"/>
      <c r="D1919" s="22"/>
      <c r="E1919" s="23" t="str">
        <f>IF($D1919="","",IFERROR(VLOOKUP($D1919,'ACAS Capital Tracker'!$A:$H,8,FALSE()),""))</f>
        <v/>
      </c>
      <c r="F1919" s="24"/>
      <c r="G1919" s="25" t="str">
        <f>IF($D1919="","",IFERROR(VLOOKUP($D1919,'ACAS Capital Tracker'!$A:$D,4,FALSE()),""))</f>
        <v/>
      </c>
      <c r="H1919" s="22"/>
    </row>
    <row r="1920" spans="1:8">
      <c r="A1920" s="21"/>
      <c r="B1920" s="22"/>
      <c r="C1920" s="22"/>
      <c r="D1920" s="22"/>
      <c r="E1920" s="23" t="str">
        <f>IF($D1920="","",IFERROR(VLOOKUP($D1920,'ACAS Capital Tracker'!$A:$H,8,FALSE()),""))</f>
        <v/>
      </c>
      <c r="F1920" s="24"/>
      <c r="G1920" s="25" t="str">
        <f>IF($D1920="","",IFERROR(VLOOKUP($D1920,'ACAS Capital Tracker'!$A:$D,4,FALSE()),""))</f>
        <v/>
      </c>
      <c r="H1920" s="22"/>
    </row>
    <row r="1921" spans="1:8">
      <c r="A1921" s="21"/>
      <c r="B1921" s="22"/>
      <c r="C1921" s="22"/>
      <c r="D1921" s="22"/>
      <c r="E1921" s="23" t="str">
        <f>IF($D1921="","",IFERROR(VLOOKUP($D1921,'ACAS Capital Tracker'!$A:$H,8,FALSE()),""))</f>
        <v/>
      </c>
      <c r="F1921" s="24"/>
      <c r="G1921" s="25" t="str">
        <f>IF($D1921="","",IFERROR(VLOOKUP($D1921,'ACAS Capital Tracker'!$A:$D,4,FALSE()),""))</f>
        <v/>
      </c>
      <c r="H1921" s="22"/>
    </row>
    <row r="1922" spans="1:8">
      <c r="A1922" s="21"/>
      <c r="B1922" s="22"/>
      <c r="C1922" s="22"/>
      <c r="D1922" s="22"/>
      <c r="E1922" s="23" t="str">
        <f>IF($D1922="","",IFERROR(VLOOKUP($D1922,'ACAS Capital Tracker'!$A:$H,8,FALSE()),""))</f>
        <v/>
      </c>
      <c r="F1922" s="24"/>
      <c r="G1922" s="25" t="str">
        <f>IF($D1922="","",IFERROR(VLOOKUP($D1922,'ACAS Capital Tracker'!$A:$D,4,FALSE()),""))</f>
        <v/>
      </c>
      <c r="H1922" s="22"/>
    </row>
    <row r="1923" spans="1:8">
      <c r="A1923" s="21"/>
      <c r="B1923" s="22"/>
      <c r="C1923" s="22"/>
      <c r="D1923" s="22"/>
      <c r="E1923" s="23" t="str">
        <f>IF($D1923="","",IFERROR(VLOOKUP($D1923,'ACAS Capital Tracker'!$A:$H,8,FALSE()),""))</f>
        <v/>
      </c>
      <c r="F1923" s="24"/>
      <c r="G1923" s="25" t="str">
        <f>IF($D1923="","",IFERROR(VLOOKUP($D1923,'ACAS Capital Tracker'!$A:$D,4,FALSE()),""))</f>
        <v/>
      </c>
      <c r="H1923" s="22"/>
    </row>
    <row r="1924" spans="1:8">
      <c r="A1924" s="21"/>
      <c r="B1924" s="22"/>
      <c r="C1924" s="22"/>
      <c r="D1924" s="22"/>
      <c r="E1924" s="23" t="str">
        <f>IF($D1924="","",IFERROR(VLOOKUP($D1924,'ACAS Capital Tracker'!$A:$H,8,FALSE()),""))</f>
        <v/>
      </c>
      <c r="F1924" s="24"/>
      <c r="G1924" s="25" t="str">
        <f>IF($D1924="","",IFERROR(VLOOKUP($D1924,'ACAS Capital Tracker'!$A:$D,4,FALSE()),""))</f>
        <v/>
      </c>
      <c r="H1924" s="22"/>
    </row>
    <row r="1925" spans="1:8">
      <c r="A1925" s="21"/>
      <c r="B1925" s="22"/>
      <c r="C1925" s="22"/>
      <c r="D1925" s="22"/>
      <c r="E1925" s="23" t="str">
        <f>IF($D1925="","",IFERROR(VLOOKUP($D1925,'ACAS Capital Tracker'!$A:$H,8,FALSE()),""))</f>
        <v/>
      </c>
      <c r="F1925" s="24"/>
      <c r="G1925" s="25" t="str">
        <f>IF($D1925="","",IFERROR(VLOOKUP($D1925,'ACAS Capital Tracker'!$A:$D,4,FALSE()),""))</f>
        <v/>
      </c>
      <c r="H1925" s="22"/>
    </row>
    <row r="1926" spans="1:8">
      <c r="A1926" s="21"/>
      <c r="B1926" s="22"/>
      <c r="C1926" s="22"/>
      <c r="D1926" s="22"/>
      <c r="E1926" s="23" t="str">
        <f>IF($D1926="","",IFERROR(VLOOKUP($D1926,'ACAS Capital Tracker'!$A:$H,8,FALSE()),""))</f>
        <v/>
      </c>
      <c r="F1926" s="24"/>
      <c r="G1926" s="25" t="str">
        <f>IF($D1926="","",IFERROR(VLOOKUP($D1926,'ACAS Capital Tracker'!$A:$D,4,FALSE()),""))</f>
        <v/>
      </c>
      <c r="H1926" s="22"/>
    </row>
    <row r="1927" spans="1:8">
      <c r="A1927" s="21"/>
      <c r="B1927" s="22"/>
      <c r="C1927" s="22"/>
      <c r="D1927" s="22"/>
      <c r="E1927" s="23" t="str">
        <f>IF($D1927="","",IFERROR(VLOOKUP($D1927,'ACAS Capital Tracker'!$A:$H,8,FALSE()),""))</f>
        <v/>
      </c>
      <c r="F1927" s="24"/>
      <c r="G1927" s="25" t="str">
        <f>IF($D1927="","",IFERROR(VLOOKUP($D1927,'ACAS Capital Tracker'!$A:$D,4,FALSE()),""))</f>
        <v/>
      </c>
      <c r="H1927" s="22"/>
    </row>
    <row r="1928" spans="1:8">
      <c r="A1928" s="21"/>
      <c r="B1928" s="22"/>
      <c r="C1928" s="22"/>
      <c r="D1928" s="22"/>
      <c r="E1928" s="23" t="str">
        <f>IF($D1928="","",IFERROR(VLOOKUP($D1928,'ACAS Capital Tracker'!$A:$H,8,FALSE()),""))</f>
        <v/>
      </c>
      <c r="F1928" s="24"/>
      <c r="G1928" s="25" t="str">
        <f>IF($D1928="","",IFERROR(VLOOKUP($D1928,'ACAS Capital Tracker'!$A:$D,4,FALSE()),""))</f>
        <v/>
      </c>
      <c r="H1928" s="22"/>
    </row>
    <row r="1929" spans="1:8">
      <c r="A1929" s="21"/>
      <c r="B1929" s="22"/>
      <c r="C1929" s="22"/>
      <c r="D1929" s="22"/>
      <c r="E1929" s="23" t="str">
        <f>IF($D1929="","",IFERROR(VLOOKUP($D1929,'ACAS Capital Tracker'!$A:$H,8,FALSE()),""))</f>
        <v/>
      </c>
      <c r="F1929" s="24"/>
      <c r="G1929" s="25" t="str">
        <f>IF($D1929="","",IFERROR(VLOOKUP($D1929,'ACAS Capital Tracker'!$A:$D,4,FALSE()),""))</f>
        <v/>
      </c>
      <c r="H1929" s="22"/>
    </row>
    <row r="1930" spans="1:8">
      <c r="A1930" s="21"/>
      <c r="B1930" s="22"/>
      <c r="C1930" s="22"/>
      <c r="D1930" s="22"/>
      <c r="E1930" s="23" t="str">
        <f>IF($D1930="","",IFERROR(VLOOKUP($D1930,'ACAS Capital Tracker'!$A:$H,8,FALSE()),""))</f>
        <v/>
      </c>
      <c r="F1930" s="24"/>
      <c r="G1930" s="25" t="str">
        <f>IF($D1930="","",IFERROR(VLOOKUP($D1930,'ACAS Capital Tracker'!$A:$D,4,FALSE()),""))</f>
        <v/>
      </c>
      <c r="H1930" s="22"/>
    </row>
    <row r="1931" spans="1:8">
      <c r="A1931" s="21"/>
      <c r="B1931" s="22"/>
      <c r="C1931" s="22"/>
      <c r="D1931" s="22"/>
      <c r="E1931" s="23" t="str">
        <f>IF($D1931="","",IFERROR(VLOOKUP($D1931,'ACAS Capital Tracker'!$A:$H,8,FALSE()),""))</f>
        <v/>
      </c>
      <c r="F1931" s="24"/>
      <c r="G1931" s="25" t="str">
        <f>IF($D1931="","",IFERROR(VLOOKUP($D1931,'ACAS Capital Tracker'!$A:$D,4,FALSE()),""))</f>
        <v/>
      </c>
      <c r="H1931" s="22"/>
    </row>
    <row r="1932" spans="1:8">
      <c r="A1932" s="21"/>
      <c r="B1932" s="22"/>
      <c r="C1932" s="22"/>
      <c r="D1932" s="22"/>
      <c r="E1932" s="23" t="str">
        <f>IF($D1932="","",IFERROR(VLOOKUP($D1932,'ACAS Capital Tracker'!$A:$H,8,FALSE()),""))</f>
        <v/>
      </c>
      <c r="F1932" s="24"/>
      <c r="G1932" s="25" t="str">
        <f>IF($D1932="","",IFERROR(VLOOKUP($D1932,'ACAS Capital Tracker'!$A:$D,4,FALSE()),""))</f>
        <v/>
      </c>
      <c r="H1932" s="22"/>
    </row>
    <row r="1933" spans="1:8">
      <c r="A1933" s="21"/>
      <c r="B1933" s="22"/>
      <c r="C1933" s="22"/>
      <c r="D1933" s="22"/>
      <c r="E1933" s="23" t="str">
        <f>IF($D1933="","",IFERROR(VLOOKUP($D1933,'ACAS Capital Tracker'!$A:$H,8,FALSE()),""))</f>
        <v/>
      </c>
      <c r="F1933" s="24"/>
      <c r="G1933" s="25" t="str">
        <f>IF($D1933="","",IFERROR(VLOOKUP($D1933,'ACAS Capital Tracker'!$A:$D,4,FALSE()),""))</f>
        <v/>
      </c>
      <c r="H1933" s="22"/>
    </row>
    <row r="1934" spans="1:8">
      <c r="A1934" s="21"/>
      <c r="B1934" s="22"/>
      <c r="C1934" s="22"/>
      <c r="D1934" s="22"/>
      <c r="E1934" s="23" t="str">
        <f>IF($D1934="","",IFERROR(VLOOKUP($D1934,'ACAS Capital Tracker'!$A:$H,8,FALSE()),""))</f>
        <v/>
      </c>
      <c r="F1934" s="24"/>
      <c r="G1934" s="25" t="str">
        <f>IF($D1934="","",IFERROR(VLOOKUP($D1934,'ACAS Capital Tracker'!$A:$D,4,FALSE()),""))</f>
        <v/>
      </c>
      <c r="H1934" s="22"/>
    </row>
    <row r="1935" spans="1:8">
      <c r="A1935" s="21"/>
      <c r="B1935" s="22"/>
      <c r="C1935" s="22"/>
      <c r="D1935" s="22"/>
      <c r="E1935" s="23" t="str">
        <f>IF($D1935="","",IFERROR(VLOOKUP($D1935,'ACAS Capital Tracker'!$A:$H,8,FALSE()),""))</f>
        <v/>
      </c>
      <c r="F1935" s="24"/>
      <c r="G1935" s="25" t="str">
        <f>IF($D1935="","",IFERROR(VLOOKUP($D1935,'ACAS Capital Tracker'!$A:$D,4,FALSE()),""))</f>
        <v/>
      </c>
      <c r="H1935" s="22"/>
    </row>
    <row r="1936" spans="1:8">
      <c r="A1936" s="21"/>
      <c r="B1936" s="22"/>
      <c r="C1936" s="22"/>
      <c r="D1936" s="22"/>
      <c r="E1936" s="23" t="str">
        <f>IF($D1936="","",IFERROR(VLOOKUP($D1936,'ACAS Capital Tracker'!$A:$H,8,FALSE()),""))</f>
        <v/>
      </c>
      <c r="F1936" s="24"/>
      <c r="G1936" s="25" t="str">
        <f>IF($D1936="","",IFERROR(VLOOKUP($D1936,'ACAS Capital Tracker'!$A:$D,4,FALSE()),""))</f>
        <v/>
      </c>
      <c r="H1936" s="22"/>
    </row>
    <row r="1937" spans="1:8">
      <c r="A1937" s="21"/>
      <c r="B1937" s="22"/>
      <c r="C1937" s="22"/>
      <c r="D1937" s="22"/>
      <c r="E1937" s="23" t="str">
        <f>IF($D1937="","",IFERROR(VLOOKUP($D1937,'ACAS Capital Tracker'!$A:$H,8,FALSE()),""))</f>
        <v/>
      </c>
      <c r="F1937" s="24"/>
      <c r="G1937" s="25" t="str">
        <f>IF($D1937="","",IFERROR(VLOOKUP($D1937,'ACAS Capital Tracker'!$A:$D,4,FALSE()),""))</f>
        <v/>
      </c>
      <c r="H1937" s="22"/>
    </row>
    <row r="1938" spans="1:8">
      <c r="A1938" s="21"/>
      <c r="B1938" s="22"/>
      <c r="C1938" s="22"/>
      <c r="D1938" s="22"/>
      <c r="E1938" s="23" t="str">
        <f>IF($D1938="","",IFERROR(VLOOKUP($D1938,'ACAS Capital Tracker'!$A:$H,8,FALSE()),""))</f>
        <v/>
      </c>
      <c r="F1938" s="24"/>
      <c r="G1938" s="25" t="str">
        <f>IF($D1938="","",IFERROR(VLOOKUP($D1938,'ACAS Capital Tracker'!$A:$D,4,FALSE()),""))</f>
        <v/>
      </c>
      <c r="H1938" s="22"/>
    </row>
    <row r="1939" spans="1:8">
      <c r="A1939" s="21"/>
      <c r="B1939" s="22"/>
      <c r="C1939" s="22"/>
      <c r="D1939" s="22"/>
      <c r="E1939" s="23" t="str">
        <f>IF($D1939="","",IFERROR(VLOOKUP($D1939,'ACAS Capital Tracker'!$A:$H,8,FALSE()),""))</f>
        <v/>
      </c>
      <c r="F1939" s="24"/>
      <c r="G1939" s="25" t="str">
        <f>IF($D1939="","",IFERROR(VLOOKUP($D1939,'ACAS Capital Tracker'!$A:$D,4,FALSE()),""))</f>
        <v/>
      </c>
      <c r="H1939" s="22"/>
    </row>
    <row r="1940" spans="1:8">
      <c r="A1940" s="21"/>
      <c r="B1940" s="22"/>
      <c r="C1940" s="22"/>
      <c r="D1940" s="22"/>
      <c r="E1940" s="23" t="str">
        <f>IF($D1940="","",IFERROR(VLOOKUP($D1940,'ACAS Capital Tracker'!$A:$H,8,FALSE()),""))</f>
        <v/>
      </c>
      <c r="F1940" s="24"/>
      <c r="G1940" s="25" t="str">
        <f>IF($D1940="","",IFERROR(VLOOKUP($D1940,'ACAS Capital Tracker'!$A:$D,4,FALSE()),""))</f>
        <v/>
      </c>
      <c r="H1940" s="22"/>
    </row>
    <row r="1941" spans="1:8">
      <c r="A1941" s="21"/>
      <c r="B1941" s="22"/>
      <c r="C1941" s="22"/>
      <c r="D1941" s="22"/>
      <c r="E1941" s="23" t="str">
        <f>IF($D1941="","",IFERROR(VLOOKUP($D1941,'ACAS Capital Tracker'!$A:$H,8,FALSE()),""))</f>
        <v/>
      </c>
      <c r="F1941" s="24"/>
      <c r="G1941" s="25" t="str">
        <f>IF($D1941="","",IFERROR(VLOOKUP($D1941,'ACAS Capital Tracker'!$A:$D,4,FALSE()),""))</f>
        <v/>
      </c>
      <c r="H1941" s="22"/>
    </row>
    <row r="1942" spans="1:8">
      <c r="A1942" s="21"/>
      <c r="B1942" s="22"/>
      <c r="C1942" s="22"/>
      <c r="D1942" s="22"/>
      <c r="E1942" s="23" t="str">
        <f>IF($D1942="","",IFERROR(VLOOKUP($D1942,'ACAS Capital Tracker'!$A:$H,8,FALSE()),""))</f>
        <v/>
      </c>
      <c r="F1942" s="24"/>
      <c r="G1942" s="25" t="str">
        <f>IF($D1942="","",IFERROR(VLOOKUP($D1942,'ACAS Capital Tracker'!$A:$D,4,FALSE()),""))</f>
        <v/>
      </c>
      <c r="H1942" s="22"/>
    </row>
    <row r="1943" spans="1:8">
      <c r="A1943" s="21"/>
      <c r="B1943" s="22"/>
      <c r="C1943" s="22"/>
      <c r="D1943" s="22"/>
      <c r="E1943" s="23" t="str">
        <f>IF($D1943="","",IFERROR(VLOOKUP($D1943,'ACAS Capital Tracker'!$A:$H,8,FALSE()),""))</f>
        <v/>
      </c>
      <c r="F1943" s="24"/>
      <c r="G1943" s="25" t="str">
        <f>IF($D1943="","",IFERROR(VLOOKUP($D1943,'ACAS Capital Tracker'!$A:$D,4,FALSE()),""))</f>
        <v/>
      </c>
      <c r="H1943" s="22"/>
    </row>
    <row r="1944" spans="1:8">
      <c r="A1944" s="21"/>
      <c r="B1944" s="22"/>
      <c r="C1944" s="22"/>
      <c r="D1944" s="22"/>
      <c r="E1944" s="23" t="str">
        <f>IF($D1944="","",IFERROR(VLOOKUP($D1944,'ACAS Capital Tracker'!$A:$H,8,FALSE()),""))</f>
        <v/>
      </c>
      <c r="F1944" s="24"/>
      <c r="G1944" s="25" t="str">
        <f>IF($D1944="","",IFERROR(VLOOKUP($D1944,'ACAS Capital Tracker'!$A:$D,4,FALSE()),""))</f>
        <v/>
      </c>
      <c r="H1944" s="22"/>
    </row>
    <row r="1945" spans="1:8">
      <c r="A1945" s="21"/>
      <c r="B1945" s="22"/>
      <c r="C1945" s="22"/>
      <c r="D1945" s="22"/>
      <c r="E1945" s="23" t="str">
        <f>IF($D1945="","",IFERROR(VLOOKUP($D1945,'ACAS Capital Tracker'!$A:$H,8,FALSE()),""))</f>
        <v/>
      </c>
      <c r="F1945" s="24"/>
      <c r="G1945" s="25" t="str">
        <f>IF($D1945="","",IFERROR(VLOOKUP($D1945,'ACAS Capital Tracker'!$A:$D,4,FALSE()),""))</f>
        <v/>
      </c>
      <c r="H1945" s="22"/>
    </row>
    <row r="1946" spans="1:8">
      <c r="A1946" s="21"/>
      <c r="B1946" s="22"/>
      <c r="C1946" s="22"/>
      <c r="D1946" s="22"/>
      <c r="E1946" s="23" t="str">
        <f>IF($D1946="","",IFERROR(VLOOKUP($D1946,'ACAS Capital Tracker'!$A:$H,8,FALSE()),""))</f>
        <v/>
      </c>
      <c r="F1946" s="24"/>
      <c r="G1946" s="25" t="str">
        <f>IF($D1946="","",IFERROR(VLOOKUP($D1946,'ACAS Capital Tracker'!$A:$D,4,FALSE()),""))</f>
        <v/>
      </c>
      <c r="H1946" s="22"/>
    </row>
    <row r="1947" spans="1:8">
      <c r="A1947" s="21"/>
      <c r="B1947" s="22"/>
      <c r="C1947" s="22"/>
      <c r="D1947" s="22"/>
      <c r="E1947" s="23" t="str">
        <f>IF($D1947="","",IFERROR(VLOOKUP($D1947,'ACAS Capital Tracker'!$A:$H,8,FALSE()),""))</f>
        <v/>
      </c>
      <c r="F1947" s="24"/>
      <c r="G1947" s="25" t="str">
        <f>IF($D1947="","",IFERROR(VLOOKUP($D1947,'ACAS Capital Tracker'!$A:$D,4,FALSE()),""))</f>
        <v/>
      </c>
      <c r="H1947" s="22"/>
    </row>
    <row r="1948" spans="1:8">
      <c r="A1948" s="21"/>
      <c r="B1948" s="22"/>
      <c r="C1948" s="22"/>
      <c r="D1948" s="22"/>
      <c r="E1948" s="23" t="str">
        <f>IF($D1948="","",IFERROR(VLOOKUP($D1948,'ACAS Capital Tracker'!$A:$H,8,FALSE()),""))</f>
        <v/>
      </c>
      <c r="F1948" s="24"/>
      <c r="G1948" s="25" t="str">
        <f>IF($D1948="","",IFERROR(VLOOKUP($D1948,'ACAS Capital Tracker'!$A:$D,4,FALSE()),""))</f>
        <v/>
      </c>
      <c r="H1948" s="22"/>
    </row>
    <row r="1949" spans="1:8">
      <c r="A1949" s="21"/>
      <c r="B1949" s="22"/>
      <c r="C1949" s="22"/>
      <c r="D1949" s="22"/>
      <c r="E1949" s="23" t="str">
        <f>IF($D1949="","",IFERROR(VLOOKUP($D1949,'ACAS Capital Tracker'!$A:$H,8,FALSE()),""))</f>
        <v/>
      </c>
      <c r="F1949" s="24"/>
      <c r="G1949" s="25" t="str">
        <f>IF($D1949="","",IFERROR(VLOOKUP($D1949,'ACAS Capital Tracker'!$A:$D,4,FALSE()),""))</f>
        <v/>
      </c>
      <c r="H1949" s="22"/>
    </row>
    <row r="1950" spans="1:8">
      <c r="A1950" s="21"/>
      <c r="B1950" s="22"/>
      <c r="C1950" s="22"/>
      <c r="D1950" s="22"/>
      <c r="E1950" s="23" t="str">
        <f>IF($D1950="","",IFERROR(VLOOKUP($D1950,'ACAS Capital Tracker'!$A:$H,8,FALSE()),""))</f>
        <v/>
      </c>
      <c r="F1950" s="24"/>
      <c r="G1950" s="25" t="str">
        <f>IF($D1950="","",IFERROR(VLOOKUP($D1950,'ACAS Capital Tracker'!$A:$D,4,FALSE()),""))</f>
        <v/>
      </c>
      <c r="H1950" s="22"/>
    </row>
    <row r="1951" spans="1:8">
      <c r="A1951" s="21"/>
      <c r="B1951" s="22"/>
      <c r="C1951" s="22"/>
      <c r="D1951" s="22"/>
      <c r="E1951" s="23" t="str">
        <f>IF($D1951="","",IFERROR(VLOOKUP($D1951,'ACAS Capital Tracker'!$A:$H,8,FALSE()),""))</f>
        <v/>
      </c>
      <c r="F1951" s="24"/>
      <c r="G1951" s="25" t="str">
        <f>IF($D1951="","",IFERROR(VLOOKUP($D1951,'ACAS Capital Tracker'!$A:$D,4,FALSE()),""))</f>
        <v/>
      </c>
      <c r="H1951" s="22"/>
    </row>
    <row r="1952" spans="1:8">
      <c r="A1952" s="21"/>
      <c r="B1952" s="22"/>
      <c r="C1952" s="22"/>
      <c r="D1952" s="22"/>
      <c r="E1952" s="23" t="str">
        <f>IF($D1952="","",IFERROR(VLOOKUP($D1952,'ACAS Capital Tracker'!$A:$H,8,FALSE()),""))</f>
        <v/>
      </c>
      <c r="F1952" s="24"/>
      <c r="G1952" s="25" t="str">
        <f>IF($D1952="","",IFERROR(VLOOKUP($D1952,'ACAS Capital Tracker'!$A:$D,4,FALSE()),""))</f>
        <v/>
      </c>
      <c r="H1952" s="22"/>
    </row>
    <row r="1953" spans="1:8">
      <c r="A1953" s="21"/>
      <c r="B1953" s="22"/>
      <c r="C1953" s="22"/>
      <c r="D1953" s="22"/>
      <c r="E1953" s="23" t="str">
        <f>IF($D1953="","",IFERROR(VLOOKUP($D1953,'ACAS Capital Tracker'!$A:$H,8,FALSE()),""))</f>
        <v/>
      </c>
      <c r="F1953" s="24"/>
      <c r="G1953" s="25" t="str">
        <f>IF($D1953="","",IFERROR(VLOOKUP($D1953,'ACAS Capital Tracker'!$A:$D,4,FALSE()),""))</f>
        <v/>
      </c>
      <c r="H1953" s="22"/>
    </row>
    <row r="1954" spans="1:8">
      <c r="A1954" s="21"/>
      <c r="B1954" s="22"/>
      <c r="C1954" s="22"/>
      <c r="D1954" s="22"/>
      <c r="E1954" s="23" t="str">
        <f>IF($D1954="","",IFERROR(VLOOKUP($D1954,'ACAS Capital Tracker'!$A:$H,8,FALSE()),""))</f>
        <v/>
      </c>
      <c r="F1954" s="24"/>
      <c r="G1954" s="25" t="str">
        <f>IF($D1954="","",IFERROR(VLOOKUP($D1954,'ACAS Capital Tracker'!$A:$D,4,FALSE()),""))</f>
        <v/>
      </c>
      <c r="H1954" s="22"/>
    </row>
    <row r="1955" spans="1:8">
      <c r="A1955" s="21"/>
      <c r="B1955" s="22"/>
      <c r="C1955" s="22"/>
      <c r="D1955" s="22"/>
      <c r="E1955" s="23" t="str">
        <f>IF($D1955="","",IFERROR(VLOOKUP($D1955,'ACAS Capital Tracker'!$A:$H,8,FALSE()),""))</f>
        <v/>
      </c>
      <c r="F1955" s="24"/>
      <c r="G1955" s="25" t="str">
        <f>IF($D1955="","",IFERROR(VLOOKUP($D1955,'ACAS Capital Tracker'!$A:$D,4,FALSE()),""))</f>
        <v/>
      </c>
      <c r="H1955" s="22"/>
    </row>
    <row r="1956" spans="1:8">
      <c r="A1956" s="21"/>
      <c r="B1956" s="22"/>
      <c r="C1956" s="22"/>
      <c r="D1956" s="22"/>
      <c r="E1956" s="23" t="str">
        <f>IF($D1956="","",IFERROR(VLOOKUP($D1956,'ACAS Capital Tracker'!$A:$H,8,FALSE()),""))</f>
        <v/>
      </c>
      <c r="F1956" s="24"/>
      <c r="G1956" s="25" t="str">
        <f>IF($D1956="","",IFERROR(VLOOKUP($D1956,'ACAS Capital Tracker'!$A:$D,4,FALSE()),""))</f>
        <v/>
      </c>
      <c r="H1956" s="22"/>
    </row>
    <row r="1957" spans="1:8">
      <c r="A1957" s="21"/>
      <c r="B1957" s="22"/>
      <c r="C1957" s="22"/>
      <c r="D1957" s="22"/>
      <c r="E1957" s="23" t="str">
        <f>IF($D1957="","",IFERROR(VLOOKUP($D1957,'ACAS Capital Tracker'!$A:$H,8,FALSE()),""))</f>
        <v/>
      </c>
      <c r="F1957" s="24"/>
      <c r="G1957" s="25" t="str">
        <f>IF($D1957="","",IFERROR(VLOOKUP($D1957,'ACAS Capital Tracker'!$A:$D,4,FALSE()),""))</f>
        <v/>
      </c>
      <c r="H1957" s="22"/>
    </row>
    <row r="1958" spans="1:8">
      <c r="A1958" s="21"/>
      <c r="B1958" s="22"/>
      <c r="C1958" s="22"/>
      <c r="D1958" s="22"/>
      <c r="E1958" s="23" t="str">
        <f>IF($D1958="","",IFERROR(VLOOKUP($D1958,'ACAS Capital Tracker'!$A:$H,8,FALSE()),""))</f>
        <v/>
      </c>
      <c r="F1958" s="24"/>
      <c r="G1958" s="25" t="str">
        <f>IF($D1958="","",IFERROR(VLOOKUP($D1958,'ACAS Capital Tracker'!$A:$D,4,FALSE()),""))</f>
        <v/>
      </c>
      <c r="H1958" s="22"/>
    </row>
    <row r="1959" spans="1:8">
      <c r="A1959" s="21"/>
      <c r="B1959" s="22"/>
      <c r="C1959" s="22"/>
      <c r="D1959" s="22"/>
      <c r="E1959" s="23" t="str">
        <f>IF($D1959="","",IFERROR(VLOOKUP($D1959,'ACAS Capital Tracker'!$A:$H,8,FALSE()),""))</f>
        <v/>
      </c>
      <c r="F1959" s="24"/>
      <c r="G1959" s="25" t="str">
        <f>IF($D1959="","",IFERROR(VLOOKUP($D1959,'ACAS Capital Tracker'!$A:$D,4,FALSE()),""))</f>
        <v/>
      </c>
      <c r="H1959" s="22"/>
    </row>
    <row r="1960" spans="1:8">
      <c r="A1960" s="21"/>
      <c r="B1960" s="22"/>
      <c r="C1960" s="22"/>
      <c r="D1960" s="22"/>
      <c r="E1960" s="23" t="str">
        <f>IF($D1960="","",IFERROR(VLOOKUP($D1960,'ACAS Capital Tracker'!$A:$H,8,FALSE()),""))</f>
        <v/>
      </c>
      <c r="F1960" s="24"/>
      <c r="G1960" s="25" t="str">
        <f>IF($D1960="","",IFERROR(VLOOKUP($D1960,'ACAS Capital Tracker'!$A:$D,4,FALSE()),""))</f>
        <v/>
      </c>
      <c r="H1960" s="22"/>
    </row>
    <row r="1961" spans="1:8">
      <c r="A1961" s="21"/>
      <c r="B1961" s="22"/>
      <c r="C1961" s="22"/>
      <c r="D1961" s="22"/>
      <c r="E1961" s="23" t="str">
        <f>IF($D1961="","",IFERROR(VLOOKUP($D1961,'ACAS Capital Tracker'!$A:$H,8,FALSE()),""))</f>
        <v/>
      </c>
      <c r="F1961" s="24"/>
      <c r="G1961" s="25" t="str">
        <f>IF($D1961="","",IFERROR(VLOOKUP($D1961,'ACAS Capital Tracker'!$A:$D,4,FALSE()),""))</f>
        <v/>
      </c>
      <c r="H1961" s="22"/>
    </row>
    <row r="1962" spans="1:8">
      <c r="A1962" s="21"/>
      <c r="B1962" s="22"/>
      <c r="C1962" s="22"/>
      <c r="D1962" s="22"/>
      <c r="E1962" s="23" t="str">
        <f>IF($D1962="","",IFERROR(VLOOKUP($D1962,'ACAS Capital Tracker'!$A:$H,8,FALSE()),""))</f>
        <v/>
      </c>
      <c r="F1962" s="24"/>
      <c r="G1962" s="25" t="str">
        <f>IF($D1962="","",IFERROR(VLOOKUP($D1962,'ACAS Capital Tracker'!$A:$D,4,FALSE()),""))</f>
        <v/>
      </c>
      <c r="H1962" s="22"/>
    </row>
    <row r="1963" spans="1:8">
      <c r="A1963" s="21"/>
      <c r="B1963" s="22"/>
      <c r="C1963" s="22"/>
      <c r="D1963" s="22"/>
      <c r="E1963" s="23" t="str">
        <f>IF($D1963="","",IFERROR(VLOOKUP($D1963,'ACAS Capital Tracker'!$A:$H,8,FALSE()),""))</f>
        <v/>
      </c>
      <c r="F1963" s="24"/>
      <c r="G1963" s="25" t="str">
        <f>IF($D1963="","",IFERROR(VLOOKUP($D1963,'ACAS Capital Tracker'!$A:$D,4,FALSE()),""))</f>
        <v/>
      </c>
      <c r="H1963" s="22"/>
    </row>
    <row r="1964" spans="1:8">
      <c r="A1964" s="21"/>
      <c r="B1964" s="22"/>
      <c r="C1964" s="22"/>
      <c r="D1964" s="22"/>
      <c r="E1964" s="23" t="str">
        <f>IF($D1964="","",IFERROR(VLOOKUP($D1964,'ACAS Capital Tracker'!$A:$H,8,FALSE()),""))</f>
        <v/>
      </c>
      <c r="F1964" s="24"/>
      <c r="G1964" s="25" t="str">
        <f>IF($D1964="","",IFERROR(VLOOKUP($D1964,'ACAS Capital Tracker'!$A:$D,4,FALSE()),""))</f>
        <v/>
      </c>
      <c r="H1964" s="22"/>
    </row>
    <row r="1965" spans="1:8">
      <c r="A1965" s="21"/>
      <c r="B1965" s="22"/>
      <c r="C1965" s="22"/>
      <c r="D1965" s="22"/>
      <c r="E1965" s="23" t="str">
        <f>IF($D1965="","",IFERROR(VLOOKUP($D1965,'ACAS Capital Tracker'!$A:$H,8,FALSE()),""))</f>
        <v/>
      </c>
      <c r="F1965" s="24"/>
      <c r="G1965" s="25" t="str">
        <f>IF($D1965="","",IFERROR(VLOOKUP($D1965,'ACAS Capital Tracker'!$A:$D,4,FALSE()),""))</f>
        <v/>
      </c>
      <c r="H1965" s="22"/>
    </row>
    <row r="1966" spans="1:8">
      <c r="A1966" s="21"/>
      <c r="B1966" s="22"/>
      <c r="C1966" s="22"/>
      <c r="D1966" s="22"/>
      <c r="E1966" s="23" t="str">
        <f>IF($D1966="","",IFERROR(VLOOKUP($D1966,'ACAS Capital Tracker'!$A:$H,8,FALSE()),""))</f>
        <v/>
      </c>
      <c r="F1966" s="24"/>
      <c r="G1966" s="25" t="str">
        <f>IF($D1966="","",IFERROR(VLOOKUP($D1966,'ACAS Capital Tracker'!$A:$D,4,FALSE()),""))</f>
        <v/>
      </c>
      <c r="H1966" s="22"/>
    </row>
    <row r="1967" spans="1:8">
      <c r="A1967" s="21"/>
      <c r="B1967" s="22"/>
      <c r="C1967" s="22"/>
      <c r="D1967" s="22"/>
      <c r="E1967" s="23" t="str">
        <f>IF($D1967="","",IFERROR(VLOOKUP($D1967,'ACAS Capital Tracker'!$A:$H,8,FALSE()),""))</f>
        <v/>
      </c>
      <c r="F1967" s="24"/>
      <c r="G1967" s="25" t="str">
        <f>IF($D1967="","",IFERROR(VLOOKUP($D1967,'ACAS Capital Tracker'!$A:$D,4,FALSE()),""))</f>
        <v/>
      </c>
      <c r="H1967" s="22"/>
    </row>
    <row r="1968" spans="1:8">
      <c r="A1968" s="21"/>
      <c r="B1968" s="22"/>
      <c r="C1968" s="22"/>
      <c r="D1968" s="22"/>
      <c r="E1968" s="23" t="str">
        <f>IF($D1968="","",IFERROR(VLOOKUP($D1968,'ACAS Capital Tracker'!$A:$H,8,FALSE()),""))</f>
        <v/>
      </c>
      <c r="F1968" s="24"/>
      <c r="G1968" s="25" t="str">
        <f>IF($D1968="","",IFERROR(VLOOKUP($D1968,'ACAS Capital Tracker'!$A:$D,4,FALSE()),""))</f>
        <v/>
      </c>
      <c r="H1968" s="22"/>
    </row>
    <row r="1969" spans="1:8">
      <c r="A1969" s="21"/>
      <c r="B1969" s="22"/>
      <c r="C1969" s="22"/>
      <c r="D1969" s="22"/>
      <c r="E1969" s="23" t="str">
        <f>IF($D1969="","",IFERROR(VLOOKUP($D1969,'ACAS Capital Tracker'!$A:$H,8,FALSE()),""))</f>
        <v/>
      </c>
      <c r="F1969" s="24"/>
      <c r="G1969" s="25" t="str">
        <f>IF($D1969="","",IFERROR(VLOOKUP($D1969,'ACAS Capital Tracker'!$A:$D,4,FALSE()),""))</f>
        <v/>
      </c>
      <c r="H1969" s="22"/>
    </row>
    <row r="1970" spans="1:8">
      <c r="A1970" s="21"/>
      <c r="B1970" s="22"/>
      <c r="C1970" s="22"/>
      <c r="D1970" s="22"/>
      <c r="E1970" s="23" t="str">
        <f>IF($D1970="","",IFERROR(VLOOKUP($D1970,'ACAS Capital Tracker'!$A:$H,8,FALSE()),""))</f>
        <v/>
      </c>
      <c r="F1970" s="24"/>
      <c r="G1970" s="25" t="str">
        <f>IF($D1970="","",IFERROR(VLOOKUP($D1970,'ACAS Capital Tracker'!$A:$D,4,FALSE()),""))</f>
        <v/>
      </c>
      <c r="H1970" s="22"/>
    </row>
    <row r="1971" spans="1:8">
      <c r="A1971" s="21"/>
      <c r="B1971" s="22"/>
      <c r="C1971" s="22"/>
      <c r="D1971" s="22"/>
      <c r="E1971" s="23" t="str">
        <f>IF($D1971="","",IFERROR(VLOOKUP($D1971,'ACAS Capital Tracker'!$A:$H,8,FALSE()),""))</f>
        <v/>
      </c>
      <c r="F1971" s="24"/>
      <c r="G1971" s="25" t="str">
        <f>IF($D1971="","",IFERROR(VLOOKUP($D1971,'ACAS Capital Tracker'!$A:$D,4,FALSE()),""))</f>
        <v/>
      </c>
      <c r="H1971" s="22"/>
    </row>
    <row r="1972" spans="1:8">
      <c r="A1972" s="21"/>
      <c r="B1972" s="22"/>
      <c r="C1972" s="22"/>
      <c r="D1972" s="22"/>
      <c r="E1972" s="23" t="str">
        <f>IF($D1972="","",IFERROR(VLOOKUP($D1972,'ACAS Capital Tracker'!$A:$H,8,FALSE()),""))</f>
        <v/>
      </c>
      <c r="F1972" s="24"/>
      <c r="G1972" s="25" t="str">
        <f>IF($D1972="","",IFERROR(VLOOKUP($D1972,'ACAS Capital Tracker'!$A:$D,4,FALSE()),""))</f>
        <v/>
      </c>
      <c r="H1972" s="22"/>
    </row>
    <row r="1973" spans="1:8">
      <c r="A1973" s="21"/>
      <c r="B1973" s="22"/>
      <c r="C1973" s="22"/>
      <c r="D1973" s="22"/>
      <c r="E1973" s="23" t="str">
        <f>IF($D1973="","",IFERROR(VLOOKUP($D1973,'ACAS Capital Tracker'!$A:$H,8,FALSE()),""))</f>
        <v/>
      </c>
      <c r="F1973" s="24"/>
      <c r="G1973" s="25" t="str">
        <f>IF($D1973="","",IFERROR(VLOOKUP($D1973,'ACAS Capital Tracker'!$A:$D,4,FALSE()),""))</f>
        <v/>
      </c>
      <c r="H1973" s="22"/>
    </row>
    <row r="1974" spans="1:8">
      <c r="A1974" s="21"/>
      <c r="B1974" s="22"/>
      <c r="C1974" s="22"/>
      <c r="D1974" s="22"/>
      <c r="E1974" s="23" t="str">
        <f>IF($D1974="","",IFERROR(VLOOKUP($D1974,'ACAS Capital Tracker'!$A:$H,8,FALSE()),""))</f>
        <v/>
      </c>
      <c r="F1974" s="24"/>
      <c r="G1974" s="25" t="str">
        <f>IF($D1974="","",IFERROR(VLOOKUP($D1974,'ACAS Capital Tracker'!$A:$D,4,FALSE()),""))</f>
        <v/>
      </c>
      <c r="H1974" s="22"/>
    </row>
    <row r="1975" spans="1:8">
      <c r="A1975" s="21"/>
      <c r="B1975" s="22"/>
      <c r="C1975" s="22"/>
      <c r="D1975" s="22"/>
      <c r="E1975" s="23" t="str">
        <f>IF($D1975="","",IFERROR(VLOOKUP($D1975,'ACAS Capital Tracker'!$A:$H,8,FALSE()),""))</f>
        <v/>
      </c>
      <c r="F1975" s="24"/>
      <c r="G1975" s="25" t="str">
        <f>IF($D1975="","",IFERROR(VLOOKUP($D1975,'ACAS Capital Tracker'!$A:$D,4,FALSE()),""))</f>
        <v/>
      </c>
      <c r="H1975" s="22"/>
    </row>
    <row r="1976" spans="1:8">
      <c r="A1976" s="21"/>
      <c r="B1976" s="22"/>
      <c r="C1976" s="22"/>
      <c r="D1976" s="22"/>
      <c r="E1976" s="23" t="str">
        <f>IF($D1976="","",IFERROR(VLOOKUP($D1976,'ACAS Capital Tracker'!$A:$H,8,FALSE()),""))</f>
        <v/>
      </c>
      <c r="F1976" s="24"/>
      <c r="G1976" s="25" t="str">
        <f>IF($D1976="","",IFERROR(VLOOKUP($D1976,'ACAS Capital Tracker'!$A:$D,4,FALSE()),""))</f>
        <v/>
      </c>
      <c r="H1976" s="22"/>
    </row>
    <row r="1977" spans="1:8">
      <c r="A1977" s="21"/>
      <c r="B1977" s="22"/>
      <c r="C1977" s="22"/>
      <c r="D1977" s="22"/>
      <c r="E1977" s="23" t="str">
        <f>IF($D1977="","",IFERROR(VLOOKUP($D1977,'ACAS Capital Tracker'!$A:$H,8,FALSE()),""))</f>
        <v/>
      </c>
      <c r="F1977" s="24"/>
      <c r="G1977" s="25" t="str">
        <f>IF($D1977="","",IFERROR(VLOOKUP($D1977,'ACAS Capital Tracker'!$A:$D,4,FALSE()),""))</f>
        <v/>
      </c>
      <c r="H1977" s="22"/>
    </row>
    <row r="1978" spans="1:8">
      <c r="A1978" s="21"/>
      <c r="B1978" s="22"/>
      <c r="C1978" s="22"/>
      <c r="D1978" s="22"/>
      <c r="E1978" s="23" t="str">
        <f>IF($D1978="","",IFERROR(VLOOKUP($D1978,'ACAS Capital Tracker'!$A:$H,8,FALSE()),""))</f>
        <v/>
      </c>
      <c r="F1978" s="24"/>
      <c r="G1978" s="25" t="str">
        <f>IF($D1978="","",IFERROR(VLOOKUP($D1978,'ACAS Capital Tracker'!$A:$D,4,FALSE()),""))</f>
        <v/>
      </c>
      <c r="H1978" s="22"/>
    </row>
    <row r="1979" spans="1:8">
      <c r="A1979" s="21"/>
      <c r="B1979" s="22"/>
      <c r="C1979" s="22"/>
      <c r="D1979" s="22"/>
      <c r="E1979" s="23" t="str">
        <f>IF($D1979="","",IFERROR(VLOOKUP($D1979,'ACAS Capital Tracker'!$A:$H,8,FALSE()),""))</f>
        <v/>
      </c>
      <c r="F1979" s="24"/>
      <c r="G1979" s="25" t="str">
        <f>IF($D1979="","",IFERROR(VLOOKUP($D1979,'ACAS Capital Tracker'!$A:$D,4,FALSE()),""))</f>
        <v/>
      </c>
      <c r="H1979" s="22"/>
    </row>
    <row r="1980" spans="1:8">
      <c r="A1980" s="21"/>
      <c r="B1980" s="22"/>
      <c r="C1980" s="22"/>
      <c r="D1980" s="22"/>
      <c r="E1980" s="23" t="str">
        <f>IF($D1980="","",IFERROR(VLOOKUP($D1980,'ACAS Capital Tracker'!$A:$H,8,FALSE()),""))</f>
        <v/>
      </c>
      <c r="F1980" s="24"/>
      <c r="G1980" s="25" t="str">
        <f>IF($D1980="","",IFERROR(VLOOKUP($D1980,'ACAS Capital Tracker'!$A:$D,4,FALSE()),""))</f>
        <v/>
      </c>
      <c r="H1980" s="22"/>
    </row>
    <row r="1981" spans="1:8">
      <c r="A1981" s="21"/>
      <c r="B1981" s="22"/>
      <c r="C1981" s="22"/>
      <c r="D1981" s="22"/>
      <c r="E1981" s="23" t="str">
        <f>IF($D1981="","",IFERROR(VLOOKUP($D1981,'ACAS Capital Tracker'!$A:$H,8,FALSE()),""))</f>
        <v/>
      </c>
      <c r="F1981" s="24"/>
      <c r="G1981" s="25" t="str">
        <f>IF($D1981="","",IFERROR(VLOOKUP($D1981,'ACAS Capital Tracker'!$A:$D,4,FALSE()),""))</f>
        <v/>
      </c>
      <c r="H1981" s="22"/>
    </row>
    <row r="1982" spans="1:8">
      <c r="A1982" s="21"/>
      <c r="B1982" s="22"/>
      <c r="C1982" s="22"/>
      <c r="D1982" s="22"/>
      <c r="E1982" s="23" t="str">
        <f>IF($D1982="","",IFERROR(VLOOKUP($D1982,'ACAS Capital Tracker'!$A:$H,8,FALSE()),""))</f>
        <v/>
      </c>
      <c r="F1982" s="24"/>
      <c r="G1982" s="25" t="str">
        <f>IF($D1982="","",IFERROR(VLOOKUP($D1982,'ACAS Capital Tracker'!$A:$D,4,FALSE()),""))</f>
        <v/>
      </c>
      <c r="H1982" s="22"/>
    </row>
    <row r="1983" spans="1:8">
      <c r="A1983" s="21"/>
      <c r="B1983" s="22"/>
      <c r="C1983" s="22"/>
      <c r="D1983" s="22"/>
      <c r="E1983" s="23" t="str">
        <f>IF($D1983="","",IFERROR(VLOOKUP($D1983,'ACAS Capital Tracker'!$A:$H,8,FALSE()),""))</f>
        <v/>
      </c>
      <c r="F1983" s="24"/>
      <c r="G1983" s="25" t="str">
        <f>IF($D1983="","",IFERROR(VLOOKUP($D1983,'ACAS Capital Tracker'!$A:$D,4,FALSE()),""))</f>
        <v/>
      </c>
      <c r="H1983" s="22"/>
    </row>
    <row r="1984" spans="1:8">
      <c r="A1984" s="21"/>
      <c r="B1984" s="22"/>
      <c r="C1984" s="22"/>
      <c r="D1984" s="22"/>
      <c r="E1984" s="23" t="str">
        <f>IF($D1984="","",IFERROR(VLOOKUP($D1984,'ACAS Capital Tracker'!$A:$H,8,FALSE()),""))</f>
        <v/>
      </c>
      <c r="F1984" s="24"/>
      <c r="G1984" s="25" t="str">
        <f>IF($D1984="","",IFERROR(VLOOKUP($D1984,'ACAS Capital Tracker'!$A:$D,4,FALSE()),""))</f>
        <v/>
      </c>
      <c r="H1984" s="22"/>
    </row>
    <row r="1985" spans="1:8">
      <c r="A1985" s="21"/>
      <c r="B1985" s="22"/>
      <c r="C1985" s="22"/>
      <c r="D1985" s="22"/>
      <c r="E1985" s="23" t="str">
        <f>IF($D1985="","",IFERROR(VLOOKUP($D1985,'ACAS Capital Tracker'!$A:$H,8,FALSE()),""))</f>
        <v/>
      </c>
      <c r="F1985" s="24"/>
      <c r="G1985" s="25" t="str">
        <f>IF($D1985="","",IFERROR(VLOOKUP($D1985,'ACAS Capital Tracker'!$A:$D,4,FALSE()),""))</f>
        <v/>
      </c>
      <c r="H1985" s="22"/>
    </row>
    <row r="1986" spans="1:8">
      <c r="A1986" s="21"/>
      <c r="B1986" s="22"/>
      <c r="C1986" s="22"/>
      <c r="D1986" s="22"/>
      <c r="E1986" s="23" t="str">
        <f>IF($D1986="","",IFERROR(VLOOKUP($D1986,'ACAS Capital Tracker'!$A:$H,8,FALSE()),""))</f>
        <v/>
      </c>
      <c r="F1986" s="24"/>
      <c r="G1986" s="25" t="str">
        <f>IF($D1986="","",IFERROR(VLOOKUP($D1986,'ACAS Capital Tracker'!$A:$D,4,FALSE()),""))</f>
        <v/>
      </c>
      <c r="H1986" s="22"/>
    </row>
    <row r="1987" spans="1:8">
      <c r="A1987" s="21"/>
      <c r="B1987" s="22"/>
      <c r="C1987" s="22"/>
      <c r="D1987" s="22"/>
      <c r="E1987" s="23" t="str">
        <f>IF($D1987="","",IFERROR(VLOOKUP($D1987,'ACAS Capital Tracker'!$A:$H,8,FALSE()),""))</f>
        <v/>
      </c>
      <c r="F1987" s="24"/>
      <c r="G1987" s="25" t="str">
        <f>IF($D1987="","",IFERROR(VLOOKUP($D1987,'ACAS Capital Tracker'!$A:$D,4,FALSE()),""))</f>
        <v/>
      </c>
      <c r="H1987" s="22"/>
    </row>
    <row r="1988" spans="1:8">
      <c r="A1988" s="21"/>
      <c r="B1988" s="22"/>
      <c r="C1988" s="22"/>
      <c r="D1988" s="22"/>
      <c r="E1988" s="23" t="str">
        <f>IF($D1988="","",IFERROR(VLOOKUP($D1988,'ACAS Capital Tracker'!$A:$H,8,FALSE()),""))</f>
        <v/>
      </c>
      <c r="F1988" s="24"/>
      <c r="G1988" s="25" t="str">
        <f>IF($D1988="","",IFERROR(VLOOKUP($D1988,'ACAS Capital Tracker'!$A:$D,4,FALSE()),""))</f>
        <v/>
      </c>
      <c r="H1988" s="22"/>
    </row>
    <row r="1989" spans="1:8">
      <c r="A1989" s="21"/>
      <c r="B1989" s="22"/>
      <c r="C1989" s="22"/>
      <c r="D1989" s="22"/>
      <c r="E1989" s="23" t="str">
        <f>IF($D1989="","",IFERROR(VLOOKUP($D1989,'ACAS Capital Tracker'!$A:$H,8,FALSE()),""))</f>
        <v/>
      </c>
      <c r="F1989" s="24"/>
      <c r="G1989" s="25" t="str">
        <f>IF($D1989="","",IFERROR(VLOOKUP($D1989,'ACAS Capital Tracker'!$A:$D,4,FALSE()),""))</f>
        <v/>
      </c>
      <c r="H1989" s="22"/>
    </row>
    <row r="1990" spans="1:8">
      <c r="A1990" s="21"/>
      <c r="B1990" s="22"/>
      <c r="C1990" s="22"/>
      <c r="D1990" s="22"/>
      <c r="E1990" s="23" t="str">
        <f>IF($D1990="","",IFERROR(VLOOKUP($D1990,'ACAS Capital Tracker'!$A:$H,8,FALSE()),""))</f>
        <v/>
      </c>
      <c r="F1990" s="24"/>
      <c r="G1990" s="25" t="str">
        <f>IF($D1990="","",IFERROR(VLOOKUP($D1990,'ACAS Capital Tracker'!$A:$D,4,FALSE()),""))</f>
        <v/>
      </c>
      <c r="H1990" s="22"/>
    </row>
    <row r="1991" spans="1:8">
      <c r="A1991" s="21"/>
      <c r="B1991" s="22"/>
      <c r="C1991" s="22"/>
      <c r="D1991" s="22"/>
      <c r="E1991" s="23" t="str">
        <f>IF($D1991="","",IFERROR(VLOOKUP($D1991,'ACAS Capital Tracker'!$A:$H,8,FALSE()),""))</f>
        <v/>
      </c>
      <c r="F1991" s="24"/>
      <c r="G1991" s="25" t="str">
        <f>IF($D1991="","",IFERROR(VLOOKUP($D1991,'ACAS Capital Tracker'!$A:$D,4,FALSE()),""))</f>
        <v/>
      </c>
      <c r="H1991" s="22"/>
    </row>
    <row r="1992" spans="1:8">
      <c r="A1992" s="21"/>
      <c r="B1992" s="22"/>
      <c r="C1992" s="22"/>
      <c r="D1992" s="22"/>
      <c r="E1992" s="23" t="str">
        <f>IF($D1992="","",IFERROR(VLOOKUP($D1992,'ACAS Capital Tracker'!$A:$H,8,FALSE()),""))</f>
        <v/>
      </c>
      <c r="F1992" s="24"/>
      <c r="G1992" s="25" t="str">
        <f>IF($D1992="","",IFERROR(VLOOKUP($D1992,'ACAS Capital Tracker'!$A:$D,4,FALSE()),""))</f>
        <v/>
      </c>
      <c r="H1992" s="22"/>
    </row>
    <row r="1993" spans="1:8">
      <c r="A1993" s="21"/>
      <c r="B1993" s="22"/>
      <c r="C1993" s="22"/>
      <c r="D1993" s="22"/>
      <c r="E1993" s="23" t="str">
        <f>IF($D1993="","",IFERROR(VLOOKUP($D1993,'ACAS Capital Tracker'!$A:$H,8,FALSE()),""))</f>
        <v/>
      </c>
      <c r="F1993" s="24"/>
      <c r="G1993" s="25" t="str">
        <f>IF($D1993="","",IFERROR(VLOOKUP($D1993,'ACAS Capital Tracker'!$A:$D,4,FALSE()),""))</f>
        <v/>
      </c>
      <c r="H1993" s="22"/>
    </row>
    <row r="1994" spans="1:8">
      <c r="A1994" s="21"/>
      <c r="B1994" s="22"/>
      <c r="C1994" s="22"/>
      <c r="D1994" s="22"/>
      <c r="E1994" s="23" t="str">
        <f>IF($D1994="","",IFERROR(VLOOKUP($D1994,'ACAS Capital Tracker'!$A:$H,8,FALSE()),""))</f>
        <v/>
      </c>
      <c r="F1994" s="24"/>
      <c r="G1994" s="25" t="str">
        <f>IF($D1994="","",IFERROR(VLOOKUP($D1994,'ACAS Capital Tracker'!$A:$D,4,FALSE()),""))</f>
        <v/>
      </c>
      <c r="H1994" s="22"/>
    </row>
    <row r="1995" spans="1:8">
      <c r="A1995" s="21"/>
      <c r="B1995" s="22"/>
      <c r="C1995" s="22"/>
      <c r="D1995" s="22"/>
      <c r="E1995" s="23" t="str">
        <f>IF($D1995="","",IFERROR(VLOOKUP($D1995,'ACAS Capital Tracker'!$A:$H,8,FALSE()),""))</f>
        <v/>
      </c>
      <c r="F1995" s="24"/>
      <c r="G1995" s="25" t="str">
        <f>IF($D1995="","",IFERROR(VLOOKUP($D1995,'ACAS Capital Tracker'!$A:$D,4,FALSE()),""))</f>
        <v/>
      </c>
      <c r="H1995" s="22"/>
    </row>
    <row r="1996" spans="1:8">
      <c r="A1996" s="21"/>
      <c r="B1996" s="22"/>
      <c r="C1996" s="22"/>
      <c r="D1996" s="22"/>
      <c r="E1996" s="23" t="str">
        <f>IF($D1996="","",IFERROR(VLOOKUP($D1996,'ACAS Capital Tracker'!$A:$H,8,FALSE()),""))</f>
        <v/>
      </c>
      <c r="F1996" s="24"/>
      <c r="G1996" s="25" t="str">
        <f>IF($D1996="","",IFERROR(VLOOKUP($D1996,'ACAS Capital Tracker'!$A:$D,4,FALSE()),""))</f>
        <v/>
      </c>
      <c r="H1996" s="22"/>
    </row>
    <row r="1997" spans="1:8">
      <c r="A1997" s="21"/>
      <c r="B1997" s="22"/>
      <c r="C1997" s="22"/>
      <c r="D1997" s="22"/>
      <c r="E1997" s="23" t="str">
        <f>IF($D1997="","",IFERROR(VLOOKUP($D1997,'ACAS Capital Tracker'!$A:$H,8,FALSE()),""))</f>
        <v/>
      </c>
      <c r="F1997" s="24"/>
      <c r="G1997" s="25" t="str">
        <f>IF($D1997="","",IFERROR(VLOOKUP($D1997,'ACAS Capital Tracker'!$A:$D,4,FALSE()),""))</f>
        <v/>
      </c>
      <c r="H1997" s="22"/>
    </row>
    <row r="1998" spans="1:8">
      <c r="A1998" s="21"/>
      <c r="B1998" s="22"/>
      <c r="C1998" s="22"/>
      <c r="D1998" s="22"/>
      <c r="E1998" s="23" t="str">
        <f>IF($D1998="","",IFERROR(VLOOKUP($D1998,'ACAS Capital Tracker'!$A:$H,8,FALSE()),""))</f>
        <v/>
      </c>
      <c r="F1998" s="24"/>
      <c r="G1998" s="25" t="str">
        <f>IF($D1998="","",IFERROR(VLOOKUP($D1998,'ACAS Capital Tracker'!$A:$D,4,FALSE()),""))</f>
        <v/>
      </c>
      <c r="H1998" s="22"/>
    </row>
    <row r="1999" spans="1:8">
      <c r="A1999" s="21"/>
      <c r="B1999" s="22"/>
      <c r="C1999" s="22"/>
      <c r="D1999" s="22"/>
      <c r="E1999" s="23" t="str">
        <f>IF($D1999="","",IFERROR(VLOOKUP($D1999,'ACAS Capital Tracker'!$A:$H,8,FALSE()),""))</f>
        <v/>
      </c>
      <c r="F1999" s="24"/>
      <c r="G1999" s="25" t="str">
        <f>IF($D1999="","",IFERROR(VLOOKUP($D1999,'ACAS Capital Tracker'!$A:$D,4,FALSE()),""))</f>
        <v/>
      </c>
      <c r="H1999" s="22"/>
    </row>
    <row r="2000" spans="1:8">
      <c r="A2000" s="21"/>
      <c r="B2000" s="22"/>
      <c r="C2000" s="22"/>
      <c r="D2000" s="22"/>
      <c r="E2000" s="23" t="str">
        <f>IF($D2000="","",IFERROR(VLOOKUP($D2000,'ACAS Capital Tracker'!$A:$H,8,FALSE()),""))</f>
        <v/>
      </c>
      <c r="F2000" s="24"/>
      <c r="G2000" s="25" t="str">
        <f>IF($D2000="","",IFERROR(VLOOKUP($D2000,'ACAS Capital Tracker'!$A:$D,4,FALSE()),""))</f>
        <v/>
      </c>
      <c r="H2000" s="22"/>
    </row>
    <row r="2002" spans="4:6">
      <c r="D2002" s="26" t="s">
        <v>110</v>
      </c>
      <c r="F2002" s="27">
        <f>SUM(F4:F2000)</f>
        <v>0</v>
      </c>
    </row>
  </sheetData>
  <autoFilter ref="A3:H2000" xr:uid="{00000000-0009-0000-0000-000006000000}"/>
  <mergeCells count="2">
    <mergeCell ref="A1:H1"/>
    <mergeCell ref="A2:H2"/>
  </mergeCells>
  <dataValidations count="1">
    <dataValidation type="list" allowBlank="1" promptTitle="Unique Code" prompt="Select the Unique Code" sqref="D4:D2000" xr:uid="{00000000-0002-0000-0600-000000000000}">
      <formula1>$J$2:$J$30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M42"/>
  <sheetViews>
    <sheetView zoomScaleNormal="100" workbookViewId="0">
      <pane ySplit="3" topLeftCell="A8" activePane="bottomLeft" state="frozen"/>
      <selection pane="bottomLeft" activeCell="A25" sqref="A25:XFD25"/>
    </sheetView>
  </sheetViews>
  <sheetFormatPr defaultColWidth="8.7109375" defaultRowHeight="15"/>
  <cols>
    <col min="1" max="1" width="14" customWidth="1"/>
    <col min="2" max="2" width="5" customWidth="1"/>
    <col min="3" max="3" width="40" customWidth="1"/>
    <col min="4" max="4" width="12" customWidth="1"/>
    <col min="5" max="5" width="13" customWidth="1"/>
    <col min="6" max="6" width="11" customWidth="1"/>
    <col min="7" max="8" width="12" customWidth="1"/>
    <col min="9" max="9" width="45" customWidth="1"/>
    <col min="10" max="13" width="13" hidden="1" customWidth="1"/>
  </cols>
  <sheetData>
    <row r="1" spans="1:13" ht="16.5">
      <c r="A1" s="36" t="s">
        <v>280</v>
      </c>
      <c r="B1" s="36"/>
      <c r="C1" s="36"/>
      <c r="D1" s="36"/>
      <c r="E1" s="36"/>
      <c r="F1" s="36"/>
      <c r="G1" s="36"/>
      <c r="H1" s="36"/>
      <c r="I1" s="36"/>
    </row>
    <row r="2" spans="1:13">
      <c r="A2" s="12" t="s">
        <v>36</v>
      </c>
      <c r="C2" s="13" t="str">
        <f>'IT Budget Summary'!$C$2</f>
        <v>Offline Optimized</v>
      </c>
      <c r="E2" s="37" t="s">
        <v>37</v>
      </c>
      <c r="F2" s="37"/>
      <c r="G2" s="37"/>
      <c r="H2" s="37"/>
      <c r="I2" s="37"/>
    </row>
    <row r="3" spans="1:13" ht="24">
      <c r="A3" s="2" t="s">
        <v>38</v>
      </c>
      <c r="B3" s="2" t="s">
        <v>39</v>
      </c>
      <c r="C3" s="2" t="s">
        <v>40</v>
      </c>
      <c r="D3" s="2" t="s">
        <v>20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1:13">
      <c r="A4" s="14" t="s">
        <v>281</v>
      </c>
      <c r="B4" s="14">
        <v>1</v>
      </c>
      <c r="C4" s="15" t="s">
        <v>114</v>
      </c>
      <c r="D4" s="14">
        <v>5101200002</v>
      </c>
      <c r="E4" s="16">
        <f>CHOOSE(MATCH($C$2,{"Offline Optimized","Offline + Online Hybrid","Online Optimized"},0),J4,K4,L4)</f>
        <v>6000</v>
      </c>
      <c r="F4" s="16">
        <f>SUMIF('ACAS Consumables Log'!$D$4:$D$2000,A4,'ACAS Consumables Log'!$F$4:$F$2000)</f>
        <v>0</v>
      </c>
      <c r="G4" s="17">
        <v>0</v>
      </c>
      <c r="H4" s="18">
        <f t="shared" ref="H4:H42" si="0">E4+G4-F4</f>
        <v>6000</v>
      </c>
      <c r="I4" s="15" t="str">
        <f t="shared" ref="I4:I42" si="1">IFERROR(IF(($E4+$G4)&lt;=0,"",REPT("█",MIN(20,ROUND($F4/($E4+$G4)*20,0)))),"")</f>
        <v/>
      </c>
      <c r="J4" s="19">
        <v>6000</v>
      </c>
      <c r="K4" s="19">
        <v>0</v>
      </c>
      <c r="L4" s="19">
        <v>0</v>
      </c>
      <c r="M4" s="19">
        <v>6000</v>
      </c>
    </row>
    <row r="5" spans="1:13">
      <c r="A5" s="14" t="s">
        <v>282</v>
      </c>
      <c r="B5" s="14">
        <v>2</v>
      </c>
      <c r="C5" s="15" t="s">
        <v>117</v>
      </c>
      <c r="D5" s="14">
        <v>5101200002</v>
      </c>
      <c r="E5" s="16">
        <f>CHOOSE(MATCH($C$2,{"Offline Optimized","Offline + Online Hybrid","Online Optimized"},0),J5,K5,L5)</f>
        <v>480</v>
      </c>
      <c r="F5" s="16">
        <f>SUMIF('ACAS Consumables Log'!$D$4:$D$2000,A5,'ACAS Consumables Log'!$F$4:$F$2000)</f>
        <v>0</v>
      </c>
      <c r="G5" s="17">
        <v>0</v>
      </c>
      <c r="H5" s="18">
        <f t="shared" si="0"/>
        <v>480</v>
      </c>
      <c r="I5" s="15" t="str">
        <f t="shared" si="1"/>
        <v/>
      </c>
      <c r="J5" s="19">
        <v>480</v>
      </c>
      <c r="K5" s="19">
        <v>0</v>
      </c>
      <c r="L5" s="19">
        <v>0</v>
      </c>
      <c r="M5" s="19">
        <v>480</v>
      </c>
    </row>
    <row r="6" spans="1:13">
      <c r="A6" s="14" t="s">
        <v>283</v>
      </c>
      <c r="B6" s="14">
        <v>3</v>
      </c>
      <c r="C6" s="15" t="s">
        <v>120</v>
      </c>
      <c r="D6" s="14">
        <v>5101200002</v>
      </c>
      <c r="E6" s="16">
        <f>CHOOSE(MATCH($C$2,{"Offline Optimized","Offline + Online Hybrid","Online Optimized"},0),J6,K6,L6)</f>
        <v>200</v>
      </c>
      <c r="F6" s="16">
        <f>SUMIF('ACAS Consumables Log'!$D$4:$D$2000,A6,'ACAS Consumables Log'!$F$4:$F$2000)</f>
        <v>0</v>
      </c>
      <c r="G6" s="17">
        <v>0</v>
      </c>
      <c r="H6" s="18">
        <f t="shared" si="0"/>
        <v>200</v>
      </c>
      <c r="I6" s="15" t="str">
        <f t="shared" si="1"/>
        <v/>
      </c>
      <c r="J6" s="19">
        <v>200</v>
      </c>
      <c r="K6" s="19">
        <v>0</v>
      </c>
      <c r="L6" s="19">
        <v>0</v>
      </c>
      <c r="M6" s="19">
        <v>180</v>
      </c>
    </row>
    <row r="7" spans="1:13">
      <c r="A7" s="14" t="s">
        <v>284</v>
      </c>
      <c r="B7" s="14">
        <v>4</v>
      </c>
      <c r="C7" s="15" t="s">
        <v>123</v>
      </c>
      <c r="D7" s="14">
        <v>5101200002</v>
      </c>
      <c r="E7" s="16">
        <f>CHOOSE(MATCH($C$2,{"Offline Optimized","Offline + Online Hybrid","Online Optimized"},0),J7,K7,L7)</f>
        <v>7800</v>
      </c>
      <c r="F7" s="16">
        <f>SUMIF('ACAS Consumables Log'!$D$4:$D$2000,A7,'ACAS Consumables Log'!$F$4:$F$2000)</f>
        <v>0</v>
      </c>
      <c r="G7" s="17">
        <v>0</v>
      </c>
      <c r="H7" s="18">
        <f t="shared" si="0"/>
        <v>7800</v>
      </c>
      <c r="I7" s="15" t="str">
        <f t="shared" si="1"/>
        <v/>
      </c>
      <c r="J7" s="19">
        <v>7800</v>
      </c>
      <c r="K7" s="19">
        <v>0</v>
      </c>
      <c r="L7" s="19">
        <v>0</v>
      </c>
      <c r="M7" s="19">
        <v>7200</v>
      </c>
    </row>
    <row r="8" spans="1:13">
      <c r="A8" s="14" t="s">
        <v>285</v>
      </c>
      <c r="B8" s="14">
        <v>5</v>
      </c>
      <c r="C8" s="15" t="s">
        <v>286</v>
      </c>
      <c r="D8" s="14">
        <v>5101200002</v>
      </c>
      <c r="E8" s="16">
        <f>CHOOSE(MATCH($C$2,{"Offline Optimized","Offline + Online Hybrid","Online Optimized"},0),J8,K8,L8)</f>
        <v>7500</v>
      </c>
      <c r="F8" s="16">
        <f>SUMIF('ACAS Consumables Log'!$D$4:$D$2000,A8,'ACAS Consumables Log'!$F$4:$F$2000)</f>
        <v>0</v>
      </c>
      <c r="G8" s="17">
        <v>0</v>
      </c>
      <c r="H8" s="18">
        <f t="shared" si="0"/>
        <v>7500</v>
      </c>
      <c r="I8" s="15" t="str">
        <f t="shared" si="1"/>
        <v/>
      </c>
      <c r="J8" s="19">
        <v>7500</v>
      </c>
      <c r="K8" s="19">
        <v>0</v>
      </c>
      <c r="L8" s="19">
        <v>0</v>
      </c>
      <c r="M8" s="19">
        <v>7500</v>
      </c>
    </row>
    <row r="9" spans="1:13">
      <c r="A9" s="14" t="s">
        <v>287</v>
      </c>
      <c r="B9" s="14">
        <v>6</v>
      </c>
      <c r="C9" s="15" t="s">
        <v>129</v>
      </c>
      <c r="D9" s="14">
        <v>5101200002</v>
      </c>
      <c r="E9" s="16">
        <f>CHOOSE(MATCH($C$2,{"Offline Optimized","Offline + Online Hybrid","Online Optimized"},0),J9,K9,L9)</f>
        <v>910</v>
      </c>
      <c r="F9" s="16">
        <f>SUMIF('ACAS Consumables Log'!$D$4:$D$2000,A9,'ACAS Consumables Log'!$F$4:$F$2000)</f>
        <v>0</v>
      </c>
      <c r="G9" s="17">
        <v>0</v>
      </c>
      <c r="H9" s="18">
        <f t="shared" si="0"/>
        <v>910</v>
      </c>
      <c r="I9" s="15" t="str">
        <f t="shared" si="1"/>
        <v/>
      </c>
      <c r="J9" s="19">
        <v>910</v>
      </c>
      <c r="K9" s="19">
        <v>0</v>
      </c>
      <c r="L9" s="19">
        <v>0</v>
      </c>
      <c r="M9" s="19">
        <v>910</v>
      </c>
    </row>
    <row r="10" spans="1:13">
      <c r="A10" s="14" t="s">
        <v>288</v>
      </c>
      <c r="B10" s="14">
        <v>7</v>
      </c>
      <c r="C10" s="15" t="s">
        <v>135</v>
      </c>
      <c r="D10" s="14">
        <v>5101200002</v>
      </c>
      <c r="E10" s="16">
        <f>CHOOSE(MATCH($C$2,{"Offline Optimized","Offline + Online Hybrid","Online Optimized"},0),J10,K10,L10)</f>
        <v>7000</v>
      </c>
      <c r="F10" s="16">
        <f>SUMIF('ACAS Consumables Log'!$D$4:$D$2000,A10,'ACAS Consumables Log'!$F$4:$F$2000)</f>
        <v>7000</v>
      </c>
      <c r="G10" s="17">
        <v>0</v>
      </c>
      <c r="H10" s="18">
        <f t="shared" si="0"/>
        <v>0</v>
      </c>
      <c r="I10" s="15" t="str">
        <f t="shared" si="1"/>
        <v>████████████████████</v>
      </c>
      <c r="J10" s="19">
        <v>7000</v>
      </c>
      <c r="K10" s="19">
        <v>0</v>
      </c>
      <c r="L10" s="19">
        <v>0</v>
      </c>
      <c r="M10" s="19">
        <v>6000</v>
      </c>
    </row>
    <row r="11" spans="1:13">
      <c r="A11" s="14" t="s">
        <v>289</v>
      </c>
      <c r="B11" s="14">
        <v>8</v>
      </c>
      <c r="C11" s="15" t="s">
        <v>290</v>
      </c>
      <c r="D11" s="14">
        <v>5101160010</v>
      </c>
      <c r="E11" s="16">
        <f>CHOOSE(MATCH($C$2,{"Offline Optimized","Offline + Online Hybrid","Online Optimized"},0),J11,K11,L11)</f>
        <v>3000</v>
      </c>
      <c r="F11" s="16">
        <f>SUMIF('ACAS Consumables Log'!$D$4:$D$2000,A11,'ACAS Consumables Log'!$F$4:$F$2000)</f>
        <v>0</v>
      </c>
      <c r="G11" s="17">
        <v>0</v>
      </c>
      <c r="H11" s="18">
        <f t="shared" si="0"/>
        <v>3000</v>
      </c>
      <c r="I11" s="15" t="str">
        <f t="shared" si="1"/>
        <v/>
      </c>
      <c r="J11" s="19">
        <v>3000</v>
      </c>
      <c r="K11" s="19">
        <v>0</v>
      </c>
      <c r="L11" s="19">
        <v>0</v>
      </c>
      <c r="M11" s="19">
        <v>2300</v>
      </c>
    </row>
    <row r="12" spans="1:13">
      <c r="A12" s="14" t="s">
        <v>291</v>
      </c>
      <c r="B12" s="14">
        <v>9</v>
      </c>
      <c r="C12" s="15" t="s">
        <v>292</v>
      </c>
      <c r="D12" s="14">
        <v>5101160010</v>
      </c>
      <c r="E12" s="16">
        <f>CHOOSE(MATCH($C$2,{"Offline Optimized","Offline + Online Hybrid","Online Optimized"},0),J12,K12,L12)</f>
        <v>3750</v>
      </c>
      <c r="F12" s="16">
        <f>SUMIF('ACAS Consumables Log'!$D$4:$D$2000,A12,'ACAS Consumables Log'!$F$4:$F$2000)</f>
        <v>0</v>
      </c>
      <c r="G12" s="17">
        <v>0</v>
      </c>
      <c r="H12" s="18">
        <f t="shared" si="0"/>
        <v>3750</v>
      </c>
      <c r="I12" s="15" t="str">
        <f t="shared" si="1"/>
        <v/>
      </c>
      <c r="J12" s="19">
        <v>3750</v>
      </c>
      <c r="K12" s="19">
        <v>0</v>
      </c>
      <c r="L12" s="19">
        <v>0</v>
      </c>
      <c r="M12" s="19">
        <v>3750</v>
      </c>
    </row>
    <row r="13" spans="1:13">
      <c r="A13" s="14" t="s">
        <v>293</v>
      </c>
      <c r="B13" s="14">
        <v>10</v>
      </c>
      <c r="C13" s="15" t="s">
        <v>147</v>
      </c>
      <c r="D13" s="14">
        <v>5101160010</v>
      </c>
      <c r="E13" s="16">
        <f>CHOOSE(MATCH($C$2,{"Offline Optimized","Offline + Online Hybrid","Online Optimized"},0),J13,K13,L13)</f>
        <v>3000</v>
      </c>
      <c r="F13" s="16">
        <f>SUMIF('ACAS Consumables Log'!$D$4:$D$2000,A13,'ACAS Consumables Log'!$F$4:$F$2000)</f>
        <v>0</v>
      </c>
      <c r="G13" s="17">
        <v>0</v>
      </c>
      <c r="H13" s="18">
        <f t="shared" si="0"/>
        <v>3000</v>
      </c>
      <c r="I13" s="15" t="str">
        <f t="shared" si="1"/>
        <v/>
      </c>
      <c r="J13" s="19">
        <v>3000</v>
      </c>
      <c r="K13" s="19">
        <v>0</v>
      </c>
      <c r="L13" s="19">
        <v>0</v>
      </c>
      <c r="M13" s="19">
        <v>3000</v>
      </c>
    </row>
    <row r="14" spans="1:13">
      <c r="A14" s="14" t="s">
        <v>294</v>
      </c>
      <c r="B14" s="14">
        <v>11</v>
      </c>
      <c r="C14" s="15" t="s">
        <v>150</v>
      </c>
      <c r="D14" s="14">
        <v>5101200002</v>
      </c>
      <c r="E14" s="16">
        <f>CHOOSE(MATCH($C$2,{"Offline Optimized","Offline + Online Hybrid","Online Optimized"},0),J14,K14,L14)</f>
        <v>5250</v>
      </c>
      <c r="F14" s="16">
        <f>SUMIF('ACAS Consumables Log'!$D$4:$D$2000,A14,'ACAS Consumables Log'!$F$4:$F$2000)</f>
        <v>0</v>
      </c>
      <c r="G14" s="17">
        <v>0</v>
      </c>
      <c r="H14" s="18">
        <f t="shared" si="0"/>
        <v>5250</v>
      </c>
      <c r="I14" s="15" t="str">
        <f t="shared" si="1"/>
        <v/>
      </c>
      <c r="J14" s="19">
        <v>5250</v>
      </c>
      <c r="K14" s="19">
        <v>0</v>
      </c>
      <c r="L14" s="19">
        <v>0</v>
      </c>
      <c r="M14" s="19">
        <v>4500</v>
      </c>
    </row>
    <row r="15" spans="1:13">
      <c r="A15" s="14" t="s">
        <v>295</v>
      </c>
      <c r="B15" s="14">
        <v>12</v>
      </c>
      <c r="C15" s="15" t="s">
        <v>296</v>
      </c>
      <c r="D15" s="14">
        <v>5101160003</v>
      </c>
      <c r="E15" s="16">
        <f>CHOOSE(MATCH($C$2,{"Offline Optimized","Offline + Online Hybrid","Online Optimized"},0),J15,K15,L15)</f>
        <v>0</v>
      </c>
      <c r="F15" s="16">
        <f>SUMIF('ACAS Consumables Log'!$D$4:$D$2000,A15,'ACAS Consumables Log'!$F$4:$F$2000)</f>
        <v>0</v>
      </c>
      <c r="G15" s="17">
        <v>0</v>
      </c>
      <c r="H15" s="18">
        <f t="shared" si="0"/>
        <v>0</v>
      </c>
      <c r="I15" s="15" t="str">
        <f t="shared" si="1"/>
        <v/>
      </c>
      <c r="J15" s="19">
        <v>0</v>
      </c>
      <c r="K15" s="19">
        <v>0</v>
      </c>
      <c r="L15" s="19">
        <v>0</v>
      </c>
      <c r="M15" s="19">
        <v>0</v>
      </c>
    </row>
    <row r="16" spans="1:13">
      <c r="A16" s="14" t="s">
        <v>297</v>
      </c>
      <c r="B16" s="14">
        <v>13</v>
      </c>
      <c r="C16" s="15" t="s">
        <v>298</v>
      </c>
      <c r="D16" s="14">
        <v>5101160003</v>
      </c>
      <c r="E16" s="16">
        <f>CHOOSE(MATCH($C$2,{"Offline Optimized","Offline + Online Hybrid","Online Optimized"},0),J16,K16,L16)</f>
        <v>250</v>
      </c>
      <c r="F16" s="16">
        <f>SUMIF('ACAS Consumables Log'!$D$4:$D$2000,A16,'ACAS Consumables Log'!$F$4:$F$2000)</f>
        <v>0</v>
      </c>
      <c r="G16" s="17">
        <v>0</v>
      </c>
      <c r="H16" s="18">
        <f t="shared" si="0"/>
        <v>250</v>
      </c>
      <c r="I16" s="15" t="str">
        <f t="shared" si="1"/>
        <v/>
      </c>
      <c r="J16" s="19">
        <v>250</v>
      </c>
      <c r="K16" s="19">
        <v>0</v>
      </c>
      <c r="L16" s="19">
        <v>0</v>
      </c>
      <c r="M16" s="19">
        <v>1000</v>
      </c>
    </row>
    <row r="17" spans="1:13">
      <c r="A17" s="14" t="s">
        <v>299</v>
      </c>
      <c r="B17" s="14">
        <v>14</v>
      </c>
      <c r="C17" s="15" t="s">
        <v>300</v>
      </c>
      <c r="D17" s="14">
        <v>5101160010</v>
      </c>
      <c r="E17" s="16">
        <f>CHOOSE(MATCH($C$2,{"Offline Optimized","Offline + Online Hybrid","Online Optimized"},0),J17,K17,L17)</f>
        <v>0</v>
      </c>
      <c r="F17" s="16">
        <f>SUMIF('ACAS Consumables Log'!$D$4:$D$2000,A17,'ACAS Consumables Log'!$F$4:$F$2000)</f>
        <v>0</v>
      </c>
      <c r="G17" s="17">
        <v>0</v>
      </c>
      <c r="H17" s="18">
        <f t="shared" si="0"/>
        <v>0</v>
      </c>
      <c r="I17" s="15" t="str">
        <f t="shared" si="1"/>
        <v/>
      </c>
      <c r="J17" s="19">
        <v>0</v>
      </c>
      <c r="K17" s="19">
        <v>0</v>
      </c>
      <c r="L17" s="19">
        <v>0</v>
      </c>
      <c r="M17" s="19">
        <v>0</v>
      </c>
    </row>
    <row r="18" spans="1:13">
      <c r="A18" s="14" t="s">
        <v>301</v>
      </c>
      <c r="B18" s="14">
        <v>15</v>
      </c>
      <c r="C18" s="15" t="s">
        <v>162</v>
      </c>
      <c r="D18" s="14">
        <v>5101160010</v>
      </c>
      <c r="E18" s="16">
        <f>CHOOSE(MATCH($C$2,{"Offline Optimized","Offline + Online Hybrid","Online Optimized"},0),J18,K18,L18)</f>
        <v>2500</v>
      </c>
      <c r="F18" s="16">
        <f>SUMIF('ACAS Consumables Log'!$D$4:$D$2000,A18,'ACAS Consumables Log'!$F$4:$F$2000)</f>
        <v>0</v>
      </c>
      <c r="G18" s="17">
        <v>0</v>
      </c>
      <c r="H18" s="18">
        <f t="shared" si="0"/>
        <v>2500</v>
      </c>
      <c r="I18" s="15" t="str">
        <f t="shared" si="1"/>
        <v/>
      </c>
      <c r="J18" s="19">
        <v>2500</v>
      </c>
      <c r="K18" s="19">
        <v>0</v>
      </c>
      <c r="L18" s="19">
        <v>0</v>
      </c>
      <c r="M18" s="19">
        <v>2000</v>
      </c>
    </row>
    <row r="19" spans="1:13">
      <c r="A19" s="14" t="s">
        <v>302</v>
      </c>
      <c r="B19" s="14">
        <v>16</v>
      </c>
      <c r="C19" s="15" t="s">
        <v>165</v>
      </c>
      <c r="D19" s="14">
        <v>5101170001</v>
      </c>
      <c r="E19" s="16">
        <f>CHOOSE(MATCH($C$2,{"Offline Optimized","Offline + Online Hybrid","Online Optimized"},0),J19,K19,L19)</f>
        <v>1000</v>
      </c>
      <c r="F19" s="16">
        <f>SUMIF('ACAS Consumables Log'!$D$4:$D$2000,A19,'ACAS Consumables Log'!$F$4:$F$2000)</f>
        <v>0</v>
      </c>
      <c r="G19" s="17">
        <v>0</v>
      </c>
      <c r="H19" s="18">
        <f t="shared" si="0"/>
        <v>1000</v>
      </c>
      <c r="I19" s="15" t="str">
        <f t="shared" si="1"/>
        <v/>
      </c>
      <c r="J19" s="19">
        <v>1000</v>
      </c>
      <c r="K19" s="19">
        <v>0</v>
      </c>
      <c r="L19" s="19">
        <v>0</v>
      </c>
      <c r="M19" s="19">
        <v>1000</v>
      </c>
    </row>
    <row r="20" spans="1:13">
      <c r="A20" s="14" t="s">
        <v>303</v>
      </c>
      <c r="B20" s="14">
        <v>17</v>
      </c>
      <c r="C20" s="15" t="s">
        <v>168</v>
      </c>
      <c r="D20" s="14">
        <v>5101160010</v>
      </c>
      <c r="E20" s="16">
        <f>CHOOSE(MATCH($C$2,{"Offline Optimized","Offline + Online Hybrid","Online Optimized"},0),J20,K20,L20)</f>
        <v>1500</v>
      </c>
      <c r="F20" s="16">
        <f>SUMIF('ACAS Consumables Log'!$D$4:$D$2000,A20,'ACAS Consumables Log'!$F$4:$F$2000)</f>
        <v>0</v>
      </c>
      <c r="G20" s="17">
        <v>0</v>
      </c>
      <c r="H20" s="18">
        <f t="shared" si="0"/>
        <v>1500</v>
      </c>
      <c r="I20" s="15" t="str">
        <f t="shared" si="1"/>
        <v/>
      </c>
      <c r="J20" s="19">
        <v>1500</v>
      </c>
      <c r="K20" s="19">
        <v>0</v>
      </c>
      <c r="L20" s="19">
        <v>0</v>
      </c>
      <c r="M20" s="19">
        <v>1500</v>
      </c>
    </row>
    <row r="21" spans="1:13">
      <c r="A21" s="14" t="s">
        <v>304</v>
      </c>
      <c r="B21" s="14">
        <v>18</v>
      </c>
      <c r="C21" s="15" t="s">
        <v>171</v>
      </c>
      <c r="D21" s="14">
        <v>5101160010</v>
      </c>
      <c r="E21" s="16">
        <f>CHOOSE(MATCH($C$2,{"Offline Optimized","Offline + Online Hybrid","Online Optimized"},0),J21,K21,L21)</f>
        <v>4750</v>
      </c>
      <c r="F21" s="16">
        <f>SUMIF('ACAS Consumables Log'!$D$4:$D$2000,A21,'ACAS Consumables Log'!$F$4:$F$2000)</f>
        <v>0</v>
      </c>
      <c r="G21" s="17">
        <v>0</v>
      </c>
      <c r="H21" s="18">
        <f t="shared" si="0"/>
        <v>4750</v>
      </c>
      <c r="I21" s="15" t="str">
        <f t="shared" si="1"/>
        <v/>
      </c>
      <c r="J21" s="19">
        <v>4750</v>
      </c>
      <c r="K21" s="19">
        <v>0</v>
      </c>
      <c r="L21" s="19">
        <v>0</v>
      </c>
      <c r="M21" s="19">
        <v>0</v>
      </c>
    </row>
    <row r="22" spans="1:13">
      <c r="A22" s="14" t="s">
        <v>305</v>
      </c>
      <c r="B22" s="14">
        <v>19</v>
      </c>
      <c r="C22" s="15" t="s">
        <v>174</v>
      </c>
      <c r="D22" s="14">
        <v>5101030002</v>
      </c>
      <c r="E22" s="16">
        <f>CHOOSE(MATCH($C$2,{"Offline Optimized","Offline + Online Hybrid","Online Optimized"},0),J22,K22,L22)</f>
        <v>6500</v>
      </c>
      <c r="F22" s="16">
        <f>SUMIF('ACAS Consumables Log'!$D$4:$D$2000,A22,'ACAS Consumables Log'!$F$4:$F$2000)</f>
        <v>0</v>
      </c>
      <c r="G22" s="17">
        <v>0</v>
      </c>
      <c r="H22" s="18">
        <f t="shared" si="0"/>
        <v>6500</v>
      </c>
      <c r="I22" s="15" t="str">
        <f t="shared" si="1"/>
        <v/>
      </c>
      <c r="J22" s="19">
        <v>6500</v>
      </c>
      <c r="K22" s="19">
        <v>0</v>
      </c>
      <c r="L22" s="19">
        <v>0</v>
      </c>
      <c r="M22" s="19">
        <v>4500</v>
      </c>
    </row>
    <row r="23" spans="1:13">
      <c r="A23" s="14" t="s">
        <v>306</v>
      </c>
      <c r="B23" s="14">
        <v>20</v>
      </c>
      <c r="C23" s="15" t="s">
        <v>177</v>
      </c>
      <c r="D23" s="14">
        <v>5101170001</v>
      </c>
      <c r="E23" s="16">
        <f>CHOOSE(MATCH($C$2,{"Offline Optimized","Offline + Online Hybrid","Online Optimized"},0),J23,K23,L23)</f>
        <v>5000</v>
      </c>
      <c r="F23" s="16">
        <f>SUMIF('ACAS Consumables Log'!$D$4:$D$2000,A23,'ACAS Consumables Log'!$F$4:$F$2000)</f>
        <v>0</v>
      </c>
      <c r="G23" s="17">
        <v>0</v>
      </c>
      <c r="H23" s="18">
        <f t="shared" si="0"/>
        <v>5000</v>
      </c>
      <c r="I23" s="15" t="str">
        <f t="shared" si="1"/>
        <v/>
      </c>
      <c r="J23" s="19">
        <v>5000</v>
      </c>
      <c r="K23" s="19">
        <v>0</v>
      </c>
      <c r="L23" s="19">
        <v>0</v>
      </c>
      <c r="M23" s="19">
        <v>0</v>
      </c>
    </row>
    <row r="24" spans="1:13">
      <c r="A24" s="14" t="s">
        <v>307</v>
      </c>
      <c r="B24" s="14">
        <v>21</v>
      </c>
      <c r="C24" s="15" t="s">
        <v>180</v>
      </c>
      <c r="D24" s="14">
        <v>5101160010</v>
      </c>
      <c r="E24" s="16">
        <f>CHOOSE(MATCH($C$2,{"Offline Optimized","Offline + Online Hybrid","Online Optimized"},0),J24,K24,L24)</f>
        <v>1500</v>
      </c>
      <c r="F24" s="16">
        <f>SUMIF('ACAS Consumables Log'!$D$4:$D$2000,A24,'ACAS Consumables Log'!$F$4:$F$2000)</f>
        <v>0</v>
      </c>
      <c r="G24" s="17">
        <v>0</v>
      </c>
      <c r="H24" s="18">
        <f t="shared" si="0"/>
        <v>1500</v>
      </c>
      <c r="I24" s="15" t="str">
        <f t="shared" si="1"/>
        <v/>
      </c>
      <c r="J24" s="19">
        <v>1500</v>
      </c>
      <c r="K24" s="19">
        <v>0</v>
      </c>
      <c r="L24" s="19">
        <v>0</v>
      </c>
      <c r="M24" s="19">
        <v>1500</v>
      </c>
    </row>
    <row r="25" spans="1:13">
      <c r="A25" s="14" t="s">
        <v>308</v>
      </c>
      <c r="B25" s="14">
        <v>22</v>
      </c>
      <c r="C25" s="15" t="s">
        <v>183</v>
      </c>
      <c r="D25" s="14">
        <v>5101160010</v>
      </c>
      <c r="E25" s="16">
        <f>CHOOSE(MATCH($C$2,{"Offline Optimized","Offline + Online Hybrid","Online Optimized"},0),J25,K25,L25)</f>
        <v>2400</v>
      </c>
      <c r="F25" s="16">
        <f>SUMIF('ACAS Consumables Log'!$D$4:$D$2000,A25,'ACAS Consumables Log'!$F$4:$F$2000)</f>
        <v>361.21199999999999</v>
      </c>
      <c r="G25" s="17">
        <v>0</v>
      </c>
      <c r="H25" s="18">
        <f t="shared" si="0"/>
        <v>2038.788</v>
      </c>
      <c r="I25" s="15" t="str">
        <f t="shared" si="1"/>
        <v>███</v>
      </c>
      <c r="J25" s="19">
        <v>2400</v>
      </c>
      <c r="K25" s="19">
        <v>0</v>
      </c>
      <c r="L25" s="19">
        <v>0</v>
      </c>
      <c r="M25" s="19">
        <v>1200</v>
      </c>
    </row>
    <row r="26" spans="1:13">
      <c r="A26" s="14" t="s">
        <v>309</v>
      </c>
      <c r="B26" s="14">
        <v>23</v>
      </c>
      <c r="C26" s="15" t="s">
        <v>186</v>
      </c>
      <c r="D26" s="14">
        <v>5101160010</v>
      </c>
      <c r="E26" s="16">
        <f>CHOOSE(MATCH($C$2,{"Offline Optimized","Offline + Online Hybrid","Online Optimized"},0),J26,K26,L26)</f>
        <v>2500</v>
      </c>
      <c r="F26" s="16">
        <f>SUMIF('ACAS Consumables Log'!$D$4:$D$2000,A26,'ACAS Consumables Log'!$F$4:$F$2000)</f>
        <v>0</v>
      </c>
      <c r="G26" s="17">
        <v>0</v>
      </c>
      <c r="H26" s="18">
        <f t="shared" si="0"/>
        <v>2500</v>
      </c>
      <c r="I26" s="15" t="str">
        <f t="shared" si="1"/>
        <v/>
      </c>
      <c r="J26" s="19">
        <v>2500</v>
      </c>
      <c r="K26" s="19">
        <v>0</v>
      </c>
      <c r="L26" s="19">
        <v>0</v>
      </c>
      <c r="M26" s="19">
        <v>2500</v>
      </c>
    </row>
    <row r="27" spans="1:13">
      <c r="A27" s="14" t="s">
        <v>310</v>
      </c>
      <c r="B27" s="14">
        <v>24</v>
      </c>
      <c r="C27" s="15" t="s">
        <v>189</v>
      </c>
      <c r="D27" s="14">
        <v>5101170001</v>
      </c>
      <c r="E27" s="16">
        <f>CHOOSE(MATCH($C$2,{"Offline Optimized","Offline + Online Hybrid","Online Optimized"},0),J27,K27,L27)</f>
        <v>0</v>
      </c>
      <c r="F27" s="16">
        <f>SUMIF('ACAS Consumables Log'!$D$4:$D$2000,A27,'ACAS Consumables Log'!$F$4:$F$2000)</f>
        <v>0</v>
      </c>
      <c r="G27" s="17">
        <v>0</v>
      </c>
      <c r="H27" s="18">
        <f t="shared" si="0"/>
        <v>0</v>
      </c>
      <c r="I27" s="15" t="str">
        <f t="shared" si="1"/>
        <v/>
      </c>
      <c r="J27" s="19">
        <v>0</v>
      </c>
      <c r="K27" s="19">
        <v>0</v>
      </c>
      <c r="L27" s="19">
        <v>0</v>
      </c>
      <c r="M27" s="19">
        <v>0</v>
      </c>
    </row>
    <row r="28" spans="1:13">
      <c r="A28" s="14" t="s">
        <v>311</v>
      </c>
      <c r="B28" s="14">
        <v>25</v>
      </c>
      <c r="C28" s="15" t="s">
        <v>192</v>
      </c>
      <c r="D28" s="14">
        <v>5101170001</v>
      </c>
      <c r="E28" s="16">
        <f>CHOOSE(MATCH($C$2,{"Offline Optimized","Offline + Online Hybrid","Online Optimized"},0),J28,K28,L28)</f>
        <v>18000</v>
      </c>
      <c r="F28" s="16">
        <f>SUMIF('ACAS Consumables Log'!$D$4:$D$2000,A28,'ACAS Consumables Log'!$F$4:$F$2000)</f>
        <v>0</v>
      </c>
      <c r="G28" s="17">
        <v>0</v>
      </c>
      <c r="H28" s="18">
        <f t="shared" si="0"/>
        <v>18000</v>
      </c>
      <c r="I28" s="15" t="str">
        <f t="shared" si="1"/>
        <v/>
      </c>
      <c r="J28" s="19">
        <v>18000</v>
      </c>
      <c r="K28" s="19">
        <v>0</v>
      </c>
      <c r="L28" s="19">
        <v>0</v>
      </c>
      <c r="M28" s="19">
        <v>16000</v>
      </c>
    </row>
    <row r="29" spans="1:13">
      <c r="A29" s="14" t="s">
        <v>312</v>
      </c>
      <c r="B29" s="14">
        <v>26</v>
      </c>
      <c r="C29" s="15" t="s">
        <v>195</v>
      </c>
      <c r="D29" s="14">
        <v>5101170001</v>
      </c>
      <c r="E29" s="16">
        <f>CHOOSE(MATCH($C$2,{"Offline Optimized","Offline + Online Hybrid","Online Optimized"},0),J29,K29,L29)</f>
        <v>0</v>
      </c>
      <c r="F29" s="16">
        <f>SUMIF('ACAS Consumables Log'!$D$4:$D$2000,A29,'ACAS Consumables Log'!$F$4:$F$2000)</f>
        <v>0</v>
      </c>
      <c r="G29" s="17">
        <v>0</v>
      </c>
      <c r="H29" s="18">
        <f t="shared" si="0"/>
        <v>0</v>
      </c>
      <c r="I29" s="15" t="str">
        <f t="shared" si="1"/>
        <v/>
      </c>
      <c r="J29" s="19">
        <v>0</v>
      </c>
      <c r="K29" s="19">
        <v>0</v>
      </c>
      <c r="L29" s="19">
        <v>0</v>
      </c>
      <c r="M29" s="19">
        <v>0</v>
      </c>
    </row>
    <row r="30" spans="1:13">
      <c r="A30" s="14" t="s">
        <v>313</v>
      </c>
      <c r="B30" s="14">
        <v>27</v>
      </c>
      <c r="C30" s="15" t="s">
        <v>314</v>
      </c>
      <c r="D30" s="14">
        <v>5101170001</v>
      </c>
      <c r="E30" s="16">
        <f>CHOOSE(MATCH($C$2,{"Offline Optimized","Offline + Online Hybrid","Online Optimized"},0),J30,K30,L30)</f>
        <v>0</v>
      </c>
      <c r="F30" s="16">
        <f>SUMIF('ACAS Consumables Log'!$D$4:$D$2000,A30,'ACAS Consumables Log'!$F$4:$F$2000)</f>
        <v>0</v>
      </c>
      <c r="G30" s="17">
        <v>0</v>
      </c>
      <c r="H30" s="18">
        <f t="shared" si="0"/>
        <v>0</v>
      </c>
      <c r="I30" s="15" t="str">
        <f t="shared" si="1"/>
        <v/>
      </c>
      <c r="J30" s="19">
        <v>0</v>
      </c>
      <c r="K30" s="19">
        <v>0</v>
      </c>
      <c r="L30" s="19">
        <v>0</v>
      </c>
      <c r="M30" s="19">
        <v>0</v>
      </c>
    </row>
    <row r="31" spans="1:13">
      <c r="A31" s="14" t="s">
        <v>315</v>
      </c>
      <c r="B31" s="14">
        <v>28</v>
      </c>
      <c r="C31" s="15" t="s">
        <v>201</v>
      </c>
      <c r="D31" s="14">
        <v>5101170001</v>
      </c>
      <c r="E31" s="16">
        <f>CHOOSE(MATCH($C$2,{"Offline Optimized","Offline + Online Hybrid","Online Optimized"},0),J31,K31,L31)</f>
        <v>0</v>
      </c>
      <c r="F31" s="16">
        <f>SUMIF('ACAS Consumables Log'!$D$4:$D$2000,A31,'ACAS Consumables Log'!$F$4:$F$2000)</f>
        <v>0</v>
      </c>
      <c r="G31" s="17">
        <v>0</v>
      </c>
      <c r="H31" s="18">
        <f t="shared" si="0"/>
        <v>0</v>
      </c>
      <c r="I31" s="15" t="str">
        <f t="shared" si="1"/>
        <v/>
      </c>
      <c r="J31" s="19">
        <v>0</v>
      </c>
      <c r="K31" s="19">
        <v>0</v>
      </c>
      <c r="L31" s="19">
        <v>0</v>
      </c>
      <c r="M31" s="19">
        <v>0</v>
      </c>
    </row>
    <row r="32" spans="1:13">
      <c r="A32" s="14" t="s">
        <v>316</v>
      </c>
      <c r="B32" s="14">
        <v>29</v>
      </c>
      <c r="C32" s="15" t="s">
        <v>317</v>
      </c>
      <c r="D32" s="14">
        <v>5101170001</v>
      </c>
      <c r="E32" s="16">
        <f>CHOOSE(MATCH($C$2,{"Offline Optimized","Offline + Online Hybrid","Online Optimized"},0),J32,K32,L32)</f>
        <v>19000</v>
      </c>
      <c r="F32" s="16">
        <f>SUMIF('ACAS Consumables Log'!$D$4:$D$2000,A32,'ACAS Consumables Log'!$F$4:$F$2000)</f>
        <v>0</v>
      </c>
      <c r="G32" s="17">
        <v>0</v>
      </c>
      <c r="H32" s="18">
        <f t="shared" si="0"/>
        <v>19000</v>
      </c>
      <c r="I32" s="15" t="str">
        <f t="shared" si="1"/>
        <v/>
      </c>
      <c r="J32" s="19">
        <v>19000</v>
      </c>
      <c r="K32" s="19">
        <v>0</v>
      </c>
      <c r="L32" s="19">
        <v>0</v>
      </c>
      <c r="M32" s="19">
        <v>17200</v>
      </c>
    </row>
    <row r="33" spans="1:13">
      <c r="A33" s="14" t="s">
        <v>318</v>
      </c>
      <c r="B33" s="14">
        <v>30</v>
      </c>
      <c r="C33" s="15" t="s">
        <v>207</v>
      </c>
      <c r="D33" s="14">
        <v>5101170001</v>
      </c>
      <c r="E33" s="16">
        <f>CHOOSE(MATCH($C$2,{"Offline Optimized","Offline + Online Hybrid","Online Optimized"},0),J33,K33,L33)</f>
        <v>6000</v>
      </c>
      <c r="F33" s="16">
        <f>SUMIF('ACAS Consumables Log'!$D$4:$D$2000,A33,'ACAS Consumables Log'!$F$4:$F$2000)</f>
        <v>0</v>
      </c>
      <c r="G33" s="17">
        <v>0</v>
      </c>
      <c r="H33" s="18">
        <f t="shared" si="0"/>
        <v>6000</v>
      </c>
      <c r="I33" s="15" t="str">
        <f t="shared" si="1"/>
        <v/>
      </c>
      <c r="J33" s="19">
        <v>6000</v>
      </c>
      <c r="K33" s="19">
        <v>0</v>
      </c>
      <c r="L33" s="19">
        <v>0</v>
      </c>
      <c r="M33" s="19">
        <v>14000</v>
      </c>
    </row>
    <row r="34" spans="1:13">
      <c r="A34" s="14" t="s">
        <v>319</v>
      </c>
      <c r="B34" s="14">
        <v>31</v>
      </c>
      <c r="C34" s="15" t="s">
        <v>320</v>
      </c>
      <c r="D34" s="14">
        <v>5101170001</v>
      </c>
      <c r="E34" s="16">
        <f>CHOOSE(MATCH($C$2,{"Offline Optimized","Offline + Online Hybrid","Online Optimized"},0),J34,K34,L34)</f>
        <v>7000</v>
      </c>
      <c r="F34" s="16">
        <f>SUMIF('ACAS Consumables Log'!$D$4:$D$2000,A34,'ACAS Consumables Log'!$F$4:$F$2000)</f>
        <v>0</v>
      </c>
      <c r="G34" s="17">
        <v>0</v>
      </c>
      <c r="H34" s="18">
        <f t="shared" si="0"/>
        <v>7000</v>
      </c>
      <c r="I34" s="15" t="str">
        <f t="shared" si="1"/>
        <v/>
      </c>
      <c r="J34" s="19">
        <v>7000</v>
      </c>
      <c r="K34" s="19">
        <v>0</v>
      </c>
      <c r="L34" s="19">
        <v>0</v>
      </c>
      <c r="M34" s="19">
        <v>6000</v>
      </c>
    </row>
    <row r="35" spans="1:13">
      <c r="A35" s="14" t="s">
        <v>321</v>
      </c>
      <c r="B35" s="14">
        <v>32</v>
      </c>
      <c r="C35" s="15" t="s">
        <v>213</v>
      </c>
      <c r="D35" s="14">
        <v>5101170001</v>
      </c>
      <c r="E35" s="16">
        <f>CHOOSE(MATCH($C$2,{"Offline Optimized","Offline + Online Hybrid","Online Optimized"},0),J35,K35,L35)</f>
        <v>2000</v>
      </c>
      <c r="F35" s="16">
        <f>SUMIF('ACAS Consumables Log'!$D$4:$D$2000,A35,'ACAS Consumables Log'!$F$4:$F$2000)</f>
        <v>0</v>
      </c>
      <c r="G35" s="17">
        <v>0</v>
      </c>
      <c r="H35" s="18">
        <f t="shared" si="0"/>
        <v>2000</v>
      </c>
      <c r="I35" s="15" t="str">
        <f t="shared" si="1"/>
        <v/>
      </c>
      <c r="J35" s="19">
        <v>2000</v>
      </c>
      <c r="K35" s="19">
        <v>0</v>
      </c>
      <c r="L35" s="19">
        <v>0</v>
      </c>
      <c r="M35" s="19">
        <v>2000</v>
      </c>
    </row>
    <row r="36" spans="1:13">
      <c r="A36" s="14" t="s">
        <v>322</v>
      </c>
      <c r="B36" s="14">
        <v>33</v>
      </c>
      <c r="C36" s="15" t="s">
        <v>216</v>
      </c>
      <c r="D36" s="14">
        <v>5101160010</v>
      </c>
      <c r="E36" s="16">
        <f>CHOOSE(MATCH($C$2,{"Offline Optimized","Offline + Online Hybrid","Online Optimized"},0),J36,K36,L36)</f>
        <v>7000</v>
      </c>
      <c r="F36" s="16">
        <f>SUMIF('ACAS Consumables Log'!$D$4:$D$2000,A36,'ACAS Consumables Log'!$F$4:$F$2000)</f>
        <v>0</v>
      </c>
      <c r="G36" s="17">
        <v>0</v>
      </c>
      <c r="H36" s="18">
        <f t="shared" si="0"/>
        <v>7000</v>
      </c>
      <c r="I36" s="15" t="str">
        <f t="shared" si="1"/>
        <v/>
      </c>
      <c r="J36" s="19">
        <v>7000</v>
      </c>
      <c r="K36" s="19">
        <v>0</v>
      </c>
      <c r="L36" s="19">
        <v>0</v>
      </c>
      <c r="M36" s="19">
        <v>5000</v>
      </c>
    </row>
    <row r="37" spans="1:13">
      <c r="A37" s="14" t="s">
        <v>323</v>
      </c>
      <c r="B37" s="14">
        <v>34</v>
      </c>
      <c r="C37" s="15" t="s">
        <v>219</v>
      </c>
      <c r="D37" s="14">
        <v>5101130003</v>
      </c>
      <c r="E37" s="16">
        <f>CHOOSE(MATCH($C$2,{"Offline Optimized","Offline + Online Hybrid","Online Optimized"},0),J37,K37,L37)</f>
        <v>7500</v>
      </c>
      <c r="F37" s="16">
        <f>SUMIF('ACAS Consumables Log'!$D$4:$D$2000,A37,'ACAS Consumables Log'!$F$4:$F$2000)</f>
        <v>0</v>
      </c>
      <c r="G37" s="17">
        <v>0</v>
      </c>
      <c r="H37" s="18">
        <f t="shared" si="0"/>
        <v>7500</v>
      </c>
      <c r="I37" s="15" t="str">
        <f t="shared" si="1"/>
        <v/>
      </c>
      <c r="J37" s="19">
        <v>7500</v>
      </c>
      <c r="K37" s="19">
        <v>0</v>
      </c>
      <c r="L37" s="19">
        <v>0</v>
      </c>
      <c r="M37" s="19">
        <v>7000</v>
      </c>
    </row>
    <row r="38" spans="1:13">
      <c r="A38" s="14" t="s">
        <v>324</v>
      </c>
      <c r="B38" s="14">
        <v>35</v>
      </c>
      <c r="C38" s="15" t="s">
        <v>325</v>
      </c>
      <c r="D38" s="14">
        <v>5101160003</v>
      </c>
      <c r="E38" s="16">
        <f>CHOOSE(MATCH($C$2,{"Offline Optimized","Offline + Online Hybrid","Online Optimized"},0),J38,K38,L38)</f>
        <v>2000</v>
      </c>
      <c r="F38" s="16">
        <f>SUMIF('ACAS Consumables Log'!$D$4:$D$2000,A38,'ACAS Consumables Log'!$F$4:$F$2000)</f>
        <v>0</v>
      </c>
      <c r="G38" s="17">
        <v>0</v>
      </c>
      <c r="H38" s="18">
        <f t="shared" si="0"/>
        <v>2000</v>
      </c>
      <c r="I38" s="15" t="str">
        <f t="shared" si="1"/>
        <v/>
      </c>
      <c r="J38" s="19">
        <v>2000</v>
      </c>
      <c r="K38" s="19">
        <v>0</v>
      </c>
      <c r="L38" s="19">
        <v>0</v>
      </c>
      <c r="M38" s="19">
        <v>2000</v>
      </c>
    </row>
    <row r="39" spans="1:13">
      <c r="A39" s="14" t="s">
        <v>326</v>
      </c>
      <c r="B39" s="14">
        <v>36</v>
      </c>
      <c r="C39" s="15" t="s">
        <v>225</v>
      </c>
      <c r="D39" s="14">
        <v>5101160003</v>
      </c>
      <c r="E39" s="16">
        <f>CHOOSE(MATCH($C$2,{"Offline Optimized","Offline + Online Hybrid","Online Optimized"},0),J39,K39,L39)</f>
        <v>250</v>
      </c>
      <c r="F39" s="16">
        <f>SUMIF('ACAS Consumables Log'!$D$4:$D$2000,A39,'ACAS Consumables Log'!$F$4:$F$2000)</f>
        <v>0</v>
      </c>
      <c r="G39" s="17">
        <v>0</v>
      </c>
      <c r="H39" s="18">
        <f t="shared" si="0"/>
        <v>250</v>
      </c>
      <c r="I39" s="15" t="str">
        <f t="shared" si="1"/>
        <v/>
      </c>
      <c r="J39" s="19">
        <v>250</v>
      </c>
      <c r="K39" s="19">
        <v>0</v>
      </c>
      <c r="L39" s="19">
        <v>0</v>
      </c>
      <c r="M39" s="19">
        <v>1000</v>
      </c>
    </row>
    <row r="40" spans="1:13">
      <c r="A40" s="14" t="s">
        <v>327</v>
      </c>
      <c r="B40" s="14">
        <v>37</v>
      </c>
      <c r="C40" s="15" t="s">
        <v>228</v>
      </c>
      <c r="D40" s="14">
        <v>5101130003</v>
      </c>
      <c r="E40" s="16">
        <f>CHOOSE(MATCH($C$2,{"Offline Optimized","Offline + Online Hybrid","Online Optimized"},0),J40,K40,L40)</f>
        <v>5000</v>
      </c>
      <c r="F40" s="16">
        <f>SUMIF('ACAS Consumables Log'!$D$4:$D$2000,A40,'ACAS Consumables Log'!$F$4:$F$2000)</f>
        <v>0</v>
      </c>
      <c r="G40" s="17">
        <v>0</v>
      </c>
      <c r="H40" s="18">
        <f t="shared" si="0"/>
        <v>5000</v>
      </c>
      <c r="I40" s="15" t="str">
        <f t="shared" si="1"/>
        <v/>
      </c>
      <c r="J40" s="19">
        <v>5000</v>
      </c>
      <c r="K40" s="19">
        <v>0</v>
      </c>
      <c r="L40" s="19">
        <v>0</v>
      </c>
      <c r="M40" s="19">
        <v>5000</v>
      </c>
    </row>
    <row r="41" spans="1:13">
      <c r="A41" s="14" t="s">
        <v>328</v>
      </c>
      <c r="B41" s="14">
        <v>38</v>
      </c>
      <c r="C41" s="15" t="s">
        <v>231</v>
      </c>
      <c r="D41" s="14">
        <v>5101130003</v>
      </c>
      <c r="E41" s="16">
        <f>CHOOSE(MATCH($C$2,{"Offline Optimized","Offline + Online Hybrid","Online Optimized"},0),J41,K41,L41)</f>
        <v>0</v>
      </c>
      <c r="F41" s="16">
        <f>SUMIF('ACAS Consumables Log'!$D$4:$D$2000,A41,'ACAS Consumables Log'!$F$4:$F$2000)</f>
        <v>0</v>
      </c>
      <c r="G41" s="17">
        <v>0</v>
      </c>
      <c r="H41" s="18">
        <f t="shared" si="0"/>
        <v>0</v>
      </c>
      <c r="I41" s="15" t="str">
        <f t="shared" si="1"/>
        <v/>
      </c>
      <c r="J41" s="19">
        <v>0</v>
      </c>
      <c r="K41" s="19">
        <v>0</v>
      </c>
      <c r="L41" s="19">
        <v>0</v>
      </c>
      <c r="M41" s="19">
        <v>0</v>
      </c>
    </row>
    <row r="42" spans="1:13">
      <c r="A42" s="8"/>
      <c r="B42" s="8"/>
      <c r="C42" s="7" t="s">
        <v>329</v>
      </c>
      <c r="D42" s="8"/>
      <c r="E42" s="9">
        <f>SUM(E4:E41)</f>
        <v>146540</v>
      </c>
      <c r="F42" s="9">
        <f>SUM(F4:F41)</f>
        <v>7361.2119999999995</v>
      </c>
      <c r="G42" s="9">
        <f>SUM(G4:G41)</f>
        <v>0</v>
      </c>
      <c r="H42" s="9">
        <f t="shared" si="0"/>
        <v>139178.788</v>
      </c>
      <c r="I42" s="7" t="str">
        <f t="shared" si="1"/>
        <v>█</v>
      </c>
      <c r="M42">
        <f>SUM(M4:M41)</f>
        <v>132220</v>
      </c>
    </row>
  </sheetData>
  <mergeCells count="2">
    <mergeCell ref="A1:I1"/>
    <mergeCell ref="E2:I2"/>
  </mergeCells>
  <conditionalFormatting sqref="I4:I42">
    <cfRule type="expression" dxfId="8" priority="2">
      <formula>IFERROR($F4/($E4+$G4),0)&gt;0.75</formula>
    </cfRule>
    <cfRule type="expression" dxfId="7" priority="3">
      <formula>AND(IFERROR($F4/($E4+$G4),0)&gt;0.5,IFERROR($F4/($E4+$G4),0)&lt;=0.75)</formula>
    </cfRule>
    <cfRule type="expression" dxfId="6" priority="4">
      <formula>IFERROR($F4/($E4+$G4),0)&gt;0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02"/>
  <sheetViews>
    <sheetView zoomScaleNormal="100" workbookViewId="0">
      <pane ySplit="3" topLeftCell="A4" activePane="bottomLeft" state="frozen"/>
      <selection pane="bottomLeft" activeCell="G5" sqref="G5"/>
    </sheetView>
  </sheetViews>
  <sheetFormatPr defaultColWidth="8.7109375" defaultRowHeight="15"/>
  <cols>
    <col min="1" max="1" width="12" customWidth="1"/>
    <col min="2" max="2" width="14" style="29" customWidth="1"/>
    <col min="3" max="3" width="34" customWidth="1"/>
    <col min="4" max="4" width="16" style="29" customWidth="1"/>
    <col min="5" max="5" width="13" customWidth="1"/>
    <col min="6" max="6" width="11" customWidth="1"/>
    <col min="7" max="7" width="13" customWidth="1"/>
    <col min="8" max="8" width="26" customWidth="1"/>
    <col min="10" max="10" width="13" hidden="1" customWidth="1"/>
  </cols>
  <sheetData>
    <row r="1" spans="1:10" ht="16.5">
      <c r="A1" s="36" t="s">
        <v>330</v>
      </c>
      <c r="B1" s="36"/>
      <c r="C1" s="36"/>
      <c r="D1" s="36"/>
      <c r="E1" s="36"/>
      <c r="F1" s="36"/>
      <c r="G1" s="36"/>
      <c r="H1" s="36"/>
      <c r="J1" s="20" t="s">
        <v>100</v>
      </c>
    </row>
    <row r="2" spans="1:10">
      <c r="A2" s="34" t="s">
        <v>331</v>
      </c>
      <c r="B2" s="34"/>
      <c r="C2" s="34"/>
      <c r="D2" s="34"/>
      <c r="E2" s="34"/>
      <c r="F2" s="34"/>
      <c r="G2" s="34"/>
      <c r="H2" s="34"/>
      <c r="J2" t="s">
        <v>281</v>
      </c>
    </row>
    <row r="3" spans="1:10" ht="24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J3" t="s">
        <v>282</v>
      </c>
    </row>
    <row r="4" spans="1:10">
      <c r="A4" s="21">
        <v>46195</v>
      </c>
      <c r="B4" s="28" t="s">
        <v>235</v>
      </c>
      <c r="C4" s="22" t="s">
        <v>332</v>
      </c>
      <c r="D4" s="28" t="s">
        <v>288</v>
      </c>
      <c r="E4" s="23">
        <f>IF($D4="","",IFERROR(VLOOKUP($D4,'ACAS Consumables Tracker'!$A:$H,8,FALSE()),""))</f>
        <v>0</v>
      </c>
      <c r="F4" s="24">
        <v>7000</v>
      </c>
      <c r="G4" s="25">
        <f>IF($D4="","",IFERROR(VLOOKUP($D4,'ACAS Consumables Tracker'!$A:$D,4,FALSE()),""))</f>
        <v>5101200002</v>
      </c>
      <c r="H4" s="22"/>
      <c r="J4" t="s">
        <v>283</v>
      </c>
    </row>
    <row r="5" spans="1:10">
      <c r="A5" s="21">
        <v>46218</v>
      </c>
      <c r="B5" s="28">
        <v>7451</v>
      </c>
      <c r="C5" s="22" t="s">
        <v>183</v>
      </c>
      <c r="D5" s="28" t="s">
        <v>308</v>
      </c>
      <c r="E5" s="23">
        <f>IF($D5="","",IFERROR(VLOOKUP($D5,'ACAS Consumables Tracker'!$A:$H,8,FALSE()),""))</f>
        <v>2038.788</v>
      </c>
      <c r="F5" s="24">
        <f>+(2913*0.31)*0.4</f>
        <v>361.21199999999999</v>
      </c>
      <c r="G5" s="25">
        <f>IF($D5="","",IFERROR(VLOOKUP($D5,'ACAS Consumables Tracker'!$A:$D,4,FALSE()),""))</f>
        <v>5101160010</v>
      </c>
      <c r="H5" s="22"/>
      <c r="J5" t="s">
        <v>284</v>
      </c>
    </row>
    <row r="6" spans="1:10">
      <c r="A6" s="21"/>
      <c r="B6" s="28"/>
      <c r="C6" s="22"/>
      <c r="D6" s="28"/>
      <c r="E6" s="23" t="str">
        <f>IF($D6="","",IFERROR(VLOOKUP($D6,'ACAS Consumables Tracker'!$A:$H,8,FALSE()),""))</f>
        <v/>
      </c>
      <c r="F6" s="24"/>
      <c r="G6" s="25" t="str">
        <f>IF($D6="","",IFERROR(VLOOKUP($D6,'ACAS Consumables Tracker'!$A:$D,4,FALSE()),""))</f>
        <v/>
      </c>
      <c r="H6" s="22"/>
      <c r="J6" t="s">
        <v>285</v>
      </c>
    </row>
    <row r="7" spans="1:10">
      <c r="A7" s="21"/>
      <c r="B7" s="28"/>
      <c r="C7" s="22"/>
      <c r="D7" s="28"/>
      <c r="E7" s="23" t="str">
        <f>IF($D7="","",IFERROR(VLOOKUP($D7,'ACAS Consumables Tracker'!$A:$H,8,FALSE()),""))</f>
        <v/>
      </c>
      <c r="F7" s="24"/>
      <c r="G7" s="25" t="str">
        <f>IF($D7="","",IFERROR(VLOOKUP($D7,'ACAS Consumables Tracker'!$A:$D,4,FALSE()),""))</f>
        <v/>
      </c>
      <c r="H7" s="22"/>
      <c r="J7" t="s">
        <v>287</v>
      </c>
    </row>
    <row r="8" spans="1:10">
      <c r="A8" s="21"/>
      <c r="B8" s="28"/>
      <c r="C8" s="22"/>
      <c r="D8" s="28"/>
      <c r="E8" s="23" t="str">
        <f>IF($D8="","",IFERROR(VLOOKUP($D8,'ACAS Consumables Tracker'!$A:$H,8,FALSE()),""))</f>
        <v/>
      </c>
      <c r="F8" s="24"/>
      <c r="G8" s="25" t="str">
        <f>IF($D8="","",IFERROR(VLOOKUP($D8,'ACAS Consumables Tracker'!$A:$D,4,FALSE()),""))</f>
        <v/>
      </c>
      <c r="H8" s="22"/>
      <c r="J8" t="s">
        <v>288</v>
      </c>
    </row>
    <row r="9" spans="1:10">
      <c r="A9" s="21"/>
      <c r="B9" s="28"/>
      <c r="C9" s="22"/>
      <c r="D9" s="28"/>
      <c r="E9" s="23" t="str">
        <f>IF($D9="","",IFERROR(VLOOKUP($D9,'ACAS Consumables Tracker'!$A:$H,8,FALSE()),""))</f>
        <v/>
      </c>
      <c r="F9" s="24"/>
      <c r="G9" s="25" t="str">
        <f>IF($D9="","",IFERROR(VLOOKUP($D9,'ACAS Consumables Tracker'!$A:$D,4,FALSE()),""))</f>
        <v/>
      </c>
      <c r="H9" s="22"/>
      <c r="J9" t="s">
        <v>289</v>
      </c>
    </row>
    <row r="10" spans="1:10">
      <c r="A10" s="21"/>
      <c r="B10" s="28"/>
      <c r="C10" s="22"/>
      <c r="D10" s="28"/>
      <c r="E10" s="23" t="str">
        <f>IF($D10="","",IFERROR(VLOOKUP($D10,'ACAS Consumables Tracker'!$A:$H,8,FALSE()),""))</f>
        <v/>
      </c>
      <c r="F10" s="24"/>
      <c r="G10" s="25" t="str">
        <f>IF($D10="","",IFERROR(VLOOKUP($D10,'ACAS Consumables Tracker'!$A:$D,4,FALSE()),""))</f>
        <v/>
      </c>
      <c r="H10" s="22"/>
      <c r="J10" t="s">
        <v>291</v>
      </c>
    </row>
    <row r="11" spans="1:10">
      <c r="A11" s="21"/>
      <c r="B11" s="28"/>
      <c r="C11" s="22"/>
      <c r="D11" s="28"/>
      <c r="E11" s="23" t="str">
        <f>IF($D11="","",IFERROR(VLOOKUP($D11,'ACAS Consumables Tracker'!$A:$H,8,FALSE()),""))</f>
        <v/>
      </c>
      <c r="F11" s="24"/>
      <c r="G11" s="25" t="str">
        <f>IF($D11="","",IFERROR(VLOOKUP($D11,'ACAS Consumables Tracker'!$A:$D,4,FALSE()),""))</f>
        <v/>
      </c>
      <c r="H11" s="22"/>
      <c r="J11" t="s">
        <v>293</v>
      </c>
    </row>
    <row r="12" spans="1:10">
      <c r="A12" s="21"/>
      <c r="B12" s="28"/>
      <c r="C12" s="22"/>
      <c r="D12" s="28"/>
      <c r="E12" s="23" t="str">
        <f>IF($D12="","",IFERROR(VLOOKUP($D12,'ACAS Consumables Tracker'!$A:$H,8,FALSE()),""))</f>
        <v/>
      </c>
      <c r="F12" s="24"/>
      <c r="G12" s="25" t="str">
        <f>IF($D12="","",IFERROR(VLOOKUP($D12,'ACAS Consumables Tracker'!$A:$D,4,FALSE()),""))</f>
        <v/>
      </c>
      <c r="H12" s="22"/>
      <c r="J12" t="s">
        <v>294</v>
      </c>
    </row>
    <row r="13" spans="1:10">
      <c r="A13" s="21"/>
      <c r="B13" s="28"/>
      <c r="C13" s="22"/>
      <c r="D13" s="28"/>
      <c r="E13" s="23" t="str">
        <f>IF($D13="","",IFERROR(VLOOKUP($D13,'ACAS Consumables Tracker'!$A:$H,8,FALSE()),""))</f>
        <v/>
      </c>
      <c r="F13" s="24"/>
      <c r="G13" s="25" t="str">
        <f>IF($D13="","",IFERROR(VLOOKUP($D13,'ACAS Consumables Tracker'!$A:$D,4,FALSE()),""))</f>
        <v/>
      </c>
      <c r="H13" s="22"/>
      <c r="J13" t="s">
        <v>295</v>
      </c>
    </row>
    <row r="14" spans="1:10">
      <c r="A14" s="21"/>
      <c r="B14" s="28"/>
      <c r="C14" s="22"/>
      <c r="D14" s="28"/>
      <c r="E14" s="23" t="str">
        <f>IF($D14="","",IFERROR(VLOOKUP($D14,'ACAS Consumables Tracker'!$A:$H,8,FALSE()),""))</f>
        <v/>
      </c>
      <c r="F14" s="24"/>
      <c r="G14" s="25" t="str">
        <f>IF($D14="","",IFERROR(VLOOKUP($D14,'ACAS Consumables Tracker'!$A:$D,4,FALSE()),""))</f>
        <v/>
      </c>
      <c r="H14" s="22"/>
      <c r="J14" t="s">
        <v>297</v>
      </c>
    </row>
    <row r="15" spans="1:10">
      <c r="A15" s="21"/>
      <c r="B15" s="28"/>
      <c r="C15" s="22"/>
      <c r="D15" s="28"/>
      <c r="E15" s="23" t="str">
        <f>IF($D15="","",IFERROR(VLOOKUP($D15,'ACAS Consumables Tracker'!$A:$H,8,FALSE()),""))</f>
        <v/>
      </c>
      <c r="F15" s="24"/>
      <c r="G15" s="25" t="str">
        <f>IF($D15="","",IFERROR(VLOOKUP($D15,'ACAS Consumables Tracker'!$A:$D,4,FALSE()),""))</f>
        <v/>
      </c>
      <c r="H15" s="22"/>
      <c r="J15" t="s">
        <v>299</v>
      </c>
    </row>
    <row r="16" spans="1:10">
      <c r="A16" s="21"/>
      <c r="B16" s="28"/>
      <c r="C16" s="22"/>
      <c r="D16" s="28"/>
      <c r="E16" s="23" t="str">
        <f>IF($D16="","",IFERROR(VLOOKUP($D16,'ACAS Consumables Tracker'!$A:$H,8,FALSE()),""))</f>
        <v/>
      </c>
      <c r="F16" s="24"/>
      <c r="G16" s="25" t="str">
        <f>IF($D16="","",IFERROR(VLOOKUP($D16,'ACAS Consumables Tracker'!$A:$D,4,FALSE()),""))</f>
        <v/>
      </c>
      <c r="H16" s="22"/>
      <c r="J16" t="s">
        <v>301</v>
      </c>
    </row>
    <row r="17" spans="1:10">
      <c r="A17" s="21"/>
      <c r="B17" s="28"/>
      <c r="C17" s="22"/>
      <c r="D17" s="28"/>
      <c r="E17" s="23" t="str">
        <f>IF($D17="","",IFERROR(VLOOKUP($D17,'ACAS Consumables Tracker'!$A:$H,8,FALSE()),""))</f>
        <v/>
      </c>
      <c r="F17" s="24"/>
      <c r="G17" s="25" t="str">
        <f>IF($D17="","",IFERROR(VLOOKUP($D17,'ACAS Consumables Tracker'!$A:$D,4,FALSE()),""))</f>
        <v/>
      </c>
      <c r="H17" s="22"/>
      <c r="J17" t="s">
        <v>302</v>
      </c>
    </row>
    <row r="18" spans="1:10">
      <c r="A18" s="21"/>
      <c r="B18" s="28"/>
      <c r="C18" s="22"/>
      <c r="D18" s="28"/>
      <c r="E18" s="23" t="str">
        <f>IF($D18="","",IFERROR(VLOOKUP($D18,'ACAS Consumables Tracker'!$A:$H,8,FALSE()),""))</f>
        <v/>
      </c>
      <c r="F18" s="24"/>
      <c r="G18" s="25" t="str">
        <f>IF($D18="","",IFERROR(VLOOKUP($D18,'ACAS Consumables Tracker'!$A:$D,4,FALSE()),""))</f>
        <v/>
      </c>
      <c r="H18" s="22"/>
      <c r="J18" t="s">
        <v>303</v>
      </c>
    </row>
    <row r="19" spans="1:10">
      <c r="A19" s="21"/>
      <c r="B19" s="28"/>
      <c r="C19" s="22"/>
      <c r="D19" s="28"/>
      <c r="E19" s="23" t="str">
        <f>IF($D19="","",IFERROR(VLOOKUP($D19,'ACAS Consumables Tracker'!$A:$H,8,FALSE()),""))</f>
        <v/>
      </c>
      <c r="F19" s="24"/>
      <c r="G19" s="25" t="str">
        <f>IF($D19="","",IFERROR(VLOOKUP($D19,'ACAS Consumables Tracker'!$A:$D,4,FALSE()),""))</f>
        <v/>
      </c>
      <c r="H19" s="22"/>
      <c r="J19" t="s">
        <v>304</v>
      </c>
    </row>
    <row r="20" spans="1:10">
      <c r="A20" s="21"/>
      <c r="B20" s="28"/>
      <c r="C20" s="22"/>
      <c r="D20" s="28"/>
      <c r="E20" s="23" t="str">
        <f>IF($D20="","",IFERROR(VLOOKUP($D20,'ACAS Consumables Tracker'!$A:$H,8,FALSE()),""))</f>
        <v/>
      </c>
      <c r="F20" s="24"/>
      <c r="G20" s="25" t="str">
        <f>IF($D20="","",IFERROR(VLOOKUP($D20,'ACAS Consumables Tracker'!$A:$D,4,FALSE()),""))</f>
        <v/>
      </c>
      <c r="H20" s="22"/>
      <c r="J20" t="s">
        <v>305</v>
      </c>
    </row>
    <row r="21" spans="1:10">
      <c r="A21" s="21"/>
      <c r="B21" s="28"/>
      <c r="C21" s="22"/>
      <c r="D21" s="28"/>
      <c r="E21" s="23" t="str">
        <f>IF($D21="","",IFERROR(VLOOKUP($D21,'ACAS Consumables Tracker'!$A:$H,8,FALSE()),""))</f>
        <v/>
      </c>
      <c r="F21" s="24"/>
      <c r="G21" s="25" t="str">
        <f>IF($D21="","",IFERROR(VLOOKUP($D21,'ACAS Consumables Tracker'!$A:$D,4,FALSE()),""))</f>
        <v/>
      </c>
      <c r="H21" s="22"/>
      <c r="J21" t="s">
        <v>306</v>
      </c>
    </row>
    <row r="22" spans="1:10">
      <c r="A22" s="21"/>
      <c r="B22" s="28"/>
      <c r="C22" s="22"/>
      <c r="D22" s="28"/>
      <c r="E22" s="23" t="str">
        <f>IF($D22="","",IFERROR(VLOOKUP($D22,'ACAS Consumables Tracker'!$A:$H,8,FALSE()),""))</f>
        <v/>
      </c>
      <c r="F22" s="24"/>
      <c r="G22" s="25" t="str">
        <f>IF($D22="","",IFERROR(VLOOKUP($D22,'ACAS Consumables Tracker'!$A:$D,4,FALSE()),""))</f>
        <v/>
      </c>
      <c r="H22" s="22"/>
      <c r="J22" t="s">
        <v>307</v>
      </c>
    </row>
    <row r="23" spans="1:10">
      <c r="A23" s="21"/>
      <c r="B23" s="28"/>
      <c r="C23" s="22"/>
      <c r="D23" s="28"/>
      <c r="E23" s="23" t="str">
        <f>IF($D23="","",IFERROR(VLOOKUP($D23,'ACAS Consumables Tracker'!$A:$H,8,FALSE()),""))</f>
        <v/>
      </c>
      <c r="F23" s="24"/>
      <c r="G23" s="25" t="str">
        <f>IF($D23="","",IFERROR(VLOOKUP($D23,'ACAS Consumables Tracker'!$A:$D,4,FALSE()),""))</f>
        <v/>
      </c>
      <c r="H23" s="22"/>
      <c r="J23" t="s">
        <v>308</v>
      </c>
    </row>
    <row r="24" spans="1:10">
      <c r="A24" s="21"/>
      <c r="B24" s="28"/>
      <c r="C24" s="22"/>
      <c r="D24" s="28"/>
      <c r="E24" s="23" t="str">
        <f>IF($D24="","",IFERROR(VLOOKUP($D24,'ACAS Consumables Tracker'!$A:$H,8,FALSE()),""))</f>
        <v/>
      </c>
      <c r="F24" s="24"/>
      <c r="G24" s="25" t="str">
        <f>IF($D24="","",IFERROR(VLOOKUP($D24,'ACAS Consumables Tracker'!$A:$D,4,FALSE()),""))</f>
        <v/>
      </c>
      <c r="H24" s="22"/>
      <c r="J24" t="s">
        <v>309</v>
      </c>
    </row>
    <row r="25" spans="1:10">
      <c r="A25" s="21"/>
      <c r="B25" s="28"/>
      <c r="C25" s="22"/>
      <c r="D25" s="28"/>
      <c r="E25" s="23" t="str">
        <f>IF($D25="","",IFERROR(VLOOKUP($D25,'ACAS Consumables Tracker'!$A:$H,8,FALSE()),""))</f>
        <v/>
      </c>
      <c r="F25" s="24"/>
      <c r="G25" s="25" t="str">
        <f>IF($D25="","",IFERROR(VLOOKUP($D25,'ACAS Consumables Tracker'!$A:$D,4,FALSE()),""))</f>
        <v/>
      </c>
      <c r="H25" s="22"/>
      <c r="J25" t="s">
        <v>310</v>
      </c>
    </row>
    <row r="26" spans="1:10">
      <c r="A26" s="21"/>
      <c r="B26" s="28"/>
      <c r="C26" s="22"/>
      <c r="D26" s="28"/>
      <c r="E26" s="23" t="str">
        <f>IF($D26="","",IFERROR(VLOOKUP($D26,'ACAS Consumables Tracker'!$A:$H,8,FALSE()),""))</f>
        <v/>
      </c>
      <c r="F26" s="24"/>
      <c r="G26" s="25" t="str">
        <f>IF($D26="","",IFERROR(VLOOKUP($D26,'ACAS Consumables Tracker'!$A:$D,4,FALSE()),""))</f>
        <v/>
      </c>
      <c r="H26" s="22"/>
      <c r="J26" t="s">
        <v>311</v>
      </c>
    </row>
    <row r="27" spans="1:10">
      <c r="A27" s="21"/>
      <c r="B27" s="28"/>
      <c r="C27" s="22"/>
      <c r="D27" s="28"/>
      <c r="E27" s="23" t="str">
        <f>IF($D27="","",IFERROR(VLOOKUP($D27,'ACAS Consumables Tracker'!$A:$H,8,FALSE()),""))</f>
        <v/>
      </c>
      <c r="F27" s="24"/>
      <c r="G27" s="25" t="str">
        <f>IF($D27="","",IFERROR(VLOOKUP($D27,'ACAS Consumables Tracker'!$A:$D,4,FALSE()),""))</f>
        <v/>
      </c>
      <c r="H27" s="22"/>
      <c r="J27" t="s">
        <v>312</v>
      </c>
    </row>
    <row r="28" spans="1:10">
      <c r="A28" s="21"/>
      <c r="B28" s="28"/>
      <c r="C28" s="22"/>
      <c r="D28" s="28"/>
      <c r="E28" s="23" t="str">
        <f>IF($D28="","",IFERROR(VLOOKUP($D28,'ACAS Consumables Tracker'!$A:$H,8,FALSE()),""))</f>
        <v/>
      </c>
      <c r="F28" s="24"/>
      <c r="G28" s="25" t="str">
        <f>IF($D28="","",IFERROR(VLOOKUP($D28,'ACAS Consumables Tracker'!$A:$D,4,FALSE()),""))</f>
        <v/>
      </c>
      <c r="H28" s="22"/>
      <c r="J28" t="s">
        <v>313</v>
      </c>
    </row>
    <row r="29" spans="1:10">
      <c r="A29" s="21"/>
      <c r="B29" s="28"/>
      <c r="C29" s="22"/>
      <c r="D29" s="28"/>
      <c r="E29" s="23" t="str">
        <f>IF($D29="","",IFERROR(VLOOKUP($D29,'ACAS Consumables Tracker'!$A:$H,8,FALSE()),""))</f>
        <v/>
      </c>
      <c r="F29" s="24"/>
      <c r="G29" s="25" t="str">
        <f>IF($D29="","",IFERROR(VLOOKUP($D29,'ACAS Consumables Tracker'!$A:$D,4,FALSE()),""))</f>
        <v/>
      </c>
      <c r="H29" s="22"/>
      <c r="J29" t="s">
        <v>315</v>
      </c>
    </row>
    <row r="30" spans="1:10">
      <c r="A30" s="21"/>
      <c r="B30" s="28"/>
      <c r="C30" s="22"/>
      <c r="D30" s="28"/>
      <c r="E30" s="23" t="str">
        <f>IF($D30="","",IFERROR(VLOOKUP($D30,'ACAS Consumables Tracker'!$A:$H,8,FALSE()),""))</f>
        <v/>
      </c>
      <c r="F30" s="24"/>
      <c r="G30" s="25" t="str">
        <f>IF($D30="","",IFERROR(VLOOKUP($D30,'ACAS Consumables Tracker'!$A:$D,4,FALSE()),""))</f>
        <v/>
      </c>
      <c r="H30" s="22"/>
      <c r="J30" t="s">
        <v>316</v>
      </c>
    </row>
    <row r="31" spans="1:10">
      <c r="A31" s="21"/>
      <c r="B31" s="28"/>
      <c r="C31" s="22"/>
      <c r="D31" s="28"/>
      <c r="E31" s="23" t="str">
        <f>IF($D31="","",IFERROR(VLOOKUP($D31,'ACAS Consumables Tracker'!$A:$H,8,FALSE()),""))</f>
        <v/>
      </c>
      <c r="F31" s="24"/>
      <c r="G31" s="25" t="str">
        <f>IF($D31="","",IFERROR(VLOOKUP($D31,'ACAS Consumables Tracker'!$A:$D,4,FALSE()),""))</f>
        <v/>
      </c>
      <c r="H31" s="22"/>
      <c r="J31" t="s">
        <v>318</v>
      </c>
    </row>
    <row r="32" spans="1:10">
      <c r="A32" s="21"/>
      <c r="B32" s="28"/>
      <c r="C32" s="22"/>
      <c r="D32" s="28"/>
      <c r="E32" s="23" t="str">
        <f>IF($D32="","",IFERROR(VLOOKUP($D32,'ACAS Consumables Tracker'!$A:$H,8,FALSE()),""))</f>
        <v/>
      </c>
      <c r="F32" s="24"/>
      <c r="G32" s="25" t="str">
        <f>IF($D32="","",IFERROR(VLOOKUP($D32,'ACAS Consumables Tracker'!$A:$D,4,FALSE()),""))</f>
        <v/>
      </c>
      <c r="H32" s="22"/>
      <c r="J32" t="s">
        <v>319</v>
      </c>
    </row>
    <row r="33" spans="1:10">
      <c r="A33" s="21"/>
      <c r="B33" s="28"/>
      <c r="C33" s="22"/>
      <c r="D33" s="28"/>
      <c r="E33" s="23" t="str">
        <f>IF($D33="","",IFERROR(VLOOKUP($D33,'ACAS Consumables Tracker'!$A:$H,8,FALSE()),""))</f>
        <v/>
      </c>
      <c r="F33" s="24"/>
      <c r="G33" s="25" t="str">
        <f>IF($D33="","",IFERROR(VLOOKUP($D33,'ACAS Consumables Tracker'!$A:$D,4,FALSE()),""))</f>
        <v/>
      </c>
      <c r="H33" s="22"/>
      <c r="J33" t="s">
        <v>321</v>
      </c>
    </row>
    <row r="34" spans="1:10">
      <c r="A34" s="21"/>
      <c r="B34" s="28"/>
      <c r="C34" s="22"/>
      <c r="D34" s="28"/>
      <c r="E34" s="23" t="str">
        <f>IF($D34="","",IFERROR(VLOOKUP($D34,'ACAS Consumables Tracker'!$A:$H,8,FALSE()),""))</f>
        <v/>
      </c>
      <c r="F34" s="24"/>
      <c r="G34" s="25" t="str">
        <f>IF($D34="","",IFERROR(VLOOKUP($D34,'ACAS Consumables Tracker'!$A:$D,4,FALSE()),""))</f>
        <v/>
      </c>
      <c r="H34" s="22"/>
      <c r="J34" t="s">
        <v>322</v>
      </c>
    </row>
    <row r="35" spans="1:10">
      <c r="A35" s="21"/>
      <c r="B35" s="28"/>
      <c r="C35" s="22"/>
      <c r="D35" s="28"/>
      <c r="E35" s="23" t="str">
        <f>IF($D35="","",IFERROR(VLOOKUP($D35,'ACAS Consumables Tracker'!$A:$H,8,FALSE()),""))</f>
        <v/>
      </c>
      <c r="F35" s="24"/>
      <c r="G35" s="25" t="str">
        <f>IF($D35="","",IFERROR(VLOOKUP($D35,'ACAS Consumables Tracker'!$A:$D,4,FALSE()),""))</f>
        <v/>
      </c>
      <c r="H35" s="22"/>
      <c r="J35" t="s">
        <v>323</v>
      </c>
    </row>
    <row r="36" spans="1:10">
      <c r="A36" s="21"/>
      <c r="B36" s="28"/>
      <c r="C36" s="22"/>
      <c r="D36" s="28"/>
      <c r="E36" s="23" t="str">
        <f>IF($D36="","",IFERROR(VLOOKUP($D36,'ACAS Consumables Tracker'!$A:$H,8,FALSE()),""))</f>
        <v/>
      </c>
      <c r="F36" s="24"/>
      <c r="G36" s="25" t="str">
        <f>IF($D36="","",IFERROR(VLOOKUP($D36,'ACAS Consumables Tracker'!$A:$D,4,FALSE()),""))</f>
        <v/>
      </c>
      <c r="H36" s="22"/>
      <c r="J36" t="s">
        <v>324</v>
      </c>
    </row>
    <row r="37" spans="1:10">
      <c r="A37" s="21"/>
      <c r="B37" s="28"/>
      <c r="C37" s="22"/>
      <c r="D37" s="28"/>
      <c r="E37" s="23" t="str">
        <f>IF($D37="","",IFERROR(VLOOKUP($D37,'ACAS Consumables Tracker'!$A:$H,8,FALSE()),""))</f>
        <v/>
      </c>
      <c r="F37" s="24"/>
      <c r="G37" s="25" t="str">
        <f>IF($D37="","",IFERROR(VLOOKUP($D37,'ACAS Consumables Tracker'!$A:$D,4,FALSE()),""))</f>
        <v/>
      </c>
      <c r="H37" s="22"/>
      <c r="J37" t="s">
        <v>326</v>
      </c>
    </row>
    <row r="38" spans="1:10">
      <c r="A38" s="21"/>
      <c r="B38" s="28"/>
      <c r="C38" s="22"/>
      <c r="D38" s="28"/>
      <c r="E38" s="23" t="str">
        <f>IF($D38="","",IFERROR(VLOOKUP($D38,'ACAS Consumables Tracker'!$A:$H,8,FALSE()),""))</f>
        <v/>
      </c>
      <c r="F38" s="24"/>
      <c r="G38" s="25" t="str">
        <f>IF($D38="","",IFERROR(VLOOKUP($D38,'ACAS Consumables Tracker'!$A:$D,4,FALSE()),""))</f>
        <v/>
      </c>
      <c r="H38" s="22"/>
      <c r="J38" t="s">
        <v>327</v>
      </c>
    </row>
    <row r="39" spans="1:10">
      <c r="A39" s="21"/>
      <c r="B39" s="28"/>
      <c r="C39" s="22"/>
      <c r="D39" s="28"/>
      <c r="E39" s="23" t="str">
        <f>IF($D39="","",IFERROR(VLOOKUP($D39,'ACAS Consumables Tracker'!$A:$H,8,FALSE()),""))</f>
        <v/>
      </c>
      <c r="F39" s="24"/>
      <c r="G39" s="25" t="str">
        <f>IF($D39="","",IFERROR(VLOOKUP($D39,'ACAS Consumables Tracker'!$A:$D,4,FALSE()),""))</f>
        <v/>
      </c>
      <c r="H39" s="22"/>
      <c r="J39" t="s">
        <v>328</v>
      </c>
    </row>
    <row r="40" spans="1:10">
      <c r="A40" s="21"/>
      <c r="B40" s="28"/>
      <c r="C40" s="22"/>
      <c r="D40" s="28"/>
      <c r="E40" s="23" t="str">
        <f>IF($D40="","",IFERROR(VLOOKUP($D40,'ACAS Consumables Tracker'!$A:$H,8,FALSE()),""))</f>
        <v/>
      </c>
      <c r="F40" s="24"/>
      <c r="G40" s="25" t="str">
        <f>IF($D40="","",IFERROR(VLOOKUP($D40,'ACAS Consumables Tracker'!$A:$D,4,FALSE()),""))</f>
        <v/>
      </c>
      <c r="H40" s="22"/>
    </row>
    <row r="41" spans="1:10">
      <c r="A41" s="21"/>
      <c r="B41" s="28"/>
      <c r="C41" s="22"/>
      <c r="D41" s="28"/>
      <c r="E41" s="23" t="str">
        <f>IF($D41="","",IFERROR(VLOOKUP($D41,'ACAS Consumables Tracker'!$A:$H,8,FALSE()),""))</f>
        <v/>
      </c>
      <c r="F41" s="24"/>
      <c r="G41" s="25" t="str">
        <f>IF($D41="","",IFERROR(VLOOKUP($D41,'ACAS Consumables Tracker'!$A:$D,4,FALSE()),""))</f>
        <v/>
      </c>
      <c r="H41" s="22"/>
    </row>
    <row r="42" spans="1:10">
      <c r="A42" s="21"/>
      <c r="B42" s="28"/>
      <c r="C42" s="22"/>
      <c r="D42" s="28"/>
      <c r="E42" s="23" t="str">
        <f>IF($D42="","",IFERROR(VLOOKUP($D42,'ACAS Consumables Tracker'!$A:$H,8,FALSE()),""))</f>
        <v/>
      </c>
      <c r="F42" s="24"/>
      <c r="G42" s="25" t="str">
        <f>IF($D42="","",IFERROR(VLOOKUP($D42,'ACAS Consumables Tracker'!$A:$D,4,FALSE()),""))</f>
        <v/>
      </c>
      <c r="H42" s="22"/>
    </row>
    <row r="43" spans="1:10">
      <c r="A43" s="21"/>
      <c r="B43" s="28"/>
      <c r="C43" s="22"/>
      <c r="D43" s="28"/>
      <c r="E43" s="23" t="str">
        <f>IF($D43="","",IFERROR(VLOOKUP($D43,'ACAS Consumables Tracker'!$A:$H,8,FALSE()),""))</f>
        <v/>
      </c>
      <c r="F43" s="24"/>
      <c r="G43" s="25" t="str">
        <f>IF($D43="","",IFERROR(VLOOKUP($D43,'ACAS Consumables Tracker'!$A:$D,4,FALSE()),""))</f>
        <v/>
      </c>
      <c r="H43" s="22"/>
    </row>
    <row r="44" spans="1:10">
      <c r="A44" s="21"/>
      <c r="B44" s="28"/>
      <c r="C44" s="22"/>
      <c r="D44" s="28"/>
      <c r="E44" s="23" t="str">
        <f>IF($D44="","",IFERROR(VLOOKUP($D44,'ACAS Consumables Tracker'!$A:$H,8,FALSE()),""))</f>
        <v/>
      </c>
      <c r="F44" s="24"/>
      <c r="G44" s="25" t="str">
        <f>IF($D44="","",IFERROR(VLOOKUP($D44,'ACAS Consumables Tracker'!$A:$D,4,FALSE()),""))</f>
        <v/>
      </c>
      <c r="H44" s="22"/>
    </row>
    <row r="45" spans="1:10">
      <c r="A45" s="21"/>
      <c r="B45" s="28"/>
      <c r="C45" s="22"/>
      <c r="D45" s="28"/>
      <c r="E45" s="23" t="str">
        <f>IF($D45="","",IFERROR(VLOOKUP($D45,'ACAS Consumables Tracker'!$A:$H,8,FALSE()),""))</f>
        <v/>
      </c>
      <c r="F45" s="24"/>
      <c r="G45" s="25" t="str">
        <f>IF($D45="","",IFERROR(VLOOKUP($D45,'ACAS Consumables Tracker'!$A:$D,4,FALSE()),""))</f>
        <v/>
      </c>
      <c r="H45" s="22"/>
    </row>
    <row r="46" spans="1:10">
      <c r="A46" s="21"/>
      <c r="B46" s="28"/>
      <c r="C46" s="22"/>
      <c r="D46" s="28"/>
      <c r="E46" s="23" t="str">
        <f>IF($D46="","",IFERROR(VLOOKUP($D46,'ACAS Consumables Tracker'!$A:$H,8,FALSE()),""))</f>
        <v/>
      </c>
      <c r="F46" s="24"/>
      <c r="G46" s="25" t="str">
        <f>IF($D46="","",IFERROR(VLOOKUP($D46,'ACAS Consumables Tracker'!$A:$D,4,FALSE()),""))</f>
        <v/>
      </c>
      <c r="H46" s="22"/>
    </row>
    <row r="47" spans="1:10">
      <c r="A47" s="21"/>
      <c r="B47" s="28"/>
      <c r="C47" s="22"/>
      <c r="D47" s="28"/>
      <c r="E47" s="23" t="str">
        <f>IF($D47="","",IFERROR(VLOOKUP($D47,'ACAS Consumables Tracker'!$A:$H,8,FALSE()),""))</f>
        <v/>
      </c>
      <c r="F47" s="24"/>
      <c r="G47" s="25" t="str">
        <f>IF($D47="","",IFERROR(VLOOKUP($D47,'ACAS Consumables Tracker'!$A:$D,4,FALSE()),""))</f>
        <v/>
      </c>
      <c r="H47" s="22"/>
    </row>
    <row r="48" spans="1:10">
      <c r="A48" s="21"/>
      <c r="B48" s="28"/>
      <c r="C48" s="22"/>
      <c r="D48" s="28"/>
      <c r="E48" s="23" t="str">
        <f>IF($D48="","",IFERROR(VLOOKUP($D48,'ACAS Consumables Tracker'!$A:$H,8,FALSE()),""))</f>
        <v/>
      </c>
      <c r="F48" s="24"/>
      <c r="G48" s="25" t="str">
        <f>IF($D48="","",IFERROR(VLOOKUP($D48,'ACAS Consumables Tracker'!$A:$D,4,FALSE()),""))</f>
        <v/>
      </c>
      <c r="H48" s="22"/>
    </row>
    <row r="49" spans="1:8">
      <c r="A49" s="21"/>
      <c r="B49" s="28"/>
      <c r="C49" s="22"/>
      <c r="D49" s="28"/>
      <c r="E49" s="23" t="str">
        <f>IF($D49="","",IFERROR(VLOOKUP($D49,'ACAS Consumables Tracker'!$A:$H,8,FALSE()),""))</f>
        <v/>
      </c>
      <c r="F49" s="24"/>
      <c r="G49" s="25" t="str">
        <f>IF($D49="","",IFERROR(VLOOKUP($D49,'ACAS Consumables Tracker'!$A:$D,4,FALSE()),""))</f>
        <v/>
      </c>
      <c r="H49" s="22"/>
    </row>
    <row r="50" spans="1:8">
      <c r="A50" s="21"/>
      <c r="B50" s="28"/>
      <c r="C50" s="22"/>
      <c r="D50" s="28"/>
      <c r="E50" s="23" t="str">
        <f>IF($D50="","",IFERROR(VLOOKUP($D50,'ACAS Consumables Tracker'!$A:$H,8,FALSE()),""))</f>
        <v/>
      </c>
      <c r="F50" s="24"/>
      <c r="G50" s="25" t="str">
        <f>IF($D50="","",IFERROR(VLOOKUP($D50,'ACAS Consumables Tracker'!$A:$D,4,FALSE()),""))</f>
        <v/>
      </c>
      <c r="H50" s="22"/>
    </row>
    <row r="51" spans="1:8">
      <c r="A51" s="21"/>
      <c r="B51" s="28"/>
      <c r="C51" s="22"/>
      <c r="D51" s="28"/>
      <c r="E51" s="23" t="str">
        <f>IF($D51="","",IFERROR(VLOOKUP($D51,'ACAS Consumables Tracker'!$A:$H,8,FALSE()),""))</f>
        <v/>
      </c>
      <c r="F51" s="24"/>
      <c r="G51" s="25" t="str">
        <f>IF($D51="","",IFERROR(VLOOKUP($D51,'ACAS Consumables Tracker'!$A:$D,4,FALSE()),""))</f>
        <v/>
      </c>
      <c r="H51" s="22"/>
    </row>
    <row r="52" spans="1:8">
      <c r="A52" s="21"/>
      <c r="B52" s="28"/>
      <c r="C52" s="22"/>
      <c r="D52" s="28"/>
      <c r="E52" s="23" t="str">
        <f>IF($D52="","",IFERROR(VLOOKUP($D52,'ACAS Consumables Tracker'!$A:$H,8,FALSE()),""))</f>
        <v/>
      </c>
      <c r="F52" s="24"/>
      <c r="G52" s="25" t="str">
        <f>IF($D52="","",IFERROR(VLOOKUP($D52,'ACAS Consumables Tracker'!$A:$D,4,FALSE()),""))</f>
        <v/>
      </c>
      <c r="H52" s="22"/>
    </row>
    <row r="53" spans="1:8">
      <c r="A53" s="21"/>
      <c r="B53" s="28"/>
      <c r="C53" s="22"/>
      <c r="D53" s="28"/>
      <c r="E53" s="23" t="str">
        <f>IF($D53="","",IFERROR(VLOOKUP($D53,'ACAS Consumables Tracker'!$A:$H,8,FALSE()),""))</f>
        <v/>
      </c>
      <c r="F53" s="24"/>
      <c r="G53" s="25" t="str">
        <f>IF($D53="","",IFERROR(VLOOKUP($D53,'ACAS Consumables Tracker'!$A:$D,4,FALSE()),""))</f>
        <v/>
      </c>
      <c r="H53" s="22"/>
    </row>
    <row r="54" spans="1:8">
      <c r="A54" s="21"/>
      <c r="B54" s="28"/>
      <c r="C54" s="22"/>
      <c r="D54" s="28"/>
      <c r="E54" s="23" t="str">
        <f>IF($D54="","",IFERROR(VLOOKUP($D54,'ACAS Consumables Tracker'!$A:$H,8,FALSE()),""))</f>
        <v/>
      </c>
      <c r="F54" s="24"/>
      <c r="G54" s="25" t="str">
        <f>IF($D54="","",IFERROR(VLOOKUP($D54,'ACAS Consumables Tracker'!$A:$D,4,FALSE()),""))</f>
        <v/>
      </c>
      <c r="H54" s="22"/>
    </row>
    <row r="55" spans="1:8">
      <c r="A55" s="21"/>
      <c r="B55" s="28"/>
      <c r="C55" s="22"/>
      <c r="D55" s="28"/>
      <c r="E55" s="23" t="str">
        <f>IF($D55="","",IFERROR(VLOOKUP($D55,'ACAS Consumables Tracker'!$A:$H,8,FALSE()),""))</f>
        <v/>
      </c>
      <c r="F55" s="24"/>
      <c r="G55" s="25" t="str">
        <f>IF($D55="","",IFERROR(VLOOKUP($D55,'ACAS Consumables Tracker'!$A:$D,4,FALSE()),""))</f>
        <v/>
      </c>
      <c r="H55" s="22"/>
    </row>
    <row r="56" spans="1:8">
      <c r="A56" s="21"/>
      <c r="B56" s="28"/>
      <c r="C56" s="22"/>
      <c r="D56" s="28"/>
      <c r="E56" s="23" t="str">
        <f>IF($D56="","",IFERROR(VLOOKUP($D56,'ACAS Consumables Tracker'!$A:$H,8,FALSE()),""))</f>
        <v/>
      </c>
      <c r="F56" s="24"/>
      <c r="G56" s="25" t="str">
        <f>IF($D56="","",IFERROR(VLOOKUP($D56,'ACAS Consumables Tracker'!$A:$D,4,FALSE()),""))</f>
        <v/>
      </c>
      <c r="H56" s="22"/>
    </row>
    <row r="57" spans="1:8">
      <c r="A57" s="21"/>
      <c r="B57" s="28"/>
      <c r="C57" s="22"/>
      <c r="D57" s="28"/>
      <c r="E57" s="23" t="str">
        <f>IF($D57="","",IFERROR(VLOOKUP($D57,'ACAS Consumables Tracker'!$A:$H,8,FALSE()),""))</f>
        <v/>
      </c>
      <c r="F57" s="24"/>
      <c r="G57" s="25" t="str">
        <f>IF($D57="","",IFERROR(VLOOKUP($D57,'ACAS Consumables Tracker'!$A:$D,4,FALSE()),""))</f>
        <v/>
      </c>
      <c r="H57" s="22"/>
    </row>
    <row r="58" spans="1:8">
      <c r="A58" s="21"/>
      <c r="B58" s="28"/>
      <c r="C58" s="22"/>
      <c r="D58" s="28"/>
      <c r="E58" s="23" t="str">
        <f>IF($D58="","",IFERROR(VLOOKUP($D58,'ACAS Consumables Tracker'!$A:$H,8,FALSE()),""))</f>
        <v/>
      </c>
      <c r="F58" s="24"/>
      <c r="G58" s="25" t="str">
        <f>IF($D58="","",IFERROR(VLOOKUP($D58,'ACAS Consumables Tracker'!$A:$D,4,FALSE()),""))</f>
        <v/>
      </c>
      <c r="H58" s="22"/>
    </row>
    <row r="59" spans="1:8">
      <c r="A59" s="21"/>
      <c r="B59" s="28"/>
      <c r="C59" s="22"/>
      <c r="D59" s="28"/>
      <c r="E59" s="23" t="str">
        <f>IF($D59="","",IFERROR(VLOOKUP($D59,'ACAS Consumables Tracker'!$A:$H,8,FALSE()),""))</f>
        <v/>
      </c>
      <c r="F59" s="24"/>
      <c r="G59" s="25" t="str">
        <f>IF($D59="","",IFERROR(VLOOKUP($D59,'ACAS Consumables Tracker'!$A:$D,4,FALSE()),""))</f>
        <v/>
      </c>
      <c r="H59" s="22"/>
    </row>
    <row r="60" spans="1:8">
      <c r="A60" s="21"/>
      <c r="B60" s="28"/>
      <c r="C60" s="22"/>
      <c r="D60" s="28"/>
      <c r="E60" s="23" t="str">
        <f>IF($D60="","",IFERROR(VLOOKUP($D60,'ACAS Consumables Tracker'!$A:$H,8,FALSE()),""))</f>
        <v/>
      </c>
      <c r="F60" s="24"/>
      <c r="G60" s="25" t="str">
        <f>IF($D60="","",IFERROR(VLOOKUP($D60,'ACAS Consumables Tracker'!$A:$D,4,FALSE()),""))</f>
        <v/>
      </c>
      <c r="H60" s="22"/>
    </row>
    <row r="61" spans="1:8">
      <c r="A61" s="21"/>
      <c r="B61" s="28"/>
      <c r="C61" s="22"/>
      <c r="D61" s="28"/>
      <c r="E61" s="23" t="str">
        <f>IF($D61="","",IFERROR(VLOOKUP($D61,'ACAS Consumables Tracker'!$A:$H,8,FALSE()),""))</f>
        <v/>
      </c>
      <c r="F61" s="24"/>
      <c r="G61" s="25" t="str">
        <f>IF($D61="","",IFERROR(VLOOKUP($D61,'ACAS Consumables Tracker'!$A:$D,4,FALSE()),""))</f>
        <v/>
      </c>
      <c r="H61" s="22"/>
    </row>
    <row r="62" spans="1:8">
      <c r="A62" s="21"/>
      <c r="B62" s="28"/>
      <c r="C62" s="22"/>
      <c r="D62" s="28"/>
      <c r="E62" s="23" t="str">
        <f>IF($D62="","",IFERROR(VLOOKUP($D62,'ACAS Consumables Tracker'!$A:$H,8,FALSE()),""))</f>
        <v/>
      </c>
      <c r="F62" s="24"/>
      <c r="G62" s="25" t="str">
        <f>IF($D62="","",IFERROR(VLOOKUP($D62,'ACAS Consumables Tracker'!$A:$D,4,FALSE()),""))</f>
        <v/>
      </c>
      <c r="H62" s="22"/>
    </row>
    <row r="63" spans="1:8">
      <c r="A63" s="21"/>
      <c r="B63" s="28"/>
      <c r="C63" s="22"/>
      <c r="D63" s="28"/>
      <c r="E63" s="23" t="str">
        <f>IF($D63="","",IFERROR(VLOOKUP($D63,'ACAS Consumables Tracker'!$A:$H,8,FALSE()),""))</f>
        <v/>
      </c>
      <c r="F63" s="24"/>
      <c r="G63" s="25" t="str">
        <f>IF($D63="","",IFERROR(VLOOKUP($D63,'ACAS Consumables Tracker'!$A:$D,4,FALSE()),""))</f>
        <v/>
      </c>
      <c r="H63" s="22"/>
    </row>
    <row r="64" spans="1:8">
      <c r="A64" s="21"/>
      <c r="B64" s="28"/>
      <c r="C64" s="22"/>
      <c r="D64" s="28"/>
      <c r="E64" s="23" t="str">
        <f>IF($D64="","",IFERROR(VLOOKUP($D64,'ACAS Consumables Tracker'!$A:$H,8,FALSE()),""))</f>
        <v/>
      </c>
      <c r="F64" s="24"/>
      <c r="G64" s="25" t="str">
        <f>IF($D64="","",IFERROR(VLOOKUP($D64,'ACAS Consumables Tracker'!$A:$D,4,FALSE()),""))</f>
        <v/>
      </c>
      <c r="H64" s="22"/>
    </row>
    <row r="65" spans="1:8">
      <c r="A65" s="21"/>
      <c r="B65" s="28"/>
      <c r="C65" s="22"/>
      <c r="D65" s="28"/>
      <c r="E65" s="23" t="str">
        <f>IF($D65="","",IFERROR(VLOOKUP($D65,'ACAS Consumables Tracker'!$A:$H,8,FALSE()),""))</f>
        <v/>
      </c>
      <c r="F65" s="24"/>
      <c r="G65" s="25" t="str">
        <f>IF($D65="","",IFERROR(VLOOKUP($D65,'ACAS Consumables Tracker'!$A:$D,4,FALSE()),""))</f>
        <v/>
      </c>
      <c r="H65" s="22"/>
    </row>
    <row r="66" spans="1:8">
      <c r="A66" s="21"/>
      <c r="B66" s="28"/>
      <c r="C66" s="22"/>
      <c r="D66" s="28"/>
      <c r="E66" s="23" t="str">
        <f>IF($D66="","",IFERROR(VLOOKUP($D66,'ACAS Consumables Tracker'!$A:$H,8,FALSE()),""))</f>
        <v/>
      </c>
      <c r="F66" s="24"/>
      <c r="G66" s="25" t="str">
        <f>IF($D66="","",IFERROR(VLOOKUP($D66,'ACAS Consumables Tracker'!$A:$D,4,FALSE()),""))</f>
        <v/>
      </c>
      <c r="H66" s="22"/>
    </row>
    <row r="67" spans="1:8">
      <c r="A67" s="21"/>
      <c r="B67" s="28"/>
      <c r="C67" s="22"/>
      <c r="D67" s="28"/>
      <c r="E67" s="23" t="str">
        <f>IF($D67="","",IFERROR(VLOOKUP($D67,'ACAS Consumables Tracker'!$A:$H,8,FALSE()),""))</f>
        <v/>
      </c>
      <c r="F67" s="24"/>
      <c r="G67" s="25" t="str">
        <f>IF($D67="","",IFERROR(VLOOKUP($D67,'ACAS Consumables Tracker'!$A:$D,4,FALSE()),""))</f>
        <v/>
      </c>
      <c r="H67" s="22"/>
    </row>
    <row r="68" spans="1:8">
      <c r="A68" s="21"/>
      <c r="B68" s="28"/>
      <c r="C68" s="22"/>
      <c r="D68" s="28"/>
      <c r="E68" s="23" t="str">
        <f>IF($D68="","",IFERROR(VLOOKUP($D68,'ACAS Consumables Tracker'!$A:$H,8,FALSE()),""))</f>
        <v/>
      </c>
      <c r="F68" s="24"/>
      <c r="G68" s="25" t="str">
        <f>IF($D68="","",IFERROR(VLOOKUP($D68,'ACAS Consumables Tracker'!$A:$D,4,FALSE()),""))</f>
        <v/>
      </c>
      <c r="H68" s="22"/>
    </row>
    <row r="69" spans="1:8">
      <c r="A69" s="21"/>
      <c r="B69" s="28"/>
      <c r="C69" s="22"/>
      <c r="D69" s="28"/>
      <c r="E69" s="23" t="str">
        <f>IF($D69="","",IFERROR(VLOOKUP($D69,'ACAS Consumables Tracker'!$A:$H,8,FALSE()),""))</f>
        <v/>
      </c>
      <c r="F69" s="24"/>
      <c r="G69" s="25" t="str">
        <f>IF($D69="","",IFERROR(VLOOKUP($D69,'ACAS Consumables Tracker'!$A:$D,4,FALSE()),""))</f>
        <v/>
      </c>
      <c r="H69" s="22"/>
    </row>
    <row r="70" spans="1:8">
      <c r="A70" s="21"/>
      <c r="B70" s="28"/>
      <c r="C70" s="22"/>
      <c r="D70" s="28"/>
      <c r="E70" s="23" t="str">
        <f>IF($D70="","",IFERROR(VLOOKUP($D70,'ACAS Consumables Tracker'!$A:$H,8,FALSE()),""))</f>
        <v/>
      </c>
      <c r="F70" s="24"/>
      <c r="G70" s="25" t="str">
        <f>IF($D70="","",IFERROR(VLOOKUP($D70,'ACAS Consumables Tracker'!$A:$D,4,FALSE()),""))</f>
        <v/>
      </c>
      <c r="H70" s="22"/>
    </row>
    <row r="71" spans="1:8">
      <c r="A71" s="21"/>
      <c r="B71" s="28"/>
      <c r="C71" s="22"/>
      <c r="D71" s="28"/>
      <c r="E71" s="23" t="str">
        <f>IF($D71="","",IFERROR(VLOOKUP($D71,'ACAS Consumables Tracker'!$A:$H,8,FALSE()),""))</f>
        <v/>
      </c>
      <c r="F71" s="24"/>
      <c r="G71" s="25" t="str">
        <f>IF($D71="","",IFERROR(VLOOKUP($D71,'ACAS Consumables Tracker'!$A:$D,4,FALSE()),""))</f>
        <v/>
      </c>
      <c r="H71" s="22"/>
    </row>
    <row r="72" spans="1:8">
      <c r="A72" s="21"/>
      <c r="B72" s="28"/>
      <c r="C72" s="22"/>
      <c r="D72" s="28"/>
      <c r="E72" s="23" t="str">
        <f>IF($D72="","",IFERROR(VLOOKUP($D72,'ACAS Consumables Tracker'!$A:$H,8,FALSE()),""))</f>
        <v/>
      </c>
      <c r="F72" s="24"/>
      <c r="G72" s="25" t="str">
        <f>IF($D72="","",IFERROR(VLOOKUP($D72,'ACAS Consumables Tracker'!$A:$D,4,FALSE()),""))</f>
        <v/>
      </c>
      <c r="H72" s="22"/>
    </row>
    <row r="73" spans="1:8">
      <c r="A73" s="21"/>
      <c r="B73" s="28"/>
      <c r="C73" s="22"/>
      <c r="D73" s="28"/>
      <c r="E73" s="23" t="str">
        <f>IF($D73="","",IFERROR(VLOOKUP($D73,'ACAS Consumables Tracker'!$A:$H,8,FALSE()),""))</f>
        <v/>
      </c>
      <c r="F73" s="24"/>
      <c r="G73" s="25" t="str">
        <f>IF($D73="","",IFERROR(VLOOKUP($D73,'ACAS Consumables Tracker'!$A:$D,4,FALSE()),""))</f>
        <v/>
      </c>
      <c r="H73" s="22"/>
    </row>
    <row r="74" spans="1:8">
      <c r="A74" s="21"/>
      <c r="B74" s="28"/>
      <c r="C74" s="22"/>
      <c r="D74" s="28"/>
      <c r="E74" s="23" t="str">
        <f>IF($D74="","",IFERROR(VLOOKUP($D74,'ACAS Consumables Tracker'!$A:$H,8,FALSE()),""))</f>
        <v/>
      </c>
      <c r="F74" s="24"/>
      <c r="G74" s="25" t="str">
        <f>IF($D74="","",IFERROR(VLOOKUP($D74,'ACAS Consumables Tracker'!$A:$D,4,FALSE()),""))</f>
        <v/>
      </c>
      <c r="H74" s="22"/>
    </row>
    <row r="75" spans="1:8">
      <c r="A75" s="21"/>
      <c r="B75" s="28"/>
      <c r="C75" s="22"/>
      <c r="D75" s="28"/>
      <c r="E75" s="23" t="str">
        <f>IF($D75="","",IFERROR(VLOOKUP($D75,'ACAS Consumables Tracker'!$A:$H,8,FALSE()),""))</f>
        <v/>
      </c>
      <c r="F75" s="24"/>
      <c r="G75" s="25" t="str">
        <f>IF($D75="","",IFERROR(VLOOKUP($D75,'ACAS Consumables Tracker'!$A:$D,4,FALSE()),""))</f>
        <v/>
      </c>
      <c r="H75" s="22"/>
    </row>
    <row r="76" spans="1:8">
      <c r="A76" s="21"/>
      <c r="B76" s="28"/>
      <c r="C76" s="22"/>
      <c r="D76" s="28"/>
      <c r="E76" s="23" t="str">
        <f>IF($D76="","",IFERROR(VLOOKUP($D76,'ACAS Consumables Tracker'!$A:$H,8,FALSE()),""))</f>
        <v/>
      </c>
      <c r="F76" s="24"/>
      <c r="G76" s="25" t="str">
        <f>IF($D76="","",IFERROR(VLOOKUP($D76,'ACAS Consumables Tracker'!$A:$D,4,FALSE()),""))</f>
        <v/>
      </c>
      <c r="H76" s="22"/>
    </row>
    <row r="77" spans="1:8">
      <c r="A77" s="21"/>
      <c r="B77" s="28"/>
      <c r="C77" s="22"/>
      <c r="D77" s="28"/>
      <c r="E77" s="23" t="str">
        <f>IF($D77="","",IFERROR(VLOOKUP($D77,'ACAS Consumables Tracker'!$A:$H,8,FALSE()),""))</f>
        <v/>
      </c>
      <c r="F77" s="24"/>
      <c r="G77" s="25" t="str">
        <f>IF($D77="","",IFERROR(VLOOKUP($D77,'ACAS Consumables Tracker'!$A:$D,4,FALSE()),""))</f>
        <v/>
      </c>
      <c r="H77" s="22"/>
    </row>
    <row r="78" spans="1:8">
      <c r="A78" s="21"/>
      <c r="B78" s="28"/>
      <c r="C78" s="22"/>
      <c r="D78" s="28"/>
      <c r="E78" s="23" t="str">
        <f>IF($D78="","",IFERROR(VLOOKUP($D78,'ACAS Consumables Tracker'!$A:$H,8,FALSE()),""))</f>
        <v/>
      </c>
      <c r="F78" s="24"/>
      <c r="G78" s="25" t="str">
        <f>IF($D78="","",IFERROR(VLOOKUP($D78,'ACAS Consumables Tracker'!$A:$D,4,FALSE()),""))</f>
        <v/>
      </c>
      <c r="H78" s="22"/>
    </row>
    <row r="79" spans="1:8">
      <c r="A79" s="21"/>
      <c r="B79" s="28"/>
      <c r="C79" s="22"/>
      <c r="D79" s="28"/>
      <c r="E79" s="23" t="str">
        <f>IF($D79="","",IFERROR(VLOOKUP($D79,'ACAS Consumables Tracker'!$A:$H,8,FALSE()),""))</f>
        <v/>
      </c>
      <c r="F79" s="24"/>
      <c r="G79" s="25" t="str">
        <f>IF($D79="","",IFERROR(VLOOKUP($D79,'ACAS Consumables Tracker'!$A:$D,4,FALSE()),""))</f>
        <v/>
      </c>
      <c r="H79" s="22"/>
    </row>
    <row r="80" spans="1:8">
      <c r="A80" s="21"/>
      <c r="B80" s="28"/>
      <c r="C80" s="22"/>
      <c r="D80" s="28"/>
      <c r="E80" s="23" t="str">
        <f>IF($D80="","",IFERROR(VLOOKUP($D80,'ACAS Consumables Tracker'!$A:$H,8,FALSE()),""))</f>
        <v/>
      </c>
      <c r="F80" s="24"/>
      <c r="G80" s="25" t="str">
        <f>IF($D80="","",IFERROR(VLOOKUP($D80,'ACAS Consumables Tracker'!$A:$D,4,FALSE()),""))</f>
        <v/>
      </c>
      <c r="H80" s="22"/>
    </row>
    <row r="81" spans="1:8">
      <c r="A81" s="21"/>
      <c r="B81" s="28"/>
      <c r="C81" s="22"/>
      <c r="D81" s="28"/>
      <c r="E81" s="23" t="str">
        <f>IF($D81="","",IFERROR(VLOOKUP($D81,'ACAS Consumables Tracker'!$A:$H,8,FALSE()),""))</f>
        <v/>
      </c>
      <c r="F81" s="24"/>
      <c r="G81" s="25" t="str">
        <f>IF($D81="","",IFERROR(VLOOKUP($D81,'ACAS Consumables Tracker'!$A:$D,4,FALSE()),""))</f>
        <v/>
      </c>
      <c r="H81" s="22"/>
    </row>
    <row r="82" spans="1:8">
      <c r="A82" s="21"/>
      <c r="B82" s="28"/>
      <c r="C82" s="22"/>
      <c r="D82" s="28"/>
      <c r="E82" s="23" t="str">
        <f>IF($D82="","",IFERROR(VLOOKUP($D82,'ACAS Consumables Tracker'!$A:$H,8,FALSE()),""))</f>
        <v/>
      </c>
      <c r="F82" s="24"/>
      <c r="G82" s="25" t="str">
        <f>IF($D82="","",IFERROR(VLOOKUP($D82,'ACAS Consumables Tracker'!$A:$D,4,FALSE()),""))</f>
        <v/>
      </c>
      <c r="H82" s="22"/>
    </row>
    <row r="83" spans="1:8">
      <c r="A83" s="21"/>
      <c r="B83" s="28"/>
      <c r="C83" s="22"/>
      <c r="D83" s="28"/>
      <c r="E83" s="23" t="str">
        <f>IF($D83="","",IFERROR(VLOOKUP($D83,'ACAS Consumables Tracker'!$A:$H,8,FALSE()),""))</f>
        <v/>
      </c>
      <c r="F83" s="24"/>
      <c r="G83" s="25" t="str">
        <f>IF($D83="","",IFERROR(VLOOKUP($D83,'ACAS Consumables Tracker'!$A:$D,4,FALSE()),""))</f>
        <v/>
      </c>
      <c r="H83" s="22"/>
    </row>
    <row r="84" spans="1:8">
      <c r="A84" s="21"/>
      <c r="B84" s="28"/>
      <c r="C84" s="22"/>
      <c r="D84" s="28"/>
      <c r="E84" s="23" t="str">
        <f>IF($D84="","",IFERROR(VLOOKUP($D84,'ACAS Consumables Tracker'!$A:$H,8,FALSE()),""))</f>
        <v/>
      </c>
      <c r="F84" s="24"/>
      <c r="G84" s="25" t="str">
        <f>IF($D84="","",IFERROR(VLOOKUP($D84,'ACAS Consumables Tracker'!$A:$D,4,FALSE()),""))</f>
        <v/>
      </c>
      <c r="H84" s="22"/>
    </row>
    <row r="85" spans="1:8">
      <c r="A85" s="21"/>
      <c r="B85" s="28"/>
      <c r="C85" s="22"/>
      <c r="D85" s="28"/>
      <c r="E85" s="23" t="str">
        <f>IF($D85="","",IFERROR(VLOOKUP($D85,'ACAS Consumables Tracker'!$A:$H,8,FALSE()),""))</f>
        <v/>
      </c>
      <c r="F85" s="24"/>
      <c r="G85" s="25" t="str">
        <f>IF($D85="","",IFERROR(VLOOKUP($D85,'ACAS Consumables Tracker'!$A:$D,4,FALSE()),""))</f>
        <v/>
      </c>
      <c r="H85" s="22"/>
    </row>
    <row r="86" spans="1:8">
      <c r="A86" s="21"/>
      <c r="B86" s="28"/>
      <c r="C86" s="22"/>
      <c r="D86" s="28"/>
      <c r="E86" s="23" t="str">
        <f>IF($D86="","",IFERROR(VLOOKUP($D86,'ACAS Consumables Tracker'!$A:$H,8,FALSE()),""))</f>
        <v/>
      </c>
      <c r="F86" s="24"/>
      <c r="G86" s="25" t="str">
        <f>IF($D86="","",IFERROR(VLOOKUP($D86,'ACAS Consumables Tracker'!$A:$D,4,FALSE()),""))</f>
        <v/>
      </c>
      <c r="H86" s="22"/>
    </row>
    <row r="87" spans="1:8">
      <c r="A87" s="21"/>
      <c r="B87" s="28"/>
      <c r="C87" s="22"/>
      <c r="D87" s="28"/>
      <c r="E87" s="23" t="str">
        <f>IF($D87="","",IFERROR(VLOOKUP($D87,'ACAS Consumables Tracker'!$A:$H,8,FALSE()),""))</f>
        <v/>
      </c>
      <c r="F87" s="24"/>
      <c r="G87" s="25" t="str">
        <f>IF($D87="","",IFERROR(VLOOKUP($D87,'ACAS Consumables Tracker'!$A:$D,4,FALSE()),""))</f>
        <v/>
      </c>
      <c r="H87" s="22"/>
    </row>
    <row r="88" spans="1:8">
      <c r="A88" s="21"/>
      <c r="B88" s="28"/>
      <c r="C88" s="22"/>
      <c r="D88" s="28"/>
      <c r="E88" s="23" t="str">
        <f>IF($D88="","",IFERROR(VLOOKUP($D88,'ACAS Consumables Tracker'!$A:$H,8,FALSE()),""))</f>
        <v/>
      </c>
      <c r="F88" s="24"/>
      <c r="G88" s="25" t="str">
        <f>IF($D88="","",IFERROR(VLOOKUP($D88,'ACAS Consumables Tracker'!$A:$D,4,FALSE()),""))</f>
        <v/>
      </c>
      <c r="H88" s="22"/>
    </row>
    <row r="89" spans="1:8">
      <c r="A89" s="21"/>
      <c r="B89" s="28"/>
      <c r="C89" s="22"/>
      <c r="D89" s="28"/>
      <c r="E89" s="23" t="str">
        <f>IF($D89="","",IFERROR(VLOOKUP($D89,'ACAS Consumables Tracker'!$A:$H,8,FALSE()),""))</f>
        <v/>
      </c>
      <c r="F89" s="24"/>
      <c r="G89" s="25" t="str">
        <f>IF($D89="","",IFERROR(VLOOKUP($D89,'ACAS Consumables Tracker'!$A:$D,4,FALSE()),""))</f>
        <v/>
      </c>
      <c r="H89" s="22"/>
    </row>
    <row r="90" spans="1:8">
      <c r="A90" s="21"/>
      <c r="B90" s="28"/>
      <c r="C90" s="22"/>
      <c r="D90" s="28"/>
      <c r="E90" s="23" t="str">
        <f>IF($D90="","",IFERROR(VLOOKUP($D90,'ACAS Consumables Tracker'!$A:$H,8,FALSE()),""))</f>
        <v/>
      </c>
      <c r="F90" s="24"/>
      <c r="G90" s="25" t="str">
        <f>IF($D90="","",IFERROR(VLOOKUP($D90,'ACAS Consumables Tracker'!$A:$D,4,FALSE()),""))</f>
        <v/>
      </c>
      <c r="H90" s="22"/>
    </row>
    <row r="91" spans="1:8">
      <c r="A91" s="21"/>
      <c r="B91" s="28"/>
      <c r="C91" s="22"/>
      <c r="D91" s="28"/>
      <c r="E91" s="23" t="str">
        <f>IF($D91="","",IFERROR(VLOOKUP($D91,'ACAS Consumables Tracker'!$A:$H,8,FALSE()),""))</f>
        <v/>
      </c>
      <c r="F91" s="24"/>
      <c r="G91" s="25" t="str">
        <f>IF($D91="","",IFERROR(VLOOKUP($D91,'ACAS Consumables Tracker'!$A:$D,4,FALSE()),""))</f>
        <v/>
      </c>
      <c r="H91" s="22"/>
    </row>
    <row r="92" spans="1:8">
      <c r="A92" s="21"/>
      <c r="B92" s="28"/>
      <c r="C92" s="22"/>
      <c r="D92" s="28"/>
      <c r="E92" s="23" t="str">
        <f>IF($D92="","",IFERROR(VLOOKUP($D92,'ACAS Consumables Tracker'!$A:$H,8,FALSE()),""))</f>
        <v/>
      </c>
      <c r="F92" s="24"/>
      <c r="G92" s="25" t="str">
        <f>IF($D92="","",IFERROR(VLOOKUP($D92,'ACAS Consumables Tracker'!$A:$D,4,FALSE()),""))</f>
        <v/>
      </c>
      <c r="H92" s="22"/>
    </row>
    <row r="93" spans="1:8">
      <c r="A93" s="21"/>
      <c r="B93" s="28"/>
      <c r="C93" s="22"/>
      <c r="D93" s="28"/>
      <c r="E93" s="23" t="str">
        <f>IF($D93="","",IFERROR(VLOOKUP($D93,'ACAS Consumables Tracker'!$A:$H,8,FALSE()),""))</f>
        <v/>
      </c>
      <c r="F93" s="24"/>
      <c r="G93" s="25" t="str">
        <f>IF($D93="","",IFERROR(VLOOKUP($D93,'ACAS Consumables Tracker'!$A:$D,4,FALSE()),""))</f>
        <v/>
      </c>
      <c r="H93" s="22"/>
    </row>
    <row r="94" spans="1:8">
      <c r="A94" s="21"/>
      <c r="B94" s="28"/>
      <c r="C94" s="22"/>
      <c r="D94" s="28"/>
      <c r="E94" s="23" t="str">
        <f>IF($D94="","",IFERROR(VLOOKUP($D94,'ACAS Consumables Tracker'!$A:$H,8,FALSE()),""))</f>
        <v/>
      </c>
      <c r="F94" s="24"/>
      <c r="G94" s="25" t="str">
        <f>IF($D94="","",IFERROR(VLOOKUP($D94,'ACAS Consumables Tracker'!$A:$D,4,FALSE()),""))</f>
        <v/>
      </c>
      <c r="H94" s="22"/>
    </row>
    <row r="95" spans="1:8">
      <c r="A95" s="21"/>
      <c r="B95" s="28"/>
      <c r="C95" s="22"/>
      <c r="D95" s="28"/>
      <c r="E95" s="23" t="str">
        <f>IF($D95="","",IFERROR(VLOOKUP($D95,'ACAS Consumables Tracker'!$A:$H,8,FALSE()),""))</f>
        <v/>
      </c>
      <c r="F95" s="24"/>
      <c r="G95" s="25" t="str">
        <f>IF($D95="","",IFERROR(VLOOKUP($D95,'ACAS Consumables Tracker'!$A:$D,4,FALSE()),""))</f>
        <v/>
      </c>
      <c r="H95" s="22"/>
    </row>
    <row r="96" spans="1:8">
      <c r="A96" s="21"/>
      <c r="B96" s="28"/>
      <c r="C96" s="22"/>
      <c r="D96" s="28"/>
      <c r="E96" s="23" t="str">
        <f>IF($D96="","",IFERROR(VLOOKUP($D96,'ACAS Consumables Tracker'!$A:$H,8,FALSE()),""))</f>
        <v/>
      </c>
      <c r="F96" s="24"/>
      <c r="G96" s="25" t="str">
        <f>IF($D96="","",IFERROR(VLOOKUP($D96,'ACAS Consumables Tracker'!$A:$D,4,FALSE()),""))</f>
        <v/>
      </c>
      <c r="H96" s="22"/>
    </row>
    <row r="97" spans="1:8">
      <c r="A97" s="21"/>
      <c r="B97" s="28"/>
      <c r="C97" s="22"/>
      <c r="D97" s="28"/>
      <c r="E97" s="23" t="str">
        <f>IF($D97="","",IFERROR(VLOOKUP($D97,'ACAS Consumables Tracker'!$A:$H,8,FALSE()),""))</f>
        <v/>
      </c>
      <c r="F97" s="24"/>
      <c r="G97" s="25" t="str">
        <f>IF($D97="","",IFERROR(VLOOKUP($D97,'ACAS Consumables Tracker'!$A:$D,4,FALSE()),""))</f>
        <v/>
      </c>
      <c r="H97" s="22"/>
    </row>
    <row r="98" spans="1:8">
      <c r="A98" s="21"/>
      <c r="B98" s="28"/>
      <c r="C98" s="22"/>
      <c r="D98" s="28"/>
      <c r="E98" s="23" t="str">
        <f>IF($D98="","",IFERROR(VLOOKUP($D98,'ACAS Consumables Tracker'!$A:$H,8,FALSE()),""))</f>
        <v/>
      </c>
      <c r="F98" s="24"/>
      <c r="G98" s="25" t="str">
        <f>IF($D98="","",IFERROR(VLOOKUP($D98,'ACAS Consumables Tracker'!$A:$D,4,FALSE()),""))</f>
        <v/>
      </c>
      <c r="H98" s="22"/>
    </row>
    <row r="99" spans="1:8">
      <c r="A99" s="21"/>
      <c r="B99" s="28"/>
      <c r="C99" s="22"/>
      <c r="D99" s="28"/>
      <c r="E99" s="23" t="str">
        <f>IF($D99="","",IFERROR(VLOOKUP($D99,'ACAS Consumables Tracker'!$A:$H,8,FALSE()),""))</f>
        <v/>
      </c>
      <c r="F99" s="24"/>
      <c r="G99" s="25" t="str">
        <f>IF($D99="","",IFERROR(VLOOKUP($D99,'ACAS Consumables Tracker'!$A:$D,4,FALSE()),""))</f>
        <v/>
      </c>
      <c r="H99" s="22"/>
    </row>
    <row r="100" spans="1:8">
      <c r="A100" s="21"/>
      <c r="B100" s="28"/>
      <c r="C100" s="22"/>
      <c r="D100" s="28"/>
      <c r="E100" s="23" t="str">
        <f>IF($D100="","",IFERROR(VLOOKUP($D100,'ACAS Consumables Tracker'!$A:$H,8,FALSE()),""))</f>
        <v/>
      </c>
      <c r="F100" s="24"/>
      <c r="G100" s="25" t="str">
        <f>IF($D100="","",IFERROR(VLOOKUP($D100,'ACAS Consumables Tracker'!$A:$D,4,FALSE()),""))</f>
        <v/>
      </c>
      <c r="H100" s="22"/>
    </row>
    <row r="101" spans="1:8">
      <c r="A101" s="21"/>
      <c r="B101" s="28"/>
      <c r="C101" s="22"/>
      <c r="D101" s="28"/>
      <c r="E101" s="23" t="str">
        <f>IF($D101="","",IFERROR(VLOOKUP($D101,'ACAS Consumables Tracker'!$A:$H,8,FALSE()),""))</f>
        <v/>
      </c>
      <c r="F101" s="24"/>
      <c r="G101" s="25" t="str">
        <f>IF($D101="","",IFERROR(VLOOKUP($D101,'ACAS Consumables Tracker'!$A:$D,4,FALSE()),""))</f>
        <v/>
      </c>
      <c r="H101" s="22"/>
    </row>
    <row r="102" spans="1:8">
      <c r="A102" s="21"/>
      <c r="B102" s="28"/>
      <c r="C102" s="22"/>
      <c r="D102" s="28"/>
      <c r="E102" s="23" t="str">
        <f>IF($D102="","",IFERROR(VLOOKUP($D102,'ACAS Consumables Tracker'!$A:$H,8,FALSE()),""))</f>
        <v/>
      </c>
      <c r="F102" s="24"/>
      <c r="G102" s="25" t="str">
        <f>IF($D102="","",IFERROR(VLOOKUP($D102,'ACAS Consumables Tracker'!$A:$D,4,FALSE()),""))</f>
        <v/>
      </c>
      <c r="H102" s="22"/>
    </row>
    <row r="103" spans="1:8">
      <c r="A103" s="21"/>
      <c r="B103" s="28"/>
      <c r="C103" s="22"/>
      <c r="D103" s="28"/>
      <c r="E103" s="23" t="str">
        <f>IF($D103="","",IFERROR(VLOOKUP($D103,'ACAS Consumables Tracker'!$A:$H,8,FALSE()),""))</f>
        <v/>
      </c>
      <c r="F103" s="24"/>
      <c r="G103" s="25" t="str">
        <f>IF($D103="","",IFERROR(VLOOKUP($D103,'ACAS Consumables Tracker'!$A:$D,4,FALSE()),""))</f>
        <v/>
      </c>
      <c r="H103" s="22"/>
    </row>
    <row r="104" spans="1:8">
      <c r="A104" s="21"/>
      <c r="B104" s="28"/>
      <c r="C104" s="22"/>
      <c r="D104" s="28"/>
      <c r="E104" s="23" t="str">
        <f>IF($D104="","",IFERROR(VLOOKUP($D104,'ACAS Consumables Tracker'!$A:$H,8,FALSE()),""))</f>
        <v/>
      </c>
      <c r="F104" s="24"/>
      <c r="G104" s="25" t="str">
        <f>IF($D104="","",IFERROR(VLOOKUP($D104,'ACAS Consumables Tracker'!$A:$D,4,FALSE()),""))</f>
        <v/>
      </c>
      <c r="H104" s="22"/>
    </row>
    <row r="105" spans="1:8">
      <c r="A105" s="21"/>
      <c r="B105" s="28"/>
      <c r="C105" s="22"/>
      <c r="D105" s="28"/>
      <c r="E105" s="23" t="str">
        <f>IF($D105="","",IFERROR(VLOOKUP($D105,'ACAS Consumables Tracker'!$A:$H,8,FALSE()),""))</f>
        <v/>
      </c>
      <c r="F105" s="24"/>
      <c r="G105" s="25" t="str">
        <f>IF($D105="","",IFERROR(VLOOKUP($D105,'ACAS Consumables Tracker'!$A:$D,4,FALSE()),""))</f>
        <v/>
      </c>
      <c r="H105" s="22"/>
    </row>
    <row r="106" spans="1:8">
      <c r="A106" s="21"/>
      <c r="B106" s="28"/>
      <c r="C106" s="22"/>
      <c r="D106" s="28"/>
      <c r="E106" s="23" t="str">
        <f>IF($D106="","",IFERROR(VLOOKUP($D106,'ACAS Consumables Tracker'!$A:$H,8,FALSE()),""))</f>
        <v/>
      </c>
      <c r="F106" s="24"/>
      <c r="G106" s="25" t="str">
        <f>IF($D106="","",IFERROR(VLOOKUP($D106,'ACAS Consumables Tracker'!$A:$D,4,FALSE()),""))</f>
        <v/>
      </c>
      <c r="H106" s="22"/>
    </row>
    <row r="107" spans="1:8">
      <c r="A107" s="21"/>
      <c r="B107" s="28"/>
      <c r="C107" s="22"/>
      <c r="D107" s="28"/>
      <c r="E107" s="23" t="str">
        <f>IF($D107="","",IFERROR(VLOOKUP($D107,'ACAS Consumables Tracker'!$A:$H,8,FALSE()),""))</f>
        <v/>
      </c>
      <c r="F107" s="24"/>
      <c r="G107" s="25" t="str">
        <f>IF($D107="","",IFERROR(VLOOKUP($D107,'ACAS Consumables Tracker'!$A:$D,4,FALSE()),""))</f>
        <v/>
      </c>
      <c r="H107" s="22"/>
    </row>
    <row r="108" spans="1:8">
      <c r="A108" s="21"/>
      <c r="B108" s="28"/>
      <c r="C108" s="22"/>
      <c r="D108" s="28"/>
      <c r="E108" s="23" t="str">
        <f>IF($D108="","",IFERROR(VLOOKUP($D108,'ACAS Consumables Tracker'!$A:$H,8,FALSE()),""))</f>
        <v/>
      </c>
      <c r="F108" s="24"/>
      <c r="G108" s="25" t="str">
        <f>IF($D108="","",IFERROR(VLOOKUP($D108,'ACAS Consumables Tracker'!$A:$D,4,FALSE()),""))</f>
        <v/>
      </c>
      <c r="H108" s="22"/>
    </row>
    <row r="109" spans="1:8">
      <c r="A109" s="21"/>
      <c r="B109" s="28"/>
      <c r="C109" s="22"/>
      <c r="D109" s="28"/>
      <c r="E109" s="23" t="str">
        <f>IF($D109="","",IFERROR(VLOOKUP($D109,'ACAS Consumables Tracker'!$A:$H,8,FALSE()),""))</f>
        <v/>
      </c>
      <c r="F109" s="24"/>
      <c r="G109" s="25" t="str">
        <f>IF($D109="","",IFERROR(VLOOKUP($D109,'ACAS Consumables Tracker'!$A:$D,4,FALSE()),""))</f>
        <v/>
      </c>
      <c r="H109" s="22"/>
    </row>
    <row r="110" spans="1:8">
      <c r="A110" s="21"/>
      <c r="B110" s="28"/>
      <c r="C110" s="22"/>
      <c r="D110" s="28"/>
      <c r="E110" s="23" t="str">
        <f>IF($D110="","",IFERROR(VLOOKUP($D110,'ACAS Consumables Tracker'!$A:$H,8,FALSE()),""))</f>
        <v/>
      </c>
      <c r="F110" s="24"/>
      <c r="G110" s="25" t="str">
        <f>IF($D110="","",IFERROR(VLOOKUP($D110,'ACAS Consumables Tracker'!$A:$D,4,FALSE()),""))</f>
        <v/>
      </c>
      <c r="H110" s="22"/>
    </row>
    <row r="111" spans="1:8">
      <c r="A111" s="21"/>
      <c r="B111" s="28"/>
      <c r="C111" s="22"/>
      <c r="D111" s="28"/>
      <c r="E111" s="23" t="str">
        <f>IF($D111="","",IFERROR(VLOOKUP($D111,'ACAS Consumables Tracker'!$A:$H,8,FALSE()),""))</f>
        <v/>
      </c>
      <c r="F111" s="24"/>
      <c r="G111" s="25" t="str">
        <f>IF($D111="","",IFERROR(VLOOKUP($D111,'ACAS Consumables Tracker'!$A:$D,4,FALSE()),""))</f>
        <v/>
      </c>
      <c r="H111" s="22"/>
    </row>
    <row r="112" spans="1:8">
      <c r="A112" s="21"/>
      <c r="B112" s="28"/>
      <c r="C112" s="22"/>
      <c r="D112" s="28"/>
      <c r="E112" s="23" t="str">
        <f>IF($D112="","",IFERROR(VLOOKUP($D112,'ACAS Consumables Tracker'!$A:$H,8,FALSE()),""))</f>
        <v/>
      </c>
      <c r="F112" s="24"/>
      <c r="G112" s="25" t="str">
        <f>IF($D112="","",IFERROR(VLOOKUP($D112,'ACAS Consumables Tracker'!$A:$D,4,FALSE()),""))</f>
        <v/>
      </c>
      <c r="H112" s="22"/>
    </row>
    <row r="113" spans="1:8">
      <c r="A113" s="21"/>
      <c r="B113" s="28"/>
      <c r="C113" s="22"/>
      <c r="D113" s="28"/>
      <c r="E113" s="23" t="str">
        <f>IF($D113="","",IFERROR(VLOOKUP($D113,'ACAS Consumables Tracker'!$A:$H,8,FALSE()),""))</f>
        <v/>
      </c>
      <c r="F113" s="24"/>
      <c r="G113" s="25" t="str">
        <f>IF($D113="","",IFERROR(VLOOKUP($D113,'ACAS Consumables Tracker'!$A:$D,4,FALSE()),""))</f>
        <v/>
      </c>
      <c r="H113" s="22"/>
    </row>
    <row r="114" spans="1:8">
      <c r="A114" s="21"/>
      <c r="B114" s="28"/>
      <c r="C114" s="22"/>
      <c r="D114" s="28"/>
      <c r="E114" s="23" t="str">
        <f>IF($D114="","",IFERROR(VLOOKUP($D114,'ACAS Consumables Tracker'!$A:$H,8,FALSE()),""))</f>
        <v/>
      </c>
      <c r="F114" s="24"/>
      <c r="G114" s="25" t="str">
        <f>IF($D114="","",IFERROR(VLOOKUP($D114,'ACAS Consumables Tracker'!$A:$D,4,FALSE()),""))</f>
        <v/>
      </c>
      <c r="H114" s="22"/>
    </row>
    <row r="115" spans="1:8">
      <c r="A115" s="21"/>
      <c r="B115" s="28"/>
      <c r="C115" s="22"/>
      <c r="D115" s="28"/>
      <c r="E115" s="23" t="str">
        <f>IF($D115="","",IFERROR(VLOOKUP($D115,'ACAS Consumables Tracker'!$A:$H,8,FALSE()),""))</f>
        <v/>
      </c>
      <c r="F115" s="24"/>
      <c r="G115" s="25" t="str">
        <f>IF($D115="","",IFERROR(VLOOKUP($D115,'ACAS Consumables Tracker'!$A:$D,4,FALSE()),""))</f>
        <v/>
      </c>
      <c r="H115" s="22"/>
    </row>
    <row r="116" spans="1:8">
      <c r="A116" s="21"/>
      <c r="B116" s="28"/>
      <c r="C116" s="22"/>
      <c r="D116" s="28"/>
      <c r="E116" s="23" t="str">
        <f>IF($D116="","",IFERROR(VLOOKUP($D116,'ACAS Consumables Tracker'!$A:$H,8,FALSE()),""))</f>
        <v/>
      </c>
      <c r="F116" s="24"/>
      <c r="G116" s="25" t="str">
        <f>IF($D116="","",IFERROR(VLOOKUP($D116,'ACAS Consumables Tracker'!$A:$D,4,FALSE()),""))</f>
        <v/>
      </c>
      <c r="H116" s="22"/>
    </row>
    <row r="117" spans="1:8">
      <c r="A117" s="21"/>
      <c r="B117" s="28"/>
      <c r="C117" s="22"/>
      <c r="D117" s="28"/>
      <c r="E117" s="23" t="str">
        <f>IF($D117="","",IFERROR(VLOOKUP($D117,'ACAS Consumables Tracker'!$A:$H,8,FALSE()),""))</f>
        <v/>
      </c>
      <c r="F117" s="24"/>
      <c r="G117" s="25" t="str">
        <f>IF($D117="","",IFERROR(VLOOKUP($D117,'ACAS Consumables Tracker'!$A:$D,4,FALSE()),""))</f>
        <v/>
      </c>
      <c r="H117" s="22"/>
    </row>
    <row r="118" spans="1:8">
      <c r="A118" s="21"/>
      <c r="B118" s="28"/>
      <c r="C118" s="22"/>
      <c r="D118" s="28"/>
      <c r="E118" s="23" t="str">
        <f>IF($D118="","",IFERROR(VLOOKUP($D118,'ACAS Consumables Tracker'!$A:$H,8,FALSE()),""))</f>
        <v/>
      </c>
      <c r="F118" s="24"/>
      <c r="G118" s="25" t="str">
        <f>IF($D118="","",IFERROR(VLOOKUP($D118,'ACAS Consumables Tracker'!$A:$D,4,FALSE()),""))</f>
        <v/>
      </c>
      <c r="H118" s="22"/>
    </row>
    <row r="119" spans="1:8">
      <c r="A119" s="21"/>
      <c r="B119" s="28"/>
      <c r="C119" s="22"/>
      <c r="D119" s="28"/>
      <c r="E119" s="23" t="str">
        <f>IF($D119="","",IFERROR(VLOOKUP($D119,'ACAS Consumables Tracker'!$A:$H,8,FALSE()),""))</f>
        <v/>
      </c>
      <c r="F119" s="24"/>
      <c r="G119" s="25" t="str">
        <f>IF($D119="","",IFERROR(VLOOKUP($D119,'ACAS Consumables Tracker'!$A:$D,4,FALSE()),""))</f>
        <v/>
      </c>
      <c r="H119" s="22"/>
    </row>
    <row r="120" spans="1:8">
      <c r="A120" s="21"/>
      <c r="B120" s="28"/>
      <c r="C120" s="22"/>
      <c r="D120" s="28"/>
      <c r="E120" s="23" t="str">
        <f>IF($D120="","",IFERROR(VLOOKUP($D120,'ACAS Consumables Tracker'!$A:$H,8,FALSE()),""))</f>
        <v/>
      </c>
      <c r="F120" s="24"/>
      <c r="G120" s="25" t="str">
        <f>IF($D120="","",IFERROR(VLOOKUP($D120,'ACAS Consumables Tracker'!$A:$D,4,FALSE()),""))</f>
        <v/>
      </c>
      <c r="H120" s="22"/>
    </row>
    <row r="121" spans="1:8">
      <c r="A121" s="21"/>
      <c r="B121" s="28"/>
      <c r="C121" s="22"/>
      <c r="D121" s="28"/>
      <c r="E121" s="23" t="str">
        <f>IF($D121="","",IFERROR(VLOOKUP($D121,'ACAS Consumables Tracker'!$A:$H,8,FALSE()),""))</f>
        <v/>
      </c>
      <c r="F121" s="24"/>
      <c r="G121" s="25" t="str">
        <f>IF($D121="","",IFERROR(VLOOKUP($D121,'ACAS Consumables Tracker'!$A:$D,4,FALSE()),""))</f>
        <v/>
      </c>
      <c r="H121" s="22"/>
    </row>
    <row r="122" spans="1:8">
      <c r="A122" s="21"/>
      <c r="B122" s="28"/>
      <c r="C122" s="22"/>
      <c r="D122" s="28"/>
      <c r="E122" s="23" t="str">
        <f>IF($D122="","",IFERROR(VLOOKUP($D122,'ACAS Consumables Tracker'!$A:$H,8,FALSE()),""))</f>
        <v/>
      </c>
      <c r="F122" s="24"/>
      <c r="G122" s="25" t="str">
        <f>IF($D122="","",IFERROR(VLOOKUP($D122,'ACAS Consumables Tracker'!$A:$D,4,FALSE()),""))</f>
        <v/>
      </c>
      <c r="H122" s="22"/>
    </row>
    <row r="123" spans="1:8">
      <c r="A123" s="21"/>
      <c r="B123" s="28"/>
      <c r="C123" s="22"/>
      <c r="D123" s="28"/>
      <c r="E123" s="23" t="str">
        <f>IF($D123="","",IFERROR(VLOOKUP($D123,'ACAS Consumables Tracker'!$A:$H,8,FALSE()),""))</f>
        <v/>
      </c>
      <c r="F123" s="24"/>
      <c r="G123" s="25" t="str">
        <f>IF($D123="","",IFERROR(VLOOKUP($D123,'ACAS Consumables Tracker'!$A:$D,4,FALSE()),""))</f>
        <v/>
      </c>
      <c r="H123" s="22"/>
    </row>
    <row r="124" spans="1:8">
      <c r="A124" s="21"/>
      <c r="B124" s="28"/>
      <c r="C124" s="22"/>
      <c r="D124" s="28"/>
      <c r="E124" s="23" t="str">
        <f>IF($D124="","",IFERROR(VLOOKUP($D124,'ACAS Consumables Tracker'!$A:$H,8,FALSE()),""))</f>
        <v/>
      </c>
      <c r="F124" s="24"/>
      <c r="G124" s="25" t="str">
        <f>IF($D124="","",IFERROR(VLOOKUP($D124,'ACAS Consumables Tracker'!$A:$D,4,FALSE()),""))</f>
        <v/>
      </c>
      <c r="H124" s="22"/>
    </row>
    <row r="125" spans="1:8">
      <c r="A125" s="21"/>
      <c r="B125" s="28"/>
      <c r="C125" s="22"/>
      <c r="D125" s="28"/>
      <c r="E125" s="23" t="str">
        <f>IF($D125="","",IFERROR(VLOOKUP($D125,'ACAS Consumables Tracker'!$A:$H,8,FALSE()),""))</f>
        <v/>
      </c>
      <c r="F125" s="24"/>
      <c r="G125" s="25" t="str">
        <f>IF($D125="","",IFERROR(VLOOKUP($D125,'ACAS Consumables Tracker'!$A:$D,4,FALSE()),""))</f>
        <v/>
      </c>
      <c r="H125" s="22"/>
    </row>
    <row r="126" spans="1:8">
      <c r="A126" s="21"/>
      <c r="B126" s="28"/>
      <c r="C126" s="22"/>
      <c r="D126" s="28"/>
      <c r="E126" s="23" t="str">
        <f>IF($D126="","",IFERROR(VLOOKUP($D126,'ACAS Consumables Tracker'!$A:$H,8,FALSE()),""))</f>
        <v/>
      </c>
      <c r="F126" s="24"/>
      <c r="G126" s="25" t="str">
        <f>IF($D126="","",IFERROR(VLOOKUP($D126,'ACAS Consumables Tracker'!$A:$D,4,FALSE()),""))</f>
        <v/>
      </c>
      <c r="H126" s="22"/>
    </row>
    <row r="127" spans="1:8">
      <c r="A127" s="21"/>
      <c r="B127" s="28"/>
      <c r="C127" s="22"/>
      <c r="D127" s="28"/>
      <c r="E127" s="23" t="str">
        <f>IF($D127="","",IFERROR(VLOOKUP($D127,'ACAS Consumables Tracker'!$A:$H,8,FALSE()),""))</f>
        <v/>
      </c>
      <c r="F127" s="24"/>
      <c r="G127" s="25" t="str">
        <f>IF($D127="","",IFERROR(VLOOKUP($D127,'ACAS Consumables Tracker'!$A:$D,4,FALSE()),""))</f>
        <v/>
      </c>
      <c r="H127" s="22"/>
    </row>
    <row r="128" spans="1:8">
      <c r="A128" s="21"/>
      <c r="B128" s="28"/>
      <c r="C128" s="22"/>
      <c r="D128" s="28"/>
      <c r="E128" s="23" t="str">
        <f>IF($D128="","",IFERROR(VLOOKUP($D128,'ACAS Consumables Tracker'!$A:$H,8,FALSE()),""))</f>
        <v/>
      </c>
      <c r="F128" s="24"/>
      <c r="G128" s="25" t="str">
        <f>IF($D128="","",IFERROR(VLOOKUP($D128,'ACAS Consumables Tracker'!$A:$D,4,FALSE()),""))</f>
        <v/>
      </c>
      <c r="H128" s="22"/>
    </row>
    <row r="129" spans="1:8">
      <c r="A129" s="21"/>
      <c r="B129" s="28"/>
      <c r="C129" s="22"/>
      <c r="D129" s="28"/>
      <c r="E129" s="23" t="str">
        <f>IF($D129="","",IFERROR(VLOOKUP($D129,'ACAS Consumables Tracker'!$A:$H,8,FALSE()),""))</f>
        <v/>
      </c>
      <c r="F129" s="24"/>
      <c r="G129" s="25" t="str">
        <f>IF($D129="","",IFERROR(VLOOKUP($D129,'ACAS Consumables Tracker'!$A:$D,4,FALSE()),""))</f>
        <v/>
      </c>
      <c r="H129" s="22"/>
    </row>
    <row r="130" spans="1:8">
      <c r="A130" s="21"/>
      <c r="B130" s="28"/>
      <c r="C130" s="22"/>
      <c r="D130" s="28"/>
      <c r="E130" s="23" t="str">
        <f>IF($D130="","",IFERROR(VLOOKUP($D130,'ACAS Consumables Tracker'!$A:$H,8,FALSE()),""))</f>
        <v/>
      </c>
      <c r="F130" s="24"/>
      <c r="G130" s="25" t="str">
        <f>IF($D130="","",IFERROR(VLOOKUP($D130,'ACAS Consumables Tracker'!$A:$D,4,FALSE()),""))</f>
        <v/>
      </c>
      <c r="H130" s="22"/>
    </row>
    <row r="131" spans="1:8">
      <c r="A131" s="21"/>
      <c r="B131" s="28"/>
      <c r="C131" s="22"/>
      <c r="D131" s="28"/>
      <c r="E131" s="23" t="str">
        <f>IF($D131="","",IFERROR(VLOOKUP($D131,'ACAS Consumables Tracker'!$A:$H,8,FALSE()),""))</f>
        <v/>
      </c>
      <c r="F131" s="24"/>
      <c r="G131" s="25" t="str">
        <f>IF($D131="","",IFERROR(VLOOKUP($D131,'ACAS Consumables Tracker'!$A:$D,4,FALSE()),""))</f>
        <v/>
      </c>
      <c r="H131" s="22"/>
    </row>
    <row r="132" spans="1:8">
      <c r="A132" s="21"/>
      <c r="B132" s="28"/>
      <c r="C132" s="22"/>
      <c r="D132" s="28"/>
      <c r="E132" s="23" t="str">
        <f>IF($D132="","",IFERROR(VLOOKUP($D132,'ACAS Consumables Tracker'!$A:$H,8,FALSE()),""))</f>
        <v/>
      </c>
      <c r="F132" s="24"/>
      <c r="G132" s="25" t="str">
        <f>IF($D132="","",IFERROR(VLOOKUP($D132,'ACAS Consumables Tracker'!$A:$D,4,FALSE()),""))</f>
        <v/>
      </c>
      <c r="H132" s="22"/>
    </row>
    <row r="133" spans="1:8">
      <c r="A133" s="21"/>
      <c r="B133" s="28"/>
      <c r="C133" s="22"/>
      <c r="D133" s="28"/>
      <c r="E133" s="23" t="str">
        <f>IF($D133="","",IFERROR(VLOOKUP($D133,'ACAS Consumables Tracker'!$A:$H,8,FALSE()),""))</f>
        <v/>
      </c>
      <c r="F133" s="24"/>
      <c r="G133" s="25" t="str">
        <f>IF($D133="","",IFERROR(VLOOKUP($D133,'ACAS Consumables Tracker'!$A:$D,4,FALSE()),""))</f>
        <v/>
      </c>
      <c r="H133" s="22"/>
    </row>
    <row r="134" spans="1:8">
      <c r="A134" s="21"/>
      <c r="B134" s="28"/>
      <c r="C134" s="22"/>
      <c r="D134" s="28"/>
      <c r="E134" s="23" t="str">
        <f>IF($D134="","",IFERROR(VLOOKUP($D134,'ACAS Consumables Tracker'!$A:$H,8,FALSE()),""))</f>
        <v/>
      </c>
      <c r="F134" s="24"/>
      <c r="G134" s="25" t="str">
        <f>IF($D134="","",IFERROR(VLOOKUP($D134,'ACAS Consumables Tracker'!$A:$D,4,FALSE()),""))</f>
        <v/>
      </c>
      <c r="H134" s="22"/>
    </row>
    <row r="135" spans="1:8">
      <c r="A135" s="21"/>
      <c r="B135" s="28"/>
      <c r="C135" s="22"/>
      <c r="D135" s="28"/>
      <c r="E135" s="23" t="str">
        <f>IF($D135="","",IFERROR(VLOOKUP($D135,'ACAS Consumables Tracker'!$A:$H,8,FALSE()),""))</f>
        <v/>
      </c>
      <c r="F135" s="24"/>
      <c r="G135" s="25" t="str">
        <f>IF($D135="","",IFERROR(VLOOKUP($D135,'ACAS Consumables Tracker'!$A:$D,4,FALSE()),""))</f>
        <v/>
      </c>
      <c r="H135" s="22"/>
    </row>
    <row r="136" spans="1:8">
      <c r="A136" s="21"/>
      <c r="B136" s="28"/>
      <c r="C136" s="22"/>
      <c r="D136" s="28"/>
      <c r="E136" s="23" t="str">
        <f>IF($D136="","",IFERROR(VLOOKUP($D136,'ACAS Consumables Tracker'!$A:$H,8,FALSE()),""))</f>
        <v/>
      </c>
      <c r="F136" s="24"/>
      <c r="G136" s="25" t="str">
        <f>IF($D136="","",IFERROR(VLOOKUP($D136,'ACAS Consumables Tracker'!$A:$D,4,FALSE()),""))</f>
        <v/>
      </c>
      <c r="H136" s="22"/>
    </row>
    <row r="137" spans="1:8">
      <c r="A137" s="21"/>
      <c r="B137" s="28"/>
      <c r="C137" s="22"/>
      <c r="D137" s="28"/>
      <c r="E137" s="23" t="str">
        <f>IF($D137="","",IFERROR(VLOOKUP($D137,'ACAS Consumables Tracker'!$A:$H,8,FALSE()),""))</f>
        <v/>
      </c>
      <c r="F137" s="24"/>
      <c r="G137" s="25" t="str">
        <f>IF($D137="","",IFERROR(VLOOKUP($D137,'ACAS Consumables Tracker'!$A:$D,4,FALSE()),""))</f>
        <v/>
      </c>
      <c r="H137" s="22"/>
    </row>
    <row r="138" spans="1:8">
      <c r="A138" s="21"/>
      <c r="B138" s="28"/>
      <c r="C138" s="22"/>
      <c r="D138" s="28"/>
      <c r="E138" s="23" t="str">
        <f>IF($D138="","",IFERROR(VLOOKUP($D138,'ACAS Consumables Tracker'!$A:$H,8,FALSE()),""))</f>
        <v/>
      </c>
      <c r="F138" s="24"/>
      <c r="G138" s="25" t="str">
        <f>IF($D138="","",IFERROR(VLOOKUP($D138,'ACAS Consumables Tracker'!$A:$D,4,FALSE()),""))</f>
        <v/>
      </c>
      <c r="H138" s="22"/>
    </row>
    <row r="139" spans="1:8">
      <c r="A139" s="21"/>
      <c r="B139" s="28"/>
      <c r="C139" s="22"/>
      <c r="D139" s="28"/>
      <c r="E139" s="23" t="str">
        <f>IF($D139="","",IFERROR(VLOOKUP($D139,'ACAS Consumables Tracker'!$A:$H,8,FALSE()),""))</f>
        <v/>
      </c>
      <c r="F139" s="24"/>
      <c r="G139" s="25" t="str">
        <f>IF($D139="","",IFERROR(VLOOKUP($D139,'ACAS Consumables Tracker'!$A:$D,4,FALSE()),""))</f>
        <v/>
      </c>
      <c r="H139" s="22"/>
    </row>
    <row r="140" spans="1:8">
      <c r="A140" s="21"/>
      <c r="B140" s="28"/>
      <c r="C140" s="22"/>
      <c r="D140" s="28"/>
      <c r="E140" s="23" t="str">
        <f>IF($D140="","",IFERROR(VLOOKUP($D140,'ACAS Consumables Tracker'!$A:$H,8,FALSE()),""))</f>
        <v/>
      </c>
      <c r="F140" s="24"/>
      <c r="G140" s="25" t="str">
        <f>IF($D140="","",IFERROR(VLOOKUP($D140,'ACAS Consumables Tracker'!$A:$D,4,FALSE()),""))</f>
        <v/>
      </c>
      <c r="H140" s="22"/>
    </row>
    <row r="141" spans="1:8">
      <c r="A141" s="21"/>
      <c r="B141" s="28"/>
      <c r="C141" s="22"/>
      <c r="D141" s="28"/>
      <c r="E141" s="23" t="str">
        <f>IF($D141="","",IFERROR(VLOOKUP($D141,'ACAS Consumables Tracker'!$A:$H,8,FALSE()),""))</f>
        <v/>
      </c>
      <c r="F141" s="24"/>
      <c r="G141" s="25" t="str">
        <f>IF($D141="","",IFERROR(VLOOKUP($D141,'ACAS Consumables Tracker'!$A:$D,4,FALSE()),""))</f>
        <v/>
      </c>
      <c r="H141" s="22"/>
    </row>
    <row r="142" spans="1:8">
      <c r="A142" s="21"/>
      <c r="B142" s="28"/>
      <c r="C142" s="22"/>
      <c r="D142" s="28"/>
      <c r="E142" s="23" t="str">
        <f>IF($D142="","",IFERROR(VLOOKUP($D142,'ACAS Consumables Tracker'!$A:$H,8,FALSE()),""))</f>
        <v/>
      </c>
      <c r="F142" s="24"/>
      <c r="G142" s="25" t="str">
        <f>IF($D142="","",IFERROR(VLOOKUP($D142,'ACAS Consumables Tracker'!$A:$D,4,FALSE()),""))</f>
        <v/>
      </c>
      <c r="H142" s="22"/>
    </row>
    <row r="143" spans="1:8">
      <c r="A143" s="21"/>
      <c r="B143" s="28"/>
      <c r="C143" s="22"/>
      <c r="D143" s="28"/>
      <c r="E143" s="23" t="str">
        <f>IF($D143="","",IFERROR(VLOOKUP($D143,'ACAS Consumables Tracker'!$A:$H,8,FALSE()),""))</f>
        <v/>
      </c>
      <c r="F143" s="24"/>
      <c r="G143" s="25" t="str">
        <f>IF($D143="","",IFERROR(VLOOKUP($D143,'ACAS Consumables Tracker'!$A:$D,4,FALSE()),""))</f>
        <v/>
      </c>
      <c r="H143" s="22"/>
    </row>
    <row r="144" spans="1:8">
      <c r="A144" s="21"/>
      <c r="B144" s="28"/>
      <c r="C144" s="22"/>
      <c r="D144" s="28"/>
      <c r="E144" s="23" t="str">
        <f>IF($D144="","",IFERROR(VLOOKUP($D144,'ACAS Consumables Tracker'!$A:$H,8,FALSE()),""))</f>
        <v/>
      </c>
      <c r="F144" s="24"/>
      <c r="G144" s="25" t="str">
        <f>IF($D144="","",IFERROR(VLOOKUP($D144,'ACAS Consumables Tracker'!$A:$D,4,FALSE()),""))</f>
        <v/>
      </c>
      <c r="H144" s="22"/>
    </row>
    <row r="145" spans="1:8">
      <c r="A145" s="21"/>
      <c r="B145" s="28"/>
      <c r="C145" s="22"/>
      <c r="D145" s="28"/>
      <c r="E145" s="23" t="str">
        <f>IF($D145="","",IFERROR(VLOOKUP($D145,'ACAS Consumables Tracker'!$A:$H,8,FALSE()),""))</f>
        <v/>
      </c>
      <c r="F145" s="24"/>
      <c r="G145" s="25" t="str">
        <f>IF($D145="","",IFERROR(VLOOKUP($D145,'ACAS Consumables Tracker'!$A:$D,4,FALSE()),""))</f>
        <v/>
      </c>
      <c r="H145" s="22"/>
    </row>
    <row r="146" spans="1:8">
      <c r="A146" s="21"/>
      <c r="B146" s="28"/>
      <c r="C146" s="22"/>
      <c r="D146" s="28"/>
      <c r="E146" s="23" t="str">
        <f>IF($D146="","",IFERROR(VLOOKUP($D146,'ACAS Consumables Tracker'!$A:$H,8,FALSE()),""))</f>
        <v/>
      </c>
      <c r="F146" s="24"/>
      <c r="G146" s="25" t="str">
        <f>IF($D146="","",IFERROR(VLOOKUP($D146,'ACAS Consumables Tracker'!$A:$D,4,FALSE()),""))</f>
        <v/>
      </c>
      <c r="H146" s="22"/>
    </row>
    <row r="147" spans="1:8">
      <c r="A147" s="21"/>
      <c r="B147" s="28"/>
      <c r="C147" s="22"/>
      <c r="D147" s="28"/>
      <c r="E147" s="23" t="str">
        <f>IF($D147="","",IFERROR(VLOOKUP($D147,'ACAS Consumables Tracker'!$A:$H,8,FALSE()),""))</f>
        <v/>
      </c>
      <c r="F147" s="24"/>
      <c r="G147" s="25" t="str">
        <f>IF($D147="","",IFERROR(VLOOKUP($D147,'ACAS Consumables Tracker'!$A:$D,4,FALSE()),""))</f>
        <v/>
      </c>
      <c r="H147" s="22"/>
    </row>
    <row r="148" spans="1:8">
      <c r="A148" s="21"/>
      <c r="B148" s="28"/>
      <c r="C148" s="22"/>
      <c r="D148" s="28"/>
      <c r="E148" s="23" t="str">
        <f>IF($D148="","",IFERROR(VLOOKUP($D148,'ACAS Consumables Tracker'!$A:$H,8,FALSE()),""))</f>
        <v/>
      </c>
      <c r="F148" s="24"/>
      <c r="G148" s="25" t="str">
        <f>IF($D148="","",IFERROR(VLOOKUP($D148,'ACAS Consumables Tracker'!$A:$D,4,FALSE()),""))</f>
        <v/>
      </c>
      <c r="H148" s="22"/>
    </row>
    <row r="149" spans="1:8">
      <c r="A149" s="21"/>
      <c r="B149" s="28"/>
      <c r="C149" s="22"/>
      <c r="D149" s="28"/>
      <c r="E149" s="23" t="str">
        <f>IF($D149="","",IFERROR(VLOOKUP($D149,'ACAS Consumables Tracker'!$A:$H,8,FALSE()),""))</f>
        <v/>
      </c>
      <c r="F149" s="24"/>
      <c r="G149" s="25" t="str">
        <f>IF($D149="","",IFERROR(VLOOKUP($D149,'ACAS Consumables Tracker'!$A:$D,4,FALSE()),""))</f>
        <v/>
      </c>
      <c r="H149" s="22"/>
    </row>
    <row r="150" spans="1:8">
      <c r="A150" s="21"/>
      <c r="B150" s="28"/>
      <c r="C150" s="22"/>
      <c r="D150" s="28"/>
      <c r="E150" s="23" t="str">
        <f>IF($D150="","",IFERROR(VLOOKUP($D150,'ACAS Consumables Tracker'!$A:$H,8,FALSE()),""))</f>
        <v/>
      </c>
      <c r="F150" s="24"/>
      <c r="G150" s="25" t="str">
        <f>IF($D150="","",IFERROR(VLOOKUP($D150,'ACAS Consumables Tracker'!$A:$D,4,FALSE()),""))</f>
        <v/>
      </c>
      <c r="H150" s="22"/>
    </row>
    <row r="151" spans="1:8">
      <c r="A151" s="21"/>
      <c r="B151" s="28"/>
      <c r="C151" s="22"/>
      <c r="D151" s="28"/>
      <c r="E151" s="23" t="str">
        <f>IF($D151="","",IFERROR(VLOOKUP($D151,'ACAS Consumables Tracker'!$A:$H,8,FALSE()),""))</f>
        <v/>
      </c>
      <c r="F151" s="24"/>
      <c r="G151" s="25" t="str">
        <f>IF($D151="","",IFERROR(VLOOKUP($D151,'ACAS Consumables Tracker'!$A:$D,4,FALSE()),""))</f>
        <v/>
      </c>
      <c r="H151" s="22"/>
    </row>
    <row r="152" spans="1:8">
      <c r="A152" s="21"/>
      <c r="B152" s="28"/>
      <c r="C152" s="22"/>
      <c r="D152" s="28"/>
      <c r="E152" s="23" t="str">
        <f>IF($D152="","",IFERROR(VLOOKUP($D152,'ACAS Consumables Tracker'!$A:$H,8,FALSE()),""))</f>
        <v/>
      </c>
      <c r="F152" s="24"/>
      <c r="G152" s="25" t="str">
        <f>IF($D152="","",IFERROR(VLOOKUP($D152,'ACAS Consumables Tracker'!$A:$D,4,FALSE()),""))</f>
        <v/>
      </c>
      <c r="H152" s="22"/>
    </row>
    <row r="153" spans="1:8">
      <c r="A153" s="21"/>
      <c r="B153" s="28"/>
      <c r="C153" s="22"/>
      <c r="D153" s="28"/>
      <c r="E153" s="23" t="str">
        <f>IF($D153="","",IFERROR(VLOOKUP($D153,'ACAS Consumables Tracker'!$A:$H,8,FALSE()),""))</f>
        <v/>
      </c>
      <c r="F153" s="24"/>
      <c r="G153" s="25" t="str">
        <f>IF($D153="","",IFERROR(VLOOKUP($D153,'ACAS Consumables Tracker'!$A:$D,4,FALSE()),""))</f>
        <v/>
      </c>
      <c r="H153" s="22"/>
    </row>
    <row r="154" spans="1:8">
      <c r="A154" s="21"/>
      <c r="B154" s="28"/>
      <c r="C154" s="22"/>
      <c r="D154" s="28"/>
      <c r="E154" s="23" t="str">
        <f>IF($D154="","",IFERROR(VLOOKUP($D154,'ACAS Consumables Tracker'!$A:$H,8,FALSE()),""))</f>
        <v/>
      </c>
      <c r="F154" s="24"/>
      <c r="G154" s="25" t="str">
        <f>IF($D154="","",IFERROR(VLOOKUP($D154,'ACAS Consumables Tracker'!$A:$D,4,FALSE()),""))</f>
        <v/>
      </c>
      <c r="H154" s="22"/>
    </row>
    <row r="155" spans="1:8">
      <c r="A155" s="21"/>
      <c r="B155" s="28"/>
      <c r="C155" s="22"/>
      <c r="D155" s="28"/>
      <c r="E155" s="23" t="str">
        <f>IF($D155="","",IFERROR(VLOOKUP($D155,'ACAS Consumables Tracker'!$A:$H,8,FALSE()),""))</f>
        <v/>
      </c>
      <c r="F155" s="24"/>
      <c r="G155" s="25" t="str">
        <f>IF($D155="","",IFERROR(VLOOKUP($D155,'ACAS Consumables Tracker'!$A:$D,4,FALSE()),""))</f>
        <v/>
      </c>
      <c r="H155" s="22"/>
    </row>
    <row r="156" spans="1:8">
      <c r="A156" s="21"/>
      <c r="B156" s="28"/>
      <c r="C156" s="22"/>
      <c r="D156" s="28"/>
      <c r="E156" s="23" t="str">
        <f>IF($D156="","",IFERROR(VLOOKUP($D156,'ACAS Consumables Tracker'!$A:$H,8,FALSE()),""))</f>
        <v/>
      </c>
      <c r="F156" s="24"/>
      <c r="G156" s="25" t="str">
        <f>IF($D156="","",IFERROR(VLOOKUP($D156,'ACAS Consumables Tracker'!$A:$D,4,FALSE()),""))</f>
        <v/>
      </c>
      <c r="H156" s="22"/>
    </row>
    <row r="157" spans="1:8">
      <c r="A157" s="21"/>
      <c r="B157" s="28"/>
      <c r="C157" s="22"/>
      <c r="D157" s="28"/>
      <c r="E157" s="23" t="str">
        <f>IF($D157="","",IFERROR(VLOOKUP($D157,'ACAS Consumables Tracker'!$A:$H,8,FALSE()),""))</f>
        <v/>
      </c>
      <c r="F157" s="24"/>
      <c r="G157" s="25" t="str">
        <f>IF($D157="","",IFERROR(VLOOKUP($D157,'ACAS Consumables Tracker'!$A:$D,4,FALSE()),""))</f>
        <v/>
      </c>
      <c r="H157" s="22"/>
    </row>
    <row r="158" spans="1:8">
      <c r="A158" s="21"/>
      <c r="B158" s="28"/>
      <c r="C158" s="22"/>
      <c r="D158" s="28"/>
      <c r="E158" s="23" t="str">
        <f>IF($D158="","",IFERROR(VLOOKUP($D158,'ACAS Consumables Tracker'!$A:$H,8,FALSE()),""))</f>
        <v/>
      </c>
      <c r="F158" s="24"/>
      <c r="G158" s="25" t="str">
        <f>IF($D158="","",IFERROR(VLOOKUP($D158,'ACAS Consumables Tracker'!$A:$D,4,FALSE()),""))</f>
        <v/>
      </c>
      <c r="H158" s="22"/>
    </row>
    <row r="159" spans="1:8">
      <c r="A159" s="21"/>
      <c r="B159" s="28"/>
      <c r="C159" s="22"/>
      <c r="D159" s="28"/>
      <c r="E159" s="23" t="str">
        <f>IF($D159="","",IFERROR(VLOOKUP($D159,'ACAS Consumables Tracker'!$A:$H,8,FALSE()),""))</f>
        <v/>
      </c>
      <c r="F159" s="24"/>
      <c r="G159" s="25" t="str">
        <f>IF($D159="","",IFERROR(VLOOKUP($D159,'ACAS Consumables Tracker'!$A:$D,4,FALSE()),""))</f>
        <v/>
      </c>
      <c r="H159" s="22"/>
    </row>
    <row r="160" spans="1:8">
      <c r="A160" s="21"/>
      <c r="B160" s="28"/>
      <c r="C160" s="22"/>
      <c r="D160" s="28"/>
      <c r="E160" s="23" t="str">
        <f>IF($D160="","",IFERROR(VLOOKUP($D160,'ACAS Consumables Tracker'!$A:$H,8,FALSE()),""))</f>
        <v/>
      </c>
      <c r="F160" s="24"/>
      <c r="G160" s="25" t="str">
        <f>IF($D160="","",IFERROR(VLOOKUP($D160,'ACAS Consumables Tracker'!$A:$D,4,FALSE()),""))</f>
        <v/>
      </c>
      <c r="H160" s="22"/>
    </row>
    <row r="161" spans="1:8">
      <c r="A161" s="21"/>
      <c r="B161" s="28"/>
      <c r="C161" s="22"/>
      <c r="D161" s="28"/>
      <c r="E161" s="23" t="str">
        <f>IF($D161="","",IFERROR(VLOOKUP($D161,'ACAS Consumables Tracker'!$A:$H,8,FALSE()),""))</f>
        <v/>
      </c>
      <c r="F161" s="24"/>
      <c r="G161" s="25" t="str">
        <f>IF($D161="","",IFERROR(VLOOKUP($D161,'ACAS Consumables Tracker'!$A:$D,4,FALSE()),""))</f>
        <v/>
      </c>
      <c r="H161" s="22"/>
    </row>
    <row r="162" spans="1:8">
      <c r="A162" s="21"/>
      <c r="B162" s="28"/>
      <c r="C162" s="22"/>
      <c r="D162" s="28"/>
      <c r="E162" s="23" t="str">
        <f>IF($D162="","",IFERROR(VLOOKUP($D162,'ACAS Consumables Tracker'!$A:$H,8,FALSE()),""))</f>
        <v/>
      </c>
      <c r="F162" s="24"/>
      <c r="G162" s="25" t="str">
        <f>IF($D162="","",IFERROR(VLOOKUP($D162,'ACAS Consumables Tracker'!$A:$D,4,FALSE()),""))</f>
        <v/>
      </c>
      <c r="H162" s="22"/>
    </row>
    <row r="163" spans="1:8">
      <c r="A163" s="21"/>
      <c r="B163" s="28"/>
      <c r="C163" s="22"/>
      <c r="D163" s="28"/>
      <c r="E163" s="23" t="str">
        <f>IF($D163="","",IFERROR(VLOOKUP($D163,'ACAS Consumables Tracker'!$A:$H,8,FALSE()),""))</f>
        <v/>
      </c>
      <c r="F163" s="24"/>
      <c r="G163" s="25" t="str">
        <f>IF($D163="","",IFERROR(VLOOKUP($D163,'ACAS Consumables Tracker'!$A:$D,4,FALSE()),""))</f>
        <v/>
      </c>
      <c r="H163" s="22"/>
    </row>
    <row r="164" spans="1:8">
      <c r="A164" s="21"/>
      <c r="B164" s="28"/>
      <c r="C164" s="22"/>
      <c r="D164" s="28"/>
      <c r="E164" s="23" t="str">
        <f>IF($D164="","",IFERROR(VLOOKUP($D164,'ACAS Consumables Tracker'!$A:$H,8,FALSE()),""))</f>
        <v/>
      </c>
      <c r="F164" s="24"/>
      <c r="G164" s="25" t="str">
        <f>IF($D164="","",IFERROR(VLOOKUP($D164,'ACAS Consumables Tracker'!$A:$D,4,FALSE()),""))</f>
        <v/>
      </c>
      <c r="H164" s="22"/>
    </row>
    <row r="165" spans="1:8">
      <c r="A165" s="21"/>
      <c r="B165" s="28"/>
      <c r="C165" s="22"/>
      <c r="D165" s="28"/>
      <c r="E165" s="23" t="str">
        <f>IF($D165="","",IFERROR(VLOOKUP($D165,'ACAS Consumables Tracker'!$A:$H,8,FALSE()),""))</f>
        <v/>
      </c>
      <c r="F165" s="24"/>
      <c r="G165" s="25" t="str">
        <f>IF($D165="","",IFERROR(VLOOKUP($D165,'ACAS Consumables Tracker'!$A:$D,4,FALSE()),""))</f>
        <v/>
      </c>
      <c r="H165" s="22"/>
    </row>
    <row r="166" spans="1:8">
      <c r="A166" s="21"/>
      <c r="B166" s="28"/>
      <c r="C166" s="22"/>
      <c r="D166" s="28"/>
      <c r="E166" s="23" t="str">
        <f>IF($D166="","",IFERROR(VLOOKUP($D166,'ACAS Consumables Tracker'!$A:$H,8,FALSE()),""))</f>
        <v/>
      </c>
      <c r="F166" s="24"/>
      <c r="G166" s="25" t="str">
        <f>IF($D166="","",IFERROR(VLOOKUP($D166,'ACAS Consumables Tracker'!$A:$D,4,FALSE()),""))</f>
        <v/>
      </c>
      <c r="H166" s="22"/>
    </row>
    <row r="167" spans="1:8">
      <c r="A167" s="21"/>
      <c r="B167" s="28"/>
      <c r="C167" s="22"/>
      <c r="D167" s="28"/>
      <c r="E167" s="23" t="str">
        <f>IF($D167="","",IFERROR(VLOOKUP($D167,'ACAS Consumables Tracker'!$A:$H,8,FALSE()),""))</f>
        <v/>
      </c>
      <c r="F167" s="24"/>
      <c r="G167" s="25" t="str">
        <f>IF($D167="","",IFERROR(VLOOKUP($D167,'ACAS Consumables Tracker'!$A:$D,4,FALSE()),""))</f>
        <v/>
      </c>
      <c r="H167" s="22"/>
    </row>
    <row r="168" spans="1:8">
      <c r="A168" s="21"/>
      <c r="B168" s="28"/>
      <c r="C168" s="22"/>
      <c r="D168" s="28"/>
      <c r="E168" s="23" t="str">
        <f>IF($D168="","",IFERROR(VLOOKUP($D168,'ACAS Consumables Tracker'!$A:$H,8,FALSE()),""))</f>
        <v/>
      </c>
      <c r="F168" s="24"/>
      <c r="G168" s="25" t="str">
        <f>IF($D168="","",IFERROR(VLOOKUP($D168,'ACAS Consumables Tracker'!$A:$D,4,FALSE()),""))</f>
        <v/>
      </c>
      <c r="H168" s="22"/>
    </row>
    <row r="169" spans="1:8">
      <c r="A169" s="21"/>
      <c r="B169" s="28"/>
      <c r="C169" s="22"/>
      <c r="D169" s="28"/>
      <c r="E169" s="23" t="str">
        <f>IF($D169="","",IFERROR(VLOOKUP($D169,'ACAS Consumables Tracker'!$A:$H,8,FALSE()),""))</f>
        <v/>
      </c>
      <c r="F169" s="24"/>
      <c r="G169" s="25" t="str">
        <f>IF($D169="","",IFERROR(VLOOKUP($D169,'ACAS Consumables Tracker'!$A:$D,4,FALSE()),""))</f>
        <v/>
      </c>
      <c r="H169" s="22"/>
    </row>
    <row r="170" spans="1:8">
      <c r="A170" s="21"/>
      <c r="B170" s="28"/>
      <c r="C170" s="22"/>
      <c r="D170" s="28"/>
      <c r="E170" s="23" t="str">
        <f>IF($D170="","",IFERROR(VLOOKUP($D170,'ACAS Consumables Tracker'!$A:$H,8,FALSE()),""))</f>
        <v/>
      </c>
      <c r="F170" s="24"/>
      <c r="G170" s="25" t="str">
        <f>IF($D170="","",IFERROR(VLOOKUP($D170,'ACAS Consumables Tracker'!$A:$D,4,FALSE()),""))</f>
        <v/>
      </c>
      <c r="H170" s="22"/>
    </row>
    <row r="171" spans="1:8">
      <c r="A171" s="21"/>
      <c r="B171" s="28"/>
      <c r="C171" s="22"/>
      <c r="D171" s="28"/>
      <c r="E171" s="23" t="str">
        <f>IF($D171="","",IFERROR(VLOOKUP($D171,'ACAS Consumables Tracker'!$A:$H,8,FALSE()),""))</f>
        <v/>
      </c>
      <c r="F171" s="24"/>
      <c r="G171" s="25" t="str">
        <f>IF($D171="","",IFERROR(VLOOKUP($D171,'ACAS Consumables Tracker'!$A:$D,4,FALSE()),""))</f>
        <v/>
      </c>
      <c r="H171" s="22"/>
    </row>
    <row r="172" spans="1:8">
      <c r="A172" s="21"/>
      <c r="B172" s="28"/>
      <c r="C172" s="22"/>
      <c r="D172" s="28"/>
      <c r="E172" s="23" t="str">
        <f>IF($D172="","",IFERROR(VLOOKUP($D172,'ACAS Consumables Tracker'!$A:$H,8,FALSE()),""))</f>
        <v/>
      </c>
      <c r="F172" s="24"/>
      <c r="G172" s="25" t="str">
        <f>IF($D172="","",IFERROR(VLOOKUP($D172,'ACAS Consumables Tracker'!$A:$D,4,FALSE()),""))</f>
        <v/>
      </c>
      <c r="H172" s="22"/>
    </row>
    <row r="173" spans="1:8">
      <c r="A173" s="21"/>
      <c r="B173" s="28"/>
      <c r="C173" s="22"/>
      <c r="D173" s="28"/>
      <c r="E173" s="23" t="str">
        <f>IF($D173="","",IFERROR(VLOOKUP($D173,'ACAS Consumables Tracker'!$A:$H,8,FALSE()),""))</f>
        <v/>
      </c>
      <c r="F173" s="24"/>
      <c r="G173" s="25" t="str">
        <f>IF($D173="","",IFERROR(VLOOKUP($D173,'ACAS Consumables Tracker'!$A:$D,4,FALSE()),""))</f>
        <v/>
      </c>
      <c r="H173" s="22"/>
    </row>
    <row r="174" spans="1:8">
      <c r="A174" s="21"/>
      <c r="B174" s="28"/>
      <c r="C174" s="22"/>
      <c r="D174" s="28"/>
      <c r="E174" s="23" t="str">
        <f>IF($D174="","",IFERROR(VLOOKUP($D174,'ACAS Consumables Tracker'!$A:$H,8,FALSE()),""))</f>
        <v/>
      </c>
      <c r="F174" s="24"/>
      <c r="G174" s="25" t="str">
        <f>IF($D174="","",IFERROR(VLOOKUP($D174,'ACAS Consumables Tracker'!$A:$D,4,FALSE()),""))</f>
        <v/>
      </c>
      <c r="H174" s="22"/>
    </row>
    <row r="175" spans="1:8">
      <c r="A175" s="21"/>
      <c r="B175" s="28"/>
      <c r="C175" s="22"/>
      <c r="D175" s="28"/>
      <c r="E175" s="23" t="str">
        <f>IF($D175="","",IFERROR(VLOOKUP($D175,'ACAS Consumables Tracker'!$A:$H,8,FALSE()),""))</f>
        <v/>
      </c>
      <c r="F175" s="24"/>
      <c r="G175" s="25" t="str">
        <f>IF($D175="","",IFERROR(VLOOKUP($D175,'ACAS Consumables Tracker'!$A:$D,4,FALSE()),""))</f>
        <v/>
      </c>
      <c r="H175" s="22"/>
    </row>
    <row r="176" spans="1:8">
      <c r="A176" s="21"/>
      <c r="B176" s="28"/>
      <c r="C176" s="22"/>
      <c r="D176" s="28"/>
      <c r="E176" s="23" t="str">
        <f>IF($D176="","",IFERROR(VLOOKUP($D176,'ACAS Consumables Tracker'!$A:$H,8,FALSE()),""))</f>
        <v/>
      </c>
      <c r="F176" s="24"/>
      <c r="G176" s="25" t="str">
        <f>IF($D176="","",IFERROR(VLOOKUP($D176,'ACAS Consumables Tracker'!$A:$D,4,FALSE()),""))</f>
        <v/>
      </c>
      <c r="H176" s="22"/>
    </row>
    <row r="177" spans="1:8">
      <c r="A177" s="21"/>
      <c r="B177" s="28"/>
      <c r="C177" s="22"/>
      <c r="D177" s="28"/>
      <c r="E177" s="23" t="str">
        <f>IF($D177="","",IFERROR(VLOOKUP($D177,'ACAS Consumables Tracker'!$A:$H,8,FALSE()),""))</f>
        <v/>
      </c>
      <c r="F177" s="24"/>
      <c r="G177" s="25" t="str">
        <f>IF($D177="","",IFERROR(VLOOKUP($D177,'ACAS Consumables Tracker'!$A:$D,4,FALSE()),""))</f>
        <v/>
      </c>
      <c r="H177" s="22"/>
    </row>
    <row r="178" spans="1:8">
      <c r="A178" s="21"/>
      <c r="B178" s="28"/>
      <c r="C178" s="22"/>
      <c r="D178" s="28"/>
      <c r="E178" s="23" t="str">
        <f>IF($D178="","",IFERROR(VLOOKUP($D178,'ACAS Consumables Tracker'!$A:$H,8,FALSE()),""))</f>
        <v/>
      </c>
      <c r="F178" s="24"/>
      <c r="G178" s="25" t="str">
        <f>IF($D178="","",IFERROR(VLOOKUP($D178,'ACAS Consumables Tracker'!$A:$D,4,FALSE()),""))</f>
        <v/>
      </c>
      <c r="H178" s="22"/>
    </row>
    <row r="179" spans="1:8">
      <c r="A179" s="21"/>
      <c r="B179" s="28"/>
      <c r="C179" s="22"/>
      <c r="D179" s="28"/>
      <c r="E179" s="23" t="str">
        <f>IF($D179="","",IFERROR(VLOOKUP($D179,'ACAS Consumables Tracker'!$A:$H,8,FALSE()),""))</f>
        <v/>
      </c>
      <c r="F179" s="24"/>
      <c r="G179" s="25" t="str">
        <f>IF($D179="","",IFERROR(VLOOKUP($D179,'ACAS Consumables Tracker'!$A:$D,4,FALSE()),""))</f>
        <v/>
      </c>
      <c r="H179" s="22"/>
    </row>
    <row r="180" spans="1:8">
      <c r="A180" s="21"/>
      <c r="B180" s="28"/>
      <c r="C180" s="22"/>
      <c r="D180" s="28"/>
      <c r="E180" s="23" t="str">
        <f>IF($D180="","",IFERROR(VLOOKUP($D180,'ACAS Consumables Tracker'!$A:$H,8,FALSE()),""))</f>
        <v/>
      </c>
      <c r="F180" s="24"/>
      <c r="G180" s="25" t="str">
        <f>IF($D180="","",IFERROR(VLOOKUP($D180,'ACAS Consumables Tracker'!$A:$D,4,FALSE()),""))</f>
        <v/>
      </c>
      <c r="H180" s="22"/>
    </row>
    <row r="181" spans="1:8">
      <c r="A181" s="21"/>
      <c r="B181" s="28"/>
      <c r="C181" s="22"/>
      <c r="D181" s="28"/>
      <c r="E181" s="23" t="str">
        <f>IF($D181="","",IFERROR(VLOOKUP($D181,'ACAS Consumables Tracker'!$A:$H,8,FALSE()),""))</f>
        <v/>
      </c>
      <c r="F181" s="24"/>
      <c r="G181" s="25" t="str">
        <f>IF($D181="","",IFERROR(VLOOKUP($D181,'ACAS Consumables Tracker'!$A:$D,4,FALSE()),""))</f>
        <v/>
      </c>
      <c r="H181" s="22"/>
    </row>
    <row r="182" spans="1:8">
      <c r="A182" s="21"/>
      <c r="B182" s="28"/>
      <c r="C182" s="22"/>
      <c r="D182" s="28"/>
      <c r="E182" s="23" t="str">
        <f>IF($D182="","",IFERROR(VLOOKUP($D182,'ACAS Consumables Tracker'!$A:$H,8,FALSE()),""))</f>
        <v/>
      </c>
      <c r="F182" s="24"/>
      <c r="G182" s="25" t="str">
        <f>IF($D182="","",IFERROR(VLOOKUP($D182,'ACAS Consumables Tracker'!$A:$D,4,FALSE()),""))</f>
        <v/>
      </c>
      <c r="H182" s="22"/>
    </row>
    <row r="183" spans="1:8">
      <c r="A183" s="21"/>
      <c r="B183" s="28"/>
      <c r="C183" s="22"/>
      <c r="D183" s="28"/>
      <c r="E183" s="23" t="str">
        <f>IF($D183="","",IFERROR(VLOOKUP($D183,'ACAS Consumables Tracker'!$A:$H,8,FALSE()),""))</f>
        <v/>
      </c>
      <c r="F183" s="24"/>
      <c r="G183" s="25" t="str">
        <f>IF($D183="","",IFERROR(VLOOKUP($D183,'ACAS Consumables Tracker'!$A:$D,4,FALSE()),""))</f>
        <v/>
      </c>
      <c r="H183" s="22"/>
    </row>
    <row r="184" spans="1:8">
      <c r="A184" s="21"/>
      <c r="B184" s="28"/>
      <c r="C184" s="22"/>
      <c r="D184" s="28"/>
      <c r="E184" s="23" t="str">
        <f>IF($D184="","",IFERROR(VLOOKUP($D184,'ACAS Consumables Tracker'!$A:$H,8,FALSE()),""))</f>
        <v/>
      </c>
      <c r="F184" s="24"/>
      <c r="G184" s="25" t="str">
        <f>IF($D184="","",IFERROR(VLOOKUP($D184,'ACAS Consumables Tracker'!$A:$D,4,FALSE()),""))</f>
        <v/>
      </c>
      <c r="H184" s="22"/>
    </row>
    <row r="185" spans="1:8">
      <c r="A185" s="21"/>
      <c r="B185" s="28"/>
      <c r="C185" s="22"/>
      <c r="D185" s="28"/>
      <c r="E185" s="23" t="str">
        <f>IF($D185="","",IFERROR(VLOOKUP($D185,'ACAS Consumables Tracker'!$A:$H,8,FALSE()),""))</f>
        <v/>
      </c>
      <c r="F185" s="24"/>
      <c r="G185" s="25" t="str">
        <f>IF($D185="","",IFERROR(VLOOKUP($D185,'ACAS Consumables Tracker'!$A:$D,4,FALSE()),""))</f>
        <v/>
      </c>
      <c r="H185" s="22"/>
    </row>
    <row r="186" spans="1:8">
      <c r="A186" s="21"/>
      <c r="B186" s="28"/>
      <c r="C186" s="22"/>
      <c r="D186" s="28"/>
      <c r="E186" s="23" t="str">
        <f>IF($D186="","",IFERROR(VLOOKUP($D186,'ACAS Consumables Tracker'!$A:$H,8,FALSE()),""))</f>
        <v/>
      </c>
      <c r="F186" s="24"/>
      <c r="G186" s="25" t="str">
        <f>IF($D186="","",IFERROR(VLOOKUP($D186,'ACAS Consumables Tracker'!$A:$D,4,FALSE()),""))</f>
        <v/>
      </c>
      <c r="H186" s="22"/>
    </row>
    <row r="187" spans="1:8">
      <c r="A187" s="21"/>
      <c r="B187" s="28"/>
      <c r="C187" s="22"/>
      <c r="D187" s="28"/>
      <c r="E187" s="23" t="str">
        <f>IF($D187="","",IFERROR(VLOOKUP($D187,'ACAS Consumables Tracker'!$A:$H,8,FALSE()),""))</f>
        <v/>
      </c>
      <c r="F187" s="24"/>
      <c r="G187" s="25" t="str">
        <f>IF($D187="","",IFERROR(VLOOKUP($D187,'ACAS Consumables Tracker'!$A:$D,4,FALSE()),""))</f>
        <v/>
      </c>
      <c r="H187" s="22"/>
    </row>
    <row r="188" spans="1:8">
      <c r="A188" s="21"/>
      <c r="B188" s="28"/>
      <c r="C188" s="22"/>
      <c r="D188" s="28"/>
      <c r="E188" s="23" t="str">
        <f>IF($D188="","",IFERROR(VLOOKUP($D188,'ACAS Consumables Tracker'!$A:$H,8,FALSE()),""))</f>
        <v/>
      </c>
      <c r="F188" s="24"/>
      <c r="G188" s="25" t="str">
        <f>IF($D188="","",IFERROR(VLOOKUP($D188,'ACAS Consumables Tracker'!$A:$D,4,FALSE()),""))</f>
        <v/>
      </c>
      <c r="H188" s="22"/>
    </row>
    <row r="189" spans="1:8">
      <c r="A189" s="21"/>
      <c r="B189" s="28"/>
      <c r="C189" s="22"/>
      <c r="D189" s="28"/>
      <c r="E189" s="23" t="str">
        <f>IF($D189="","",IFERROR(VLOOKUP($D189,'ACAS Consumables Tracker'!$A:$H,8,FALSE()),""))</f>
        <v/>
      </c>
      <c r="F189" s="24"/>
      <c r="G189" s="25" t="str">
        <f>IF($D189="","",IFERROR(VLOOKUP($D189,'ACAS Consumables Tracker'!$A:$D,4,FALSE()),""))</f>
        <v/>
      </c>
      <c r="H189" s="22"/>
    </row>
    <row r="190" spans="1:8">
      <c r="A190" s="21"/>
      <c r="B190" s="28"/>
      <c r="C190" s="22"/>
      <c r="D190" s="28"/>
      <c r="E190" s="23" t="str">
        <f>IF($D190="","",IFERROR(VLOOKUP($D190,'ACAS Consumables Tracker'!$A:$H,8,FALSE()),""))</f>
        <v/>
      </c>
      <c r="F190" s="24"/>
      <c r="G190" s="25" t="str">
        <f>IF($D190="","",IFERROR(VLOOKUP($D190,'ACAS Consumables Tracker'!$A:$D,4,FALSE()),""))</f>
        <v/>
      </c>
      <c r="H190" s="22"/>
    </row>
    <row r="191" spans="1:8">
      <c r="A191" s="21"/>
      <c r="B191" s="28"/>
      <c r="C191" s="22"/>
      <c r="D191" s="28"/>
      <c r="E191" s="23" t="str">
        <f>IF($D191="","",IFERROR(VLOOKUP($D191,'ACAS Consumables Tracker'!$A:$H,8,FALSE()),""))</f>
        <v/>
      </c>
      <c r="F191" s="24"/>
      <c r="G191" s="25" t="str">
        <f>IF($D191="","",IFERROR(VLOOKUP($D191,'ACAS Consumables Tracker'!$A:$D,4,FALSE()),""))</f>
        <v/>
      </c>
      <c r="H191" s="22"/>
    </row>
    <row r="192" spans="1:8">
      <c r="A192" s="21"/>
      <c r="B192" s="28"/>
      <c r="C192" s="22"/>
      <c r="D192" s="28"/>
      <c r="E192" s="23" t="str">
        <f>IF($D192="","",IFERROR(VLOOKUP($D192,'ACAS Consumables Tracker'!$A:$H,8,FALSE()),""))</f>
        <v/>
      </c>
      <c r="F192" s="24"/>
      <c r="G192" s="25" t="str">
        <f>IF($D192="","",IFERROR(VLOOKUP($D192,'ACAS Consumables Tracker'!$A:$D,4,FALSE()),""))</f>
        <v/>
      </c>
      <c r="H192" s="22"/>
    </row>
    <row r="193" spans="1:8">
      <c r="A193" s="21"/>
      <c r="B193" s="28"/>
      <c r="C193" s="22"/>
      <c r="D193" s="28"/>
      <c r="E193" s="23" t="str">
        <f>IF($D193="","",IFERROR(VLOOKUP($D193,'ACAS Consumables Tracker'!$A:$H,8,FALSE()),""))</f>
        <v/>
      </c>
      <c r="F193" s="24"/>
      <c r="G193" s="25" t="str">
        <f>IF($D193="","",IFERROR(VLOOKUP($D193,'ACAS Consumables Tracker'!$A:$D,4,FALSE()),""))</f>
        <v/>
      </c>
      <c r="H193" s="22"/>
    </row>
    <row r="194" spans="1:8">
      <c r="A194" s="21"/>
      <c r="B194" s="28"/>
      <c r="C194" s="22"/>
      <c r="D194" s="28"/>
      <c r="E194" s="23" t="str">
        <f>IF($D194="","",IFERROR(VLOOKUP($D194,'ACAS Consumables Tracker'!$A:$H,8,FALSE()),""))</f>
        <v/>
      </c>
      <c r="F194" s="24"/>
      <c r="G194" s="25" t="str">
        <f>IF($D194="","",IFERROR(VLOOKUP($D194,'ACAS Consumables Tracker'!$A:$D,4,FALSE()),""))</f>
        <v/>
      </c>
      <c r="H194" s="22"/>
    </row>
    <row r="195" spans="1:8">
      <c r="A195" s="21"/>
      <c r="B195" s="28"/>
      <c r="C195" s="22"/>
      <c r="D195" s="28"/>
      <c r="E195" s="23" t="str">
        <f>IF($D195="","",IFERROR(VLOOKUP($D195,'ACAS Consumables Tracker'!$A:$H,8,FALSE()),""))</f>
        <v/>
      </c>
      <c r="F195" s="24"/>
      <c r="G195" s="25" t="str">
        <f>IF($D195="","",IFERROR(VLOOKUP($D195,'ACAS Consumables Tracker'!$A:$D,4,FALSE()),""))</f>
        <v/>
      </c>
      <c r="H195" s="22"/>
    </row>
    <row r="196" spans="1:8">
      <c r="A196" s="21"/>
      <c r="B196" s="28"/>
      <c r="C196" s="22"/>
      <c r="D196" s="28"/>
      <c r="E196" s="23" t="str">
        <f>IF($D196="","",IFERROR(VLOOKUP($D196,'ACAS Consumables Tracker'!$A:$H,8,FALSE()),""))</f>
        <v/>
      </c>
      <c r="F196" s="24"/>
      <c r="G196" s="25" t="str">
        <f>IF($D196="","",IFERROR(VLOOKUP($D196,'ACAS Consumables Tracker'!$A:$D,4,FALSE()),""))</f>
        <v/>
      </c>
      <c r="H196" s="22"/>
    </row>
    <row r="197" spans="1:8">
      <c r="A197" s="21"/>
      <c r="B197" s="28"/>
      <c r="C197" s="22"/>
      <c r="D197" s="28"/>
      <c r="E197" s="23" t="str">
        <f>IF($D197="","",IFERROR(VLOOKUP($D197,'ACAS Consumables Tracker'!$A:$H,8,FALSE()),""))</f>
        <v/>
      </c>
      <c r="F197" s="24"/>
      <c r="G197" s="25" t="str">
        <f>IF($D197="","",IFERROR(VLOOKUP($D197,'ACAS Consumables Tracker'!$A:$D,4,FALSE()),""))</f>
        <v/>
      </c>
      <c r="H197" s="22"/>
    </row>
    <row r="198" spans="1:8">
      <c r="A198" s="21"/>
      <c r="B198" s="28"/>
      <c r="C198" s="22"/>
      <c r="D198" s="28"/>
      <c r="E198" s="23" t="str">
        <f>IF($D198="","",IFERROR(VLOOKUP($D198,'ACAS Consumables Tracker'!$A:$H,8,FALSE()),""))</f>
        <v/>
      </c>
      <c r="F198" s="24"/>
      <c r="G198" s="25" t="str">
        <f>IF($D198="","",IFERROR(VLOOKUP($D198,'ACAS Consumables Tracker'!$A:$D,4,FALSE()),""))</f>
        <v/>
      </c>
      <c r="H198" s="22"/>
    </row>
    <row r="199" spans="1:8">
      <c r="A199" s="21"/>
      <c r="B199" s="28"/>
      <c r="C199" s="22"/>
      <c r="D199" s="28"/>
      <c r="E199" s="23" t="str">
        <f>IF($D199="","",IFERROR(VLOOKUP($D199,'ACAS Consumables Tracker'!$A:$H,8,FALSE()),""))</f>
        <v/>
      </c>
      <c r="F199" s="24"/>
      <c r="G199" s="25" t="str">
        <f>IF($D199="","",IFERROR(VLOOKUP($D199,'ACAS Consumables Tracker'!$A:$D,4,FALSE()),""))</f>
        <v/>
      </c>
      <c r="H199" s="22"/>
    </row>
    <row r="200" spans="1:8">
      <c r="A200" s="21"/>
      <c r="B200" s="28"/>
      <c r="C200" s="22"/>
      <c r="D200" s="28"/>
      <c r="E200" s="23" t="str">
        <f>IF($D200="","",IFERROR(VLOOKUP($D200,'ACAS Consumables Tracker'!$A:$H,8,FALSE()),""))</f>
        <v/>
      </c>
      <c r="F200" s="24"/>
      <c r="G200" s="25" t="str">
        <f>IF($D200="","",IFERROR(VLOOKUP($D200,'ACAS Consumables Tracker'!$A:$D,4,FALSE()),""))</f>
        <v/>
      </c>
      <c r="H200" s="22"/>
    </row>
    <row r="201" spans="1:8">
      <c r="A201" s="21"/>
      <c r="B201" s="28"/>
      <c r="C201" s="22"/>
      <c r="D201" s="28"/>
      <c r="E201" s="23" t="str">
        <f>IF($D201="","",IFERROR(VLOOKUP($D201,'ACAS Consumables Tracker'!$A:$H,8,FALSE()),""))</f>
        <v/>
      </c>
      <c r="F201" s="24"/>
      <c r="G201" s="25" t="str">
        <f>IF($D201="","",IFERROR(VLOOKUP($D201,'ACAS Consumables Tracker'!$A:$D,4,FALSE()),""))</f>
        <v/>
      </c>
      <c r="H201" s="22"/>
    </row>
    <row r="202" spans="1:8">
      <c r="A202" s="21"/>
      <c r="B202" s="28"/>
      <c r="C202" s="22"/>
      <c r="D202" s="28"/>
      <c r="E202" s="23" t="str">
        <f>IF($D202="","",IFERROR(VLOOKUP($D202,'ACAS Consumables Tracker'!$A:$H,8,FALSE()),""))</f>
        <v/>
      </c>
      <c r="F202" s="24"/>
      <c r="G202" s="25" t="str">
        <f>IF($D202="","",IFERROR(VLOOKUP($D202,'ACAS Consumables Tracker'!$A:$D,4,FALSE()),""))</f>
        <v/>
      </c>
      <c r="H202" s="22"/>
    </row>
    <row r="203" spans="1:8">
      <c r="A203" s="21"/>
      <c r="B203" s="28"/>
      <c r="C203" s="22"/>
      <c r="D203" s="28"/>
      <c r="E203" s="23" t="str">
        <f>IF($D203="","",IFERROR(VLOOKUP($D203,'ACAS Consumables Tracker'!$A:$H,8,FALSE()),""))</f>
        <v/>
      </c>
      <c r="F203" s="24"/>
      <c r="G203" s="25" t="str">
        <f>IF($D203="","",IFERROR(VLOOKUP($D203,'ACAS Consumables Tracker'!$A:$D,4,FALSE()),""))</f>
        <v/>
      </c>
      <c r="H203" s="22"/>
    </row>
    <row r="204" spans="1:8">
      <c r="A204" s="21"/>
      <c r="B204" s="28"/>
      <c r="C204" s="22"/>
      <c r="D204" s="28"/>
      <c r="E204" s="23" t="str">
        <f>IF($D204="","",IFERROR(VLOOKUP($D204,'ACAS Consumables Tracker'!$A:$H,8,FALSE()),""))</f>
        <v/>
      </c>
      <c r="F204" s="24"/>
      <c r="G204" s="25" t="str">
        <f>IF($D204="","",IFERROR(VLOOKUP($D204,'ACAS Consumables Tracker'!$A:$D,4,FALSE()),""))</f>
        <v/>
      </c>
      <c r="H204" s="22"/>
    </row>
    <row r="205" spans="1:8">
      <c r="A205" s="21"/>
      <c r="B205" s="28"/>
      <c r="C205" s="22"/>
      <c r="D205" s="28"/>
      <c r="E205" s="23" t="str">
        <f>IF($D205="","",IFERROR(VLOOKUP($D205,'ACAS Consumables Tracker'!$A:$H,8,FALSE()),""))</f>
        <v/>
      </c>
      <c r="F205" s="24"/>
      <c r="G205" s="25" t="str">
        <f>IF($D205="","",IFERROR(VLOOKUP($D205,'ACAS Consumables Tracker'!$A:$D,4,FALSE()),""))</f>
        <v/>
      </c>
      <c r="H205" s="22"/>
    </row>
    <row r="206" spans="1:8">
      <c r="A206" s="21"/>
      <c r="B206" s="28"/>
      <c r="C206" s="22"/>
      <c r="D206" s="28"/>
      <c r="E206" s="23" t="str">
        <f>IF($D206="","",IFERROR(VLOOKUP($D206,'ACAS Consumables Tracker'!$A:$H,8,FALSE()),""))</f>
        <v/>
      </c>
      <c r="F206" s="24"/>
      <c r="G206" s="25" t="str">
        <f>IF($D206="","",IFERROR(VLOOKUP($D206,'ACAS Consumables Tracker'!$A:$D,4,FALSE()),""))</f>
        <v/>
      </c>
      <c r="H206" s="22"/>
    </row>
    <row r="207" spans="1:8">
      <c r="A207" s="21"/>
      <c r="B207" s="28"/>
      <c r="C207" s="22"/>
      <c r="D207" s="28"/>
      <c r="E207" s="23" t="str">
        <f>IF($D207="","",IFERROR(VLOOKUP($D207,'ACAS Consumables Tracker'!$A:$H,8,FALSE()),""))</f>
        <v/>
      </c>
      <c r="F207" s="24"/>
      <c r="G207" s="25" t="str">
        <f>IF($D207="","",IFERROR(VLOOKUP($D207,'ACAS Consumables Tracker'!$A:$D,4,FALSE()),""))</f>
        <v/>
      </c>
      <c r="H207" s="22"/>
    </row>
    <row r="208" spans="1:8">
      <c r="A208" s="21"/>
      <c r="B208" s="28"/>
      <c r="C208" s="22"/>
      <c r="D208" s="28"/>
      <c r="E208" s="23" t="str">
        <f>IF($D208="","",IFERROR(VLOOKUP($D208,'ACAS Consumables Tracker'!$A:$H,8,FALSE()),""))</f>
        <v/>
      </c>
      <c r="F208" s="24"/>
      <c r="G208" s="25" t="str">
        <f>IF($D208="","",IFERROR(VLOOKUP($D208,'ACAS Consumables Tracker'!$A:$D,4,FALSE()),""))</f>
        <v/>
      </c>
      <c r="H208" s="22"/>
    </row>
    <row r="209" spans="1:8">
      <c r="A209" s="21"/>
      <c r="B209" s="28"/>
      <c r="C209" s="22"/>
      <c r="D209" s="28"/>
      <c r="E209" s="23" t="str">
        <f>IF($D209="","",IFERROR(VLOOKUP($D209,'ACAS Consumables Tracker'!$A:$H,8,FALSE()),""))</f>
        <v/>
      </c>
      <c r="F209" s="24"/>
      <c r="G209" s="25" t="str">
        <f>IF($D209="","",IFERROR(VLOOKUP($D209,'ACAS Consumables Tracker'!$A:$D,4,FALSE()),""))</f>
        <v/>
      </c>
      <c r="H209" s="22"/>
    </row>
    <row r="210" spans="1:8">
      <c r="A210" s="21"/>
      <c r="B210" s="28"/>
      <c r="C210" s="22"/>
      <c r="D210" s="28"/>
      <c r="E210" s="23" t="str">
        <f>IF($D210="","",IFERROR(VLOOKUP($D210,'ACAS Consumables Tracker'!$A:$H,8,FALSE()),""))</f>
        <v/>
      </c>
      <c r="F210" s="24"/>
      <c r="G210" s="25" t="str">
        <f>IF($D210="","",IFERROR(VLOOKUP($D210,'ACAS Consumables Tracker'!$A:$D,4,FALSE()),""))</f>
        <v/>
      </c>
      <c r="H210" s="22"/>
    </row>
    <row r="211" spans="1:8">
      <c r="A211" s="21"/>
      <c r="B211" s="28"/>
      <c r="C211" s="22"/>
      <c r="D211" s="28"/>
      <c r="E211" s="23" t="str">
        <f>IF($D211="","",IFERROR(VLOOKUP($D211,'ACAS Consumables Tracker'!$A:$H,8,FALSE()),""))</f>
        <v/>
      </c>
      <c r="F211" s="24"/>
      <c r="G211" s="25" t="str">
        <f>IF($D211="","",IFERROR(VLOOKUP($D211,'ACAS Consumables Tracker'!$A:$D,4,FALSE()),""))</f>
        <v/>
      </c>
      <c r="H211" s="22"/>
    </row>
    <row r="212" spans="1:8">
      <c r="A212" s="21"/>
      <c r="B212" s="28"/>
      <c r="C212" s="22"/>
      <c r="D212" s="28"/>
      <c r="E212" s="23" t="str">
        <f>IF($D212="","",IFERROR(VLOOKUP($D212,'ACAS Consumables Tracker'!$A:$H,8,FALSE()),""))</f>
        <v/>
      </c>
      <c r="F212" s="24"/>
      <c r="G212" s="25" t="str">
        <f>IF($D212="","",IFERROR(VLOOKUP($D212,'ACAS Consumables Tracker'!$A:$D,4,FALSE()),""))</f>
        <v/>
      </c>
      <c r="H212" s="22"/>
    </row>
    <row r="213" spans="1:8">
      <c r="A213" s="21"/>
      <c r="B213" s="28"/>
      <c r="C213" s="22"/>
      <c r="D213" s="28"/>
      <c r="E213" s="23" t="str">
        <f>IF($D213="","",IFERROR(VLOOKUP($D213,'ACAS Consumables Tracker'!$A:$H,8,FALSE()),""))</f>
        <v/>
      </c>
      <c r="F213" s="24"/>
      <c r="G213" s="25" t="str">
        <f>IF($D213="","",IFERROR(VLOOKUP($D213,'ACAS Consumables Tracker'!$A:$D,4,FALSE()),""))</f>
        <v/>
      </c>
      <c r="H213" s="22"/>
    </row>
    <row r="214" spans="1:8">
      <c r="A214" s="21"/>
      <c r="B214" s="28"/>
      <c r="C214" s="22"/>
      <c r="D214" s="28"/>
      <c r="E214" s="23" t="str">
        <f>IF($D214="","",IFERROR(VLOOKUP($D214,'ACAS Consumables Tracker'!$A:$H,8,FALSE()),""))</f>
        <v/>
      </c>
      <c r="F214" s="24"/>
      <c r="G214" s="25" t="str">
        <f>IF($D214="","",IFERROR(VLOOKUP($D214,'ACAS Consumables Tracker'!$A:$D,4,FALSE()),""))</f>
        <v/>
      </c>
      <c r="H214" s="22"/>
    </row>
    <row r="215" spans="1:8">
      <c r="A215" s="21"/>
      <c r="B215" s="28"/>
      <c r="C215" s="22"/>
      <c r="D215" s="28"/>
      <c r="E215" s="23" t="str">
        <f>IF($D215="","",IFERROR(VLOOKUP($D215,'ACAS Consumables Tracker'!$A:$H,8,FALSE()),""))</f>
        <v/>
      </c>
      <c r="F215" s="24"/>
      <c r="G215" s="25" t="str">
        <f>IF($D215="","",IFERROR(VLOOKUP($D215,'ACAS Consumables Tracker'!$A:$D,4,FALSE()),""))</f>
        <v/>
      </c>
      <c r="H215" s="22"/>
    </row>
    <row r="216" spans="1:8">
      <c r="A216" s="21"/>
      <c r="B216" s="28"/>
      <c r="C216" s="22"/>
      <c r="D216" s="28"/>
      <c r="E216" s="23" t="str">
        <f>IF($D216="","",IFERROR(VLOOKUP($D216,'ACAS Consumables Tracker'!$A:$H,8,FALSE()),""))</f>
        <v/>
      </c>
      <c r="F216" s="24"/>
      <c r="G216" s="25" t="str">
        <f>IF($D216="","",IFERROR(VLOOKUP($D216,'ACAS Consumables Tracker'!$A:$D,4,FALSE()),""))</f>
        <v/>
      </c>
      <c r="H216" s="22"/>
    </row>
    <row r="217" spans="1:8">
      <c r="A217" s="21"/>
      <c r="B217" s="28"/>
      <c r="C217" s="22"/>
      <c r="D217" s="28"/>
      <c r="E217" s="23" t="str">
        <f>IF($D217="","",IFERROR(VLOOKUP($D217,'ACAS Consumables Tracker'!$A:$H,8,FALSE()),""))</f>
        <v/>
      </c>
      <c r="F217" s="24"/>
      <c r="G217" s="25" t="str">
        <f>IF($D217="","",IFERROR(VLOOKUP($D217,'ACAS Consumables Tracker'!$A:$D,4,FALSE()),""))</f>
        <v/>
      </c>
      <c r="H217" s="22"/>
    </row>
    <row r="218" spans="1:8">
      <c r="A218" s="21"/>
      <c r="B218" s="28"/>
      <c r="C218" s="22"/>
      <c r="D218" s="28"/>
      <c r="E218" s="23" t="str">
        <f>IF($D218="","",IFERROR(VLOOKUP($D218,'ACAS Consumables Tracker'!$A:$H,8,FALSE()),""))</f>
        <v/>
      </c>
      <c r="F218" s="24"/>
      <c r="G218" s="25" t="str">
        <f>IF($D218="","",IFERROR(VLOOKUP($D218,'ACAS Consumables Tracker'!$A:$D,4,FALSE()),""))</f>
        <v/>
      </c>
      <c r="H218" s="22"/>
    </row>
    <row r="219" spans="1:8">
      <c r="A219" s="21"/>
      <c r="B219" s="28"/>
      <c r="C219" s="22"/>
      <c r="D219" s="28"/>
      <c r="E219" s="23" t="str">
        <f>IF($D219="","",IFERROR(VLOOKUP($D219,'ACAS Consumables Tracker'!$A:$H,8,FALSE()),""))</f>
        <v/>
      </c>
      <c r="F219" s="24"/>
      <c r="G219" s="25" t="str">
        <f>IF($D219="","",IFERROR(VLOOKUP($D219,'ACAS Consumables Tracker'!$A:$D,4,FALSE()),""))</f>
        <v/>
      </c>
      <c r="H219" s="22"/>
    </row>
    <row r="220" spans="1:8">
      <c r="A220" s="21"/>
      <c r="B220" s="28"/>
      <c r="C220" s="22"/>
      <c r="D220" s="28"/>
      <c r="E220" s="23" t="str">
        <f>IF($D220="","",IFERROR(VLOOKUP($D220,'ACAS Consumables Tracker'!$A:$H,8,FALSE()),""))</f>
        <v/>
      </c>
      <c r="F220" s="24"/>
      <c r="G220" s="25" t="str">
        <f>IF($D220="","",IFERROR(VLOOKUP($D220,'ACAS Consumables Tracker'!$A:$D,4,FALSE()),""))</f>
        <v/>
      </c>
      <c r="H220" s="22"/>
    </row>
    <row r="221" spans="1:8">
      <c r="A221" s="21"/>
      <c r="B221" s="28"/>
      <c r="C221" s="22"/>
      <c r="D221" s="28"/>
      <c r="E221" s="23" t="str">
        <f>IF($D221="","",IFERROR(VLOOKUP($D221,'ACAS Consumables Tracker'!$A:$H,8,FALSE()),""))</f>
        <v/>
      </c>
      <c r="F221" s="24"/>
      <c r="G221" s="25" t="str">
        <f>IF($D221="","",IFERROR(VLOOKUP($D221,'ACAS Consumables Tracker'!$A:$D,4,FALSE()),""))</f>
        <v/>
      </c>
      <c r="H221" s="22"/>
    </row>
    <row r="222" spans="1:8">
      <c r="A222" s="21"/>
      <c r="B222" s="28"/>
      <c r="C222" s="22"/>
      <c r="D222" s="28"/>
      <c r="E222" s="23" t="str">
        <f>IF($D222="","",IFERROR(VLOOKUP($D222,'ACAS Consumables Tracker'!$A:$H,8,FALSE()),""))</f>
        <v/>
      </c>
      <c r="F222" s="24"/>
      <c r="G222" s="25" t="str">
        <f>IF($D222="","",IFERROR(VLOOKUP($D222,'ACAS Consumables Tracker'!$A:$D,4,FALSE()),""))</f>
        <v/>
      </c>
      <c r="H222" s="22"/>
    </row>
    <row r="223" spans="1:8">
      <c r="A223" s="21"/>
      <c r="B223" s="28"/>
      <c r="C223" s="22"/>
      <c r="D223" s="28"/>
      <c r="E223" s="23" t="str">
        <f>IF($D223="","",IFERROR(VLOOKUP($D223,'ACAS Consumables Tracker'!$A:$H,8,FALSE()),""))</f>
        <v/>
      </c>
      <c r="F223" s="24"/>
      <c r="G223" s="25" t="str">
        <f>IF($D223="","",IFERROR(VLOOKUP($D223,'ACAS Consumables Tracker'!$A:$D,4,FALSE()),""))</f>
        <v/>
      </c>
      <c r="H223" s="22"/>
    </row>
    <row r="224" spans="1:8">
      <c r="A224" s="21"/>
      <c r="B224" s="28"/>
      <c r="C224" s="22"/>
      <c r="D224" s="28"/>
      <c r="E224" s="23" t="str">
        <f>IF($D224="","",IFERROR(VLOOKUP($D224,'ACAS Consumables Tracker'!$A:$H,8,FALSE()),""))</f>
        <v/>
      </c>
      <c r="F224" s="24"/>
      <c r="G224" s="25" t="str">
        <f>IF($D224="","",IFERROR(VLOOKUP($D224,'ACAS Consumables Tracker'!$A:$D,4,FALSE()),""))</f>
        <v/>
      </c>
      <c r="H224" s="22"/>
    </row>
    <row r="225" spans="1:8">
      <c r="A225" s="21"/>
      <c r="B225" s="28"/>
      <c r="C225" s="22"/>
      <c r="D225" s="28"/>
      <c r="E225" s="23" t="str">
        <f>IF($D225="","",IFERROR(VLOOKUP($D225,'ACAS Consumables Tracker'!$A:$H,8,FALSE()),""))</f>
        <v/>
      </c>
      <c r="F225" s="24"/>
      <c r="G225" s="25" t="str">
        <f>IF($D225="","",IFERROR(VLOOKUP($D225,'ACAS Consumables Tracker'!$A:$D,4,FALSE()),""))</f>
        <v/>
      </c>
      <c r="H225" s="22"/>
    </row>
    <row r="226" spans="1:8">
      <c r="A226" s="21"/>
      <c r="B226" s="28"/>
      <c r="C226" s="22"/>
      <c r="D226" s="28"/>
      <c r="E226" s="23" t="str">
        <f>IF($D226="","",IFERROR(VLOOKUP($D226,'ACAS Consumables Tracker'!$A:$H,8,FALSE()),""))</f>
        <v/>
      </c>
      <c r="F226" s="24"/>
      <c r="G226" s="25" t="str">
        <f>IF($D226="","",IFERROR(VLOOKUP($D226,'ACAS Consumables Tracker'!$A:$D,4,FALSE()),""))</f>
        <v/>
      </c>
      <c r="H226" s="22"/>
    </row>
    <row r="227" spans="1:8">
      <c r="A227" s="21"/>
      <c r="B227" s="28"/>
      <c r="C227" s="22"/>
      <c r="D227" s="28"/>
      <c r="E227" s="23" t="str">
        <f>IF($D227="","",IFERROR(VLOOKUP($D227,'ACAS Consumables Tracker'!$A:$H,8,FALSE()),""))</f>
        <v/>
      </c>
      <c r="F227" s="24"/>
      <c r="G227" s="25" t="str">
        <f>IF($D227="","",IFERROR(VLOOKUP($D227,'ACAS Consumables Tracker'!$A:$D,4,FALSE()),""))</f>
        <v/>
      </c>
      <c r="H227" s="22"/>
    </row>
    <row r="228" spans="1:8">
      <c r="A228" s="21"/>
      <c r="B228" s="28"/>
      <c r="C228" s="22"/>
      <c r="D228" s="28"/>
      <c r="E228" s="23" t="str">
        <f>IF($D228="","",IFERROR(VLOOKUP($D228,'ACAS Consumables Tracker'!$A:$H,8,FALSE()),""))</f>
        <v/>
      </c>
      <c r="F228" s="24"/>
      <c r="G228" s="25" t="str">
        <f>IF($D228="","",IFERROR(VLOOKUP($D228,'ACAS Consumables Tracker'!$A:$D,4,FALSE()),""))</f>
        <v/>
      </c>
      <c r="H228" s="22"/>
    </row>
    <row r="229" spans="1:8">
      <c r="A229" s="21"/>
      <c r="B229" s="28"/>
      <c r="C229" s="22"/>
      <c r="D229" s="28"/>
      <c r="E229" s="23" t="str">
        <f>IF($D229="","",IFERROR(VLOOKUP($D229,'ACAS Consumables Tracker'!$A:$H,8,FALSE()),""))</f>
        <v/>
      </c>
      <c r="F229" s="24"/>
      <c r="G229" s="25" t="str">
        <f>IF($D229="","",IFERROR(VLOOKUP($D229,'ACAS Consumables Tracker'!$A:$D,4,FALSE()),""))</f>
        <v/>
      </c>
      <c r="H229" s="22"/>
    </row>
    <row r="230" spans="1:8">
      <c r="A230" s="21"/>
      <c r="B230" s="28"/>
      <c r="C230" s="22"/>
      <c r="D230" s="28"/>
      <c r="E230" s="23" t="str">
        <f>IF($D230="","",IFERROR(VLOOKUP($D230,'ACAS Consumables Tracker'!$A:$H,8,FALSE()),""))</f>
        <v/>
      </c>
      <c r="F230" s="24"/>
      <c r="G230" s="25" t="str">
        <f>IF($D230="","",IFERROR(VLOOKUP($D230,'ACAS Consumables Tracker'!$A:$D,4,FALSE()),""))</f>
        <v/>
      </c>
      <c r="H230" s="22"/>
    </row>
    <row r="231" spans="1:8">
      <c r="A231" s="21"/>
      <c r="B231" s="28"/>
      <c r="C231" s="22"/>
      <c r="D231" s="28"/>
      <c r="E231" s="23" t="str">
        <f>IF($D231="","",IFERROR(VLOOKUP($D231,'ACAS Consumables Tracker'!$A:$H,8,FALSE()),""))</f>
        <v/>
      </c>
      <c r="F231" s="24"/>
      <c r="G231" s="25" t="str">
        <f>IF($D231="","",IFERROR(VLOOKUP($D231,'ACAS Consumables Tracker'!$A:$D,4,FALSE()),""))</f>
        <v/>
      </c>
      <c r="H231" s="22"/>
    </row>
    <row r="232" spans="1:8">
      <c r="A232" s="21"/>
      <c r="B232" s="28"/>
      <c r="C232" s="22"/>
      <c r="D232" s="28"/>
      <c r="E232" s="23" t="str">
        <f>IF($D232="","",IFERROR(VLOOKUP($D232,'ACAS Consumables Tracker'!$A:$H,8,FALSE()),""))</f>
        <v/>
      </c>
      <c r="F232" s="24"/>
      <c r="G232" s="25" t="str">
        <f>IF($D232="","",IFERROR(VLOOKUP($D232,'ACAS Consumables Tracker'!$A:$D,4,FALSE()),""))</f>
        <v/>
      </c>
      <c r="H232" s="22"/>
    </row>
    <row r="233" spans="1:8">
      <c r="A233" s="21"/>
      <c r="B233" s="28"/>
      <c r="C233" s="22"/>
      <c r="D233" s="28"/>
      <c r="E233" s="23" t="str">
        <f>IF($D233="","",IFERROR(VLOOKUP($D233,'ACAS Consumables Tracker'!$A:$H,8,FALSE()),""))</f>
        <v/>
      </c>
      <c r="F233" s="24"/>
      <c r="G233" s="25" t="str">
        <f>IF($D233="","",IFERROR(VLOOKUP($D233,'ACAS Consumables Tracker'!$A:$D,4,FALSE()),""))</f>
        <v/>
      </c>
      <c r="H233" s="22"/>
    </row>
    <row r="234" spans="1:8">
      <c r="A234" s="21"/>
      <c r="B234" s="28"/>
      <c r="C234" s="22"/>
      <c r="D234" s="28"/>
      <c r="E234" s="23" t="str">
        <f>IF($D234="","",IFERROR(VLOOKUP($D234,'ACAS Consumables Tracker'!$A:$H,8,FALSE()),""))</f>
        <v/>
      </c>
      <c r="F234" s="24"/>
      <c r="G234" s="25" t="str">
        <f>IF($D234="","",IFERROR(VLOOKUP($D234,'ACAS Consumables Tracker'!$A:$D,4,FALSE()),""))</f>
        <v/>
      </c>
      <c r="H234" s="22"/>
    </row>
    <row r="235" spans="1:8">
      <c r="A235" s="21"/>
      <c r="B235" s="28"/>
      <c r="C235" s="22"/>
      <c r="D235" s="28"/>
      <c r="E235" s="23" t="str">
        <f>IF($D235="","",IFERROR(VLOOKUP($D235,'ACAS Consumables Tracker'!$A:$H,8,FALSE()),""))</f>
        <v/>
      </c>
      <c r="F235" s="24"/>
      <c r="G235" s="25" t="str">
        <f>IF($D235="","",IFERROR(VLOOKUP($D235,'ACAS Consumables Tracker'!$A:$D,4,FALSE()),""))</f>
        <v/>
      </c>
      <c r="H235" s="22"/>
    </row>
    <row r="236" spans="1:8">
      <c r="A236" s="21"/>
      <c r="B236" s="28"/>
      <c r="C236" s="22"/>
      <c r="D236" s="28"/>
      <c r="E236" s="23" t="str">
        <f>IF($D236="","",IFERROR(VLOOKUP($D236,'ACAS Consumables Tracker'!$A:$H,8,FALSE()),""))</f>
        <v/>
      </c>
      <c r="F236" s="24"/>
      <c r="G236" s="25" t="str">
        <f>IF($D236="","",IFERROR(VLOOKUP($D236,'ACAS Consumables Tracker'!$A:$D,4,FALSE()),""))</f>
        <v/>
      </c>
      <c r="H236" s="22"/>
    </row>
    <row r="237" spans="1:8">
      <c r="A237" s="21"/>
      <c r="B237" s="28"/>
      <c r="C237" s="22"/>
      <c r="D237" s="28"/>
      <c r="E237" s="23" t="str">
        <f>IF($D237="","",IFERROR(VLOOKUP($D237,'ACAS Consumables Tracker'!$A:$H,8,FALSE()),""))</f>
        <v/>
      </c>
      <c r="F237" s="24"/>
      <c r="G237" s="25" t="str">
        <f>IF($D237="","",IFERROR(VLOOKUP($D237,'ACAS Consumables Tracker'!$A:$D,4,FALSE()),""))</f>
        <v/>
      </c>
      <c r="H237" s="22"/>
    </row>
    <row r="238" spans="1:8">
      <c r="A238" s="21"/>
      <c r="B238" s="28"/>
      <c r="C238" s="22"/>
      <c r="D238" s="28"/>
      <c r="E238" s="23" t="str">
        <f>IF($D238="","",IFERROR(VLOOKUP($D238,'ACAS Consumables Tracker'!$A:$H,8,FALSE()),""))</f>
        <v/>
      </c>
      <c r="F238" s="24"/>
      <c r="G238" s="25" t="str">
        <f>IF($D238="","",IFERROR(VLOOKUP($D238,'ACAS Consumables Tracker'!$A:$D,4,FALSE()),""))</f>
        <v/>
      </c>
      <c r="H238" s="22"/>
    </row>
    <row r="239" spans="1:8">
      <c r="A239" s="21"/>
      <c r="B239" s="28"/>
      <c r="C239" s="22"/>
      <c r="D239" s="28"/>
      <c r="E239" s="23" t="str">
        <f>IF($D239="","",IFERROR(VLOOKUP($D239,'ACAS Consumables Tracker'!$A:$H,8,FALSE()),""))</f>
        <v/>
      </c>
      <c r="F239" s="24"/>
      <c r="G239" s="25" t="str">
        <f>IF($D239="","",IFERROR(VLOOKUP($D239,'ACAS Consumables Tracker'!$A:$D,4,FALSE()),""))</f>
        <v/>
      </c>
      <c r="H239" s="22"/>
    </row>
    <row r="240" spans="1:8">
      <c r="A240" s="21"/>
      <c r="B240" s="28"/>
      <c r="C240" s="22"/>
      <c r="D240" s="28"/>
      <c r="E240" s="23" t="str">
        <f>IF($D240="","",IFERROR(VLOOKUP($D240,'ACAS Consumables Tracker'!$A:$H,8,FALSE()),""))</f>
        <v/>
      </c>
      <c r="F240" s="24"/>
      <c r="G240" s="25" t="str">
        <f>IF($D240="","",IFERROR(VLOOKUP($D240,'ACAS Consumables Tracker'!$A:$D,4,FALSE()),""))</f>
        <v/>
      </c>
      <c r="H240" s="22"/>
    </row>
    <row r="241" spans="1:8">
      <c r="A241" s="21"/>
      <c r="B241" s="28"/>
      <c r="C241" s="22"/>
      <c r="D241" s="28"/>
      <c r="E241" s="23" t="str">
        <f>IF($D241="","",IFERROR(VLOOKUP($D241,'ACAS Consumables Tracker'!$A:$H,8,FALSE()),""))</f>
        <v/>
      </c>
      <c r="F241" s="24"/>
      <c r="G241" s="25" t="str">
        <f>IF($D241="","",IFERROR(VLOOKUP($D241,'ACAS Consumables Tracker'!$A:$D,4,FALSE()),""))</f>
        <v/>
      </c>
      <c r="H241" s="22"/>
    </row>
    <row r="242" spans="1:8">
      <c r="A242" s="21"/>
      <c r="B242" s="28"/>
      <c r="C242" s="22"/>
      <c r="D242" s="28"/>
      <c r="E242" s="23" t="str">
        <f>IF($D242="","",IFERROR(VLOOKUP($D242,'ACAS Consumables Tracker'!$A:$H,8,FALSE()),""))</f>
        <v/>
      </c>
      <c r="F242" s="24"/>
      <c r="G242" s="25" t="str">
        <f>IF($D242="","",IFERROR(VLOOKUP($D242,'ACAS Consumables Tracker'!$A:$D,4,FALSE()),""))</f>
        <v/>
      </c>
      <c r="H242" s="22"/>
    </row>
    <row r="243" spans="1:8">
      <c r="A243" s="21"/>
      <c r="B243" s="28"/>
      <c r="C243" s="22"/>
      <c r="D243" s="28"/>
      <c r="E243" s="23" t="str">
        <f>IF($D243="","",IFERROR(VLOOKUP($D243,'ACAS Consumables Tracker'!$A:$H,8,FALSE()),""))</f>
        <v/>
      </c>
      <c r="F243" s="24"/>
      <c r="G243" s="25" t="str">
        <f>IF($D243="","",IFERROR(VLOOKUP($D243,'ACAS Consumables Tracker'!$A:$D,4,FALSE()),""))</f>
        <v/>
      </c>
      <c r="H243" s="22"/>
    </row>
    <row r="244" spans="1:8">
      <c r="A244" s="21"/>
      <c r="B244" s="28"/>
      <c r="C244" s="22"/>
      <c r="D244" s="28"/>
      <c r="E244" s="23" t="str">
        <f>IF($D244="","",IFERROR(VLOOKUP($D244,'ACAS Consumables Tracker'!$A:$H,8,FALSE()),""))</f>
        <v/>
      </c>
      <c r="F244" s="24"/>
      <c r="G244" s="25" t="str">
        <f>IF($D244="","",IFERROR(VLOOKUP($D244,'ACAS Consumables Tracker'!$A:$D,4,FALSE()),""))</f>
        <v/>
      </c>
      <c r="H244" s="22"/>
    </row>
    <row r="245" spans="1:8">
      <c r="A245" s="21"/>
      <c r="B245" s="28"/>
      <c r="C245" s="22"/>
      <c r="D245" s="28"/>
      <c r="E245" s="23" t="str">
        <f>IF($D245="","",IFERROR(VLOOKUP($D245,'ACAS Consumables Tracker'!$A:$H,8,FALSE()),""))</f>
        <v/>
      </c>
      <c r="F245" s="24"/>
      <c r="G245" s="25" t="str">
        <f>IF($D245="","",IFERROR(VLOOKUP($D245,'ACAS Consumables Tracker'!$A:$D,4,FALSE()),""))</f>
        <v/>
      </c>
      <c r="H245" s="22"/>
    </row>
    <row r="246" spans="1:8">
      <c r="A246" s="21"/>
      <c r="B246" s="28"/>
      <c r="C246" s="22"/>
      <c r="D246" s="28"/>
      <c r="E246" s="23" t="str">
        <f>IF($D246="","",IFERROR(VLOOKUP($D246,'ACAS Consumables Tracker'!$A:$H,8,FALSE()),""))</f>
        <v/>
      </c>
      <c r="F246" s="24"/>
      <c r="G246" s="25" t="str">
        <f>IF($D246="","",IFERROR(VLOOKUP($D246,'ACAS Consumables Tracker'!$A:$D,4,FALSE()),""))</f>
        <v/>
      </c>
      <c r="H246" s="22"/>
    </row>
    <row r="247" spans="1:8">
      <c r="A247" s="21"/>
      <c r="B247" s="28"/>
      <c r="C247" s="22"/>
      <c r="D247" s="28"/>
      <c r="E247" s="23" t="str">
        <f>IF($D247="","",IFERROR(VLOOKUP($D247,'ACAS Consumables Tracker'!$A:$H,8,FALSE()),""))</f>
        <v/>
      </c>
      <c r="F247" s="24"/>
      <c r="G247" s="25" t="str">
        <f>IF($D247="","",IFERROR(VLOOKUP($D247,'ACAS Consumables Tracker'!$A:$D,4,FALSE()),""))</f>
        <v/>
      </c>
      <c r="H247" s="22"/>
    </row>
    <row r="248" spans="1:8">
      <c r="A248" s="21"/>
      <c r="B248" s="28"/>
      <c r="C248" s="22"/>
      <c r="D248" s="28"/>
      <c r="E248" s="23" t="str">
        <f>IF($D248="","",IFERROR(VLOOKUP($D248,'ACAS Consumables Tracker'!$A:$H,8,FALSE()),""))</f>
        <v/>
      </c>
      <c r="F248" s="24"/>
      <c r="G248" s="25" t="str">
        <f>IF($D248="","",IFERROR(VLOOKUP($D248,'ACAS Consumables Tracker'!$A:$D,4,FALSE()),""))</f>
        <v/>
      </c>
      <c r="H248" s="22"/>
    </row>
    <row r="249" spans="1:8">
      <c r="A249" s="21"/>
      <c r="B249" s="28"/>
      <c r="C249" s="22"/>
      <c r="D249" s="28"/>
      <c r="E249" s="23" t="str">
        <f>IF($D249="","",IFERROR(VLOOKUP($D249,'ACAS Consumables Tracker'!$A:$H,8,FALSE()),""))</f>
        <v/>
      </c>
      <c r="F249" s="24"/>
      <c r="G249" s="25" t="str">
        <f>IF($D249="","",IFERROR(VLOOKUP($D249,'ACAS Consumables Tracker'!$A:$D,4,FALSE()),""))</f>
        <v/>
      </c>
      <c r="H249" s="22"/>
    </row>
    <row r="250" spans="1:8">
      <c r="A250" s="21"/>
      <c r="B250" s="28"/>
      <c r="C250" s="22"/>
      <c r="D250" s="28"/>
      <c r="E250" s="23" t="str">
        <f>IF($D250="","",IFERROR(VLOOKUP($D250,'ACAS Consumables Tracker'!$A:$H,8,FALSE()),""))</f>
        <v/>
      </c>
      <c r="F250" s="24"/>
      <c r="G250" s="25" t="str">
        <f>IF($D250="","",IFERROR(VLOOKUP($D250,'ACAS Consumables Tracker'!$A:$D,4,FALSE()),""))</f>
        <v/>
      </c>
      <c r="H250" s="22"/>
    </row>
    <row r="251" spans="1:8">
      <c r="A251" s="21"/>
      <c r="B251" s="28"/>
      <c r="C251" s="22"/>
      <c r="D251" s="28"/>
      <c r="E251" s="23" t="str">
        <f>IF($D251="","",IFERROR(VLOOKUP($D251,'ACAS Consumables Tracker'!$A:$H,8,FALSE()),""))</f>
        <v/>
      </c>
      <c r="F251" s="24"/>
      <c r="G251" s="25" t="str">
        <f>IF($D251="","",IFERROR(VLOOKUP($D251,'ACAS Consumables Tracker'!$A:$D,4,FALSE()),""))</f>
        <v/>
      </c>
      <c r="H251" s="22"/>
    </row>
    <row r="252" spans="1:8">
      <c r="A252" s="21"/>
      <c r="B252" s="28"/>
      <c r="C252" s="22"/>
      <c r="D252" s="28"/>
      <c r="E252" s="23" t="str">
        <f>IF($D252="","",IFERROR(VLOOKUP($D252,'ACAS Consumables Tracker'!$A:$H,8,FALSE()),""))</f>
        <v/>
      </c>
      <c r="F252" s="24"/>
      <c r="G252" s="25" t="str">
        <f>IF($D252="","",IFERROR(VLOOKUP($D252,'ACAS Consumables Tracker'!$A:$D,4,FALSE()),""))</f>
        <v/>
      </c>
      <c r="H252" s="22"/>
    </row>
    <row r="253" spans="1:8">
      <c r="A253" s="21"/>
      <c r="B253" s="28"/>
      <c r="C253" s="22"/>
      <c r="D253" s="28"/>
      <c r="E253" s="23" t="str">
        <f>IF($D253="","",IFERROR(VLOOKUP($D253,'ACAS Consumables Tracker'!$A:$H,8,FALSE()),""))</f>
        <v/>
      </c>
      <c r="F253" s="24"/>
      <c r="G253" s="25" t="str">
        <f>IF($D253="","",IFERROR(VLOOKUP($D253,'ACAS Consumables Tracker'!$A:$D,4,FALSE()),""))</f>
        <v/>
      </c>
      <c r="H253" s="22"/>
    </row>
    <row r="254" spans="1:8">
      <c r="A254" s="21"/>
      <c r="B254" s="28"/>
      <c r="C254" s="22"/>
      <c r="D254" s="28"/>
      <c r="E254" s="23" t="str">
        <f>IF($D254="","",IFERROR(VLOOKUP($D254,'ACAS Consumables Tracker'!$A:$H,8,FALSE()),""))</f>
        <v/>
      </c>
      <c r="F254" s="24"/>
      <c r="G254" s="25" t="str">
        <f>IF($D254="","",IFERROR(VLOOKUP($D254,'ACAS Consumables Tracker'!$A:$D,4,FALSE()),""))</f>
        <v/>
      </c>
      <c r="H254" s="22"/>
    </row>
    <row r="255" spans="1:8">
      <c r="A255" s="21"/>
      <c r="B255" s="28"/>
      <c r="C255" s="22"/>
      <c r="D255" s="28"/>
      <c r="E255" s="23" t="str">
        <f>IF($D255="","",IFERROR(VLOOKUP($D255,'ACAS Consumables Tracker'!$A:$H,8,FALSE()),""))</f>
        <v/>
      </c>
      <c r="F255" s="24"/>
      <c r="G255" s="25" t="str">
        <f>IF($D255="","",IFERROR(VLOOKUP($D255,'ACAS Consumables Tracker'!$A:$D,4,FALSE()),""))</f>
        <v/>
      </c>
      <c r="H255" s="22"/>
    </row>
    <row r="256" spans="1:8">
      <c r="A256" s="21"/>
      <c r="B256" s="28"/>
      <c r="C256" s="22"/>
      <c r="D256" s="28"/>
      <c r="E256" s="23" t="str">
        <f>IF($D256="","",IFERROR(VLOOKUP($D256,'ACAS Consumables Tracker'!$A:$H,8,FALSE()),""))</f>
        <v/>
      </c>
      <c r="F256" s="24"/>
      <c r="G256" s="25" t="str">
        <f>IF($D256="","",IFERROR(VLOOKUP($D256,'ACAS Consumables Tracker'!$A:$D,4,FALSE()),""))</f>
        <v/>
      </c>
      <c r="H256" s="22"/>
    </row>
    <row r="257" spans="1:8">
      <c r="A257" s="21"/>
      <c r="B257" s="28"/>
      <c r="C257" s="22"/>
      <c r="D257" s="28"/>
      <c r="E257" s="23" t="str">
        <f>IF($D257="","",IFERROR(VLOOKUP($D257,'ACAS Consumables Tracker'!$A:$H,8,FALSE()),""))</f>
        <v/>
      </c>
      <c r="F257" s="24"/>
      <c r="G257" s="25" t="str">
        <f>IF($D257="","",IFERROR(VLOOKUP($D257,'ACAS Consumables Tracker'!$A:$D,4,FALSE()),""))</f>
        <v/>
      </c>
      <c r="H257" s="22"/>
    </row>
    <row r="258" spans="1:8">
      <c r="A258" s="21"/>
      <c r="B258" s="28"/>
      <c r="C258" s="22"/>
      <c r="D258" s="28"/>
      <c r="E258" s="23" t="str">
        <f>IF($D258="","",IFERROR(VLOOKUP($D258,'ACAS Consumables Tracker'!$A:$H,8,FALSE()),""))</f>
        <v/>
      </c>
      <c r="F258" s="24"/>
      <c r="G258" s="25" t="str">
        <f>IF($D258="","",IFERROR(VLOOKUP($D258,'ACAS Consumables Tracker'!$A:$D,4,FALSE()),""))</f>
        <v/>
      </c>
      <c r="H258" s="22"/>
    </row>
    <row r="259" spans="1:8">
      <c r="A259" s="21"/>
      <c r="B259" s="28"/>
      <c r="C259" s="22"/>
      <c r="D259" s="28"/>
      <c r="E259" s="23" t="str">
        <f>IF($D259="","",IFERROR(VLOOKUP($D259,'ACAS Consumables Tracker'!$A:$H,8,FALSE()),""))</f>
        <v/>
      </c>
      <c r="F259" s="24"/>
      <c r="G259" s="25" t="str">
        <f>IF($D259="","",IFERROR(VLOOKUP($D259,'ACAS Consumables Tracker'!$A:$D,4,FALSE()),""))</f>
        <v/>
      </c>
      <c r="H259" s="22"/>
    </row>
    <row r="260" spans="1:8">
      <c r="A260" s="21"/>
      <c r="B260" s="28"/>
      <c r="C260" s="22"/>
      <c r="D260" s="28"/>
      <c r="E260" s="23" t="str">
        <f>IF($D260="","",IFERROR(VLOOKUP($D260,'ACAS Consumables Tracker'!$A:$H,8,FALSE()),""))</f>
        <v/>
      </c>
      <c r="F260" s="24"/>
      <c r="G260" s="25" t="str">
        <f>IF($D260="","",IFERROR(VLOOKUP($D260,'ACAS Consumables Tracker'!$A:$D,4,FALSE()),""))</f>
        <v/>
      </c>
      <c r="H260" s="22"/>
    </row>
    <row r="261" spans="1:8">
      <c r="A261" s="21"/>
      <c r="B261" s="28"/>
      <c r="C261" s="22"/>
      <c r="D261" s="28"/>
      <c r="E261" s="23" t="str">
        <f>IF($D261="","",IFERROR(VLOOKUP($D261,'ACAS Consumables Tracker'!$A:$H,8,FALSE()),""))</f>
        <v/>
      </c>
      <c r="F261" s="24"/>
      <c r="G261" s="25" t="str">
        <f>IF($D261="","",IFERROR(VLOOKUP($D261,'ACAS Consumables Tracker'!$A:$D,4,FALSE()),""))</f>
        <v/>
      </c>
      <c r="H261" s="22"/>
    </row>
    <row r="262" spans="1:8">
      <c r="A262" s="21"/>
      <c r="B262" s="28"/>
      <c r="C262" s="22"/>
      <c r="D262" s="28"/>
      <c r="E262" s="23" t="str">
        <f>IF($D262="","",IFERROR(VLOOKUP($D262,'ACAS Consumables Tracker'!$A:$H,8,FALSE()),""))</f>
        <v/>
      </c>
      <c r="F262" s="24"/>
      <c r="G262" s="25" t="str">
        <f>IF($D262="","",IFERROR(VLOOKUP($D262,'ACAS Consumables Tracker'!$A:$D,4,FALSE()),""))</f>
        <v/>
      </c>
      <c r="H262" s="22"/>
    </row>
    <row r="263" spans="1:8">
      <c r="A263" s="21"/>
      <c r="B263" s="28"/>
      <c r="C263" s="22"/>
      <c r="D263" s="28"/>
      <c r="E263" s="23" t="str">
        <f>IF($D263="","",IFERROR(VLOOKUP($D263,'ACAS Consumables Tracker'!$A:$H,8,FALSE()),""))</f>
        <v/>
      </c>
      <c r="F263" s="24"/>
      <c r="G263" s="25" t="str">
        <f>IF($D263="","",IFERROR(VLOOKUP($D263,'ACAS Consumables Tracker'!$A:$D,4,FALSE()),""))</f>
        <v/>
      </c>
      <c r="H263" s="22"/>
    </row>
    <row r="264" spans="1:8">
      <c r="A264" s="21"/>
      <c r="B264" s="28"/>
      <c r="C264" s="22"/>
      <c r="D264" s="28"/>
      <c r="E264" s="23" t="str">
        <f>IF($D264="","",IFERROR(VLOOKUP($D264,'ACAS Consumables Tracker'!$A:$H,8,FALSE()),""))</f>
        <v/>
      </c>
      <c r="F264" s="24"/>
      <c r="G264" s="25" t="str">
        <f>IF($D264="","",IFERROR(VLOOKUP($D264,'ACAS Consumables Tracker'!$A:$D,4,FALSE()),""))</f>
        <v/>
      </c>
      <c r="H264" s="22"/>
    </row>
    <row r="265" spans="1:8">
      <c r="A265" s="21"/>
      <c r="B265" s="28"/>
      <c r="C265" s="22"/>
      <c r="D265" s="28"/>
      <c r="E265" s="23" t="str">
        <f>IF($D265="","",IFERROR(VLOOKUP($D265,'ACAS Consumables Tracker'!$A:$H,8,FALSE()),""))</f>
        <v/>
      </c>
      <c r="F265" s="24"/>
      <c r="G265" s="25" t="str">
        <f>IF($D265="","",IFERROR(VLOOKUP($D265,'ACAS Consumables Tracker'!$A:$D,4,FALSE()),""))</f>
        <v/>
      </c>
      <c r="H265" s="22"/>
    </row>
    <row r="266" spans="1:8">
      <c r="A266" s="21"/>
      <c r="B266" s="28"/>
      <c r="C266" s="22"/>
      <c r="D266" s="28"/>
      <c r="E266" s="23" t="str">
        <f>IF($D266="","",IFERROR(VLOOKUP($D266,'ACAS Consumables Tracker'!$A:$H,8,FALSE()),""))</f>
        <v/>
      </c>
      <c r="F266" s="24"/>
      <c r="G266" s="25" t="str">
        <f>IF($D266="","",IFERROR(VLOOKUP($D266,'ACAS Consumables Tracker'!$A:$D,4,FALSE()),""))</f>
        <v/>
      </c>
      <c r="H266" s="22"/>
    </row>
    <row r="267" spans="1:8">
      <c r="A267" s="21"/>
      <c r="B267" s="28"/>
      <c r="C267" s="22"/>
      <c r="D267" s="28"/>
      <c r="E267" s="23" t="str">
        <f>IF($D267="","",IFERROR(VLOOKUP($D267,'ACAS Consumables Tracker'!$A:$H,8,FALSE()),""))</f>
        <v/>
      </c>
      <c r="F267" s="24"/>
      <c r="G267" s="25" t="str">
        <f>IF($D267="","",IFERROR(VLOOKUP($D267,'ACAS Consumables Tracker'!$A:$D,4,FALSE()),""))</f>
        <v/>
      </c>
      <c r="H267" s="22"/>
    </row>
    <row r="268" spans="1:8">
      <c r="A268" s="21"/>
      <c r="B268" s="28"/>
      <c r="C268" s="22"/>
      <c r="D268" s="28"/>
      <c r="E268" s="23" t="str">
        <f>IF($D268="","",IFERROR(VLOOKUP($D268,'ACAS Consumables Tracker'!$A:$H,8,FALSE()),""))</f>
        <v/>
      </c>
      <c r="F268" s="24"/>
      <c r="G268" s="25" t="str">
        <f>IF($D268="","",IFERROR(VLOOKUP($D268,'ACAS Consumables Tracker'!$A:$D,4,FALSE()),""))</f>
        <v/>
      </c>
      <c r="H268" s="22"/>
    </row>
    <row r="269" spans="1:8">
      <c r="A269" s="21"/>
      <c r="B269" s="28"/>
      <c r="C269" s="22"/>
      <c r="D269" s="28"/>
      <c r="E269" s="23" t="str">
        <f>IF($D269="","",IFERROR(VLOOKUP($D269,'ACAS Consumables Tracker'!$A:$H,8,FALSE()),""))</f>
        <v/>
      </c>
      <c r="F269" s="24"/>
      <c r="G269" s="25" t="str">
        <f>IF($D269="","",IFERROR(VLOOKUP($D269,'ACAS Consumables Tracker'!$A:$D,4,FALSE()),""))</f>
        <v/>
      </c>
      <c r="H269" s="22"/>
    </row>
    <row r="270" spans="1:8">
      <c r="A270" s="21"/>
      <c r="B270" s="28"/>
      <c r="C270" s="22"/>
      <c r="D270" s="28"/>
      <c r="E270" s="23" t="str">
        <f>IF($D270="","",IFERROR(VLOOKUP($D270,'ACAS Consumables Tracker'!$A:$H,8,FALSE()),""))</f>
        <v/>
      </c>
      <c r="F270" s="24"/>
      <c r="G270" s="25" t="str">
        <f>IF($D270="","",IFERROR(VLOOKUP($D270,'ACAS Consumables Tracker'!$A:$D,4,FALSE()),""))</f>
        <v/>
      </c>
      <c r="H270" s="22"/>
    </row>
    <row r="271" spans="1:8">
      <c r="A271" s="21"/>
      <c r="B271" s="28"/>
      <c r="C271" s="22"/>
      <c r="D271" s="28"/>
      <c r="E271" s="23" t="str">
        <f>IF($D271="","",IFERROR(VLOOKUP($D271,'ACAS Consumables Tracker'!$A:$H,8,FALSE()),""))</f>
        <v/>
      </c>
      <c r="F271" s="24"/>
      <c r="G271" s="25" t="str">
        <f>IF($D271="","",IFERROR(VLOOKUP($D271,'ACAS Consumables Tracker'!$A:$D,4,FALSE()),""))</f>
        <v/>
      </c>
      <c r="H271" s="22"/>
    </row>
    <row r="272" spans="1:8">
      <c r="A272" s="21"/>
      <c r="B272" s="28"/>
      <c r="C272" s="22"/>
      <c r="D272" s="28"/>
      <c r="E272" s="23" t="str">
        <f>IF($D272="","",IFERROR(VLOOKUP($D272,'ACAS Consumables Tracker'!$A:$H,8,FALSE()),""))</f>
        <v/>
      </c>
      <c r="F272" s="24"/>
      <c r="G272" s="25" t="str">
        <f>IF($D272="","",IFERROR(VLOOKUP($D272,'ACAS Consumables Tracker'!$A:$D,4,FALSE()),""))</f>
        <v/>
      </c>
      <c r="H272" s="22"/>
    </row>
    <row r="273" spans="1:8">
      <c r="A273" s="21"/>
      <c r="B273" s="28"/>
      <c r="C273" s="22"/>
      <c r="D273" s="28"/>
      <c r="E273" s="23" t="str">
        <f>IF($D273="","",IFERROR(VLOOKUP($D273,'ACAS Consumables Tracker'!$A:$H,8,FALSE()),""))</f>
        <v/>
      </c>
      <c r="F273" s="24"/>
      <c r="G273" s="25" t="str">
        <f>IF($D273="","",IFERROR(VLOOKUP($D273,'ACAS Consumables Tracker'!$A:$D,4,FALSE()),""))</f>
        <v/>
      </c>
      <c r="H273" s="22"/>
    </row>
    <row r="274" spans="1:8">
      <c r="A274" s="21"/>
      <c r="B274" s="28"/>
      <c r="C274" s="22"/>
      <c r="D274" s="28"/>
      <c r="E274" s="23" t="str">
        <f>IF($D274="","",IFERROR(VLOOKUP($D274,'ACAS Consumables Tracker'!$A:$H,8,FALSE()),""))</f>
        <v/>
      </c>
      <c r="F274" s="24"/>
      <c r="G274" s="25" t="str">
        <f>IF($D274="","",IFERROR(VLOOKUP($D274,'ACAS Consumables Tracker'!$A:$D,4,FALSE()),""))</f>
        <v/>
      </c>
      <c r="H274" s="22"/>
    </row>
    <row r="275" spans="1:8">
      <c r="A275" s="21"/>
      <c r="B275" s="28"/>
      <c r="C275" s="22"/>
      <c r="D275" s="28"/>
      <c r="E275" s="23" t="str">
        <f>IF($D275="","",IFERROR(VLOOKUP($D275,'ACAS Consumables Tracker'!$A:$H,8,FALSE()),""))</f>
        <v/>
      </c>
      <c r="F275" s="24"/>
      <c r="G275" s="25" t="str">
        <f>IF($D275="","",IFERROR(VLOOKUP($D275,'ACAS Consumables Tracker'!$A:$D,4,FALSE()),""))</f>
        <v/>
      </c>
      <c r="H275" s="22"/>
    </row>
    <row r="276" spans="1:8">
      <c r="A276" s="21"/>
      <c r="B276" s="28"/>
      <c r="C276" s="22"/>
      <c r="D276" s="28"/>
      <c r="E276" s="23" t="str">
        <f>IF($D276="","",IFERROR(VLOOKUP($D276,'ACAS Consumables Tracker'!$A:$H,8,FALSE()),""))</f>
        <v/>
      </c>
      <c r="F276" s="24"/>
      <c r="G276" s="25" t="str">
        <f>IF($D276="","",IFERROR(VLOOKUP($D276,'ACAS Consumables Tracker'!$A:$D,4,FALSE()),""))</f>
        <v/>
      </c>
      <c r="H276" s="22"/>
    </row>
    <row r="277" spans="1:8">
      <c r="A277" s="21"/>
      <c r="B277" s="28"/>
      <c r="C277" s="22"/>
      <c r="D277" s="28"/>
      <c r="E277" s="23" t="str">
        <f>IF($D277="","",IFERROR(VLOOKUP($D277,'ACAS Consumables Tracker'!$A:$H,8,FALSE()),""))</f>
        <v/>
      </c>
      <c r="F277" s="24"/>
      <c r="G277" s="25" t="str">
        <f>IF($D277="","",IFERROR(VLOOKUP($D277,'ACAS Consumables Tracker'!$A:$D,4,FALSE()),""))</f>
        <v/>
      </c>
      <c r="H277" s="22"/>
    </row>
    <row r="278" spans="1:8">
      <c r="A278" s="21"/>
      <c r="B278" s="28"/>
      <c r="C278" s="22"/>
      <c r="D278" s="28"/>
      <c r="E278" s="23" t="str">
        <f>IF($D278="","",IFERROR(VLOOKUP($D278,'ACAS Consumables Tracker'!$A:$H,8,FALSE()),""))</f>
        <v/>
      </c>
      <c r="F278" s="24"/>
      <c r="G278" s="25" t="str">
        <f>IF($D278="","",IFERROR(VLOOKUP($D278,'ACAS Consumables Tracker'!$A:$D,4,FALSE()),""))</f>
        <v/>
      </c>
      <c r="H278" s="22"/>
    </row>
    <row r="279" spans="1:8">
      <c r="A279" s="21"/>
      <c r="B279" s="28"/>
      <c r="C279" s="22"/>
      <c r="D279" s="28"/>
      <c r="E279" s="23" t="str">
        <f>IF($D279="","",IFERROR(VLOOKUP($D279,'ACAS Consumables Tracker'!$A:$H,8,FALSE()),""))</f>
        <v/>
      </c>
      <c r="F279" s="24"/>
      <c r="G279" s="25" t="str">
        <f>IF($D279="","",IFERROR(VLOOKUP($D279,'ACAS Consumables Tracker'!$A:$D,4,FALSE()),""))</f>
        <v/>
      </c>
      <c r="H279" s="22"/>
    </row>
    <row r="280" spans="1:8">
      <c r="A280" s="21"/>
      <c r="B280" s="28"/>
      <c r="C280" s="22"/>
      <c r="D280" s="28"/>
      <c r="E280" s="23" t="str">
        <f>IF($D280="","",IFERROR(VLOOKUP($D280,'ACAS Consumables Tracker'!$A:$H,8,FALSE()),""))</f>
        <v/>
      </c>
      <c r="F280" s="24"/>
      <c r="G280" s="25" t="str">
        <f>IF($D280="","",IFERROR(VLOOKUP($D280,'ACAS Consumables Tracker'!$A:$D,4,FALSE()),""))</f>
        <v/>
      </c>
      <c r="H280" s="22"/>
    </row>
    <row r="281" spans="1:8">
      <c r="A281" s="21"/>
      <c r="B281" s="28"/>
      <c r="C281" s="22"/>
      <c r="D281" s="28"/>
      <c r="E281" s="23" t="str">
        <f>IF($D281="","",IFERROR(VLOOKUP($D281,'ACAS Consumables Tracker'!$A:$H,8,FALSE()),""))</f>
        <v/>
      </c>
      <c r="F281" s="24"/>
      <c r="G281" s="25" t="str">
        <f>IF($D281="","",IFERROR(VLOOKUP($D281,'ACAS Consumables Tracker'!$A:$D,4,FALSE()),""))</f>
        <v/>
      </c>
      <c r="H281" s="22"/>
    </row>
    <row r="282" spans="1:8">
      <c r="A282" s="21"/>
      <c r="B282" s="28"/>
      <c r="C282" s="22"/>
      <c r="D282" s="28"/>
      <c r="E282" s="23" t="str">
        <f>IF($D282="","",IFERROR(VLOOKUP($D282,'ACAS Consumables Tracker'!$A:$H,8,FALSE()),""))</f>
        <v/>
      </c>
      <c r="F282" s="24"/>
      <c r="G282" s="25" t="str">
        <f>IF($D282="","",IFERROR(VLOOKUP($D282,'ACAS Consumables Tracker'!$A:$D,4,FALSE()),""))</f>
        <v/>
      </c>
      <c r="H282" s="22"/>
    </row>
    <row r="283" spans="1:8">
      <c r="A283" s="21"/>
      <c r="B283" s="28"/>
      <c r="C283" s="22"/>
      <c r="D283" s="28"/>
      <c r="E283" s="23" t="str">
        <f>IF($D283="","",IFERROR(VLOOKUP($D283,'ACAS Consumables Tracker'!$A:$H,8,FALSE()),""))</f>
        <v/>
      </c>
      <c r="F283" s="24"/>
      <c r="G283" s="25" t="str">
        <f>IF($D283="","",IFERROR(VLOOKUP($D283,'ACAS Consumables Tracker'!$A:$D,4,FALSE()),""))</f>
        <v/>
      </c>
      <c r="H283" s="22"/>
    </row>
    <row r="284" spans="1:8">
      <c r="A284" s="21"/>
      <c r="B284" s="28"/>
      <c r="C284" s="22"/>
      <c r="D284" s="28"/>
      <c r="E284" s="23" t="str">
        <f>IF($D284="","",IFERROR(VLOOKUP($D284,'ACAS Consumables Tracker'!$A:$H,8,FALSE()),""))</f>
        <v/>
      </c>
      <c r="F284" s="24"/>
      <c r="G284" s="25" t="str">
        <f>IF($D284="","",IFERROR(VLOOKUP($D284,'ACAS Consumables Tracker'!$A:$D,4,FALSE()),""))</f>
        <v/>
      </c>
      <c r="H284" s="22"/>
    </row>
    <row r="285" spans="1:8">
      <c r="A285" s="21"/>
      <c r="B285" s="28"/>
      <c r="C285" s="22"/>
      <c r="D285" s="28"/>
      <c r="E285" s="23" t="str">
        <f>IF($D285="","",IFERROR(VLOOKUP($D285,'ACAS Consumables Tracker'!$A:$H,8,FALSE()),""))</f>
        <v/>
      </c>
      <c r="F285" s="24"/>
      <c r="G285" s="25" t="str">
        <f>IF($D285="","",IFERROR(VLOOKUP($D285,'ACAS Consumables Tracker'!$A:$D,4,FALSE()),""))</f>
        <v/>
      </c>
      <c r="H285" s="22"/>
    </row>
    <row r="286" spans="1:8">
      <c r="A286" s="21"/>
      <c r="B286" s="28"/>
      <c r="C286" s="22"/>
      <c r="D286" s="28"/>
      <c r="E286" s="23" t="str">
        <f>IF($D286="","",IFERROR(VLOOKUP($D286,'ACAS Consumables Tracker'!$A:$H,8,FALSE()),""))</f>
        <v/>
      </c>
      <c r="F286" s="24"/>
      <c r="G286" s="25" t="str">
        <f>IF($D286="","",IFERROR(VLOOKUP($D286,'ACAS Consumables Tracker'!$A:$D,4,FALSE()),""))</f>
        <v/>
      </c>
      <c r="H286" s="22"/>
    </row>
    <row r="287" spans="1:8">
      <c r="A287" s="21"/>
      <c r="B287" s="28"/>
      <c r="C287" s="22"/>
      <c r="D287" s="28"/>
      <c r="E287" s="23" t="str">
        <f>IF($D287="","",IFERROR(VLOOKUP($D287,'ACAS Consumables Tracker'!$A:$H,8,FALSE()),""))</f>
        <v/>
      </c>
      <c r="F287" s="24"/>
      <c r="G287" s="25" t="str">
        <f>IF($D287="","",IFERROR(VLOOKUP($D287,'ACAS Consumables Tracker'!$A:$D,4,FALSE()),""))</f>
        <v/>
      </c>
      <c r="H287" s="22"/>
    </row>
    <row r="288" spans="1:8">
      <c r="A288" s="21"/>
      <c r="B288" s="28"/>
      <c r="C288" s="22"/>
      <c r="D288" s="28"/>
      <c r="E288" s="23" t="str">
        <f>IF($D288="","",IFERROR(VLOOKUP($D288,'ACAS Consumables Tracker'!$A:$H,8,FALSE()),""))</f>
        <v/>
      </c>
      <c r="F288" s="24"/>
      <c r="G288" s="25" t="str">
        <f>IF($D288="","",IFERROR(VLOOKUP($D288,'ACAS Consumables Tracker'!$A:$D,4,FALSE()),""))</f>
        <v/>
      </c>
      <c r="H288" s="22"/>
    </row>
    <row r="289" spans="1:8">
      <c r="A289" s="21"/>
      <c r="B289" s="28"/>
      <c r="C289" s="22"/>
      <c r="D289" s="28"/>
      <c r="E289" s="23" t="str">
        <f>IF($D289="","",IFERROR(VLOOKUP($D289,'ACAS Consumables Tracker'!$A:$H,8,FALSE()),""))</f>
        <v/>
      </c>
      <c r="F289" s="24"/>
      <c r="G289" s="25" t="str">
        <f>IF($D289="","",IFERROR(VLOOKUP($D289,'ACAS Consumables Tracker'!$A:$D,4,FALSE()),""))</f>
        <v/>
      </c>
      <c r="H289" s="22"/>
    </row>
    <row r="290" spans="1:8">
      <c r="A290" s="21"/>
      <c r="B290" s="28"/>
      <c r="C290" s="22"/>
      <c r="D290" s="28"/>
      <c r="E290" s="23" t="str">
        <f>IF($D290="","",IFERROR(VLOOKUP($D290,'ACAS Consumables Tracker'!$A:$H,8,FALSE()),""))</f>
        <v/>
      </c>
      <c r="F290" s="24"/>
      <c r="G290" s="25" t="str">
        <f>IF($D290="","",IFERROR(VLOOKUP($D290,'ACAS Consumables Tracker'!$A:$D,4,FALSE()),""))</f>
        <v/>
      </c>
      <c r="H290" s="22"/>
    </row>
    <row r="291" spans="1:8">
      <c r="A291" s="21"/>
      <c r="B291" s="28"/>
      <c r="C291" s="22"/>
      <c r="D291" s="28"/>
      <c r="E291" s="23" t="str">
        <f>IF($D291="","",IFERROR(VLOOKUP($D291,'ACAS Consumables Tracker'!$A:$H,8,FALSE()),""))</f>
        <v/>
      </c>
      <c r="F291" s="24"/>
      <c r="G291" s="25" t="str">
        <f>IF($D291="","",IFERROR(VLOOKUP($D291,'ACAS Consumables Tracker'!$A:$D,4,FALSE()),""))</f>
        <v/>
      </c>
      <c r="H291" s="22"/>
    </row>
    <row r="292" spans="1:8">
      <c r="A292" s="21"/>
      <c r="B292" s="28"/>
      <c r="C292" s="22"/>
      <c r="D292" s="28"/>
      <c r="E292" s="23" t="str">
        <f>IF($D292="","",IFERROR(VLOOKUP($D292,'ACAS Consumables Tracker'!$A:$H,8,FALSE()),""))</f>
        <v/>
      </c>
      <c r="F292" s="24"/>
      <c r="G292" s="25" t="str">
        <f>IF($D292="","",IFERROR(VLOOKUP($D292,'ACAS Consumables Tracker'!$A:$D,4,FALSE()),""))</f>
        <v/>
      </c>
      <c r="H292" s="22"/>
    </row>
    <row r="293" spans="1:8">
      <c r="A293" s="21"/>
      <c r="B293" s="28"/>
      <c r="C293" s="22"/>
      <c r="D293" s="28"/>
      <c r="E293" s="23" t="str">
        <f>IF($D293="","",IFERROR(VLOOKUP($D293,'ACAS Consumables Tracker'!$A:$H,8,FALSE()),""))</f>
        <v/>
      </c>
      <c r="F293" s="24"/>
      <c r="G293" s="25" t="str">
        <f>IF($D293="","",IFERROR(VLOOKUP($D293,'ACAS Consumables Tracker'!$A:$D,4,FALSE()),""))</f>
        <v/>
      </c>
      <c r="H293" s="22"/>
    </row>
    <row r="294" spans="1:8">
      <c r="A294" s="21"/>
      <c r="B294" s="28"/>
      <c r="C294" s="22"/>
      <c r="D294" s="28"/>
      <c r="E294" s="23" t="str">
        <f>IF($D294="","",IFERROR(VLOOKUP($D294,'ACAS Consumables Tracker'!$A:$H,8,FALSE()),""))</f>
        <v/>
      </c>
      <c r="F294" s="24"/>
      <c r="G294" s="25" t="str">
        <f>IF($D294="","",IFERROR(VLOOKUP($D294,'ACAS Consumables Tracker'!$A:$D,4,FALSE()),""))</f>
        <v/>
      </c>
      <c r="H294" s="22"/>
    </row>
    <row r="295" spans="1:8">
      <c r="A295" s="21"/>
      <c r="B295" s="28"/>
      <c r="C295" s="22"/>
      <c r="D295" s="28"/>
      <c r="E295" s="23" t="str">
        <f>IF($D295="","",IFERROR(VLOOKUP($D295,'ACAS Consumables Tracker'!$A:$H,8,FALSE()),""))</f>
        <v/>
      </c>
      <c r="F295" s="24"/>
      <c r="G295" s="25" t="str">
        <f>IF($D295="","",IFERROR(VLOOKUP($D295,'ACAS Consumables Tracker'!$A:$D,4,FALSE()),""))</f>
        <v/>
      </c>
      <c r="H295" s="22"/>
    </row>
    <row r="296" spans="1:8">
      <c r="A296" s="21"/>
      <c r="B296" s="28"/>
      <c r="C296" s="22"/>
      <c r="D296" s="28"/>
      <c r="E296" s="23" t="str">
        <f>IF($D296="","",IFERROR(VLOOKUP($D296,'ACAS Consumables Tracker'!$A:$H,8,FALSE()),""))</f>
        <v/>
      </c>
      <c r="F296" s="24"/>
      <c r="G296" s="25" t="str">
        <f>IF($D296="","",IFERROR(VLOOKUP($D296,'ACAS Consumables Tracker'!$A:$D,4,FALSE()),""))</f>
        <v/>
      </c>
      <c r="H296" s="22"/>
    </row>
    <row r="297" spans="1:8">
      <c r="A297" s="21"/>
      <c r="B297" s="28"/>
      <c r="C297" s="22"/>
      <c r="D297" s="28"/>
      <c r="E297" s="23" t="str">
        <f>IF($D297="","",IFERROR(VLOOKUP($D297,'ACAS Consumables Tracker'!$A:$H,8,FALSE()),""))</f>
        <v/>
      </c>
      <c r="F297" s="24"/>
      <c r="G297" s="25" t="str">
        <f>IF($D297="","",IFERROR(VLOOKUP($D297,'ACAS Consumables Tracker'!$A:$D,4,FALSE()),""))</f>
        <v/>
      </c>
      <c r="H297" s="22"/>
    </row>
    <row r="298" spans="1:8">
      <c r="A298" s="21"/>
      <c r="B298" s="28"/>
      <c r="C298" s="22"/>
      <c r="D298" s="28"/>
      <c r="E298" s="23" t="str">
        <f>IF($D298="","",IFERROR(VLOOKUP($D298,'ACAS Consumables Tracker'!$A:$H,8,FALSE()),""))</f>
        <v/>
      </c>
      <c r="F298" s="24"/>
      <c r="G298" s="25" t="str">
        <f>IF($D298="","",IFERROR(VLOOKUP($D298,'ACAS Consumables Tracker'!$A:$D,4,FALSE()),""))</f>
        <v/>
      </c>
      <c r="H298" s="22"/>
    </row>
    <row r="299" spans="1:8">
      <c r="A299" s="21"/>
      <c r="B299" s="28"/>
      <c r="C299" s="22"/>
      <c r="D299" s="28"/>
      <c r="E299" s="23" t="str">
        <f>IF($D299="","",IFERROR(VLOOKUP($D299,'ACAS Consumables Tracker'!$A:$H,8,FALSE()),""))</f>
        <v/>
      </c>
      <c r="F299" s="24"/>
      <c r="G299" s="25" t="str">
        <f>IF($D299="","",IFERROR(VLOOKUP($D299,'ACAS Consumables Tracker'!$A:$D,4,FALSE()),""))</f>
        <v/>
      </c>
      <c r="H299" s="22"/>
    </row>
    <row r="300" spans="1:8">
      <c r="A300" s="21"/>
      <c r="B300" s="28"/>
      <c r="C300" s="22"/>
      <c r="D300" s="28"/>
      <c r="E300" s="23" t="str">
        <f>IF($D300="","",IFERROR(VLOOKUP($D300,'ACAS Consumables Tracker'!$A:$H,8,FALSE()),""))</f>
        <v/>
      </c>
      <c r="F300" s="24"/>
      <c r="G300" s="25" t="str">
        <f>IF($D300="","",IFERROR(VLOOKUP($D300,'ACAS Consumables Tracker'!$A:$D,4,FALSE()),""))</f>
        <v/>
      </c>
      <c r="H300" s="22"/>
    </row>
    <row r="301" spans="1:8">
      <c r="A301" s="21"/>
      <c r="B301" s="28"/>
      <c r="C301" s="22"/>
      <c r="D301" s="28"/>
      <c r="E301" s="23" t="str">
        <f>IF($D301="","",IFERROR(VLOOKUP($D301,'ACAS Consumables Tracker'!$A:$H,8,FALSE()),""))</f>
        <v/>
      </c>
      <c r="F301" s="24"/>
      <c r="G301" s="25" t="str">
        <f>IF($D301="","",IFERROR(VLOOKUP($D301,'ACAS Consumables Tracker'!$A:$D,4,FALSE()),""))</f>
        <v/>
      </c>
      <c r="H301" s="22"/>
    </row>
    <row r="302" spans="1:8">
      <c r="A302" s="21"/>
      <c r="B302" s="28"/>
      <c r="C302" s="22"/>
      <c r="D302" s="28"/>
      <c r="E302" s="23" t="str">
        <f>IF($D302="","",IFERROR(VLOOKUP($D302,'ACAS Consumables Tracker'!$A:$H,8,FALSE()),""))</f>
        <v/>
      </c>
      <c r="F302" s="24"/>
      <c r="G302" s="25" t="str">
        <f>IF($D302="","",IFERROR(VLOOKUP($D302,'ACAS Consumables Tracker'!$A:$D,4,FALSE()),""))</f>
        <v/>
      </c>
      <c r="H302" s="22"/>
    </row>
    <row r="303" spans="1:8">
      <c r="A303" s="21"/>
      <c r="B303" s="28"/>
      <c r="C303" s="22"/>
      <c r="D303" s="28"/>
      <c r="E303" s="23" t="str">
        <f>IF($D303="","",IFERROR(VLOOKUP($D303,'ACAS Consumables Tracker'!$A:$H,8,FALSE()),""))</f>
        <v/>
      </c>
      <c r="F303" s="24"/>
      <c r="G303" s="25" t="str">
        <f>IF($D303="","",IFERROR(VLOOKUP($D303,'ACAS Consumables Tracker'!$A:$D,4,FALSE()),""))</f>
        <v/>
      </c>
      <c r="H303" s="22"/>
    </row>
    <row r="304" spans="1:8">
      <c r="A304" s="21"/>
      <c r="B304" s="28"/>
      <c r="C304" s="22"/>
      <c r="D304" s="28"/>
      <c r="E304" s="23" t="str">
        <f>IF($D304="","",IFERROR(VLOOKUP($D304,'ACAS Consumables Tracker'!$A:$H,8,FALSE()),""))</f>
        <v/>
      </c>
      <c r="F304" s="24"/>
      <c r="G304" s="25" t="str">
        <f>IF($D304="","",IFERROR(VLOOKUP($D304,'ACAS Consumables Tracker'!$A:$D,4,FALSE()),""))</f>
        <v/>
      </c>
      <c r="H304" s="22"/>
    </row>
    <row r="305" spans="1:8">
      <c r="A305" s="21"/>
      <c r="B305" s="28"/>
      <c r="C305" s="22"/>
      <c r="D305" s="28"/>
      <c r="E305" s="23" t="str">
        <f>IF($D305="","",IFERROR(VLOOKUP($D305,'ACAS Consumables Tracker'!$A:$H,8,FALSE()),""))</f>
        <v/>
      </c>
      <c r="F305" s="24"/>
      <c r="G305" s="25" t="str">
        <f>IF($D305="","",IFERROR(VLOOKUP($D305,'ACAS Consumables Tracker'!$A:$D,4,FALSE()),""))</f>
        <v/>
      </c>
      <c r="H305" s="22"/>
    </row>
    <row r="306" spans="1:8">
      <c r="A306" s="21"/>
      <c r="B306" s="28"/>
      <c r="C306" s="22"/>
      <c r="D306" s="28"/>
      <c r="E306" s="23" t="str">
        <f>IF($D306="","",IFERROR(VLOOKUP($D306,'ACAS Consumables Tracker'!$A:$H,8,FALSE()),""))</f>
        <v/>
      </c>
      <c r="F306" s="24"/>
      <c r="G306" s="25" t="str">
        <f>IF($D306="","",IFERROR(VLOOKUP($D306,'ACAS Consumables Tracker'!$A:$D,4,FALSE()),""))</f>
        <v/>
      </c>
      <c r="H306" s="22"/>
    </row>
    <row r="307" spans="1:8">
      <c r="A307" s="21"/>
      <c r="B307" s="28"/>
      <c r="C307" s="22"/>
      <c r="D307" s="28"/>
      <c r="E307" s="23" t="str">
        <f>IF($D307="","",IFERROR(VLOOKUP($D307,'ACAS Consumables Tracker'!$A:$H,8,FALSE()),""))</f>
        <v/>
      </c>
      <c r="F307" s="24"/>
      <c r="G307" s="25" t="str">
        <f>IF($D307="","",IFERROR(VLOOKUP($D307,'ACAS Consumables Tracker'!$A:$D,4,FALSE()),""))</f>
        <v/>
      </c>
      <c r="H307" s="22"/>
    </row>
    <row r="308" spans="1:8">
      <c r="A308" s="21"/>
      <c r="B308" s="28"/>
      <c r="C308" s="22"/>
      <c r="D308" s="28"/>
      <c r="E308" s="23" t="str">
        <f>IF($D308="","",IFERROR(VLOOKUP($D308,'ACAS Consumables Tracker'!$A:$H,8,FALSE()),""))</f>
        <v/>
      </c>
      <c r="F308" s="24"/>
      <c r="G308" s="25" t="str">
        <f>IF($D308="","",IFERROR(VLOOKUP($D308,'ACAS Consumables Tracker'!$A:$D,4,FALSE()),""))</f>
        <v/>
      </c>
      <c r="H308" s="22"/>
    </row>
    <row r="309" spans="1:8">
      <c r="A309" s="21"/>
      <c r="B309" s="28"/>
      <c r="C309" s="22"/>
      <c r="D309" s="28"/>
      <c r="E309" s="23" t="str">
        <f>IF($D309="","",IFERROR(VLOOKUP($D309,'ACAS Consumables Tracker'!$A:$H,8,FALSE()),""))</f>
        <v/>
      </c>
      <c r="F309" s="24"/>
      <c r="G309" s="25" t="str">
        <f>IF($D309="","",IFERROR(VLOOKUP($D309,'ACAS Consumables Tracker'!$A:$D,4,FALSE()),""))</f>
        <v/>
      </c>
      <c r="H309" s="22"/>
    </row>
    <row r="310" spans="1:8">
      <c r="A310" s="21"/>
      <c r="B310" s="28"/>
      <c r="C310" s="22"/>
      <c r="D310" s="28"/>
      <c r="E310" s="23" t="str">
        <f>IF($D310="","",IFERROR(VLOOKUP($D310,'ACAS Consumables Tracker'!$A:$H,8,FALSE()),""))</f>
        <v/>
      </c>
      <c r="F310" s="24"/>
      <c r="G310" s="25" t="str">
        <f>IF($D310="","",IFERROR(VLOOKUP($D310,'ACAS Consumables Tracker'!$A:$D,4,FALSE()),""))</f>
        <v/>
      </c>
      <c r="H310" s="22"/>
    </row>
    <row r="311" spans="1:8">
      <c r="A311" s="21"/>
      <c r="B311" s="28"/>
      <c r="C311" s="22"/>
      <c r="D311" s="28"/>
      <c r="E311" s="23" t="str">
        <f>IF($D311="","",IFERROR(VLOOKUP($D311,'ACAS Consumables Tracker'!$A:$H,8,FALSE()),""))</f>
        <v/>
      </c>
      <c r="F311" s="24"/>
      <c r="G311" s="25" t="str">
        <f>IF($D311="","",IFERROR(VLOOKUP($D311,'ACAS Consumables Tracker'!$A:$D,4,FALSE()),""))</f>
        <v/>
      </c>
      <c r="H311" s="22"/>
    </row>
    <row r="312" spans="1:8">
      <c r="A312" s="21"/>
      <c r="B312" s="28"/>
      <c r="C312" s="22"/>
      <c r="D312" s="28"/>
      <c r="E312" s="23" t="str">
        <f>IF($D312="","",IFERROR(VLOOKUP($D312,'ACAS Consumables Tracker'!$A:$H,8,FALSE()),""))</f>
        <v/>
      </c>
      <c r="F312" s="24"/>
      <c r="G312" s="25" t="str">
        <f>IF($D312="","",IFERROR(VLOOKUP($D312,'ACAS Consumables Tracker'!$A:$D,4,FALSE()),""))</f>
        <v/>
      </c>
      <c r="H312" s="22"/>
    </row>
    <row r="313" spans="1:8">
      <c r="A313" s="21"/>
      <c r="B313" s="28"/>
      <c r="C313" s="22"/>
      <c r="D313" s="28"/>
      <c r="E313" s="23" t="str">
        <f>IF($D313="","",IFERROR(VLOOKUP($D313,'ACAS Consumables Tracker'!$A:$H,8,FALSE()),""))</f>
        <v/>
      </c>
      <c r="F313" s="24"/>
      <c r="G313" s="25" t="str">
        <f>IF($D313="","",IFERROR(VLOOKUP($D313,'ACAS Consumables Tracker'!$A:$D,4,FALSE()),""))</f>
        <v/>
      </c>
      <c r="H313" s="22"/>
    </row>
    <row r="314" spans="1:8">
      <c r="A314" s="21"/>
      <c r="B314" s="28"/>
      <c r="C314" s="22"/>
      <c r="D314" s="28"/>
      <c r="E314" s="23" t="str">
        <f>IF($D314="","",IFERROR(VLOOKUP($D314,'ACAS Consumables Tracker'!$A:$H,8,FALSE()),""))</f>
        <v/>
      </c>
      <c r="F314" s="24"/>
      <c r="G314" s="25" t="str">
        <f>IF($D314="","",IFERROR(VLOOKUP($D314,'ACAS Consumables Tracker'!$A:$D,4,FALSE()),""))</f>
        <v/>
      </c>
      <c r="H314" s="22"/>
    </row>
    <row r="315" spans="1:8">
      <c r="A315" s="21"/>
      <c r="B315" s="28"/>
      <c r="C315" s="22"/>
      <c r="D315" s="28"/>
      <c r="E315" s="23" t="str">
        <f>IF($D315="","",IFERROR(VLOOKUP($D315,'ACAS Consumables Tracker'!$A:$H,8,FALSE()),""))</f>
        <v/>
      </c>
      <c r="F315" s="24"/>
      <c r="G315" s="25" t="str">
        <f>IF($D315="","",IFERROR(VLOOKUP($D315,'ACAS Consumables Tracker'!$A:$D,4,FALSE()),""))</f>
        <v/>
      </c>
      <c r="H315" s="22"/>
    </row>
    <row r="316" spans="1:8">
      <c r="A316" s="21"/>
      <c r="B316" s="28"/>
      <c r="C316" s="22"/>
      <c r="D316" s="28"/>
      <c r="E316" s="23" t="str">
        <f>IF($D316="","",IFERROR(VLOOKUP($D316,'ACAS Consumables Tracker'!$A:$H,8,FALSE()),""))</f>
        <v/>
      </c>
      <c r="F316" s="24"/>
      <c r="G316" s="25" t="str">
        <f>IF($D316="","",IFERROR(VLOOKUP($D316,'ACAS Consumables Tracker'!$A:$D,4,FALSE()),""))</f>
        <v/>
      </c>
      <c r="H316" s="22"/>
    </row>
    <row r="317" spans="1:8">
      <c r="A317" s="21"/>
      <c r="B317" s="28"/>
      <c r="C317" s="22"/>
      <c r="D317" s="28"/>
      <c r="E317" s="23" t="str">
        <f>IF($D317="","",IFERROR(VLOOKUP($D317,'ACAS Consumables Tracker'!$A:$H,8,FALSE()),""))</f>
        <v/>
      </c>
      <c r="F317" s="24"/>
      <c r="G317" s="25" t="str">
        <f>IF($D317="","",IFERROR(VLOOKUP($D317,'ACAS Consumables Tracker'!$A:$D,4,FALSE()),""))</f>
        <v/>
      </c>
      <c r="H317" s="22"/>
    </row>
    <row r="318" spans="1:8">
      <c r="A318" s="21"/>
      <c r="B318" s="28"/>
      <c r="C318" s="22"/>
      <c r="D318" s="28"/>
      <c r="E318" s="23" t="str">
        <f>IF($D318="","",IFERROR(VLOOKUP($D318,'ACAS Consumables Tracker'!$A:$H,8,FALSE()),""))</f>
        <v/>
      </c>
      <c r="F318" s="24"/>
      <c r="G318" s="25" t="str">
        <f>IF($D318="","",IFERROR(VLOOKUP($D318,'ACAS Consumables Tracker'!$A:$D,4,FALSE()),""))</f>
        <v/>
      </c>
      <c r="H318" s="22"/>
    </row>
    <row r="319" spans="1:8">
      <c r="A319" s="21"/>
      <c r="B319" s="28"/>
      <c r="C319" s="22"/>
      <c r="D319" s="28"/>
      <c r="E319" s="23" t="str">
        <f>IF($D319="","",IFERROR(VLOOKUP($D319,'ACAS Consumables Tracker'!$A:$H,8,FALSE()),""))</f>
        <v/>
      </c>
      <c r="F319" s="24"/>
      <c r="G319" s="25" t="str">
        <f>IF($D319="","",IFERROR(VLOOKUP($D319,'ACAS Consumables Tracker'!$A:$D,4,FALSE()),""))</f>
        <v/>
      </c>
      <c r="H319" s="22"/>
    </row>
    <row r="320" spans="1:8">
      <c r="A320" s="21"/>
      <c r="B320" s="28"/>
      <c r="C320" s="22"/>
      <c r="D320" s="28"/>
      <c r="E320" s="23" t="str">
        <f>IF($D320="","",IFERROR(VLOOKUP($D320,'ACAS Consumables Tracker'!$A:$H,8,FALSE()),""))</f>
        <v/>
      </c>
      <c r="F320" s="24"/>
      <c r="G320" s="25" t="str">
        <f>IF($D320="","",IFERROR(VLOOKUP($D320,'ACAS Consumables Tracker'!$A:$D,4,FALSE()),""))</f>
        <v/>
      </c>
      <c r="H320" s="22"/>
    </row>
    <row r="321" spans="1:8">
      <c r="A321" s="21"/>
      <c r="B321" s="28"/>
      <c r="C321" s="22"/>
      <c r="D321" s="28"/>
      <c r="E321" s="23" t="str">
        <f>IF($D321="","",IFERROR(VLOOKUP($D321,'ACAS Consumables Tracker'!$A:$H,8,FALSE()),""))</f>
        <v/>
      </c>
      <c r="F321" s="24"/>
      <c r="G321" s="25" t="str">
        <f>IF($D321="","",IFERROR(VLOOKUP($D321,'ACAS Consumables Tracker'!$A:$D,4,FALSE()),""))</f>
        <v/>
      </c>
      <c r="H321" s="22"/>
    </row>
    <row r="322" spans="1:8">
      <c r="A322" s="21"/>
      <c r="B322" s="28"/>
      <c r="C322" s="22"/>
      <c r="D322" s="28"/>
      <c r="E322" s="23" t="str">
        <f>IF($D322="","",IFERROR(VLOOKUP($D322,'ACAS Consumables Tracker'!$A:$H,8,FALSE()),""))</f>
        <v/>
      </c>
      <c r="F322" s="24"/>
      <c r="G322" s="25" t="str">
        <f>IF($D322="","",IFERROR(VLOOKUP($D322,'ACAS Consumables Tracker'!$A:$D,4,FALSE()),""))</f>
        <v/>
      </c>
      <c r="H322" s="22"/>
    </row>
    <row r="323" spans="1:8">
      <c r="A323" s="21"/>
      <c r="B323" s="28"/>
      <c r="C323" s="22"/>
      <c r="D323" s="28"/>
      <c r="E323" s="23" t="str">
        <f>IF($D323="","",IFERROR(VLOOKUP($D323,'ACAS Consumables Tracker'!$A:$H,8,FALSE()),""))</f>
        <v/>
      </c>
      <c r="F323" s="24"/>
      <c r="G323" s="25" t="str">
        <f>IF($D323="","",IFERROR(VLOOKUP($D323,'ACAS Consumables Tracker'!$A:$D,4,FALSE()),""))</f>
        <v/>
      </c>
      <c r="H323" s="22"/>
    </row>
    <row r="324" spans="1:8">
      <c r="A324" s="21"/>
      <c r="B324" s="28"/>
      <c r="C324" s="22"/>
      <c r="D324" s="28"/>
      <c r="E324" s="23" t="str">
        <f>IF($D324="","",IFERROR(VLOOKUP($D324,'ACAS Consumables Tracker'!$A:$H,8,FALSE()),""))</f>
        <v/>
      </c>
      <c r="F324" s="24"/>
      <c r="G324" s="25" t="str">
        <f>IF($D324="","",IFERROR(VLOOKUP($D324,'ACAS Consumables Tracker'!$A:$D,4,FALSE()),""))</f>
        <v/>
      </c>
      <c r="H324" s="22"/>
    </row>
    <row r="325" spans="1:8">
      <c r="A325" s="21"/>
      <c r="B325" s="28"/>
      <c r="C325" s="22"/>
      <c r="D325" s="28"/>
      <c r="E325" s="23" t="str">
        <f>IF($D325="","",IFERROR(VLOOKUP($D325,'ACAS Consumables Tracker'!$A:$H,8,FALSE()),""))</f>
        <v/>
      </c>
      <c r="F325" s="24"/>
      <c r="G325" s="25" t="str">
        <f>IF($D325="","",IFERROR(VLOOKUP($D325,'ACAS Consumables Tracker'!$A:$D,4,FALSE()),""))</f>
        <v/>
      </c>
      <c r="H325" s="22"/>
    </row>
    <row r="326" spans="1:8">
      <c r="A326" s="21"/>
      <c r="B326" s="28"/>
      <c r="C326" s="22"/>
      <c r="D326" s="28"/>
      <c r="E326" s="23" t="str">
        <f>IF($D326="","",IFERROR(VLOOKUP($D326,'ACAS Consumables Tracker'!$A:$H,8,FALSE()),""))</f>
        <v/>
      </c>
      <c r="F326" s="24"/>
      <c r="G326" s="25" t="str">
        <f>IF($D326="","",IFERROR(VLOOKUP($D326,'ACAS Consumables Tracker'!$A:$D,4,FALSE()),""))</f>
        <v/>
      </c>
      <c r="H326" s="22"/>
    </row>
    <row r="327" spans="1:8">
      <c r="A327" s="21"/>
      <c r="B327" s="28"/>
      <c r="C327" s="22"/>
      <c r="D327" s="28"/>
      <c r="E327" s="23" t="str">
        <f>IF($D327="","",IFERROR(VLOOKUP($D327,'ACAS Consumables Tracker'!$A:$H,8,FALSE()),""))</f>
        <v/>
      </c>
      <c r="F327" s="24"/>
      <c r="G327" s="25" t="str">
        <f>IF($D327="","",IFERROR(VLOOKUP($D327,'ACAS Consumables Tracker'!$A:$D,4,FALSE()),""))</f>
        <v/>
      </c>
      <c r="H327" s="22"/>
    </row>
    <row r="328" spans="1:8">
      <c r="A328" s="21"/>
      <c r="B328" s="28"/>
      <c r="C328" s="22"/>
      <c r="D328" s="28"/>
      <c r="E328" s="23" t="str">
        <f>IF($D328="","",IFERROR(VLOOKUP($D328,'ACAS Consumables Tracker'!$A:$H,8,FALSE()),""))</f>
        <v/>
      </c>
      <c r="F328" s="24"/>
      <c r="G328" s="25" t="str">
        <f>IF($D328="","",IFERROR(VLOOKUP($D328,'ACAS Consumables Tracker'!$A:$D,4,FALSE()),""))</f>
        <v/>
      </c>
      <c r="H328" s="22"/>
    </row>
    <row r="329" spans="1:8">
      <c r="A329" s="21"/>
      <c r="B329" s="28"/>
      <c r="C329" s="22"/>
      <c r="D329" s="28"/>
      <c r="E329" s="23" t="str">
        <f>IF($D329="","",IFERROR(VLOOKUP($D329,'ACAS Consumables Tracker'!$A:$H,8,FALSE()),""))</f>
        <v/>
      </c>
      <c r="F329" s="24"/>
      <c r="G329" s="25" t="str">
        <f>IF($D329="","",IFERROR(VLOOKUP($D329,'ACAS Consumables Tracker'!$A:$D,4,FALSE()),""))</f>
        <v/>
      </c>
      <c r="H329" s="22"/>
    </row>
    <row r="330" spans="1:8">
      <c r="A330" s="21"/>
      <c r="B330" s="28"/>
      <c r="C330" s="22"/>
      <c r="D330" s="28"/>
      <c r="E330" s="23" t="str">
        <f>IF($D330="","",IFERROR(VLOOKUP($D330,'ACAS Consumables Tracker'!$A:$H,8,FALSE()),""))</f>
        <v/>
      </c>
      <c r="F330" s="24"/>
      <c r="G330" s="25" t="str">
        <f>IF($D330="","",IFERROR(VLOOKUP($D330,'ACAS Consumables Tracker'!$A:$D,4,FALSE()),""))</f>
        <v/>
      </c>
      <c r="H330" s="22"/>
    </row>
    <row r="331" spans="1:8">
      <c r="A331" s="21"/>
      <c r="B331" s="28"/>
      <c r="C331" s="22"/>
      <c r="D331" s="28"/>
      <c r="E331" s="23" t="str">
        <f>IF($D331="","",IFERROR(VLOOKUP($D331,'ACAS Consumables Tracker'!$A:$H,8,FALSE()),""))</f>
        <v/>
      </c>
      <c r="F331" s="24"/>
      <c r="G331" s="25" t="str">
        <f>IF($D331="","",IFERROR(VLOOKUP($D331,'ACAS Consumables Tracker'!$A:$D,4,FALSE()),""))</f>
        <v/>
      </c>
      <c r="H331" s="22"/>
    </row>
    <row r="332" spans="1:8">
      <c r="A332" s="21"/>
      <c r="B332" s="28"/>
      <c r="C332" s="22"/>
      <c r="D332" s="28"/>
      <c r="E332" s="23" t="str">
        <f>IF($D332="","",IFERROR(VLOOKUP($D332,'ACAS Consumables Tracker'!$A:$H,8,FALSE()),""))</f>
        <v/>
      </c>
      <c r="F332" s="24"/>
      <c r="G332" s="25" t="str">
        <f>IF($D332="","",IFERROR(VLOOKUP($D332,'ACAS Consumables Tracker'!$A:$D,4,FALSE()),""))</f>
        <v/>
      </c>
      <c r="H332" s="22"/>
    </row>
    <row r="333" spans="1:8">
      <c r="A333" s="21"/>
      <c r="B333" s="28"/>
      <c r="C333" s="22"/>
      <c r="D333" s="28"/>
      <c r="E333" s="23" t="str">
        <f>IF($D333="","",IFERROR(VLOOKUP($D333,'ACAS Consumables Tracker'!$A:$H,8,FALSE()),""))</f>
        <v/>
      </c>
      <c r="F333" s="24"/>
      <c r="G333" s="25" t="str">
        <f>IF($D333="","",IFERROR(VLOOKUP($D333,'ACAS Consumables Tracker'!$A:$D,4,FALSE()),""))</f>
        <v/>
      </c>
      <c r="H333" s="22"/>
    </row>
    <row r="334" spans="1:8">
      <c r="A334" s="21"/>
      <c r="B334" s="28"/>
      <c r="C334" s="22"/>
      <c r="D334" s="28"/>
      <c r="E334" s="23" t="str">
        <f>IF($D334="","",IFERROR(VLOOKUP($D334,'ACAS Consumables Tracker'!$A:$H,8,FALSE()),""))</f>
        <v/>
      </c>
      <c r="F334" s="24"/>
      <c r="G334" s="25" t="str">
        <f>IF($D334="","",IFERROR(VLOOKUP($D334,'ACAS Consumables Tracker'!$A:$D,4,FALSE()),""))</f>
        <v/>
      </c>
      <c r="H334" s="22"/>
    </row>
    <row r="335" spans="1:8">
      <c r="A335" s="21"/>
      <c r="B335" s="28"/>
      <c r="C335" s="22"/>
      <c r="D335" s="28"/>
      <c r="E335" s="23" t="str">
        <f>IF($D335="","",IFERROR(VLOOKUP($D335,'ACAS Consumables Tracker'!$A:$H,8,FALSE()),""))</f>
        <v/>
      </c>
      <c r="F335" s="24"/>
      <c r="G335" s="25" t="str">
        <f>IF($D335="","",IFERROR(VLOOKUP($D335,'ACAS Consumables Tracker'!$A:$D,4,FALSE()),""))</f>
        <v/>
      </c>
      <c r="H335" s="22"/>
    </row>
    <row r="336" spans="1:8">
      <c r="A336" s="21"/>
      <c r="B336" s="28"/>
      <c r="C336" s="22"/>
      <c r="D336" s="28"/>
      <c r="E336" s="23" t="str">
        <f>IF($D336="","",IFERROR(VLOOKUP($D336,'ACAS Consumables Tracker'!$A:$H,8,FALSE()),""))</f>
        <v/>
      </c>
      <c r="F336" s="24"/>
      <c r="G336" s="25" t="str">
        <f>IF($D336="","",IFERROR(VLOOKUP($D336,'ACAS Consumables Tracker'!$A:$D,4,FALSE()),""))</f>
        <v/>
      </c>
      <c r="H336" s="22"/>
    </row>
    <row r="337" spans="1:8">
      <c r="A337" s="21"/>
      <c r="B337" s="28"/>
      <c r="C337" s="22"/>
      <c r="D337" s="28"/>
      <c r="E337" s="23" t="str">
        <f>IF($D337="","",IFERROR(VLOOKUP($D337,'ACAS Consumables Tracker'!$A:$H,8,FALSE()),""))</f>
        <v/>
      </c>
      <c r="F337" s="24"/>
      <c r="G337" s="25" t="str">
        <f>IF($D337="","",IFERROR(VLOOKUP($D337,'ACAS Consumables Tracker'!$A:$D,4,FALSE()),""))</f>
        <v/>
      </c>
      <c r="H337" s="22"/>
    </row>
    <row r="338" spans="1:8">
      <c r="A338" s="21"/>
      <c r="B338" s="28"/>
      <c r="C338" s="22"/>
      <c r="D338" s="28"/>
      <c r="E338" s="23" t="str">
        <f>IF($D338="","",IFERROR(VLOOKUP($D338,'ACAS Consumables Tracker'!$A:$H,8,FALSE()),""))</f>
        <v/>
      </c>
      <c r="F338" s="24"/>
      <c r="G338" s="25" t="str">
        <f>IF($D338="","",IFERROR(VLOOKUP($D338,'ACAS Consumables Tracker'!$A:$D,4,FALSE()),""))</f>
        <v/>
      </c>
      <c r="H338" s="22"/>
    </row>
    <row r="339" spans="1:8">
      <c r="A339" s="21"/>
      <c r="B339" s="28"/>
      <c r="C339" s="22"/>
      <c r="D339" s="28"/>
      <c r="E339" s="23" t="str">
        <f>IF($D339="","",IFERROR(VLOOKUP($D339,'ACAS Consumables Tracker'!$A:$H,8,FALSE()),""))</f>
        <v/>
      </c>
      <c r="F339" s="24"/>
      <c r="G339" s="25" t="str">
        <f>IF($D339="","",IFERROR(VLOOKUP($D339,'ACAS Consumables Tracker'!$A:$D,4,FALSE()),""))</f>
        <v/>
      </c>
      <c r="H339" s="22"/>
    </row>
    <row r="340" spans="1:8">
      <c r="A340" s="21"/>
      <c r="B340" s="28"/>
      <c r="C340" s="22"/>
      <c r="D340" s="28"/>
      <c r="E340" s="23" t="str">
        <f>IF($D340="","",IFERROR(VLOOKUP($D340,'ACAS Consumables Tracker'!$A:$H,8,FALSE()),""))</f>
        <v/>
      </c>
      <c r="F340" s="24"/>
      <c r="G340" s="25" t="str">
        <f>IF($D340="","",IFERROR(VLOOKUP($D340,'ACAS Consumables Tracker'!$A:$D,4,FALSE()),""))</f>
        <v/>
      </c>
      <c r="H340" s="22"/>
    </row>
    <row r="341" spans="1:8">
      <c r="A341" s="21"/>
      <c r="B341" s="28"/>
      <c r="C341" s="22"/>
      <c r="D341" s="28"/>
      <c r="E341" s="23" t="str">
        <f>IF($D341="","",IFERROR(VLOOKUP($D341,'ACAS Consumables Tracker'!$A:$H,8,FALSE()),""))</f>
        <v/>
      </c>
      <c r="F341" s="24"/>
      <c r="G341" s="25" t="str">
        <f>IF($D341="","",IFERROR(VLOOKUP($D341,'ACAS Consumables Tracker'!$A:$D,4,FALSE()),""))</f>
        <v/>
      </c>
      <c r="H341" s="22"/>
    </row>
    <row r="342" spans="1:8">
      <c r="A342" s="21"/>
      <c r="B342" s="28"/>
      <c r="C342" s="22"/>
      <c r="D342" s="28"/>
      <c r="E342" s="23" t="str">
        <f>IF($D342="","",IFERROR(VLOOKUP($D342,'ACAS Consumables Tracker'!$A:$H,8,FALSE()),""))</f>
        <v/>
      </c>
      <c r="F342" s="24"/>
      <c r="G342" s="25" t="str">
        <f>IF($D342="","",IFERROR(VLOOKUP($D342,'ACAS Consumables Tracker'!$A:$D,4,FALSE()),""))</f>
        <v/>
      </c>
      <c r="H342" s="22"/>
    </row>
    <row r="343" spans="1:8">
      <c r="A343" s="21"/>
      <c r="B343" s="28"/>
      <c r="C343" s="22"/>
      <c r="D343" s="28"/>
      <c r="E343" s="23" t="str">
        <f>IF($D343="","",IFERROR(VLOOKUP($D343,'ACAS Consumables Tracker'!$A:$H,8,FALSE()),""))</f>
        <v/>
      </c>
      <c r="F343" s="24"/>
      <c r="G343" s="25" t="str">
        <f>IF($D343="","",IFERROR(VLOOKUP($D343,'ACAS Consumables Tracker'!$A:$D,4,FALSE()),""))</f>
        <v/>
      </c>
      <c r="H343" s="22"/>
    </row>
    <row r="344" spans="1:8">
      <c r="A344" s="21"/>
      <c r="B344" s="28"/>
      <c r="C344" s="22"/>
      <c r="D344" s="28"/>
      <c r="E344" s="23" t="str">
        <f>IF($D344="","",IFERROR(VLOOKUP($D344,'ACAS Consumables Tracker'!$A:$H,8,FALSE()),""))</f>
        <v/>
      </c>
      <c r="F344" s="24"/>
      <c r="G344" s="25" t="str">
        <f>IF($D344="","",IFERROR(VLOOKUP($D344,'ACAS Consumables Tracker'!$A:$D,4,FALSE()),""))</f>
        <v/>
      </c>
      <c r="H344" s="22"/>
    </row>
    <row r="345" spans="1:8">
      <c r="A345" s="21"/>
      <c r="B345" s="28"/>
      <c r="C345" s="22"/>
      <c r="D345" s="28"/>
      <c r="E345" s="23" t="str">
        <f>IF($D345="","",IFERROR(VLOOKUP($D345,'ACAS Consumables Tracker'!$A:$H,8,FALSE()),""))</f>
        <v/>
      </c>
      <c r="F345" s="24"/>
      <c r="G345" s="25" t="str">
        <f>IF($D345="","",IFERROR(VLOOKUP($D345,'ACAS Consumables Tracker'!$A:$D,4,FALSE()),""))</f>
        <v/>
      </c>
      <c r="H345" s="22"/>
    </row>
    <row r="346" spans="1:8">
      <c r="A346" s="21"/>
      <c r="B346" s="28"/>
      <c r="C346" s="22"/>
      <c r="D346" s="28"/>
      <c r="E346" s="23" t="str">
        <f>IF($D346="","",IFERROR(VLOOKUP($D346,'ACAS Consumables Tracker'!$A:$H,8,FALSE()),""))</f>
        <v/>
      </c>
      <c r="F346" s="24"/>
      <c r="G346" s="25" t="str">
        <f>IF($D346="","",IFERROR(VLOOKUP($D346,'ACAS Consumables Tracker'!$A:$D,4,FALSE()),""))</f>
        <v/>
      </c>
      <c r="H346" s="22"/>
    </row>
    <row r="347" spans="1:8">
      <c r="A347" s="21"/>
      <c r="B347" s="28"/>
      <c r="C347" s="22"/>
      <c r="D347" s="28"/>
      <c r="E347" s="23" t="str">
        <f>IF($D347="","",IFERROR(VLOOKUP($D347,'ACAS Consumables Tracker'!$A:$H,8,FALSE()),""))</f>
        <v/>
      </c>
      <c r="F347" s="24"/>
      <c r="G347" s="25" t="str">
        <f>IF($D347="","",IFERROR(VLOOKUP($D347,'ACAS Consumables Tracker'!$A:$D,4,FALSE()),""))</f>
        <v/>
      </c>
      <c r="H347" s="22"/>
    </row>
    <row r="348" spans="1:8">
      <c r="A348" s="21"/>
      <c r="B348" s="28"/>
      <c r="C348" s="22"/>
      <c r="D348" s="28"/>
      <c r="E348" s="23" t="str">
        <f>IF($D348="","",IFERROR(VLOOKUP($D348,'ACAS Consumables Tracker'!$A:$H,8,FALSE()),""))</f>
        <v/>
      </c>
      <c r="F348" s="24"/>
      <c r="G348" s="25" t="str">
        <f>IF($D348="","",IFERROR(VLOOKUP($D348,'ACAS Consumables Tracker'!$A:$D,4,FALSE()),""))</f>
        <v/>
      </c>
      <c r="H348" s="22"/>
    </row>
    <row r="349" spans="1:8">
      <c r="A349" s="21"/>
      <c r="B349" s="28"/>
      <c r="C349" s="22"/>
      <c r="D349" s="28"/>
      <c r="E349" s="23" t="str">
        <f>IF($D349="","",IFERROR(VLOOKUP($D349,'ACAS Consumables Tracker'!$A:$H,8,FALSE()),""))</f>
        <v/>
      </c>
      <c r="F349" s="24"/>
      <c r="G349" s="25" t="str">
        <f>IF($D349="","",IFERROR(VLOOKUP($D349,'ACAS Consumables Tracker'!$A:$D,4,FALSE()),""))</f>
        <v/>
      </c>
      <c r="H349" s="22"/>
    </row>
    <row r="350" spans="1:8">
      <c r="A350" s="21"/>
      <c r="B350" s="28"/>
      <c r="C350" s="22"/>
      <c r="D350" s="28"/>
      <c r="E350" s="23" t="str">
        <f>IF($D350="","",IFERROR(VLOOKUP($D350,'ACAS Consumables Tracker'!$A:$H,8,FALSE()),""))</f>
        <v/>
      </c>
      <c r="F350" s="24"/>
      <c r="G350" s="25" t="str">
        <f>IF($D350="","",IFERROR(VLOOKUP($D350,'ACAS Consumables Tracker'!$A:$D,4,FALSE()),""))</f>
        <v/>
      </c>
      <c r="H350" s="22"/>
    </row>
    <row r="351" spans="1:8">
      <c r="A351" s="21"/>
      <c r="B351" s="28"/>
      <c r="C351" s="22"/>
      <c r="D351" s="28"/>
      <c r="E351" s="23" t="str">
        <f>IF($D351="","",IFERROR(VLOOKUP($D351,'ACAS Consumables Tracker'!$A:$H,8,FALSE()),""))</f>
        <v/>
      </c>
      <c r="F351" s="24"/>
      <c r="G351" s="25" t="str">
        <f>IF($D351="","",IFERROR(VLOOKUP($D351,'ACAS Consumables Tracker'!$A:$D,4,FALSE()),""))</f>
        <v/>
      </c>
      <c r="H351" s="22"/>
    </row>
    <row r="352" spans="1:8">
      <c r="A352" s="21"/>
      <c r="B352" s="28"/>
      <c r="C352" s="22"/>
      <c r="D352" s="28"/>
      <c r="E352" s="23" t="str">
        <f>IF($D352="","",IFERROR(VLOOKUP($D352,'ACAS Consumables Tracker'!$A:$H,8,FALSE()),""))</f>
        <v/>
      </c>
      <c r="F352" s="24"/>
      <c r="G352" s="25" t="str">
        <f>IF($D352="","",IFERROR(VLOOKUP($D352,'ACAS Consumables Tracker'!$A:$D,4,FALSE()),""))</f>
        <v/>
      </c>
      <c r="H352" s="22"/>
    </row>
    <row r="353" spans="1:8">
      <c r="A353" s="21"/>
      <c r="B353" s="28"/>
      <c r="C353" s="22"/>
      <c r="D353" s="28"/>
      <c r="E353" s="23" t="str">
        <f>IF($D353="","",IFERROR(VLOOKUP($D353,'ACAS Consumables Tracker'!$A:$H,8,FALSE()),""))</f>
        <v/>
      </c>
      <c r="F353" s="24"/>
      <c r="G353" s="25" t="str">
        <f>IF($D353="","",IFERROR(VLOOKUP($D353,'ACAS Consumables Tracker'!$A:$D,4,FALSE()),""))</f>
        <v/>
      </c>
      <c r="H353" s="22"/>
    </row>
    <row r="354" spans="1:8">
      <c r="A354" s="21"/>
      <c r="B354" s="28"/>
      <c r="C354" s="22"/>
      <c r="D354" s="28"/>
      <c r="E354" s="23" t="str">
        <f>IF($D354="","",IFERROR(VLOOKUP($D354,'ACAS Consumables Tracker'!$A:$H,8,FALSE()),""))</f>
        <v/>
      </c>
      <c r="F354" s="24"/>
      <c r="G354" s="25" t="str">
        <f>IF($D354="","",IFERROR(VLOOKUP($D354,'ACAS Consumables Tracker'!$A:$D,4,FALSE()),""))</f>
        <v/>
      </c>
      <c r="H354" s="22"/>
    </row>
    <row r="355" spans="1:8">
      <c r="A355" s="21"/>
      <c r="B355" s="28"/>
      <c r="C355" s="22"/>
      <c r="D355" s="28"/>
      <c r="E355" s="23" t="str">
        <f>IF($D355="","",IFERROR(VLOOKUP($D355,'ACAS Consumables Tracker'!$A:$H,8,FALSE()),""))</f>
        <v/>
      </c>
      <c r="F355" s="24"/>
      <c r="G355" s="25" t="str">
        <f>IF($D355="","",IFERROR(VLOOKUP($D355,'ACAS Consumables Tracker'!$A:$D,4,FALSE()),""))</f>
        <v/>
      </c>
      <c r="H355" s="22"/>
    </row>
    <row r="356" spans="1:8">
      <c r="A356" s="21"/>
      <c r="B356" s="28"/>
      <c r="C356" s="22"/>
      <c r="D356" s="28"/>
      <c r="E356" s="23" t="str">
        <f>IF($D356="","",IFERROR(VLOOKUP($D356,'ACAS Consumables Tracker'!$A:$H,8,FALSE()),""))</f>
        <v/>
      </c>
      <c r="F356" s="24"/>
      <c r="G356" s="25" t="str">
        <f>IF($D356="","",IFERROR(VLOOKUP($D356,'ACAS Consumables Tracker'!$A:$D,4,FALSE()),""))</f>
        <v/>
      </c>
      <c r="H356" s="22"/>
    </row>
    <row r="357" spans="1:8">
      <c r="A357" s="21"/>
      <c r="B357" s="28"/>
      <c r="C357" s="22"/>
      <c r="D357" s="28"/>
      <c r="E357" s="23" t="str">
        <f>IF($D357="","",IFERROR(VLOOKUP($D357,'ACAS Consumables Tracker'!$A:$H,8,FALSE()),""))</f>
        <v/>
      </c>
      <c r="F357" s="24"/>
      <c r="G357" s="25" t="str">
        <f>IF($D357="","",IFERROR(VLOOKUP($D357,'ACAS Consumables Tracker'!$A:$D,4,FALSE()),""))</f>
        <v/>
      </c>
      <c r="H357" s="22"/>
    </row>
    <row r="358" spans="1:8">
      <c r="A358" s="21"/>
      <c r="B358" s="28"/>
      <c r="C358" s="22"/>
      <c r="D358" s="28"/>
      <c r="E358" s="23" t="str">
        <f>IF($D358="","",IFERROR(VLOOKUP($D358,'ACAS Consumables Tracker'!$A:$H,8,FALSE()),""))</f>
        <v/>
      </c>
      <c r="F358" s="24"/>
      <c r="G358" s="25" t="str">
        <f>IF($D358="","",IFERROR(VLOOKUP($D358,'ACAS Consumables Tracker'!$A:$D,4,FALSE()),""))</f>
        <v/>
      </c>
      <c r="H358" s="22"/>
    </row>
    <row r="359" spans="1:8">
      <c r="A359" s="21"/>
      <c r="B359" s="28"/>
      <c r="C359" s="22"/>
      <c r="D359" s="28"/>
      <c r="E359" s="23" t="str">
        <f>IF($D359="","",IFERROR(VLOOKUP($D359,'ACAS Consumables Tracker'!$A:$H,8,FALSE()),""))</f>
        <v/>
      </c>
      <c r="F359" s="24"/>
      <c r="G359" s="25" t="str">
        <f>IF($D359="","",IFERROR(VLOOKUP($D359,'ACAS Consumables Tracker'!$A:$D,4,FALSE()),""))</f>
        <v/>
      </c>
      <c r="H359" s="22"/>
    </row>
    <row r="360" spans="1:8">
      <c r="A360" s="21"/>
      <c r="B360" s="28"/>
      <c r="C360" s="22"/>
      <c r="D360" s="28"/>
      <c r="E360" s="23" t="str">
        <f>IF($D360="","",IFERROR(VLOOKUP($D360,'ACAS Consumables Tracker'!$A:$H,8,FALSE()),""))</f>
        <v/>
      </c>
      <c r="F360" s="24"/>
      <c r="G360" s="25" t="str">
        <f>IF($D360="","",IFERROR(VLOOKUP($D360,'ACAS Consumables Tracker'!$A:$D,4,FALSE()),""))</f>
        <v/>
      </c>
      <c r="H360" s="22"/>
    </row>
    <row r="361" spans="1:8">
      <c r="A361" s="21"/>
      <c r="B361" s="28"/>
      <c r="C361" s="22"/>
      <c r="D361" s="28"/>
      <c r="E361" s="23" t="str">
        <f>IF($D361="","",IFERROR(VLOOKUP($D361,'ACAS Consumables Tracker'!$A:$H,8,FALSE()),""))</f>
        <v/>
      </c>
      <c r="F361" s="24"/>
      <c r="G361" s="25" t="str">
        <f>IF($D361="","",IFERROR(VLOOKUP($D361,'ACAS Consumables Tracker'!$A:$D,4,FALSE()),""))</f>
        <v/>
      </c>
      <c r="H361" s="22"/>
    </row>
    <row r="362" spans="1:8">
      <c r="A362" s="21"/>
      <c r="B362" s="28"/>
      <c r="C362" s="22"/>
      <c r="D362" s="28"/>
      <c r="E362" s="23" t="str">
        <f>IF($D362="","",IFERROR(VLOOKUP($D362,'ACAS Consumables Tracker'!$A:$H,8,FALSE()),""))</f>
        <v/>
      </c>
      <c r="F362" s="24"/>
      <c r="G362" s="25" t="str">
        <f>IF($D362="","",IFERROR(VLOOKUP($D362,'ACAS Consumables Tracker'!$A:$D,4,FALSE()),""))</f>
        <v/>
      </c>
      <c r="H362" s="22"/>
    </row>
    <row r="363" spans="1:8">
      <c r="A363" s="21"/>
      <c r="B363" s="28"/>
      <c r="C363" s="22"/>
      <c r="D363" s="28"/>
      <c r="E363" s="23" t="str">
        <f>IF($D363="","",IFERROR(VLOOKUP($D363,'ACAS Consumables Tracker'!$A:$H,8,FALSE()),""))</f>
        <v/>
      </c>
      <c r="F363" s="24"/>
      <c r="G363" s="25" t="str">
        <f>IF($D363="","",IFERROR(VLOOKUP($D363,'ACAS Consumables Tracker'!$A:$D,4,FALSE()),""))</f>
        <v/>
      </c>
      <c r="H363" s="22"/>
    </row>
    <row r="364" spans="1:8">
      <c r="A364" s="21"/>
      <c r="B364" s="28"/>
      <c r="C364" s="22"/>
      <c r="D364" s="28"/>
      <c r="E364" s="23" t="str">
        <f>IF($D364="","",IFERROR(VLOOKUP($D364,'ACAS Consumables Tracker'!$A:$H,8,FALSE()),""))</f>
        <v/>
      </c>
      <c r="F364" s="24"/>
      <c r="G364" s="25" t="str">
        <f>IF($D364="","",IFERROR(VLOOKUP($D364,'ACAS Consumables Tracker'!$A:$D,4,FALSE()),""))</f>
        <v/>
      </c>
      <c r="H364" s="22"/>
    </row>
    <row r="365" spans="1:8">
      <c r="A365" s="21"/>
      <c r="B365" s="28"/>
      <c r="C365" s="22"/>
      <c r="D365" s="28"/>
      <c r="E365" s="23" t="str">
        <f>IF($D365="","",IFERROR(VLOOKUP($D365,'ACAS Consumables Tracker'!$A:$H,8,FALSE()),""))</f>
        <v/>
      </c>
      <c r="F365" s="24"/>
      <c r="G365" s="25" t="str">
        <f>IF($D365="","",IFERROR(VLOOKUP($D365,'ACAS Consumables Tracker'!$A:$D,4,FALSE()),""))</f>
        <v/>
      </c>
      <c r="H365" s="22"/>
    </row>
    <row r="366" spans="1:8">
      <c r="A366" s="21"/>
      <c r="B366" s="28"/>
      <c r="C366" s="22"/>
      <c r="D366" s="28"/>
      <c r="E366" s="23" t="str">
        <f>IF($D366="","",IFERROR(VLOOKUP($D366,'ACAS Consumables Tracker'!$A:$H,8,FALSE()),""))</f>
        <v/>
      </c>
      <c r="F366" s="24"/>
      <c r="G366" s="25" t="str">
        <f>IF($D366="","",IFERROR(VLOOKUP($D366,'ACAS Consumables Tracker'!$A:$D,4,FALSE()),""))</f>
        <v/>
      </c>
      <c r="H366" s="22"/>
    </row>
    <row r="367" spans="1:8">
      <c r="A367" s="21"/>
      <c r="B367" s="28"/>
      <c r="C367" s="22"/>
      <c r="D367" s="28"/>
      <c r="E367" s="23" t="str">
        <f>IF($D367="","",IFERROR(VLOOKUP($D367,'ACAS Consumables Tracker'!$A:$H,8,FALSE()),""))</f>
        <v/>
      </c>
      <c r="F367" s="24"/>
      <c r="G367" s="25" t="str">
        <f>IF($D367="","",IFERROR(VLOOKUP($D367,'ACAS Consumables Tracker'!$A:$D,4,FALSE()),""))</f>
        <v/>
      </c>
      <c r="H367" s="22"/>
    </row>
    <row r="368" spans="1:8">
      <c r="A368" s="21"/>
      <c r="B368" s="28"/>
      <c r="C368" s="22"/>
      <c r="D368" s="28"/>
      <c r="E368" s="23" t="str">
        <f>IF($D368="","",IFERROR(VLOOKUP($D368,'ACAS Consumables Tracker'!$A:$H,8,FALSE()),""))</f>
        <v/>
      </c>
      <c r="F368" s="24"/>
      <c r="G368" s="25" t="str">
        <f>IF($D368="","",IFERROR(VLOOKUP($D368,'ACAS Consumables Tracker'!$A:$D,4,FALSE()),""))</f>
        <v/>
      </c>
      <c r="H368" s="22"/>
    </row>
    <row r="369" spans="1:8">
      <c r="A369" s="21"/>
      <c r="B369" s="28"/>
      <c r="C369" s="22"/>
      <c r="D369" s="28"/>
      <c r="E369" s="23" t="str">
        <f>IF($D369="","",IFERROR(VLOOKUP($D369,'ACAS Consumables Tracker'!$A:$H,8,FALSE()),""))</f>
        <v/>
      </c>
      <c r="F369" s="24"/>
      <c r="G369" s="25" t="str">
        <f>IF($D369="","",IFERROR(VLOOKUP($D369,'ACAS Consumables Tracker'!$A:$D,4,FALSE()),""))</f>
        <v/>
      </c>
      <c r="H369" s="22"/>
    </row>
    <row r="370" spans="1:8">
      <c r="A370" s="21"/>
      <c r="B370" s="28"/>
      <c r="C370" s="22"/>
      <c r="D370" s="28"/>
      <c r="E370" s="23" t="str">
        <f>IF($D370="","",IFERROR(VLOOKUP($D370,'ACAS Consumables Tracker'!$A:$H,8,FALSE()),""))</f>
        <v/>
      </c>
      <c r="F370" s="24"/>
      <c r="G370" s="25" t="str">
        <f>IF($D370="","",IFERROR(VLOOKUP($D370,'ACAS Consumables Tracker'!$A:$D,4,FALSE()),""))</f>
        <v/>
      </c>
      <c r="H370" s="22"/>
    </row>
    <row r="371" spans="1:8">
      <c r="A371" s="21"/>
      <c r="B371" s="28"/>
      <c r="C371" s="22"/>
      <c r="D371" s="28"/>
      <c r="E371" s="23" t="str">
        <f>IF($D371="","",IFERROR(VLOOKUP($D371,'ACAS Consumables Tracker'!$A:$H,8,FALSE()),""))</f>
        <v/>
      </c>
      <c r="F371" s="24"/>
      <c r="G371" s="25" t="str">
        <f>IF($D371="","",IFERROR(VLOOKUP($D371,'ACAS Consumables Tracker'!$A:$D,4,FALSE()),""))</f>
        <v/>
      </c>
      <c r="H371" s="22"/>
    </row>
    <row r="372" spans="1:8">
      <c r="A372" s="21"/>
      <c r="B372" s="28"/>
      <c r="C372" s="22"/>
      <c r="D372" s="28"/>
      <c r="E372" s="23" t="str">
        <f>IF($D372="","",IFERROR(VLOOKUP($D372,'ACAS Consumables Tracker'!$A:$H,8,FALSE()),""))</f>
        <v/>
      </c>
      <c r="F372" s="24"/>
      <c r="G372" s="25" t="str">
        <f>IF($D372="","",IFERROR(VLOOKUP($D372,'ACAS Consumables Tracker'!$A:$D,4,FALSE()),""))</f>
        <v/>
      </c>
      <c r="H372" s="22"/>
    </row>
    <row r="373" spans="1:8">
      <c r="A373" s="21"/>
      <c r="B373" s="28"/>
      <c r="C373" s="22"/>
      <c r="D373" s="28"/>
      <c r="E373" s="23" t="str">
        <f>IF($D373="","",IFERROR(VLOOKUP($D373,'ACAS Consumables Tracker'!$A:$H,8,FALSE()),""))</f>
        <v/>
      </c>
      <c r="F373" s="24"/>
      <c r="G373" s="25" t="str">
        <f>IF($D373="","",IFERROR(VLOOKUP($D373,'ACAS Consumables Tracker'!$A:$D,4,FALSE()),""))</f>
        <v/>
      </c>
      <c r="H373" s="22"/>
    </row>
    <row r="374" spans="1:8">
      <c r="A374" s="21"/>
      <c r="B374" s="28"/>
      <c r="C374" s="22"/>
      <c r="D374" s="28"/>
      <c r="E374" s="23" t="str">
        <f>IF($D374="","",IFERROR(VLOOKUP($D374,'ACAS Consumables Tracker'!$A:$H,8,FALSE()),""))</f>
        <v/>
      </c>
      <c r="F374" s="24"/>
      <c r="G374" s="25" t="str">
        <f>IF($D374="","",IFERROR(VLOOKUP($D374,'ACAS Consumables Tracker'!$A:$D,4,FALSE()),""))</f>
        <v/>
      </c>
      <c r="H374" s="22"/>
    </row>
    <row r="375" spans="1:8">
      <c r="A375" s="21"/>
      <c r="B375" s="28"/>
      <c r="C375" s="22"/>
      <c r="D375" s="28"/>
      <c r="E375" s="23" t="str">
        <f>IF($D375="","",IFERROR(VLOOKUP($D375,'ACAS Consumables Tracker'!$A:$H,8,FALSE()),""))</f>
        <v/>
      </c>
      <c r="F375" s="24"/>
      <c r="G375" s="25" t="str">
        <f>IF($D375="","",IFERROR(VLOOKUP($D375,'ACAS Consumables Tracker'!$A:$D,4,FALSE()),""))</f>
        <v/>
      </c>
      <c r="H375" s="22"/>
    </row>
    <row r="376" spans="1:8">
      <c r="A376" s="21"/>
      <c r="B376" s="28"/>
      <c r="C376" s="22"/>
      <c r="D376" s="28"/>
      <c r="E376" s="23" t="str">
        <f>IF($D376="","",IFERROR(VLOOKUP($D376,'ACAS Consumables Tracker'!$A:$H,8,FALSE()),""))</f>
        <v/>
      </c>
      <c r="F376" s="24"/>
      <c r="G376" s="25" t="str">
        <f>IF($D376="","",IFERROR(VLOOKUP($D376,'ACAS Consumables Tracker'!$A:$D,4,FALSE()),""))</f>
        <v/>
      </c>
      <c r="H376" s="22"/>
    </row>
    <row r="377" spans="1:8">
      <c r="A377" s="21"/>
      <c r="B377" s="28"/>
      <c r="C377" s="22"/>
      <c r="D377" s="28"/>
      <c r="E377" s="23" t="str">
        <f>IF($D377="","",IFERROR(VLOOKUP($D377,'ACAS Consumables Tracker'!$A:$H,8,FALSE()),""))</f>
        <v/>
      </c>
      <c r="F377" s="24"/>
      <c r="G377" s="25" t="str">
        <f>IF($D377="","",IFERROR(VLOOKUP($D377,'ACAS Consumables Tracker'!$A:$D,4,FALSE()),""))</f>
        <v/>
      </c>
      <c r="H377" s="22"/>
    </row>
    <row r="378" spans="1:8">
      <c r="A378" s="21"/>
      <c r="B378" s="28"/>
      <c r="C378" s="22"/>
      <c r="D378" s="28"/>
      <c r="E378" s="23" t="str">
        <f>IF($D378="","",IFERROR(VLOOKUP($D378,'ACAS Consumables Tracker'!$A:$H,8,FALSE()),""))</f>
        <v/>
      </c>
      <c r="F378" s="24"/>
      <c r="G378" s="25" t="str">
        <f>IF($D378="","",IFERROR(VLOOKUP($D378,'ACAS Consumables Tracker'!$A:$D,4,FALSE()),""))</f>
        <v/>
      </c>
      <c r="H378" s="22"/>
    </row>
    <row r="379" spans="1:8">
      <c r="A379" s="21"/>
      <c r="B379" s="28"/>
      <c r="C379" s="22"/>
      <c r="D379" s="28"/>
      <c r="E379" s="23" t="str">
        <f>IF($D379="","",IFERROR(VLOOKUP($D379,'ACAS Consumables Tracker'!$A:$H,8,FALSE()),""))</f>
        <v/>
      </c>
      <c r="F379" s="24"/>
      <c r="G379" s="25" t="str">
        <f>IF($D379="","",IFERROR(VLOOKUP($D379,'ACAS Consumables Tracker'!$A:$D,4,FALSE()),""))</f>
        <v/>
      </c>
      <c r="H379" s="22"/>
    </row>
    <row r="380" spans="1:8">
      <c r="A380" s="21"/>
      <c r="B380" s="28"/>
      <c r="C380" s="22"/>
      <c r="D380" s="28"/>
      <c r="E380" s="23" t="str">
        <f>IF($D380="","",IFERROR(VLOOKUP($D380,'ACAS Consumables Tracker'!$A:$H,8,FALSE()),""))</f>
        <v/>
      </c>
      <c r="F380" s="24"/>
      <c r="G380" s="25" t="str">
        <f>IF($D380="","",IFERROR(VLOOKUP($D380,'ACAS Consumables Tracker'!$A:$D,4,FALSE()),""))</f>
        <v/>
      </c>
      <c r="H380" s="22"/>
    </row>
    <row r="381" spans="1:8">
      <c r="A381" s="21"/>
      <c r="B381" s="28"/>
      <c r="C381" s="22"/>
      <c r="D381" s="28"/>
      <c r="E381" s="23" t="str">
        <f>IF($D381="","",IFERROR(VLOOKUP($D381,'ACAS Consumables Tracker'!$A:$H,8,FALSE()),""))</f>
        <v/>
      </c>
      <c r="F381" s="24"/>
      <c r="G381" s="25" t="str">
        <f>IF($D381="","",IFERROR(VLOOKUP($D381,'ACAS Consumables Tracker'!$A:$D,4,FALSE()),""))</f>
        <v/>
      </c>
      <c r="H381" s="22"/>
    </row>
    <row r="382" spans="1:8">
      <c r="A382" s="21"/>
      <c r="B382" s="28"/>
      <c r="C382" s="22"/>
      <c r="D382" s="28"/>
      <c r="E382" s="23" t="str">
        <f>IF($D382="","",IFERROR(VLOOKUP($D382,'ACAS Consumables Tracker'!$A:$H,8,FALSE()),""))</f>
        <v/>
      </c>
      <c r="F382" s="24"/>
      <c r="G382" s="25" t="str">
        <f>IF($D382="","",IFERROR(VLOOKUP($D382,'ACAS Consumables Tracker'!$A:$D,4,FALSE()),""))</f>
        <v/>
      </c>
      <c r="H382" s="22"/>
    </row>
    <row r="383" spans="1:8">
      <c r="A383" s="21"/>
      <c r="B383" s="28"/>
      <c r="C383" s="22"/>
      <c r="D383" s="28"/>
      <c r="E383" s="23" t="str">
        <f>IF($D383="","",IFERROR(VLOOKUP($D383,'ACAS Consumables Tracker'!$A:$H,8,FALSE()),""))</f>
        <v/>
      </c>
      <c r="F383" s="24"/>
      <c r="G383" s="25" t="str">
        <f>IF($D383="","",IFERROR(VLOOKUP($D383,'ACAS Consumables Tracker'!$A:$D,4,FALSE()),""))</f>
        <v/>
      </c>
      <c r="H383" s="22"/>
    </row>
    <row r="384" spans="1:8">
      <c r="A384" s="21"/>
      <c r="B384" s="28"/>
      <c r="C384" s="22"/>
      <c r="D384" s="28"/>
      <c r="E384" s="23" t="str">
        <f>IF($D384="","",IFERROR(VLOOKUP($D384,'ACAS Consumables Tracker'!$A:$H,8,FALSE()),""))</f>
        <v/>
      </c>
      <c r="F384" s="24"/>
      <c r="G384" s="25" t="str">
        <f>IF($D384="","",IFERROR(VLOOKUP($D384,'ACAS Consumables Tracker'!$A:$D,4,FALSE()),""))</f>
        <v/>
      </c>
      <c r="H384" s="22"/>
    </row>
    <row r="385" spans="1:8">
      <c r="A385" s="21"/>
      <c r="B385" s="28"/>
      <c r="C385" s="22"/>
      <c r="D385" s="28"/>
      <c r="E385" s="23" t="str">
        <f>IF($D385="","",IFERROR(VLOOKUP($D385,'ACAS Consumables Tracker'!$A:$H,8,FALSE()),""))</f>
        <v/>
      </c>
      <c r="F385" s="24"/>
      <c r="G385" s="25" t="str">
        <f>IF($D385="","",IFERROR(VLOOKUP($D385,'ACAS Consumables Tracker'!$A:$D,4,FALSE()),""))</f>
        <v/>
      </c>
      <c r="H385" s="22"/>
    </row>
    <row r="386" spans="1:8">
      <c r="A386" s="21"/>
      <c r="B386" s="28"/>
      <c r="C386" s="22"/>
      <c r="D386" s="28"/>
      <c r="E386" s="23" t="str">
        <f>IF($D386="","",IFERROR(VLOOKUP($D386,'ACAS Consumables Tracker'!$A:$H,8,FALSE()),""))</f>
        <v/>
      </c>
      <c r="F386" s="24"/>
      <c r="G386" s="25" t="str">
        <f>IF($D386="","",IFERROR(VLOOKUP($D386,'ACAS Consumables Tracker'!$A:$D,4,FALSE()),""))</f>
        <v/>
      </c>
      <c r="H386" s="22"/>
    </row>
    <row r="387" spans="1:8">
      <c r="A387" s="21"/>
      <c r="B387" s="28"/>
      <c r="C387" s="22"/>
      <c r="D387" s="28"/>
      <c r="E387" s="23" t="str">
        <f>IF($D387="","",IFERROR(VLOOKUP($D387,'ACAS Consumables Tracker'!$A:$H,8,FALSE()),""))</f>
        <v/>
      </c>
      <c r="F387" s="24"/>
      <c r="G387" s="25" t="str">
        <f>IF($D387="","",IFERROR(VLOOKUP($D387,'ACAS Consumables Tracker'!$A:$D,4,FALSE()),""))</f>
        <v/>
      </c>
      <c r="H387" s="22"/>
    </row>
    <row r="388" spans="1:8">
      <c r="A388" s="21"/>
      <c r="B388" s="28"/>
      <c r="C388" s="22"/>
      <c r="D388" s="28"/>
      <c r="E388" s="23" t="str">
        <f>IF($D388="","",IFERROR(VLOOKUP($D388,'ACAS Consumables Tracker'!$A:$H,8,FALSE()),""))</f>
        <v/>
      </c>
      <c r="F388" s="24"/>
      <c r="G388" s="25" t="str">
        <f>IF($D388="","",IFERROR(VLOOKUP($D388,'ACAS Consumables Tracker'!$A:$D,4,FALSE()),""))</f>
        <v/>
      </c>
      <c r="H388" s="22"/>
    </row>
    <row r="389" spans="1:8">
      <c r="A389" s="21"/>
      <c r="B389" s="28"/>
      <c r="C389" s="22"/>
      <c r="D389" s="28"/>
      <c r="E389" s="23" t="str">
        <f>IF($D389="","",IFERROR(VLOOKUP($D389,'ACAS Consumables Tracker'!$A:$H,8,FALSE()),""))</f>
        <v/>
      </c>
      <c r="F389" s="24"/>
      <c r="G389" s="25" t="str">
        <f>IF($D389="","",IFERROR(VLOOKUP($D389,'ACAS Consumables Tracker'!$A:$D,4,FALSE()),""))</f>
        <v/>
      </c>
      <c r="H389" s="22"/>
    </row>
    <row r="390" spans="1:8">
      <c r="A390" s="21"/>
      <c r="B390" s="28"/>
      <c r="C390" s="22"/>
      <c r="D390" s="28"/>
      <c r="E390" s="23" t="str">
        <f>IF($D390="","",IFERROR(VLOOKUP($D390,'ACAS Consumables Tracker'!$A:$H,8,FALSE()),""))</f>
        <v/>
      </c>
      <c r="F390" s="24"/>
      <c r="G390" s="25" t="str">
        <f>IF($D390="","",IFERROR(VLOOKUP($D390,'ACAS Consumables Tracker'!$A:$D,4,FALSE()),""))</f>
        <v/>
      </c>
      <c r="H390" s="22"/>
    </row>
    <row r="391" spans="1:8">
      <c r="A391" s="21"/>
      <c r="B391" s="28"/>
      <c r="C391" s="22"/>
      <c r="D391" s="28"/>
      <c r="E391" s="23" t="str">
        <f>IF($D391="","",IFERROR(VLOOKUP($D391,'ACAS Consumables Tracker'!$A:$H,8,FALSE()),""))</f>
        <v/>
      </c>
      <c r="F391" s="24"/>
      <c r="G391" s="25" t="str">
        <f>IF($D391="","",IFERROR(VLOOKUP($D391,'ACAS Consumables Tracker'!$A:$D,4,FALSE()),""))</f>
        <v/>
      </c>
      <c r="H391" s="22"/>
    </row>
    <row r="392" spans="1:8">
      <c r="A392" s="21"/>
      <c r="B392" s="28"/>
      <c r="C392" s="22"/>
      <c r="D392" s="28"/>
      <c r="E392" s="23" t="str">
        <f>IF($D392="","",IFERROR(VLOOKUP($D392,'ACAS Consumables Tracker'!$A:$H,8,FALSE()),""))</f>
        <v/>
      </c>
      <c r="F392" s="24"/>
      <c r="G392" s="25" t="str">
        <f>IF($D392="","",IFERROR(VLOOKUP($D392,'ACAS Consumables Tracker'!$A:$D,4,FALSE()),""))</f>
        <v/>
      </c>
      <c r="H392" s="22"/>
    </row>
    <row r="393" spans="1:8">
      <c r="A393" s="21"/>
      <c r="B393" s="28"/>
      <c r="C393" s="22"/>
      <c r="D393" s="28"/>
      <c r="E393" s="23" t="str">
        <f>IF($D393="","",IFERROR(VLOOKUP($D393,'ACAS Consumables Tracker'!$A:$H,8,FALSE()),""))</f>
        <v/>
      </c>
      <c r="F393" s="24"/>
      <c r="G393" s="25" t="str">
        <f>IF($D393="","",IFERROR(VLOOKUP($D393,'ACAS Consumables Tracker'!$A:$D,4,FALSE()),""))</f>
        <v/>
      </c>
      <c r="H393" s="22"/>
    </row>
    <row r="394" spans="1:8">
      <c r="A394" s="21"/>
      <c r="B394" s="28"/>
      <c r="C394" s="22"/>
      <c r="D394" s="28"/>
      <c r="E394" s="23" t="str">
        <f>IF($D394="","",IFERROR(VLOOKUP($D394,'ACAS Consumables Tracker'!$A:$H,8,FALSE()),""))</f>
        <v/>
      </c>
      <c r="F394" s="24"/>
      <c r="G394" s="25" t="str">
        <f>IF($D394="","",IFERROR(VLOOKUP($D394,'ACAS Consumables Tracker'!$A:$D,4,FALSE()),""))</f>
        <v/>
      </c>
      <c r="H394" s="22"/>
    </row>
    <row r="395" spans="1:8">
      <c r="A395" s="21"/>
      <c r="B395" s="28"/>
      <c r="C395" s="22"/>
      <c r="D395" s="28"/>
      <c r="E395" s="23" t="str">
        <f>IF($D395="","",IFERROR(VLOOKUP($D395,'ACAS Consumables Tracker'!$A:$H,8,FALSE()),""))</f>
        <v/>
      </c>
      <c r="F395" s="24"/>
      <c r="G395" s="25" t="str">
        <f>IF($D395="","",IFERROR(VLOOKUP($D395,'ACAS Consumables Tracker'!$A:$D,4,FALSE()),""))</f>
        <v/>
      </c>
      <c r="H395" s="22"/>
    </row>
    <row r="396" spans="1:8">
      <c r="A396" s="21"/>
      <c r="B396" s="28"/>
      <c r="C396" s="22"/>
      <c r="D396" s="28"/>
      <c r="E396" s="23" t="str">
        <f>IF($D396="","",IFERROR(VLOOKUP($D396,'ACAS Consumables Tracker'!$A:$H,8,FALSE()),""))</f>
        <v/>
      </c>
      <c r="F396" s="24"/>
      <c r="G396" s="25" t="str">
        <f>IF($D396="","",IFERROR(VLOOKUP($D396,'ACAS Consumables Tracker'!$A:$D,4,FALSE()),""))</f>
        <v/>
      </c>
      <c r="H396" s="22"/>
    </row>
    <row r="397" spans="1:8">
      <c r="A397" s="21"/>
      <c r="B397" s="28"/>
      <c r="C397" s="22"/>
      <c r="D397" s="28"/>
      <c r="E397" s="23" t="str">
        <f>IF($D397="","",IFERROR(VLOOKUP($D397,'ACAS Consumables Tracker'!$A:$H,8,FALSE()),""))</f>
        <v/>
      </c>
      <c r="F397" s="24"/>
      <c r="G397" s="25" t="str">
        <f>IF($D397="","",IFERROR(VLOOKUP($D397,'ACAS Consumables Tracker'!$A:$D,4,FALSE()),""))</f>
        <v/>
      </c>
      <c r="H397" s="22"/>
    </row>
    <row r="398" spans="1:8">
      <c r="A398" s="21"/>
      <c r="B398" s="28"/>
      <c r="C398" s="22"/>
      <c r="D398" s="28"/>
      <c r="E398" s="23" t="str">
        <f>IF($D398="","",IFERROR(VLOOKUP($D398,'ACAS Consumables Tracker'!$A:$H,8,FALSE()),""))</f>
        <v/>
      </c>
      <c r="F398" s="24"/>
      <c r="G398" s="25" t="str">
        <f>IF($D398="","",IFERROR(VLOOKUP($D398,'ACAS Consumables Tracker'!$A:$D,4,FALSE()),""))</f>
        <v/>
      </c>
      <c r="H398" s="22"/>
    </row>
    <row r="399" spans="1:8">
      <c r="A399" s="21"/>
      <c r="B399" s="28"/>
      <c r="C399" s="22"/>
      <c r="D399" s="28"/>
      <c r="E399" s="23" t="str">
        <f>IF($D399="","",IFERROR(VLOOKUP($D399,'ACAS Consumables Tracker'!$A:$H,8,FALSE()),""))</f>
        <v/>
      </c>
      <c r="F399" s="24"/>
      <c r="G399" s="25" t="str">
        <f>IF($D399="","",IFERROR(VLOOKUP($D399,'ACAS Consumables Tracker'!$A:$D,4,FALSE()),""))</f>
        <v/>
      </c>
      <c r="H399" s="22"/>
    </row>
    <row r="400" spans="1:8">
      <c r="A400" s="21"/>
      <c r="B400" s="28"/>
      <c r="C400" s="22"/>
      <c r="D400" s="28"/>
      <c r="E400" s="23" t="str">
        <f>IF($D400="","",IFERROR(VLOOKUP($D400,'ACAS Consumables Tracker'!$A:$H,8,FALSE()),""))</f>
        <v/>
      </c>
      <c r="F400" s="24"/>
      <c r="G400" s="25" t="str">
        <f>IF($D400="","",IFERROR(VLOOKUP($D400,'ACAS Consumables Tracker'!$A:$D,4,FALSE()),""))</f>
        <v/>
      </c>
      <c r="H400" s="22"/>
    </row>
    <row r="401" spans="1:8">
      <c r="A401" s="21"/>
      <c r="B401" s="28"/>
      <c r="C401" s="22"/>
      <c r="D401" s="28"/>
      <c r="E401" s="23" t="str">
        <f>IF($D401="","",IFERROR(VLOOKUP($D401,'ACAS Consumables Tracker'!$A:$H,8,FALSE()),""))</f>
        <v/>
      </c>
      <c r="F401" s="24"/>
      <c r="G401" s="25" t="str">
        <f>IF($D401="","",IFERROR(VLOOKUP($D401,'ACAS Consumables Tracker'!$A:$D,4,FALSE()),""))</f>
        <v/>
      </c>
      <c r="H401" s="22"/>
    </row>
    <row r="402" spans="1:8">
      <c r="A402" s="21"/>
      <c r="B402" s="28"/>
      <c r="C402" s="22"/>
      <c r="D402" s="28"/>
      <c r="E402" s="23" t="str">
        <f>IF($D402="","",IFERROR(VLOOKUP($D402,'ACAS Consumables Tracker'!$A:$H,8,FALSE()),""))</f>
        <v/>
      </c>
      <c r="F402" s="24"/>
      <c r="G402" s="25" t="str">
        <f>IF($D402="","",IFERROR(VLOOKUP($D402,'ACAS Consumables Tracker'!$A:$D,4,FALSE()),""))</f>
        <v/>
      </c>
      <c r="H402" s="22"/>
    </row>
    <row r="403" spans="1:8">
      <c r="A403" s="21"/>
      <c r="B403" s="28"/>
      <c r="C403" s="22"/>
      <c r="D403" s="28"/>
      <c r="E403" s="23" t="str">
        <f>IF($D403="","",IFERROR(VLOOKUP($D403,'ACAS Consumables Tracker'!$A:$H,8,FALSE()),""))</f>
        <v/>
      </c>
      <c r="F403" s="24"/>
      <c r="G403" s="25" t="str">
        <f>IF($D403="","",IFERROR(VLOOKUP($D403,'ACAS Consumables Tracker'!$A:$D,4,FALSE()),""))</f>
        <v/>
      </c>
      <c r="H403" s="22"/>
    </row>
    <row r="404" spans="1:8">
      <c r="A404" s="21"/>
      <c r="B404" s="28"/>
      <c r="C404" s="22"/>
      <c r="D404" s="28"/>
      <c r="E404" s="23" t="str">
        <f>IF($D404="","",IFERROR(VLOOKUP($D404,'ACAS Consumables Tracker'!$A:$H,8,FALSE()),""))</f>
        <v/>
      </c>
      <c r="F404" s="24"/>
      <c r="G404" s="25" t="str">
        <f>IF($D404="","",IFERROR(VLOOKUP($D404,'ACAS Consumables Tracker'!$A:$D,4,FALSE()),""))</f>
        <v/>
      </c>
      <c r="H404" s="22"/>
    </row>
    <row r="405" spans="1:8">
      <c r="A405" s="21"/>
      <c r="B405" s="28"/>
      <c r="C405" s="22"/>
      <c r="D405" s="28"/>
      <c r="E405" s="23" t="str">
        <f>IF($D405="","",IFERROR(VLOOKUP($D405,'ACAS Consumables Tracker'!$A:$H,8,FALSE()),""))</f>
        <v/>
      </c>
      <c r="F405" s="24"/>
      <c r="G405" s="25" t="str">
        <f>IF($D405="","",IFERROR(VLOOKUP($D405,'ACAS Consumables Tracker'!$A:$D,4,FALSE()),""))</f>
        <v/>
      </c>
      <c r="H405" s="22"/>
    </row>
    <row r="406" spans="1:8">
      <c r="A406" s="21"/>
      <c r="B406" s="28"/>
      <c r="C406" s="22"/>
      <c r="D406" s="28"/>
      <c r="E406" s="23" t="str">
        <f>IF($D406="","",IFERROR(VLOOKUP($D406,'ACAS Consumables Tracker'!$A:$H,8,FALSE()),""))</f>
        <v/>
      </c>
      <c r="F406" s="24"/>
      <c r="G406" s="25" t="str">
        <f>IF($D406="","",IFERROR(VLOOKUP($D406,'ACAS Consumables Tracker'!$A:$D,4,FALSE()),""))</f>
        <v/>
      </c>
      <c r="H406" s="22"/>
    </row>
    <row r="407" spans="1:8">
      <c r="A407" s="21"/>
      <c r="B407" s="28"/>
      <c r="C407" s="22"/>
      <c r="D407" s="28"/>
      <c r="E407" s="23" t="str">
        <f>IF($D407="","",IFERROR(VLOOKUP($D407,'ACAS Consumables Tracker'!$A:$H,8,FALSE()),""))</f>
        <v/>
      </c>
      <c r="F407" s="24"/>
      <c r="G407" s="25" t="str">
        <f>IF($D407="","",IFERROR(VLOOKUP($D407,'ACAS Consumables Tracker'!$A:$D,4,FALSE()),""))</f>
        <v/>
      </c>
      <c r="H407" s="22"/>
    </row>
    <row r="408" spans="1:8">
      <c r="A408" s="21"/>
      <c r="B408" s="28"/>
      <c r="C408" s="22"/>
      <c r="D408" s="28"/>
      <c r="E408" s="23" t="str">
        <f>IF($D408="","",IFERROR(VLOOKUP($D408,'ACAS Consumables Tracker'!$A:$H,8,FALSE()),""))</f>
        <v/>
      </c>
      <c r="F408" s="24"/>
      <c r="G408" s="25" t="str">
        <f>IF($D408="","",IFERROR(VLOOKUP($D408,'ACAS Consumables Tracker'!$A:$D,4,FALSE()),""))</f>
        <v/>
      </c>
      <c r="H408" s="22"/>
    </row>
    <row r="409" spans="1:8">
      <c r="A409" s="21"/>
      <c r="B409" s="28"/>
      <c r="C409" s="22"/>
      <c r="D409" s="28"/>
      <c r="E409" s="23" t="str">
        <f>IF($D409="","",IFERROR(VLOOKUP($D409,'ACAS Consumables Tracker'!$A:$H,8,FALSE()),""))</f>
        <v/>
      </c>
      <c r="F409" s="24"/>
      <c r="G409" s="25" t="str">
        <f>IF($D409="","",IFERROR(VLOOKUP($D409,'ACAS Consumables Tracker'!$A:$D,4,FALSE()),""))</f>
        <v/>
      </c>
      <c r="H409" s="22"/>
    </row>
    <row r="410" spans="1:8">
      <c r="A410" s="21"/>
      <c r="B410" s="28"/>
      <c r="C410" s="22"/>
      <c r="D410" s="28"/>
      <c r="E410" s="23" t="str">
        <f>IF($D410="","",IFERROR(VLOOKUP($D410,'ACAS Consumables Tracker'!$A:$H,8,FALSE()),""))</f>
        <v/>
      </c>
      <c r="F410" s="24"/>
      <c r="G410" s="25" t="str">
        <f>IF($D410="","",IFERROR(VLOOKUP($D410,'ACAS Consumables Tracker'!$A:$D,4,FALSE()),""))</f>
        <v/>
      </c>
      <c r="H410" s="22"/>
    </row>
    <row r="411" spans="1:8">
      <c r="A411" s="21"/>
      <c r="B411" s="28"/>
      <c r="C411" s="22"/>
      <c r="D411" s="28"/>
      <c r="E411" s="23" t="str">
        <f>IF($D411="","",IFERROR(VLOOKUP($D411,'ACAS Consumables Tracker'!$A:$H,8,FALSE()),""))</f>
        <v/>
      </c>
      <c r="F411" s="24"/>
      <c r="G411" s="25" t="str">
        <f>IF($D411="","",IFERROR(VLOOKUP($D411,'ACAS Consumables Tracker'!$A:$D,4,FALSE()),""))</f>
        <v/>
      </c>
      <c r="H411" s="22"/>
    </row>
    <row r="412" spans="1:8">
      <c r="A412" s="21"/>
      <c r="B412" s="28"/>
      <c r="C412" s="22"/>
      <c r="D412" s="28"/>
      <c r="E412" s="23" t="str">
        <f>IF($D412="","",IFERROR(VLOOKUP($D412,'ACAS Consumables Tracker'!$A:$H,8,FALSE()),""))</f>
        <v/>
      </c>
      <c r="F412" s="24"/>
      <c r="G412" s="25" t="str">
        <f>IF($D412="","",IFERROR(VLOOKUP($D412,'ACAS Consumables Tracker'!$A:$D,4,FALSE()),""))</f>
        <v/>
      </c>
      <c r="H412" s="22"/>
    </row>
    <row r="413" spans="1:8">
      <c r="A413" s="21"/>
      <c r="B413" s="28"/>
      <c r="C413" s="22"/>
      <c r="D413" s="28"/>
      <c r="E413" s="23" t="str">
        <f>IF($D413="","",IFERROR(VLOOKUP($D413,'ACAS Consumables Tracker'!$A:$H,8,FALSE()),""))</f>
        <v/>
      </c>
      <c r="F413" s="24"/>
      <c r="G413" s="25" t="str">
        <f>IF($D413="","",IFERROR(VLOOKUP($D413,'ACAS Consumables Tracker'!$A:$D,4,FALSE()),""))</f>
        <v/>
      </c>
      <c r="H413" s="22"/>
    </row>
    <row r="414" spans="1:8">
      <c r="A414" s="21"/>
      <c r="B414" s="28"/>
      <c r="C414" s="22"/>
      <c r="D414" s="28"/>
      <c r="E414" s="23" t="str">
        <f>IF($D414="","",IFERROR(VLOOKUP($D414,'ACAS Consumables Tracker'!$A:$H,8,FALSE()),""))</f>
        <v/>
      </c>
      <c r="F414" s="24"/>
      <c r="G414" s="25" t="str">
        <f>IF($D414="","",IFERROR(VLOOKUP($D414,'ACAS Consumables Tracker'!$A:$D,4,FALSE()),""))</f>
        <v/>
      </c>
      <c r="H414" s="22"/>
    </row>
    <row r="415" spans="1:8">
      <c r="A415" s="21"/>
      <c r="B415" s="28"/>
      <c r="C415" s="22"/>
      <c r="D415" s="28"/>
      <c r="E415" s="23" t="str">
        <f>IF($D415="","",IFERROR(VLOOKUP($D415,'ACAS Consumables Tracker'!$A:$H,8,FALSE()),""))</f>
        <v/>
      </c>
      <c r="F415" s="24"/>
      <c r="G415" s="25" t="str">
        <f>IF($D415="","",IFERROR(VLOOKUP($D415,'ACAS Consumables Tracker'!$A:$D,4,FALSE()),""))</f>
        <v/>
      </c>
      <c r="H415" s="22"/>
    </row>
    <row r="416" spans="1:8">
      <c r="A416" s="21"/>
      <c r="B416" s="28"/>
      <c r="C416" s="22"/>
      <c r="D416" s="28"/>
      <c r="E416" s="23" t="str">
        <f>IF($D416="","",IFERROR(VLOOKUP($D416,'ACAS Consumables Tracker'!$A:$H,8,FALSE()),""))</f>
        <v/>
      </c>
      <c r="F416" s="24"/>
      <c r="G416" s="25" t="str">
        <f>IF($D416="","",IFERROR(VLOOKUP($D416,'ACAS Consumables Tracker'!$A:$D,4,FALSE()),""))</f>
        <v/>
      </c>
      <c r="H416" s="22"/>
    </row>
    <row r="417" spans="1:8">
      <c r="A417" s="21"/>
      <c r="B417" s="28"/>
      <c r="C417" s="22"/>
      <c r="D417" s="28"/>
      <c r="E417" s="23" t="str">
        <f>IF($D417="","",IFERROR(VLOOKUP($D417,'ACAS Consumables Tracker'!$A:$H,8,FALSE()),""))</f>
        <v/>
      </c>
      <c r="F417" s="24"/>
      <c r="G417" s="25" t="str">
        <f>IF($D417="","",IFERROR(VLOOKUP($D417,'ACAS Consumables Tracker'!$A:$D,4,FALSE()),""))</f>
        <v/>
      </c>
      <c r="H417" s="22"/>
    </row>
    <row r="418" spans="1:8">
      <c r="A418" s="21"/>
      <c r="B418" s="28"/>
      <c r="C418" s="22"/>
      <c r="D418" s="28"/>
      <c r="E418" s="23" t="str">
        <f>IF($D418="","",IFERROR(VLOOKUP($D418,'ACAS Consumables Tracker'!$A:$H,8,FALSE()),""))</f>
        <v/>
      </c>
      <c r="F418" s="24"/>
      <c r="G418" s="25" t="str">
        <f>IF($D418="","",IFERROR(VLOOKUP($D418,'ACAS Consumables Tracker'!$A:$D,4,FALSE()),""))</f>
        <v/>
      </c>
      <c r="H418" s="22"/>
    </row>
    <row r="419" spans="1:8">
      <c r="A419" s="21"/>
      <c r="B419" s="28"/>
      <c r="C419" s="22"/>
      <c r="D419" s="28"/>
      <c r="E419" s="23" t="str">
        <f>IF($D419="","",IFERROR(VLOOKUP($D419,'ACAS Consumables Tracker'!$A:$H,8,FALSE()),""))</f>
        <v/>
      </c>
      <c r="F419" s="24"/>
      <c r="G419" s="25" t="str">
        <f>IF($D419="","",IFERROR(VLOOKUP($D419,'ACAS Consumables Tracker'!$A:$D,4,FALSE()),""))</f>
        <v/>
      </c>
      <c r="H419" s="22"/>
    </row>
    <row r="420" spans="1:8">
      <c r="A420" s="21"/>
      <c r="B420" s="28"/>
      <c r="C420" s="22"/>
      <c r="D420" s="28"/>
      <c r="E420" s="23" t="str">
        <f>IF($D420="","",IFERROR(VLOOKUP($D420,'ACAS Consumables Tracker'!$A:$H,8,FALSE()),""))</f>
        <v/>
      </c>
      <c r="F420" s="24"/>
      <c r="G420" s="25" t="str">
        <f>IF($D420="","",IFERROR(VLOOKUP($D420,'ACAS Consumables Tracker'!$A:$D,4,FALSE()),""))</f>
        <v/>
      </c>
      <c r="H420" s="22"/>
    </row>
    <row r="421" spans="1:8">
      <c r="A421" s="21"/>
      <c r="B421" s="28"/>
      <c r="C421" s="22"/>
      <c r="D421" s="28"/>
      <c r="E421" s="23" t="str">
        <f>IF($D421="","",IFERROR(VLOOKUP($D421,'ACAS Consumables Tracker'!$A:$H,8,FALSE()),""))</f>
        <v/>
      </c>
      <c r="F421" s="24"/>
      <c r="G421" s="25" t="str">
        <f>IF($D421="","",IFERROR(VLOOKUP($D421,'ACAS Consumables Tracker'!$A:$D,4,FALSE()),""))</f>
        <v/>
      </c>
      <c r="H421" s="22"/>
    </row>
    <row r="422" spans="1:8">
      <c r="A422" s="21"/>
      <c r="B422" s="28"/>
      <c r="C422" s="22"/>
      <c r="D422" s="28"/>
      <c r="E422" s="23" t="str">
        <f>IF($D422="","",IFERROR(VLOOKUP($D422,'ACAS Consumables Tracker'!$A:$H,8,FALSE()),""))</f>
        <v/>
      </c>
      <c r="F422" s="24"/>
      <c r="G422" s="25" t="str">
        <f>IF($D422="","",IFERROR(VLOOKUP($D422,'ACAS Consumables Tracker'!$A:$D,4,FALSE()),""))</f>
        <v/>
      </c>
      <c r="H422" s="22"/>
    </row>
    <row r="423" spans="1:8">
      <c r="A423" s="21"/>
      <c r="B423" s="28"/>
      <c r="C423" s="22"/>
      <c r="D423" s="28"/>
      <c r="E423" s="23" t="str">
        <f>IF($D423="","",IFERROR(VLOOKUP($D423,'ACAS Consumables Tracker'!$A:$H,8,FALSE()),""))</f>
        <v/>
      </c>
      <c r="F423" s="24"/>
      <c r="G423" s="25" t="str">
        <f>IF($D423="","",IFERROR(VLOOKUP($D423,'ACAS Consumables Tracker'!$A:$D,4,FALSE()),""))</f>
        <v/>
      </c>
      <c r="H423" s="22"/>
    </row>
    <row r="424" spans="1:8">
      <c r="A424" s="21"/>
      <c r="B424" s="28"/>
      <c r="C424" s="22"/>
      <c r="D424" s="28"/>
      <c r="E424" s="23" t="str">
        <f>IF($D424="","",IFERROR(VLOOKUP($D424,'ACAS Consumables Tracker'!$A:$H,8,FALSE()),""))</f>
        <v/>
      </c>
      <c r="F424" s="24"/>
      <c r="G424" s="25" t="str">
        <f>IF($D424="","",IFERROR(VLOOKUP($D424,'ACAS Consumables Tracker'!$A:$D,4,FALSE()),""))</f>
        <v/>
      </c>
      <c r="H424" s="22"/>
    </row>
    <row r="425" spans="1:8">
      <c r="A425" s="21"/>
      <c r="B425" s="28"/>
      <c r="C425" s="22"/>
      <c r="D425" s="28"/>
      <c r="E425" s="23" t="str">
        <f>IF($D425="","",IFERROR(VLOOKUP($D425,'ACAS Consumables Tracker'!$A:$H,8,FALSE()),""))</f>
        <v/>
      </c>
      <c r="F425" s="24"/>
      <c r="G425" s="25" t="str">
        <f>IF($D425="","",IFERROR(VLOOKUP($D425,'ACAS Consumables Tracker'!$A:$D,4,FALSE()),""))</f>
        <v/>
      </c>
      <c r="H425" s="22"/>
    </row>
    <row r="426" spans="1:8">
      <c r="A426" s="21"/>
      <c r="B426" s="28"/>
      <c r="C426" s="22"/>
      <c r="D426" s="28"/>
      <c r="E426" s="23" t="str">
        <f>IF($D426="","",IFERROR(VLOOKUP($D426,'ACAS Consumables Tracker'!$A:$H,8,FALSE()),""))</f>
        <v/>
      </c>
      <c r="F426" s="24"/>
      <c r="G426" s="25" t="str">
        <f>IF($D426="","",IFERROR(VLOOKUP($D426,'ACAS Consumables Tracker'!$A:$D,4,FALSE()),""))</f>
        <v/>
      </c>
      <c r="H426" s="22"/>
    </row>
    <row r="427" spans="1:8">
      <c r="A427" s="21"/>
      <c r="B427" s="28"/>
      <c r="C427" s="22"/>
      <c r="D427" s="28"/>
      <c r="E427" s="23" t="str">
        <f>IF($D427="","",IFERROR(VLOOKUP($D427,'ACAS Consumables Tracker'!$A:$H,8,FALSE()),""))</f>
        <v/>
      </c>
      <c r="F427" s="24"/>
      <c r="G427" s="25" t="str">
        <f>IF($D427="","",IFERROR(VLOOKUP($D427,'ACAS Consumables Tracker'!$A:$D,4,FALSE()),""))</f>
        <v/>
      </c>
      <c r="H427" s="22"/>
    </row>
    <row r="428" spans="1:8">
      <c r="A428" s="21"/>
      <c r="B428" s="28"/>
      <c r="C428" s="22"/>
      <c r="D428" s="28"/>
      <c r="E428" s="23" t="str">
        <f>IF($D428="","",IFERROR(VLOOKUP($D428,'ACAS Consumables Tracker'!$A:$H,8,FALSE()),""))</f>
        <v/>
      </c>
      <c r="F428" s="24"/>
      <c r="G428" s="25" t="str">
        <f>IF($D428="","",IFERROR(VLOOKUP($D428,'ACAS Consumables Tracker'!$A:$D,4,FALSE()),""))</f>
        <v/>
      </c>
      <c r="H428" s="22"/>
    </row>
    <row r="429" spans="1:8">
      <c r="A429" s="21"/>
      <c r="B429" s="28"/>
      <c r="C429" s="22"/>
      <c r="D429" s="28"/>
      <c r="E429" s="23" t="str">
        <f>IF($D429="","",IFERROR(VLOOKUP($D429,'ACAS Consumables Tracker'!$A:$H,8,FALSE()),""))</f>
        <v/>
      </c>
      <c r="F429" s="24"/>
      <c r="G429" s="25" t="str">
        <f>IF($D429="","",IFERROR(VLOOKUP($D429,'ACAS Consumables Tracker'!$A:$D,4,FALSE()),""))</f>
        <v/>
      </c>
      <c r="H429" s="22"/>
    </row>
    <row r="430" spans="1:8">
      <c r="A430" s="21"/>
      <c r="B430" s="28"/>
      <c r="C430" s="22"/>
      <c r="D430" s="28"/>
      <c r="E430" s="23" t="str">
        <f>IF($D430="","",IFERROR(VLOOKUP($D430,'ACAS Consumables Tracker'!$A:$H,8,FALSE()),""))</f>
        <v/>
      </c>
      <c r="F430" s="24"/>
      <c r="G430" s="25" t="str">
        <f>IF($D430="","",IFERROR(VLOOKUP($D430,'ACAS Consumables Tracker'!$A:$D,4,FALSE()),""))</f>
        <v/>
      </c>
      <c r="H430" s="22"/>
    </row>
    <row r="431" spans="1:8">
      <c r="A431" s="21"/>
      <c r="B431" s="28"/>
      <c r="C431" s="22"/>
      <c r="D431" s="28"/>
      <c r="E431" s="23" t="str">
        <f>IF($D431="","",IFERROR(VLOOKUP($D431,'ACAS Consumables Tracker'!$A:$H,8,FALSE()),""))</f>
        <v/>
      </c>
      <c r="F431" s="24"/>
      <c r="G431" s="25" t="str">
        <f>IF($D431="","",IFERROR(VLOOKUP($D431,'ACAS Consumables Tracker'!$A:$D,4,FALSE()),""))</f>
        <v/>
      </c>
      <c r="H431" s="22"/>
    </row>
    <row r="432" spans="1:8">
      <c r="A432" s="21"/>
      <c r="B432" s="28"/>
      <c r="C432" s="22"/>
      <c r="D432" s="28"/>
      <c r="E432" s="23" t="str">
        <f>IF($D432="","",IFERROR(VLOOKUP($D432,'ACAS Consumables Tracker'!$A:$H,8,FALSE()),""))</f>
        <v/>
      </c>
      <c r="F432" s="24"/>
      <c r="G432" s="25" t="str">
        <f>IF($D432="","",IFERROR(VLOOKUP($D432,'ACAS Consumables Tracker'!$A:$D,4,FALSE()),""))</f>
        <v/>
      </c>
      <c r="H432" s="22"/>
    </row>
    <row r="433" spans="1:8">
      <c r="A433" s="21"/>
      <c r="B433" s="28"/>
      <c r="C433" s="22"/>
      <c r="D433" s="28"/>
      <c r="E433" s="23" t="str">
        <f>IF($D433="","",IFERROR(VLOOKUP($D433,'ACAS Consumables Tracker'!$A:$H,8,FALSE()),""))</f>
        <v/>
      </c>
      <c r="F433" s="24"/>
      <c r="G433" s="25" t="str">
        <f>IF($D433="","",IFERROR(VLOOKUP($D433,'ACAS Consumables Tracker'!$A:$D,4,FALSE()),""))</f>
        <v/>
      </c>
      <c r="H433" s="22"/>
    </row>
    <row r="434" spans="1:8">
      <c r="A434" s="21"/>
      <c r="B434" s="28"/>
      <c r="C434" s="22"/>
      <c r="D434" s="28"/>
      <c r="E434" s="23" t="str">
        <f>IF($D434="","",IFERROR(VLOOKUP($D434,'ACAS Consumables Tracker'!$A:$H,8,FALSE()),""))</f>
        <v/>
      </c>
      <c r="F434" s="24"/>
      <c r="G434" s="25" t="str">
        <f>IF($D434="","",IFERROR(VLOOKUP($D434,'ACAS Consumables Tracker'!$A:$D,4,FALSE()),""))</f>
        <v/>
      </c>
      <c r="H434" s="22"/>
    </row>
    <row r="435" spans="1:8">
      <c r="A435" s="21"/>
      <c r="B435" s="28"/>
      <c r="C435" s="22"/>
      <c r="D435" s="28"/>
      <c r="E435" s="23" t="str">
        <f>IF($D435="","",IFERROR(VLOOKUP($D435,'ACAS Consumables Tracker'!$A:$H,8,FALSE()),""))</f>
        <v/>
      </c>
      <c r="F435" s="24"/>
      <c r="G435" s="25" t="str">
        <f>IF($D435="","",IFERROR(VLOOKUP($D435,'ACAS Consumables Tracker'!$A:$D,4,FALSE()),""))</f>
        <v/>
      </c>
      <c r="H435" s="22"/>
    </row>
    <row r="436" spans="1:8">
      <c r="A436" s="21"/>
      <c r="B436" s="28"/>
      <c r="C436" s="22"/>
      <c r="D436" s="28"/>
      <c r="E436" s="23" t="str">
        <f>IF($D436="","",IFERROR(VLOOKUP($D436,'ACAS Consumables Tracker'!$A:$H,8,FALSE()),""))</f>
        <v/>
      </c>
      <c r="F436" s="24"/>
      <c r="G436" s="25" t="str">
        <f>IF($D436="","",IFERROR(VLOOKUP($D436,'ACAS Consumables Tracker'!$A:$D,4,FALSE()),""))</f>
        <v/>
      </c>
      <c r="H436" s="22"/>
    </row>
    <row r="437" spans="1:8">
      <c r="A437" s="21"/>
      <c r="B437" s="28"/>
      <c r="C437" s="22"/>
      <c r="D437" s="28"/>
      <c r="E437" s="23" t="str">
        <f>IF($D437="","",IFERROR(VLOOKUP($D437,'ACAS Consumables Tracker'!$A:$H,8,FALSE()),""))</f>
        <v/>
      </c>
      <c r="F437" s="24"/>
      <c r="G437" s="25" t="str">
        <f>IF($D437="","",IFERROR(VLOOKUP($D437,'ACAS Consumables Tracker'!$A:$D,4,FALSE()),""))</f>
        <v/>
      </c>
      <c r="H437" s="22"/>
    </row>
    <row r="438" spans="1:8">
      <c r="A438" s="21"/>
      <c r="B438" s="28"/>
      <c r="C438" s="22"/>
      <c r="D438" s="28"/>
      <c r="E438" s="23" t="str">
        <f>IF($D438="","",IFERROR(VLOOKUP($D438,'ACAS Consumables Tracker'!$A:$H,8,FALSE()),""))</f>
        <v/>
      </c>
      <c r="F438" s="24"/>
      <c r="G438" s="25" t="str">
        <f>IF($D438="","",IFERROR(VLOOKUP($D438,'ACAS Consumables Tracker'!$A:$D,4,FALSE()),""))</f>
        <v/>
      </c>
      <c r="H438" s="22"/>
    </row>
    <row r="439" spans="1:8">
      <c r="A439" s="21"/>
      <c r="B439" s="28"/>
      <c r="C439" s="22"/>
      <c r="D439" s="28"/>
      <c r="E439" s="23" t="str">
        <f>IF($D439="","",IFERROR(VLOOKUP($D439,'ACAS Consumables Tracker'!$A:$H,8,FALSE()),""))</f>
        <v/>
      </c>
      <c r="F439" s="24"/>
      <c r="G439" s="25" t="str">
        <f>IF($D439="","",IFERROR(VLOOKUP($D439,'ACAS Consumables Tracker'!$A:$D,4,FALSE()),""))</f>
        <v/>
      </c>
      <c r="H439" s="22"/>
    </row>
    <row r="440" spans="1:8">
      <c r="A440" s="21"/>
      <c r="B440" s="28"/>
      <c r="C440" s="22"/>
      <c r="D440" s="28"/>
      <c r="E440" s="23" t="str">
        <f>IF($D440="","",IFERROR(VLOOKUP($D440,'ACAS Consumables Tracker'!$A:$H,8,FALSE()),""))</f>
        <v/>
      </c>
      <c r="F440" s="24"/>
      <c r="G440" s="25" t="str">
        <f>IF($D440="","",IFERROR(VLOOKUP($D440,'ACAS Consumables Tracker'!$A:$D,4,FALSE()),""))</f>
        <v/>
      </c>
      <c r="H440" s="22"/>
    </row>
    <row r="441" spans="1:8">
      <c r="A441" s="21"/>
      <c r="B441" s="28"/>
      <c r="C441" s="22"/>
      <c r="D441" s="28"/>
      <c r="E441" s="23" t="str">
        <f>IF($D441="","",IFERROR(VLOOKUP($D441,'ACAS Consumables Tracker'!$A:$H,8,FALSE()),""))</f>
        <v/>
      </c>
      <c r="F441" s="24"/>
      <c r="G441" s="25" t="str">
        <f>IF($D441="","",IFERROR(VLOOKUP($D441,'ACAS Consumables Tracker'!$A:$D,4,FALSE()),""))</f>
        <v/>
      </c>
      <c r="H441" s="22"/>
    </row>
    <row r="442" spans="1:8">
      <c r="A442" s="21"/>
      <c r="B442" s="28"/>
      <c r="C442" s="22"/>
      <c r="D442" s="28"/>
      <c r="E442" s="23" t="str">
        <f>IF($D442="","",IFERROR(VLOOKUP($D442,'ACAS Consumables Tracker'!$A:$H,8,FALSE()),""))</f>
        <v/>
      </c>
      <c r="F442" s="24"/>
      <c r="G442" s="25" t="str">
        <f>IF($D442="","",IFERROR(VLOOKUP($D442,'ACAS Consumables Tracker'!$A:$D,4,FALSE()),""))</f>
        <v/>
      </c>
      <c r="H442" s="22"/>
    </row>
    <row r="443" spans="1:8">
      <c r="A443" s="21"/>
      <c r="B443" s="28"/>
      <c r="C443" s="22"/>
      <c r="D443" s="28"/>
      <c r="E443" s="23" t="str">
        <f>IF($D443="","",IFERROR(VLOOKUP($D443,'ACAS Consumables Tracker'!$A:$H,8,FALSE()),""))</f>
        <v/>
      </c>
      <c r="F443" s="24"/>
      <c r="G443" s="25" t="str">
        <f>IF($D443="","",IFERROR(VLOOKUP($D443,'ACAS Consumables Tracker'!$A:$D,4,FALSE()),""))</f>
        <v/>
      </c>
      <c r="H443" s="22"/>
    </row>
    <row r="444" spans="1:8">
      <c r="A444" s="21"/>
      <c r="B444" s="28"/>
      <c r="C444" s="22"/>
      <c r="D444" s="28"/>
      <c r="E444" s="23" t="str">
        <f>IF($D444="","",IFERROR(VLOOKUP($D444,'ACAS Consumables Tracker'!$A:$H,8,FALSE()),""))</f>
        <v/>
      </c>
      <c r="F444" s="24"/>
      <c r="G444" s="25" t="str">
        <f>IF($D444="","",IFERROR(VLOOKUP($D444,'ACAS Consumables Tracker'!$A:$D,4,FALSE()),""))</f>
        <v/>
      </c>
      <c r="H444" s="22"/>
    </row>
    <row r="445" spans="1:8">
      <c r="A445" s="21"/>
      <c r="B445" s="28"/>
      <c r="C445" s="22"/>
      <c r="D445" s="28"/>
      <c r="E445" s="23" t="str">
        <f>IF($D445="","",IFERROR(VLOOKUP($D445,'ACAS Consumables Tracker'!$A:$H,8,FALSE()),""))</f>
        <v/>
      </c>
      <c r="F445" s="24"/>
      <c r="G445" s="25" t="str">
        <f>IF($D445="","",IFERROR(VLOOKUP($D445,'ACAS Consumables Tracker'!$A:$D,4,FALSE()),""))</f>
        <v/>
      </c>
      <c r="H445" s="22"/>
    </row>
    <row r="446" spans="1:8">
      <c r="A446" s="21"/>
      <c r="B446" s="28"/>
      <c r="C446" s="22"/>
      <c r="D446" s="28"/>
      <c r="E446" s="23" t="str">
        <f>IF($D446="","",IFERROR(VLOOKUP($D446,'ACAS Consumables Tracker'!$A:$H,8,FALSE()),""))</f>
        <v/>
      </c>
      <c r="F446" s="24"/>
      <c r="G446" s="25" t="str">
        <f>IF($D446="","",IFERROR(VLOOKUP($D446,'ACAS Consumables Tracker'!$A:$D,4,FALSE()),""))</f>
        <v/>
      </c>
      <c r="H446" s="22"/>
    </row>
    <row r="447" spans="1:8">
      <c r="A447" s="21"/>
      <c r="B447" s="28"/>
      <c r="C447" s="22"/>
      <c r="D447" s="28"/>
      <c r="E447" s="23" t="str">
        <f>IF($D447="","",IFERROR(VLOOKUP($D447,'ACAS Consumables Tracker'!$A:$H,8,FALSE()),""))</f>
        <v/>
      </c>
      <c r="F447" s="24"/>
      <c r="G447" s="25" t="str">
        <f>IF($D447="","",IFERROR(VLOOKUP($D447,'ACAS Consumables Tracker'!$A:$D,4,FALSE()),""))</f>
        <v/>
      </c>
      <c r="H447" s="22"/>
    </row>
    <row r="448" spans="1:8">
      <c r="A448" s="21"/>
      <c r="B448" s="28"/>
      <c r="C448" s="22"/>
      <c r="D448" s="28"/>
      <c r="E448" s="23" t="str">
        <f>IF($D448="","",IFERROR(VLOOKUP($D448,'ACAS Consumables Tracker'!$A:$H,8,FALSE()),""))</f>
        <v/>
      </c>
      <c r="F448" s="24"/>
      <c r="G448" s="25" t="str">
        <f>IF($D448="","",IFERROR(VLOOKUP($D448,'ACAS Consumables Tracker'!$A:$D,4,FALSE()),""))</f>
        <v/>
      </c>
      <c r="H448" s="22"/>
    </row>
    <row r="449" spans="1:8">
      <c r="A449" s="21"/>
      <c r="B449" s="28"/>
      <c r="C449" s="22"/>
      <c r="D449" s="28"/>
      <c r="E449" s="23" t="str">
        <f>IF($D449="","",IFERROR(VLOOKUP($D449,'ACAS Consumables Tracker'!$A:$H,8,FALSE()),""))</f>
        <v/>
      </c>
      <c r="F449" s="24"/>
      <c r="G449" s="25" t="str">
        <f>IF($D449="","",IFERROR(VLOOKUP($D449,'ACAS Consumables Tracker'!$A:$D,4,FALSE()),""))</f>
        <v/>
      </c>
      <c r="H449" s="22"/>
    </row>
    <row r="450" spans="1:8">
      <c r="A450" s="21"/>
      <c r="B450" s="28"/>
      <c r="C450" s="22"/>
      <c r="D450" s="28"/>
      <c r="E450" s="23" t="str">
        <f>IF($D450="","",IFERROR(VLOOKUP($D450,'ACAS Consumables Tracker'!$A:$H,8,FALSE()),""))</f>
        <v/>
      </c>
      <c r="F450" s="24"/>
      <c r="G450" s="25" t="str">
        <f>IF($D450="","",IFERROR(VLOOKUP($D450,'ACAS Consumables Tracker'!$A:$D,4,FALSE()),""))</f>
        <v/>
      </c>
      <c r="H450" s="22"/>
    </row>
    <row r="451" spans="1:8">
      <c r="A451" s="21"/>
      <c r="B451" s="28"/>
      <c r="C451" s="22"/>
      <c r="D451" s="28"/>
      <c r="E451" s="23" t="str">
        <f>IF($D451="","",IFERROR(VLOOKUP($D451,'ACAS Consumables Tracker'!$A:$H,8,FALSE()),""))</f>
        <v/>
      </c>
      <c r="F451" s="24"/>
      <c r="G451" s="25" t="str">
        <f>IF($D451="","",IFERROR(VLOOKUP($D451,'ACAS Consumables Tracker'!$A:$D,4,FALSE()),""))</f>
        <v/>
      </c>
      <c r="H451" s="22"/>
    </row>
    <row r="452" spans="1:8">
      <c r="A452" s="21"/>
      <c r="B452" s="28"/>
      <c r="C452" s="22"/>
      <c r="D452" s="28"/>
      <c r="E452" s="23" t="str">
        <f>IF($D452="","",IFERROR(VLOOKUP($D452,'ACAS Consumables Tracker'!$A:$H,8,FALSE()),""))</f>
        <v/>
      </c>
      <c r="F452" s="24"/>
      <c r="G452" s="25" t="str">
        <f>IF($D452="","",IFERROR(VLOOKUP($D452,'ACAS Consumables Tracker'!$A:$D,4,FALSE()),""))</f>
        <v/>
      </c>
      <c r="H452" s="22"/>
    </row>
    <row r="453" spans="1:8">
      <c r="A453" s="21"/>
      <c r="B453" s="28"/>
      <c r="C453" s="22"/>
      <c r="D453" s="28"/>
      <c r="E453" s="23" t="str">
        <f>IF($D453="","",IFERROR(VLOOKUP($D453,'ACAS Consumables Tracker'!$A:$H,8,FALSE()),""))</f>
        <v/>
      </c>
      <c r="F453" s="24"/>
      <c r="G453" s="25" t="str">
        <f>IF($D453="","",IFERROR(VLOOKUP($D453,'ACAS Consumables Tracker'!$A:$D,4,FALSE()),""))</f>
        <v/>
      </c>
      <c r="H453" s="22"/>
    </row>
    <row r="454" spans="1:8">
      <c r="A454" s="21"/>
      <c r="B454" s="28"/>
      <c r="C454" s="22"/>
      <c r="D454" s="28"/>
      <c r="E454" s="23" t="str">
        <f>IF($D454="","",IFERROR(VLOOKUP($D454,'ACAS Consumables Tracker'!$A:$H,8,FALSE()),""))</f>
        <v/>
      </c>
      <c r="F454" s="24"/>
      <c r="G454" s="25" t="str">
        <f>IF($D454="","",IFERROR(VLOOKUP($D454,'ACAS Consumables Tracker'!$A:$D,4,FALSE()),""))</f>
        <v/>
      </c>
      <c r="H454" s="22"/>
    </row>
    <row r="455" spans="1:8">
      <c r="A455" s="21"/>
      <c r="B455" s="28"/>
      <c r="C455" s="22"/>
      <c r="D455" s="28"/>
      <c r="E455" s="23" t="str">
        <f>IF($D455="","",IFERROR(VLOOKUP($D455,'ACAS Consumables Tracker'!$A:$H,8,FALSE()),""))</f>
        <v/>
      </c>
      <c r="F455" s="24"/>
      <c r="G455" s="25" t="str">
        <f>IF($D455="","",IFERROR(VLOOKUP($D455,'ACAS Consumables Tracker'!$A:$D,4,FALSE()),""))</f>
        <v/>
      </c>
      <c r="H455" s="22"/>
    </row>
    <row r="456" spans="1:8">
      <c r="A456" s="21"/>
      <c r="B456" s="28"/>
      <c r="C456" s="22"/>
      <c r="D456" s="28"/>
      <c r="E456" s="23" t="str">
        <f>IF($D456="","",IFERROR(VLOOKUP($D456,'ACAS Consumables Tracker'!$A:$H,8,FALSE()),""))</f>
        <v/>
      </c>
      <c r="F456" s="24"/>
      <c r="G456" s="25" t="str">
        <f>IF($D456="","",IFERROR(VLOOKUP($D456,'ACAS Consumables Tracker'!$A:$D,4,FALSE()),""))</f>
        <v/>
      </c>
      <c r="H456" s="22"/>
    </row>
    <row r="457" spans="1:8">
      <c r="A457" s="21"/>
      <c r="B457" s="28"/>
      <c r="C457" s="22"/>
      <c r="D457" s="28"/>
      <c r="E457" s="23" t="str">
        <f>IF($D457="","",IFERROR(VLOOKUP($D457,'ACAS Consumables Tracker'!$A:$H,8,FALSE()),""))</f>
        <v/>
      </c>
      <c r="F457" s="24"/>
      <c r="G457" s="25" t="str">
        <f>IF($D457="","",IFERROR(VLOOKUP($D457,'ACAS Consumables Tracker'!$A:$D,4,FALSE()),""))</f>
        <v/>
      </c>
      <c r="H457" s="22"/>
    </row>
    <row r="458" spans="1:8">
      <c r="A458" s="21"/>
      <c r="B458" s="28"/>
      <c r="C458" s="22"/>
      <c r="D458" s="28"/>
      <c r="E458" s="23" t="str">
        <f>IF($D458="","",IFERROR(VLOOKUP($D458,'ACAS Consumables Tracker'!$A:$H,8,FALSE()),""))</f>
        <v/>
      </c>
      <c r="F458" s="24"/>
      <c r="G458" s="25" t="str">
        <f>IF($D458="","",IFERROR(VLOOKUP($D458,'ACAS Consumables Tracker'!$A:$D,4,FALSE()),""))</f>
        <v/>
      </c>
      <c r="H458" s="22"/>
    </row>
    <row r="459" spans="1:8">
      <c r="A459" s="21"/>
      <c r="B459" s="28"/>
      <c r="C459" s="22"/>
      <c r="D459" s="28"/>
      <c r="E459" s="23" t="str">
        <f>IF($D459="","",IFERROR(VLOOKUP($D459,'ACAS Consumables Tracker'!$A:$H,8,FALSE()),""))</f>
        <v/>
      </c>
      <c r="F459" s="24"/>
      <c r="G459" s="25" t="str">
        <f>IF($D459="","",IFERROR(VLOOKUP($D459,'ACAS Consumables Tracker'!$A:$D,4,FALSE()),""))</f>
        <v/>
      </c>
      <c r="H459" s="22"/>
    </row>
    <row r="460" spans="1:8">
      <c r="A460" s="21"/>
      <c r="B460" s="28"/>
      <c r="C460" s="22"/>
      <c r="D460" s="28"/>
      <c r="E460" s="23" t="str">
        <f>IF($D460="","",IFERROR(VLOOKUP($D460,'ACAS Consumables Tracker'!$A:$H,8,FALSE()),""))</f>
        <v/>
      </c>
      <c r="F460" s="24"/>
      <c r="G460" s="25" t="str">
        <f>IF($D460="","",IFERROR(VLOOKUP($D460,'ACAS Consumables Tracker'!$A:$D,4,FALSE()),""))</f>
        <v/>
      </c>
      <c r="H460" s="22"/>
    </row>
    <row r="461" spans="1:8">
      <c r="A461" s="21"/>
      <c r="B461" s="28"/>
      <c r="C461" s="22"/>
      <c r="D461" s="28"/>
      <c r="E461" s="23" t="str">
        <f>IF($D461="","",IFERROR(VLOOKUP($D461,'ACAS Consumables Tracker'!$A:$H,8,FALSE()),""))</f>
        <v/>
      </c>
      <c r="F461" s="24"/>
      <c r="G461" s="25" t="str">
        <f>IF($D461="","",IFERROR(VLOOKUP($D461,'ACAS Consumables Tracker'!$A:$D,4,FALSE()),""))</f>
        <v/>
      </c>
      <c r="H461" s="22"/>
    </row>
    <row r="462" spans="1:8">
      <c r="A462" s="21"/>
      <c r="B462" s="28"/>
      <c r="C462" s="22"/>
      <c r="D462" s="28"/>
      <c r="E462" s="23" t="str">
        <f>IF($D462="","",IFERROR(VLOOKUP($D462,'ACAS Consumables Tracker'!$A:$H,8,FALSE()),""))</f>
        <v/>
      </c>
      <c r="F462" s="24"/>
      <c r="G462" s="25" t="str">
        <f>IF($D462="","",IFERROR(VLOOKUP($D462,'ACAS Consumables Tracker'!$A:$D,4,FALSE()),""))</f>
        <v/>
      </c>
      <c r="H462" s="22"/>
    </row>
    <row r="463" spans="1:8">
      <c r="A463" s="21"/>
      <c r="B463" s="28"/>
      <c r="C463" s="22"/>
      <c r="D463" s="28"/>
      <c r="E463" s="23" t="str">
        <f>IF($D463="","",IFERROR(VLOOKUP($D463,'ACAS Consumables Tracker'!$A:$H,8,FALSE()),""))</f>
        <v/>
      </c>
      <c r="F463" s="24"/>
      <c r="G463" s="25" t="str">
        <f>IF($D463="","",IFERROR(VLOOKUP($D463,'ACAS Consumables Tracker'!$A:$D,4,FALSE()),""))</f>
        <v/>
      </c>
      <c r="H463" s="22"/>
    </row>
    <row r="464" spans="1:8">
      <c r="A464" s="21"/>
      <c r="B464" s="28"/>
      <c r="C464" s="22"/>
      <c r="D464" s="28"/>
      <c r="E464" s="23" t="str">
        <f>IF($D464="","",IFERROR(VLOOKUP($D464,'ACAS Consumables Tracker'!$A:$H,8,FALSE()),""))</f>
        <v/>
      </c>
      <c r="F464" s="24"/>
      <c r="G464" s="25" t="str">
        <f>IF($D464="","",IFERROR(VLOOKUP($D464,'ACAS Consumables Tracker'!$A:$D,4,FALSE()),""))</f>
        <v/>
      </c>
      <c r="H464" s="22"/>
    </row>
    <row r="465" spans="1:8">
      <c r="A465" s="21"/>
      <c r="B465" s="28"/>
      <c r="C465" s="22"/>
      <c r="D465" s="28"/>
      <c r="E465" s="23" t="str">
        <f>IF($D465="","",IFERROR(VLOOKUP($D465,'ACAS Consumables Tracker'!$A:$H,8,FALSE()),""))</f>
        <v/>
      </c>
      <c r="F465" s="24"/>
      <c r="G465" s="25" t="str">
        <f>IF($D465="","",IFERROR(VLOOKUP($D465,'ACAS Consumables Tracker'!$A:$D,4,FALSE()),""))</f>
        <v/>
      </c>
      <c r="H465" s="22"/>
    </row>
    <row r="466" spans="1:8">
      <c r="A466" s="21"/>
      <c r="B466" s="28"/>
      <c r="C466" s="22"/>
      <c r="D466" s="28"/>
      <c r="E466" s="23" t="str">
        <f>IF($D466="","",IFERROR(VLOOKUP($D466,'ACAS Consumables Tracker'!$A:$H,8,FALSE()),""))</f>
        <v/>
      </c>
      <c r="F466" s="24"/>
      <c r="G466" s="25" t="str">
        <f>IF($D466="","",IFERROR(VLOOKUP($D466,'ACAS Consumables Tracker'!$A:$D,4,FALSE()),""))</f>
        <v/>
      </c>
      <c r="H466" s="22"/>
    </row>
    <row r="467" spans="1:8">
      <c r="A467" s="21"/>
      <c r="B467" s="28"/>
      <c r="C467" s="22"/>
      <c r="D467" s="28"/>
      <c r="E467" s="23" t="str">
        <f>IF($D467="","",IFERROR(VLOOKUP($D467,'ACAS Consumables Tracker'!$A:$H,8,FALSE()),""))</f>
        <v/>
      </c>
      <c r="F467" s="24"/>
      <c r="G467" s="25" t="str">
        <f>IF($D467="","",IFERROR(VLOOKUP($D467,'ACAS Consumables Tracker'!$A:$D,4,FALSE()),""))</f>
        <v/>
      </c>
      <c r="H467" s="22"/>
    </row>
    <row r="468" spans="1:8">
      <c r="A468" s="21"/>
      <c r="B468" s="28"/>
      <c r="C468" s="22"/>
      <c r="D468" s="28"/>
      <c r="E468" s="23" t="str">
        <f>IF($D468="","",IFERROR(VLOOKUP($D468,'ACAS Consumables Tracker'!$A:$H,8,FALSE()),""))</f>
        <v/>
      </c>
      <c r="F468" s="24"/>
      <c r="G468" s="25" t="str">
        <f>IF($D468="","",IFERROR(VLOOKUP($D468,'ACAS Consumables Tracker'!$A:$D,4,FALSE()),""))</f>
        <v/>
      </c>
      <c r="H468" s="22"/>
    </row>
    <row r="469" spans="1:8">
      <c r="A469" s="21"/>
      <c r="B469" s="28"/>
      <c r="C469" s="22"/>
      <c r="D469" s="28"/>
      <c r="E469" s="23" t="str">
        <f>IF($D469="","",IFERROR(VLOOKUP($D469,'ACAS Consumables Tracker'!$A:$H,8,FALSE()),""))</f>
        <v/>
      </c>
      <c r="F469" s="24"/>
      <c r="G469" s="25" t="str">
        <f>IF($D469="","",IFERROR(VLOOKUP($D469,'ACAS Consumables Tracker'!$A:$D,4,FALSE()),""))</f>
        <v/>
      </c>
      <c r="H469" s="22"/>
    </row>
    <row r="470" spans="1:8">
      <c r="A470" s="21"/>
      <c r="B470" s="28"/>
      <c r="C470" s="22"/>
      <c r="D470" s="28"/>
      <c r="E470" s="23" t="str">
        <f>IF($D470="","",IFERROR(VLOOKUP($D470,'ACAS Consumables Tracker'!$A:$H,8,FALSE()),""))</f>
        <v/>
      </c>
      <c r="F470" s="24"/>
      <c r="G470" s="25" t="str">
        <f>IF($D470="","",IFERROR(VLOOKUP($D470,'ACAS Consumables Tracker'!$A:$D,4,FALSE()),""))</f>
        <v/>
      </c>
      <c r="H470" s="22"/>
    </row>
    <row r="471" spans="1:8">
      <c r="A471" s="21"/>
      <c r="B471" s="28"/>
      <c r="C471" s="22"/>
      <c r="D471" s="28"/>
      <c r="E471" s="23" t="str">
        <f>IF($D471="","",IFERROR(VLOOKUP($D471,'ACAS Consumables Tracker'!$A:$H,8,FALSE()),""))</f>
        <v/>
      </c>
      <c r="F471" s="24"/>
      <c r="G471" s="25" t="str">
        <f>IF($D471="","",IFERROR(VLOOKUP($D471,'ACAS Consumables Tracker'!$A:$D,4,FALSE()),""))</f>
        <v/>
      </c>
      <c r="H471" s="22"/>
    </row>
    <row r="472" spans="1:8">
      <c r="A472" s="21"/>
      <c r="B472" s="28"/>
      <c r="C472" s="22"/>
      <c r="D472" s="28"/>
      <c r="E472" s="23" t="str">
        <f>IF($D472="","",IFERROR(VLOOKUP($D472,'ACAS Consumables Tracker'!$A:$H,8,FALSE()),""))</f>
        <v/>
      </c>
      <c r="F472" s="24"/>
      <c r="G472" s="25" t="str">
        <f>IF($D472="","",IFERROR(VLOOKUP($D472,'ACAS Consumables Tracker'!$A:$D,4,FALSE()),""))</f>
        <v/>
      </c>
      <c r="H472" s="22"/>
    </row>
    <row r="473" spans="1:8">
      <c r="A473" s="21"/>
      <c r="B473" s="28"/>
      <c r="C473" s="22"/>
      <c r="D473" s="28"/>
      <c r="E473" s="23" t="str">
        <f>IF($D473="","",IFERROR(VLOOKUP($D473,'ACAS Consumables Tracker'!$A:$H,8,FALSE()),""))</f>
        <v/>
      </c>
      <c r="F473" s="24"/>
      <c r="G473" s="25" t="str">
        <f>IF($D473="","",IFERROR(VLOOKUP($D473,'ACAS Consumables Tracker'!$A:$D,4,FALSE()),""))</f>
        <v/>
      </c>
      <c r="H473" s="22"/>
    </row>
    <row r="474" spans="1:8">
      <c r="A474" s="21"/>
      <c r="B474" s="28"/>
      <c r="C474" s="22"/>
      <c r="D474" s="28"/>
      <c r="E474" s="23" t="str">
        <f>IF($D474="","",IFERROR(VLOOKUP($D474,'ACAS Consumables Tracker'!$A:$H,8,FALSE()),""))</f>
        <v/>
      </c>
      <c r="F474" s="24"/>
      <c r="G474" s="25" t="str">
        <f>IF($D474="","",IFERROR(VLOOKUP($D474,'ACAS Consumables Tracker'!$A:$D,4,FALSE()),""))</f>
        <v/>
      </c>
      <c r="H474" s="22"/>
    </row>
    <row r="475" spans="1:8">
      <c r="A475" s="21"/>
      <c r="B475" s="28"/>
      <c r="C475" s="22"/>
      <c r="D475" s="28"/>
      <c r="E475" s="23" t="str">
        <f>IF($D475="","",IFERROR(VLOOKUP($D475,'ACAS Consumables Tracker'!$A:$H,8,FALSE()),""))</f>
        <v/>
      </c>
      <c r="F475" s="24"/>
      <c r="G475" s="25" t="str">
        <f>IF($D475="","",IFERROR(VLOOKUP($D475,'ACAS Consumables Tracker'!$A:$D,4,FALSE()),""))</f>
        <v/>
      </c>
      <c r="H475" s="22"/>
    </row>
    <row r="476" spans="1:8">
      <c r="A476" s="21"/>
      <c r="B476" s="28"/>
      <c r="C476" s="22"/>
      <c r="D476" s="28"/>
      <c r="E476" s="23" t="str">
        <f>IF($D476="","",IFERROR(VLOOKUP($D476,'ACAS Consumables Tracker'!$A:$H,8,FALSE()),""))</f>
        <v/>
      </c>
      <c r="F476" s="24"/>
      <c r="G476" s="25" t="str">
        <f>IF($D476="","",IFERROR(VLOOKUP($D476,'ACAS Consumables Tracker'!$A:$D,4,FALSE()),""))</f>
        <v/>
      </c>
      <c r="H476" s="22"/>
    </row>
    <row r="477" spans="1:8">
      <c r="A477" s="21"/>
      <c r="B477" s="28"/>
      <c r="C477" s="22"/>
      <c r="D477" s="28"/>
      <c r="E477" s="23" t="str">
        <f>IF($D477="","",IFERROR(VLOOKUP($D477,'ACAS Consumables Tracker'!$A:$H,8,FALSE()),""))</f>
        <v/>
      </c>
      <c r="F477" s="24"/>
      <c r="G477" s="25" t="str">
        <f>IF($D477="","",IFERROR(VLOOKUP($D477,'ACAS Consumables Tracker'!$A:$D,4,FALSE()),""))</f>
        <v/>
      </c>
      <c r="H477" s="22"/>
    </row>
    <row r="478" spans="1:8">
      <c r="A478" s="21"/>
      <c r="B478" s="28"/>
      <c r="C478" s="22"/>
      <c r="D478" s="28"/>
      <c r="E478" s="23" t="str">
        <f>IF($D478="","",IFERROR(VLOOKUP($D478,'ACAS Consumables Tracker'!$A:$H,8,FALSE()),""))</f>
        <v/>
      </c>
      <c r="F478" s="24"/>
      <c r="G478" s="25" t="str">
        <f>IF($D478="","",IFERROR(VLOOKUP($D478,'ACAS Consumables Tracker'!$A:$D,4,FALSE()),""))</f>
        <v/>
      </c>
      <c r="H478" s="22"/>
    </row>
    <row r="479" spans="1:8">
      <c r="A479" s="21"/>
      <c r="B479" s="28"/>
      <c r="C479" s="22"/>
      <c r="D479" s="28"/>
      <c r="E479" s="23" t="str">
        <f>IF($D479="","",IFERROR(VLOOKUP($D479,'ACAS Consumables Tracker'!$A:$H,8,FALSE()),""))</f>
        <v/>
      </c>
      <c r="F479" s="24"/>
      <c r="G479" s="25" t="str">
        <f>IF($D479="","",IFERROR(VLOOKUP($D479,'ACAS Consumables Tracker'!$A:$D,4,FALSE()),""))</f>
        <v/>
      </c>
      <c r="H479" s="22"/>
    </row>
    <row r="480" spans="1:8">
      <c r="A480" s="21"/>
      <c r="B480" s="28"/>
      <c r="C480" s="22"/>
      <c r="D480" s="28"/>
      <c r="E480" s="23" t="str">
        <f>IF($D480="","",IFERROR(VLOOKUP($D480,'ACAS Consumables Tracker'!$A:$H,8,FALSE()),""))</f>
        <v/>
      </c>
      <c r="F480" s="24"/>
      <c r="G480" s="25" t="str">
        <f>IF($D480="","",IFERROR(VLOOKUP($D480,'ACAS Consumables Tracker'!$A:$D,4,FALSE()),""))</f>
        <v/>
      </c>
      <c r="H480" s="22"/>
    </row>
    <row r="481" spans="1:8">
      <c r="A481" s="21"/>
      <c r="B481" s="28"/>
      <c r="C481" s="22"/>
      <c r="D481" s="28"/>
      <c r="E481" s="23" t="str">
        <f>IF($D481="","",IFERROR(VLOOKUP($D481,'ACAS Consumables Tracker'!$A:$H,8,FALSE()),""))</f>
        <v/>
      </c>
      <c r="F481" s="24"/>
      <c r="G481" s="25" t="str">
        <f>IF($D481="","",IFERROR(VLOOKUP($D481,'ACAS Consumables Tracker'!$A:$D,4,FALSE()),""))</f>
        <v/>
      </c>
      <c r="H481" s="22"/>
    </row>
    <row r="482" spans="1:8">
      <c r="A482" s="21"/>
      <c r="B482" s="28"/>
      <c r="C482" s="22"/>
      <c r="D482" s="28"/>
      <c r="E482" s="23" t="str">
        <f>IF($D482="","",IFERROR(VLOOKUP($D482,'ACAS Consumables Tracker'!$A:$H,8,FALSE()),""))</f>
        <v/>
      </c>
      <c r="F482" s="24"/>
      <c r="G482" s="25" t="str">
        <f>IF($D482="","",IFERROR(VLOOKUP($D482,'ACAS Consumables Tracker'!$A:$D,4,FALSE()),""))</f>
        <v/>
      </c>
      <c r="H482" s="22"/>
    </row>
    <row r="483" spans="1:8">
      <c r="A483" s="21"/>
      <c r="B483" s="28"/>
      <c r="C483" s="22"/>
      <c r="D483" s="28"/>
      <c r="E483" s="23" t="str">
        <f>IF($D483="","",IFERROR(VLOOKUP($D483,'ACAS Consumables Tracker'!$A:$H,8,FALSE()),""))</f>
        <v/>
      </c>
      <c r="F483" s="24"/>
      <c r="G483" s="25" t="str">
        <f>IF($D483="","",IFERROR(VLOOKUP($D483,'ACAS Consumables Tracker'!$A:$D,4,FALSE()),""))</f>
        <v/>
      </c>
      <c r="H483" s="22"/>
    </row>
    <row r="484" spans="1:8">
      <c r="A484" s="21"/>
      <c r="B484" s="28"/>
      <c r="C484" s="22"/>
      <c r="D484" s="28"/>
      <c r="E484" s="23" t="str">
        <f>IF($D484="","",IFERROR(VLOOKUP($D484,'ACAS Consumables Tracker'!$A:$H,8,FALSE()),""))</f>
        <v/>
      </c>
      <c r="F484" s="24"/>
      <c r="G484" s="25" t="str">
        <f>IF($D484="","",IFERROR(VLOOKUP($D484,'ACAS Consumables Tracker'!$A:$D,4,FALSE()),""))</f>
        <v/>
      </c>
      <c r="H484" s="22"/>
    </row>
    <row r="485" spans="1:8">
      <c r="A485" s="21"/>
      <c r="B485" s="28"/>
      <c r="C485" s="22"/>
      <c r="D485" s="28"/>
      <c r="E485" s="23" t="str">
        <f>IF($D485="","",IFERROR(VLOOKUP($D485,'ACAS Consumables Tracker'!$A:$H,8,FALSE()),""))</f>
        <v/>
      </c>
      <c r="F485" s="24"/>
      <c r="G485" s="25" t="str">
        <f>IF($D485="","",IFERROR(VLOOKUP($D485,'ACAS Consumables Tracker'!$A:$D,4,FALSE()),""))</f>
        <v/>
      </c>
      <c r="H485" s="22"/>
    </row>
    <row r="486" spans="1:8">
      <c r="A486" s="21"/>
      <c r="B486" s="28"/>
      <c r="C486" s="22"/>
      <c r="D486" s="28"/>
      <c r="E486" s="23" t="str">
        <f>IF($D486="","",IFERROR(VLOOKUP($D486,'ACAS Consumables Tracker'!$A:$H,8,FALSE()),""))</f>
        <v/>
      </c>
      <c r="F486" s="24"/>
      <c r="G486" s="25" t="str">
        <f>IF($D486="","",IFERROR(VLOOKUP($D486,'ACAS Consumables Tracker'!$A:$D,4,FALSE()),""))</f>
        <v/>
      </c>
      <c r="H486" s="22"/>
    </row>
    <row r="487" spans="1:8">
      <c r="A487" s="21"/>
      <c r="B487" s="28"/>
      <c r="C487" s="22"/>
      <c r="D487" s="28"/>
      <c r="E487" s="23" t="str">
        <f>IF($D487="","",IFERROR(VLOOKUP($D487,'ACAS Consumables Tracker'!$A:$H,8,FALSE()),""))</f>
        <v/>
      </c>
      <c r="F487" s="24"/>
      <c r="G487" s="25" t="str">
        <f>IF($D487="","",IFERROR(VLOOKUP($D487,'ACAS Consumables Tracker'!$A:$D,4,FALSE()),""))</f>
        <v/>
      </c>
      <c r="H487" s="22"/>
    </row>
    <row r="488" spans="1:8">
      <c r="A488" s="21"/>
      <c r="B488" s="28"/>
      <c r="C488" s="22"/>
      <c r="D488" s="28"/>
      <c r="E488" s="23" t="str">
        <f>IF($D488="","",IFERROR(VLOOKUP($D488,'ACAS Consumables Tracker'!$A:$H,8,FALSE()),""))</f>
        <v/>
      </c>
      <c r="F488" s="24"/>
      <c r="G488" s="25" t="str">
        <f>IF($D488="","",IFERROR(VLOOKUP($D488,'ACAS Consumables Tracker'!$A:$D,4,FALSE()),""))</f>
        <v/>
      </c>
      <c r="H488" s="22"/>
    </row>
    <row r="489" spans="1:8">
      <c r="A489" s="21"/>
      <c r="B489" s="28"/>
      <c r="C489" s="22"/>
      <c r="D489" s="28"/>
      <c r="E489" s="23" t="str">
        <f>IF($D489="","",IFERROR(VLOOKUP($D489,'ACAS Consumables Tracker'!$A:$H,8,FALSE()),""))</f>
        <v/>
      </c>
      <c r="F489" s="24"/>
      <c r="G489" s="25" t="str">
        <f>IF($D489="","",IFERROR(VLOOKUP($D489,'ACAS Consumables Tracker'!$A:$D,4,FALSE()),""))</f>
        <v/>
      </c>
      <c r="H489" s="22"/>
    </row>
    <row r="490" spans="1:8">
      <c r="A490" s="21"/>
      <c r="B490" s="28"/>
      <c r="C490" s="22"/>
      <c r="D490" s="28"/>
      <c r="E490" s="23" t="str">
        <f>IF($D490="","",IFERROR(VLOOKUP($D490,'ACAS Consumables Tracker'!$A:$H,8,FALSE()),""))</f>
        <v/>
      </c>
      <c r="F490" s="24"/>
      <c r="G490" s="25" t="str">
        <f>IF($D490="","",IFERROR(VLOOKUP($D490,'ACAS Consumables Tracker'!$A:$D,4,FALSE()),""))</f>
        <v/>
      </c>
      <c r="H490" s="22"/>
    </row>
    <row r="491" spans="1:8">
      <c r="A491" s="21"/>
      <c r="B491" s="28"/>
      <c r="C491" s="22"/>
      <c r="D491" s="28"/>
      <c r="E491" s="23" t="str">
        <f>IF($D491="","",IFERROR(VLOOKUP($D491,'ACAS Consumables Tracker'!$A:$H,8,FALSE()),""))</f>
        <v/>
      </c>
      <c r="F491" s="24"/>
      <c r="G491" s="25" t="str">
        <f>IF($D491="","",IFERROR(VLOOKUP($D491,'ACAS Consumables Tracker'!$A:$D,4,FALSE()),""))</f>
        <v/>
      </c>
      <c r="H491" s="22"/>
    </row>
    <row r="492" spans="1:8">
      <c r="A492" s="21"/>
      <c r="B492" s="28"/>
      <c r="C492" s="22"/>
      <c r="D492" s="28"/>
      <c r="E492" s="23" t="str">
        <f>IF($D492="","",IFERROR(VLOOKUP($D492,'ACAS Consumables Tracker'!$A:$H,8,FALSE()),""))</f>
        <v/>
      </c>
      <c r="F492" s="24"/>
      <c r="G492" s="25" t="str">
        <f>IF($D492="","",IFERROR(VLOOKUP($D492,'ACAS Consumables Tracker'!$A:$D,4,FALSE()),""))</f>
        <v/>
      </c>
      <c r="H492" s="22"/>
    </row>
    <row r="493" spans="1:8">
      <c r="A493" s="21"/>
      <c r="B493" s="28"/>
      <c r="C493" s="22"/>
      <c r="D493" s="28"/>
      <c r="E493" s="23" t="str">
        <f>IF($D493="","",IFERROR(VLOOKUP($D493,'ACAS Consumables Tracker'!$A:$H,8,FALSE()),""))</f>
        <v/>
      </c>
      <c r="F493" s="24"/>
      <c r="G493" s="25" t="str">
        <f>IF($D493="","",IFERROR(VLOOKUP($D493,'ACAS Consumables Tracker'!$A:$D,4,FALSE()),""))</f>
        <v/>
      </c>
      <c r="H493" s="22"/>
    </row>
    <row r="494" spans="1:8">
      <c r="A494" s="21"/>
      <c r="B494" s="28"/>
      <c r="C494" s="22"/>
      <c r="D494" s="28"/>
      <c r="E494" s="23" t="str">
        <f>IF($D494="","",IFERROR(VLOOKUP($D494,'ACAS Consumables Tracker'!$A:$H,8,FALSE()),""))</f>
        <v/>
      </c>
      <c r="F494" s="24"/>
      <c r="G494" s="25" t="str">
        <f>IF($D494="","",IFERROR(VLOOKUP($D494,'ACAS Consumables Tracker'!$A:$D,4,FALSE()),""))</f>
        <v/>
      </c>
      <c r="H494" s="22"/>
    </row>
    <row r="495" spans="1:8">
      <c r="A495" s="21"/>
      <c r="B495" s="28"/>
      <c r="C495" s="22"/>
      <c r="D495" s="28"/>
      <c r="E495" s="23" t="str">
        <f>IF($D495="","",IFERROR(VLOOKUP($D495,'ACAS Consumables Tracker'!$A:$H,8,FALSE()),""))</f>
        <v/>
      </c>
      <c r="F495" s="24"/>
      <c r="G495" s="25" t="str">
        <f>IF($D495="","",IFERROR(VLOOKUP($D495,'ACAS Consumables Tracker'!$A:$D,4,FALSE()),""))</f>
        <v/>
      </c>
      <c r="H495" s="22"/>
    </row>
    <row r="496" spans="1:8">
      <c r="A496" s="21"/>
      <c r="B496" s="28"/>
      <c r="C496" s="22"/>
      <c r="D496" s="28"/>
      <c r="E496" s="23" t="str">
        <f>IF($D496="","",IFERROR(VLOOKUP($D496,'ACAS Consumables Tracker'!$A:$H,8,FALSE()),""))</f>
        <v/>
      </c>
      <c r="F496" s="24"/>
      <c r="G496" s="25" t="str">
        <f>IF($D496="","",IFERROR(VLOOKUP($D496,'ACAS Consumables Tracker'!$A:$D,4,FALSE()),""))</f>
        <v/>
      </c>
      <c r="H496" s="22"/>
    </row>
    <row r="497" spans="1:8">
      <c r="A497" s="21"/>
      <c r="B497" s="28"/>
      <c r="C497" s="22"/>
      <c r="D497" s="28"/>
      <c r="E497" s="23" t="str">
        <f>IF($D497="","",IFERROR(VLOOKUP($D497,'ACAS Consumables Tracker'!$A:$H,8,FALSE()),""))</f>
        <v/>
      </c>
      <c r="F497" s="24"/>
      <c r="G497" s="25" t="str">
        <f>IF($D497="","",IFERROR(VLOOKUP($D497,'ACAS Consumables Tracker'!$A:$D,4,FALSE()),""))</f>
        <v/>
      </c>
      <c r="H497" s="22"/>
    </row>
    <row r="498" spans="1:8">
      <c r="A498" s="21"/>
      <c r="B498" s="28"/>
      <c r="C498" s="22"/>
      <c r="D498" s="28"/>
      <c r="E498" s="23" t="str">
        <f>IF($D498="","",IFERROR(VLOOKUP($D498,'ACAS Consumables Tracker'!$A:$H,8,FALSE()),""))</f>
        <v/>
      </c>
      <c r="F498" s="24"/>
      <c r="G498" s="25" t="str">
        <f>IF($D498="","",IFERROR(VLOOKUP($D498,'ACAS Consumables Tracker'!$A:$D,4,FALSE()),""))</f>
        <v/>
      </c>
      <c r="H498" s="22"/>
    </row>
    <row r="499" spans="1:8">
      <c r="A499" s="21"/>
      <c r="B499" s="28"/>
      <c r="C499" s="22"/>
      <c r="D499" s="28"/>
      <c r="E499" s="23" t="str">
        <f>IF($D499="","",IFERROR(VLOOKUP($D499,'ACAS Consumables Tracker'!$A:$H,8,FALSE()),""))</f>
        <v/>
      </c>
      <c r="F499" s="24"/>
      <c r="G499" s="25" t="str">
        <f>IF($D499="","",IFERROR(VLOOKUP($D499,'ACAS Consumables Tracker'!$A:$D,4,FALSE()),""))</f>
        <v/>
      </c>
      <c r="H499" s="22"/>
    </row>
    <row r="500" spans="1:8">
      <c r="A500" s="21"/>
      <c r="B500" s="28"/>
      <c r="C500" s="22"/>
      <c r="D500" s="28"/>
      <c r="E500" s="23" t="str">
        <f>IF($D500="","",IFERROR(VLOOKUP($D500,'ACAS Consumables Tracker'!$A:$H,8,FALSE()),""))</f>
        <v/>
      </c>
      <c r="F500" s="24"/>
      <c r="G500" s="25" t="str">
        <f>IF($D500="","",IFERROR(VLOOKUP($D500,'ACAS Consumables Tracker'!$A:$D,4,FALSE()),""))</f>
        <v/>
      </c>
      <c r="H500" s="22"/>
    </row>
    <row r="501" spans="1:8">
      <c r="A501" s="21"/>
      <c r="B501" s="28"/>
      <c r="C501" s="22"/>
      <c r="D501" s="28"/>
      <c r="E501" s="23" t="str">
        <f>IF($D501="","",IFERROR(VLOOKUP($D501,'ACAS Consumables Tracker'!$A:$H,8,FALSE()),""))</f>
        <v/>
      </c>
      <c r="F501" s="24"/>
      <c r="G501" s="25" t="str">
        <f>IF($D501="","",IFERROR(VLOOKUP($D501,'ACAS Consumables Tracker'!$A:$D,4,FALSE()),""))</f>
        <v/>
      </c>
      <c r="H501" s="22"/>
    </row>
    <row r="502" spans="1:8">
      <c r="A502" s="21"/>
      <c r="B502" s="28"/>
      <c r="C502" s="22"/>
      <c r="D502" s="28"/>
      <c r="E502" s="23" t="str">
        <f>IF($D502="","",IFERROR(VLOOKUP($D502,'ACAS Consumables Tracker'!$A:$H,8,FALSE()),""))</f>
        <v/>
      </c>
      <c r="F502" s="24"/>
      <c r="G502" s="25" t="str">
        <f>IF($D502="","",IFERROR(VLOOKUP($D502,'ACAS Consumables Tracker'!$A:$D,4,FALSE()),""))</f>
        <v/>
      </c>
      <c r="H502" s="22"/>
    </row>
    <row r="503" spans="1:8">
      <c r="A503" s="21"/>
      <c r="B503" s="28"/>
      <c r="C503" s="22"/>
      <c r="D503" s="28"/>
      <c r="E503" s="23" t="str">
        <f>IF($D503="","",IFERROR(VLOOKUP($D503,'ACAS Consumables Tracker'!$A:$H,8,FALSE()),""))</f>
        <v/>
      </c>
      <c r="F503" s="24"/>
      <c r="G503" s="25" t="str">
        <f>IF($D503="","",IFERROR(VLOOKUP($D503,'ACAS Consumables Tracker'!$A:$D,4,FALSE()),""))</f>
        <v/>
      </c>
      <c r="H503" s="22"/>
    </row>
    <row r="504" spans="1:8">
      <c r="A504" s="21"/>
      <c r="B504" s="28"/>
      <c r="C504" s="22"/>
      <c r="D504" s="28"/>
      <c r="E504" s="23" t="str">
        <f>IF($D504="","",IFERROR(VLOOKUP($D504,'ACAS Consumables Tracker'!$A:$H,8,FALSE()),""))</f>
        <v/>
      </c>
      <c r="F504" s="24"/>
      <c r="G504" s="25" t="str">
        <f>IF($D504="","",IFERROR(VLOOKUP($D504,'ACAS Consumables Tracker'!$A:$D,4,FALSE()),""))</f>
        <v/>
      </c>
      <c r="H504" s="22"/>
    </row>
    <row r="505" spans="1:8">
      <c r="A505" s="21"/>
      <c r="B505" s="28"/>
      <c r="C505" s="22"/>
      <c r="D505" s="28"/>
      <c r="E505" s="23" t="str">
        <f>IF($D505="","",IFERROR(VLOOKUP($D505,'ACAS Consumables Tracker'!$A:$H,8,FALSE()),""))</f>
        <v/>
      </c>
      <c r="F505" s="24"/>
      <c r="G505" s="25" t="str">
        <f>IF($D505="","",IFERROR(VLOOKUP($D505,'ACAS Consumables Tracker'!$A:$D,4,FALSE()),""))</f>
        <v/>
      </c>
      <c r="H505" s="22"/>
    </row>
    <row r="506" spans="1:8">
      <c r="A506" s="21"/>
      <c r="B506" s="28"/>
      <c r="C506" s="22"/>
      <c r="D506" s="28"/>
      <c r="E506" s="23" t="str">
        <f>IF($D506="","",IFERROR(VLOOKUP($D506,'ACAS Consumables Tracker'!$A:$H,8,FALSE()),""))</f>
        <v/>
      </c>
      <c r="F506" s="24"/>
      <c r="G506" s="25" t="str">
        <f>IF($D506="","",IFERROR(VLOOKUP($D506,'ACAS Consumables Tracker'!$A:$D,4,FALSE()),""))</f>
        <v/>
      </c>
      <c r="H506" s="22"/>
    </row>
    <row r="507" spans="1:8">
      <c r="A507" s="21"/>
      <c r="B507" s="28"/>
      <c r="C507" s="22"/>
      <c r="D507" s="28"/>
      <c r="E507" s="23" t="str">
        <f>IF($D507="","",IFERROR(VLOOKUP($D507,'ACAS Consumables Tracker'!$A:$H,8,FALSE()),""))</f>
        <v/>
      </c>
      <c r="F507" s="24"/>
      <c r="G507" s="25" t="str">
        <f>IF($D507="","",IFERROR(VLOOKUP($D507,'ACAS Consumables Tracker'!$A:$D,4,FALSE()),""))</f>
        <v/>
      </c>
      <c r="H507" s="22"/>
    </row>
    <row r="508" spans="1:8">
      <c r="A508" s="21"/>
      <c r="B508" s="28"/>
      <c r="C508" s="22"/>
      <c r="D508" s="28"/>
      <c r="E508" s="23" t="str">
        <f>IF($D508="","",IFERROR(VLOOKUP($D508,'ACAS Consumables Tracker'!$A:$H,8,FALSE()),""))</f>
        <v/>
      </c>
      <c r="F508" s="24"/>
      <c r="G508" s="25" t="str">
        <f>IF($D508="","",IFERROR(VLOOKUP($D508,'ACAS Consumables Tracker'!$A:$D,4,FALSE()),""))</f>
        <v/>
      </c>
      <c r="H508" s="22"/>
    </row>
    <row r="509" spans="1:8">
      <c r="A509" s="21"/>
      <c r="B509" s="28"/>
      <c r="C509" s="22"/>
      <c r="D509" s="28"/>
      <c r="E509" s="23" t="str">
        <f>IF($D509="","",IFERROR(VLOOKUP($D509,'ACAS Consumables Tracker'!$A:$H,8,FALSE()),""))</f>
        <v/>
      </c>
      <c r="F509" s="24"/>
      <c r="G509" s="25" t="str">
        <f>IF($D509="","",IFERROR(VLOOKUP($D509,'ACAS Consumables Tracker'!$A:$D,4,FALSE()),""))</f>
        <v/>
      </c>
      <c r="H509" s="22"/>
    </row>
    <row r="510" spans="1:8">
      <c r="A510" s="21"/>
      <c r="B510" s="28"/>
      <c r="C510" s="22"/>
      <c r="D510" s="28"/>
      <c r="E510" s="23" t="str">
        <f>IF($D510="","",IFERROR(VLOOKUP($D510,'ACAS Consumables Tracker'!$A:$H,8,FALSE()),""))</f>
        <v/>
      </c>
      <c r="F510" s="24"/>
      <c r="G510" s="25" t="str">
        <f>IF($D510="","",IFERROR(VLOOKUP($D510,'ACAS Consumables Tracker'!$A:$D,4,FALSE()),""))</f>
        <v/>
      </c>
      <c r="H510" s="22"/>
    </row>
    <row r="511" spans="1:8">
      <c r="A511" s="21"/>
      <c r="B511" s="28"/>
      <c r="C511" s="22"/>
      <c r="D511" s="28"/>
      <c r="E511" s="23" t="str">
        <f>IF($D511="","",IFERROR(VLOOKUP($D511,'ACAS Consumables Tracker'!$A:$H,8,FALSE()),""))</f>
        <v/>
      </c>
      <c r="F511" s="24"/>
      <c r="G511" s="25" t="str">
        <f>IF($D511="","",IFERROR(VLOOKUP($D511,'ACAS Consumables Tracker'!$A:$D,4,FALSE()),""))</f>
        <v/>
      </c>
      <c r="H511" s="22"/>
    </row>
    <row r="512" spans="1:8">
      <c r="A512" s="21"/>
      <c r="B512" s="28"/>
      <c r="C512" s="22"/>
      <c r="D512" s="28"/>
      <c r="E512" s="23" t="str">
        <f>IF($D512="","",IFERROR(VLOOKUP($D512,'ACAS Consumables Tracker'!$A:$H,8,FALSE()),""))</f>
        <v/>
      </c>
      <c r="F512" s="24"/>
      <c r="G512" s="25" t="str">
        <f>IF($D512="","",IFERROR(VLOOKUP($D512,'ACAS Consumables Tracker'!$A:$D,4,FALSE()),""))</f>
        <v/>
      </c>
      <c r="H512" s="22"/>
    </row>
    <row r="513" spans="1:8">
      <c r="A513" s="21"/>
      <c r="B513" s="28"/>
      <c r="C513" s="22"/>
      <c r="D513" s="28"/>
      <c r="E513" s="23" t="str">
        <f>IF($D513="","",IFERROR(VLOOKUP($D513,'ACAS Consumables Tracker'!$A:$H,8,FALSE()),""))</f>
        <v/>
      </c>
      <c r="F513" s="24"/>
      <c r="G513" s="25" t="str">
        <f>IF($D513="","",IFERROR(VLOOKUP($D513,'ACAS Consumables Tracker'!$A:$D,4,FALSE()),""))</f>
        <v/>
      </c>
      <c r="H513" s="22"/>
    </row>
    <row r="514" spans="1:8">
      <c r="A514" s="21"/>
      <c r="B514" s="28"/>
      <c r="C514" s="22"/>
      <c r="D514" s="28"/>
      <c r="E514" s="23" t="str">
        <f>IF($D514="","",IFERROR(VLOOKUP($D514,'ACAS Consumables Tracker'!$A:$H,8,FALSE()),""))</f>
        <v/>
      </c>
      <c r="F514" s="24"/>
      <c r="G514" s="25" t="str">
        <f>IF($D514="","",IFERROR(VLOOKUP($D514,'ACAS Consumables Tracker'!$A:$D,4,FALSE()),""))</f>
        <v/>
      </c>
      <c r="H514" s="22"/>
    </row>
    <row r="515" spans="1:8">
      <c r="A515" s="21"/>
      <c r="B515" s="28"/>
      <c r="C515" s="22"/>
      <c r="D515" s="28"/>
      <c r="E515" s="23" t="str">
        <f>IF($D515="","",IFERROR(VLOOKUP($D515,'ACAS Consumables Tracker'!$A:$H,8,FALSE()),""))</f>
        <v/>
      </c>
      <c r="F515" s="24"/>
      <c r="G515" s="25" t="str">
        <f>IF($D515="","",IFERROR(VLOOKUP($D515,'ACAS Consumables Tracker'!$A:$D,4,FALSE()),""))</f>
        <v/>
      </c>
      <c r="H515" s="22"/>
    </row>
    <row r="516" spans="1:8">
      <c r="A516" s="21"/>
      <c r="B516" s="28"/>
      <c r="C516" s="22"/>
      <c r="D516" s="28"/>
      <c r="E516" s="23" t="str">
        <f>IF($D516="","",IFERROR(VLOOKUP($D516,'ACAS Consumables Tracker'!$A:$H,8,FALSE()),""))</f>
        <v/>
      </c>
      <c r="F516" s="24"/>
      <c r="G516" s="25" t="str">
        <f>IF($D516="","",IFERROR(VLOOKUP($D516,'ACAS Consumables Tracker'!$A:$D,4,FALSE()),""))</f>
        <v/>
      </c>
      <c r="H516" s="22"/>
    </row>
    <row r="517" spans="1:8">
      <c r="A517" s="21"/>
      <c r="B517" s="28"/>
      <c r="C517" s="22"/>
      <c r="D517" s="28"/>
      <c r="E517" s="23" t="str">
        <f>IF($D517="","",IFERROR(VLOOKUP($D517,'ACAS Consumables Tracker'!$A:$H,8,FALSE()),""))</f>
        <v/>
      </c>
      <c r="F517" s="24"/>
      <c r="G517" s="25" t="str">
        <f>IF($D517="","",IFERROR(VLOOKUP($D517,'ACAS Consumables Tracker'!$A:$D,4,FALSE()),""))</f>
        <v/>
      </c>
      <c r="H517" s="22"/>
    </row>
    <row r="518" spans="1:8">
      <c r="A518" s="21"/>
      <c r="B518" s="28"/>
      <c r="C518" s="22"/>
      <c r="D518" s="28"/>
      <c r="E518" s="23" t="str">
        <f>IF($D518="","",IFERROR(VLOOKUP($D518,'ACAS Consumables Tracker'!$A:$H,8,FALSE()),""))</f>
        <v/>
      </c>
      <c r="F518" s="24"/>
      <c r="G518" s="25" t="str">
        <f>IF($D518="","",IFERROR(VLOOKUP($D518,'ACAS Consumables Tracker'!$A:$D,4,FALSE()),""))</f>
        <v/>
      </c>
      <c r="H518" s="22"/>
    </row>
    <row r="519" spans="1:8">
      <c r="A519" s="21"/>
      <c r="B519" s="28"/>
      <c r="C519" s="22"/>
      <c r="D519" s="28"/>
      <c r="E519" s="23" t="str">
        <f>IF($D519="","",IFERROR(VLOOKUP($D519,'ACAS Consumables Tracker'!$A:$H,8,FALSE()),""))</f>
        <v/>
      </c>
      <c r="F519" s="24"/>
      <c r="G519" s="25" t="str">
        <f>IF($D519="","",IFERROR(VLOOKUP($D519,'ACAS Consumables Tracker'!$A:$D,4,FALSE()),""))</f>
        <v/>
      </c>
      <c r="H519" s="22"/>
    </row>
    <row r="520" spans="1:8">
      <c r="A520" s="21"/>
      <c r="B520" s="28"/>
      <c r="C520" s="22"/>
      <c r="D520" s="28"/>
      <c r="E520" s="23" t="str">
        <f>IF($D520="","",IFERROR(VLOOKUP($D520,'ACAS Consumables Tracker'!$A:$H,8,FALSE()),""))</f>
        <v/>
      </c>
      <c r="F520" s="24"/>
      <c r="G520" s="25" t="str">
        <f>IF($D520="","",IFERROR(VLOOKUP($D520,'ACAS Consumables Tracker'!$A:$D,4,FALSE()),""))</f>
        <v/>
      </c>
      <c r="H520" s="22"/>
    </row>
    <row r="521" spans="1:8">
      <c r="A521" s="21"/>
      <c r="B521" s="28"/>
      <c r="C521" s="22"/>
      <c r="D521" s="28"/>
      <c r="E521" s="23" t="str">
        <f>IF($D521="","",IFERROR(VLOOKUP($D521,'ACAS Consumables Tracker'!$A:$H,8,FALSE()),""))</f>
        <v/>
      </c>
      <c r="F521" s="24"/>
      <c r="G521" s="25" t="str">
        <f>IF($D521="","",IFERROR(VLOOKUP($D521,'ACAS Consumables Tracker'!$A:$D,4,FALSE()),""))</f>
        <v/>
      </c>
      <c r="H521" s="22"/>
    </row>
    <row r="522" spans="1:8">
      <c r="A522" s="21"/>
      <c r="B522" s="28"/>
      <c r="C522" s="22"/>
      <c r="D522" s="28"/>
      <c r="E522" s="23" t="str">
        <f>IF($D522="","",IFERROR(VLOOKUP($D522,'ACAS Consumables Tracker'!$A:$H,8,FALSE()),""))</f>
        <v/>
      </c>
      <c r="F522" s="24"/>
      <c r="G522" s="25" t="str">
        <f>IF($D522="","",IFERROR(VLOOKUP($D522,'ACAS Consumables Tracker'!$A:$D,4,FALSE()),""))</f>
        <v/>
      </c>
      <c r="H522" s="22"/>
    </row>
    <row r="523" spans="1:8">
      <c r="A523" s="21"/>
      <c r="B523" s="28"/>
      <c r="C523" s="22"/>
      <c r="D523" s="28"/>
      <c r="E523" s="23" t="str">
        <f>IF($D523="","",IFERROR(VLOOKUP($D523,'ACAS Consumables Tracker'!$A:$H,8,FALSE()),""))</f>
        <v/>
      </c>
      <c r="F523" s="24"/>
      <c r="G523" s="25" t="str">
        <f>IF($D523="","",IFERROR(VLOOKUP($D523,'ACAS Consumables Tracker'!$A:$D,4,FALSE()),""))</f>
        <v/>
      </c>
      <c r="H523" s="22"/>
    </row>
    <row r="524" spans="1:8">
      <c r="A524" s="21"/>
      <c r="B524" s="28"/>
      <c r="C524" s="22"/>
      <c r="D524" s="28"/>
      <c r="E524" s="23" t="str">
        <f>IF($D524="","",IFERROR(VLOOKUP($D524,'ACAS Consumables Tracker'!$A:$H,8,FALSE()),""))</f>
        <v/>
      </c>
      <c r="F524" s="24"/>
      <c r="G524" s="25" t="str">
        <f>IF($D524="","",IFERROR(VLOOKUP($D524,'ACAS Consumables Tracker'!$A:$D,4,FALSE()),""))</f>
        <v/>
      </c>
      <c r="H524" s="22"/>
    </row>
    <row r="525" spans="1:8">
      <c r="A525" s="21"/>
      <c r="B525" s="28"/>
      <c r="C525" s="22"/>
      <c r="D525" s="28"/>
      <c r="E525" s="23" t="str">
        <f>IF($D525="","",IFERROR(VLOOKUP($D525,'ACAS Consumables Tracker'!$A:$H,8,FALSE()),""))</f>
        <v/>
      </c>
      <c r="F525" s="24"/>
      <c r="G525" s="25" t="str">
        <f>IF($D525="","",IFERROR(VLOOKUP($D525,'ACAS Consumables Tracker'!$A:$D,4,FALSE()),""))</f>
        <v/>
      </c>
      <c r="H525" s="22"/>
    </row>
    <row r="526" spans="1:8">
      <c r="A526" s="21"/>
      <c r="B526" s="28"/>
      <c r="C526" s="22"/>
      <c r="D526" s="28"/>
      <c r="E526" s="23" t="str">
        <f>IF($D526="","",IFERROR(VLOOKUP($D526,'ACAS Consumables Tracker'!$A:$H,8,FALSE()),""))</f>
        <v/>
      </c>
      <c r="F526" s="24"/>
      <c r="G526" s="25" t="str">
        <f>IF($D526="","",IFERROR(VLOOKUP($D526,'ACAS Consumables Tracker'!$A:$D,4,FALSE()),""))</f>
        <v/>
      </c>
      <c r="H526" s="22"/>
    </row>
    <row r="527" spans="1:8">
      <c r="A527" s="21"/>
      <c r="B527" s="28"/>
      <c r="C527" s="22"/>
      <c r="D527" s="28"/>
      <c r="E527" s="23" t="str">
        <f>IF($D527="","",IFERROR(VLOOKUP($D527,'ACAS Consumables Tracker'!$A:$H,8,FALSE()),""))</f>
        <v/>
      </c>
      <c r="F527" s="24"/>
      <c r="G527" s="25" t="str">
        <f>IF($D527="","",IFERROR(VLOOKUP($D527,'ACAS Consumables Tracker'!$A:$D,4,FALSE()),""))</f>
        <v/>
      </c>
      <c r="H527" s="22"/>
    </row>
    <row r="528" spans="1:8">
      <c r="A528" s="21"/>
      <c r="B528" s="28"/>
      <c r="C528" s="22"/>
      <c r="D528" s="28"/>
      <c r="E528" s="23" t="str">
        <f>IF($D528="","",IFERROR(VLOOKUP($D528,'ACAS Consumables Tracker'!$A:$H,8,FALSE()),""))</f>
        <v/>
      </c>
      <c r="F528" s="24"/>
      <c r="G528" s="25" t="str">
        <f>IF($D528="","",IFERROR(VLOOKUP($D528,'ACAS Consumables Tracker'!$A:$D,4,FALSE()),""))</f>
        <v/>
      </c>
      <c r="H528" s="22"/>
    </row>
    <row r="529" spans="1:8">
      <c r="A529" s="21"/>
      <c r="B529" s="28"/>
      <c r="C529" s="22"/>
      <c r="D529" s="28"/>
      <c r="E529" s="23" t="str">
        <f>IF($D529="","",IFERROR(VLOOKUP($D529,'ACAS Consumables Tracker'!$A:$H,8,FALSE()),""))</f>
        <v/>
      </c>
      <c r="F529" s="24"/>
      <c r="G529" s="25" t="str">
        <f>IF($D529="","",IFERROR(VLOOKUP($D529,'ACAS Consumables Tracker'!$A:$D,4,FALSE()),""))</f>
        <v/>
      </c>
      <c r="H529" s="22"/>
    </row>
    <row r="530" spans="1:8">
      <c r="A530" s="21"/>
      <c r="B530" s="28"/>
      <c r="C530" s="22"/>
      <c r="D530" s="28"/>
      <c r="E530" s="23" t="str">
        <f>IF($D530="","",IFERROR(VLOOKUP($D530,'ACAS Consumables Tracker'!$A:$H,8,FALSE()),""))</f>
        <v/>
      </c>
      <c r="F530" s="24"/>
      <c r="G530" s="25" t="str">
        <f>IF($D530="","",IFERROR(VLOOKUP($D530,'ACAS Consumables Tracker'!$A:$D,4,FALSE()),""))</f>
        <v/>
      </c>
      <c r="H530" s="22"/>
    </row>
    <row r="531" spans="1:8">
      <c r="A531" s="21"/>
      <c r="B531" s="28"/>
      <c r="C531" s="22"/>
      <c r="D531" s="28"/>
      <c r="E531" s="23" t="str">
        <f>IF($D531="","",IFERROR(VLOOKUP($D531,'ACAS Consumables Tracker'!$A:$H,8,FALSE()),""))</f>
        <v/>
      </c>
      <c r="F531" s="24"/>
      <c r="G531" s="25" t="str">
        <f>IF($D531="","",IFERROR(VLOOKUP($D531,'ACAS Consumables Tracker'!$A:$D,4,FALSE()),""))</f>
        <v/>
      </c>
      <c r="H531" s="22"/>
    </row>
    <row r="532" spans="1:8">
      <c r="A532" s="21"/>
      <c r="B532" s="28"/>
      <c r="C532" s="22"/>
      <c r="D532" s="28"/>
      <c r="E532" s="23" t="str">
        <f>IF($D532="","",IFERROR(VLOOKUP($D532,'ACAS Consumables Tracker'!$A:$H,8,FALSE()),""))</f>
        <v/>
      </c>
      <c r="F532" s="24"/>
      <c r="G532" s="25" t="str">
        <f>IF($D532="","",IFERROR(VLOOKUP($D532,'ACAS Consumables Tracker'!$A:$D,4,FALSE()),""))</f>
        <v/>
      </c>
      <c r="H532" s="22"/>
    </row>
    <row r="533" spans="1:8">
      <c r="A533" s="21"/>
      <c r="B533" s="28"/>
      <c r="C533" s="22"/>
      <c r="D533" s="28"/>
      <c r="E533" s="23" t="str">
        <f>IF($D533="","",IFERROR(VLOOKUP($D533,'ACAS Consumables Tracker'!$A:$H,8,FALSE()),""))</f>
        <v/>
      </c>
      <c r="F533" s="24"/>
      <c r="G533" s="25" t="str">
        <f>IF($D533="","",IFERROR(VLOOKUP($D533,'ACAS Consumables Tracker'!$A:$D,4,FALSE()),""))</f>
        <v/>
      </c>
      <c r="H533" s="22"/>
    </row>
    <row r="534" spans="1:8">
      <c r="A534" s="21"/>
      <c r="B534" s="28"/>
      <c r="C534" s="22"/>
      <c r="D534" s="28"/>
      <c r="E534" s="23" t="str">
        <f>IF($D534="","",IFERROR(VLOOKUP($D534,'ACAS Consumables Tracker'!$A:$H,8,FALSE()),""))</f>
        <v/>
      </c>
      <c r="F534" s="24"/>
      <c r="G534" s="25" t="str">
        <f>IF($D534="","",IFERROR(VLOOKUP($D534,'ACAS Consumables Tracker'!$A:$D,4,FALSE()),""))</f>
        <v/>
      </c>
      <c r="H534" s="22"/>
    </row>
    <row r="535" spans="1:8">
      <c r="A535" s="21"/>
      <c r="B535" s="28"/>
      <c r="C535" s="22"/>
      <c r="D535" s="28"/>
      <c r="E535" s="23" t="str">
        <f>IF($D535="","",IFERROR(VLOOKUP($D535,'ACAS Consumables Tracker'!$A:$H,8,FALSE()),""))</f>
        <v/>
      </c>
      <c r="F535" s="24"/>
      <c r="G535" s="25" t="str">
        <f>IF($D535="","",IFERROR(VLOOKUP($D535,'ACAS Consumables Tracker'!$A:$D,4,FALSE()),""))</f>
        <v/>
      </c>
      <c r="H535" s="22"/>
    </row>
    <row r="536" spans="1:8">
      <c r="A536" s="21"/>
      <c r="B536" s="28"/>
      <c r="C536" s="22"/>
      <c r="D536" s="28"/>
      <c r="E536" s="23" t="str">
        <f>IF($D536="","",IFERROR(VLOOKUP($D536,'ACAS Consumables Tracker'!$A:$H,8,FALSE()),""))</f>
        <v/>
      </c>
      <c r="F536" s="24"/>
      <c r="G536" s="25" t="str">
        <f>IF($D536="","",IFERROR(VLOOKUP($D536,'ACAS Consumables Tracker'!$A:$D,4,FALSE()),""))</f>
        <v/>
      </c>
      <c r="H536" s="22"/>
    </row>
    <row r="537" spans="1:8">
      <c r="A537" s="21"/>
      <c r="B537" s="28"/>
      <c r="C537" s="22"/>
      <c r="D537" s="28"/>
      <c r="E537" s="23" t="str">
        <f>IF($D537="","",IFERROR(VLOOKUP($D537,'ACAS Consumables Tracker'!$A:$H,8,FALSE()),""))</f>
        <v/>
      </c>
      <c r="F537" s="24"/>
      <c r="G537" s="25" t="str">
        <f>IF($D537="","",IFERROR(VLOOKUP($D537,'ACAS Consumables Tracker'!$A:$D,4,FALSE()),""))</f>
        <v/>
      </c>
      <c r="H537" s="22"/>
    </row>
    <row r="538" spans="1:8">
      <c r="A538" s="21"/>
      <c r="B538" s="28"/>
      <c r="C538" s="22"/>
      <c r="D538" s="28"/>
      <c r="E538" s="23" t="str">
        <f>IF($D538="","",IFERROR(VLOOKUP($D538,'ACAS Consumables Tracker'!$A:$H,8,FALSE()),""))</f>
        <v/>
      </c>
      <c r="F538" s="24"/>
      <c r="G538" s="25" t="str">
        <f>IF($D538="","",IFERROR(VLOOKUP($D538,'ACAS Consumables Tracker'!$A:$D,4,FALSE()),""))</f>
        <v/>
      </c>
      <c r="H538" s="22"/>
    </row>
    <row r="539" spans="1:8">
      <c r="A539" s="21"/>
      <c r="B539" s="28"/>
      <c r="C539" s="22"/>
      <c r="D539" s="28"/>
      <c r="E539" s="23" t="str">
        <f>IF($D539="","",IFERROR(VLOOKUP($D539,'ACAS Consumables Tracker'!$A:$H,8,FALSE()),""))</f>
        <v/>
      </c>
      <c r="F539" s="24"/>
      <c r="G539" s="25" t="str">
        <f>IF($D539="","",IFERROR(VLOOKUP($D539,'ACAS Consumables Tracker'!$A:$D,4,FALSE()),""))</f>
        <v/>
      </c>
      <c r="H539" s="22"/>
    </row>
    <row r="540" spans="1:8">
      <c r="A540" s="21"/>
      <c r="B540" s="28"/>
      <c r="C540" s="22"/>
      <c r="D540" s="28"/>
      <c r="E540" s="23" t="str">
        <f>IF($D540="","",IFERROR(VLOOKUP($D540,'ACAS Consumables Tracker'!$A:$H,8,FALSE()),""))</f>
        <v/>
      </c>
      <c r="F540" s="24"/>
      <c r="G540" s="25" t="str">
        <f>IF($D540="","",IFERROR(VLOOKUP($D540,'ACAS Consumables Tracker'!$A:$D,4,FALSE()),""))</f>
        <v/>
      </c>
      <c r="H540" s="22"/>
    </row>
    <row r="541" spans="1:8">
      <c r="A541" s="21"/>
      <c r="B541" s="28"/>
      <c r="C541" s="22"/>
      <c r="D541" s="28"/>
      <c r="E541" s="23" t="str">
        <f>IF($D541="","",IFERROR(VLOOKUP($D541,'ACAS Consumables Tracker'!$A:$H,8,FALSE()),""))</f>
        <v/>
      </c>
      <c r="F541" s="24"/>
      <c r="G541" s="25" t="str">
        <f>IF($D541="","",IFERROR(VLOOKUP($D541,'ACAS Consumables Tracker'!$A:$D,4,FALSE()),""))</f>
        <v/>
      </c>
      <c r="H541" s="22"/>
    </row>
    <row r="542" spans="1:8">
      <c r="A542" s="21"/>
      <c r="B542" s="28"/>
      <c r="C542" s="22"/>
      <c r="D542" s="28"/>
      <c r="E542" s="23" t="str">
        <f>IF($D542="","",IFERROR(VLOOKUP($D542,'ACAS Consumables Tracker'!$A:$H,8,FALSE()),""))</f>
        <v/>
      </c>
      <c r="F542" s="24"/>
      <c r="G542" s="25" t="str">
        <f>IF($D542="","",IFERROR(VLOOKUP($D542,'ACAS Consumables Tracker'!$A:$D,4,FALSE()),""))</f>
        <v/>
      </c>
      <c r="H542" s="22"/>
    </row>
    <row r="543" spans="1:8">
      <c r="A543" s="21"/>
      <c r="B543" s="28"/>
      <c r="C543" s="22"/>
      <c r="D543" s="28"/>
      <c r="E543" s="23" t="str">
        <f>IF($D543="","",IFERROR(VLOOKUP($D543,'ACAS Consumables Tracker'!$A:$H,8,FALSE()),""))</f>
        <v/>
      </c>
      <c r="F543" s="24"/>
      <c r="G543" s="25" t="str">
        <f>IF($D543="","",IFERROR(VLOOKUP($D543,'ACAS Consumables Tracker'!$A:$D,4,FALSE()),""))</f>
        <v/>
      </c>
      <c r="H543" s="22"/>
    </row>
    <row r="544" spans="1:8">
      <c r="A544" s="21"/>
      <c r="B544" s="28"/>
      <c r="C544" s="22"/>
      <c r="D544" s="28"/>
      <c r="E544" s="23" t="str">
        <f>IF($D544="","",IFERROR(VLOOKUP($D544,'ACAS Consumables Tracker'!$A:$H,8,FALSE()),""))</f>
        <v/>
      </c>
      <c r="F544" s="24"/>
      <c r="G544" s="25" t="str">
        <f>IF($D544="","",IFERROR(VLOOKUP($D544,'ACAS Consumables Tracker'!$A:$D,4,FALSE()),""))</f>
        <v/>
      </c>
      <c r="H544" s="22"/>
    </row>
    <row r="545" spans="1:8">
      <c r="A545" s="21"/>
      <c r="B545" s="28"/>
      <c r="C545" s="22"/>
      <c r="D545" s="28"/>
      <c r="E545" s="23" t="str">
        <f>IF($D545="","",IFERROR(VLOOKUP($D545,'ACAS Consumables Tracker'!$A:$H,8,FALSE()),""))</f>
        <v/>
      </c>
      <c r="F545" s="24"/>
      <c r="G545" s="25" t="str">
        <f>IF($D545="","",IFERROR(VLOOKUP($D545,'ACAS Consumables Tracker'!$A:$D,4,FALSE()),""))</f>
        <v/>
      </c>
      <c r="H545" s="22"/>
    </row>
    <row r="546" spans="1:8">
      <c r="A546" s="21"/>
      <c r="B546" s="28"/>
      <c r="C546" s="22"/>
      <c r="D546" s="28"/>
      <c r="E546" s="23" t="str">
        <f>IF($D546="","",IFERROR(VLOOKUP($D546,'ACAS Consumables Tracker'!$A:$H,8,FALSE()),""))</f>
        <v/>
      </c>
      <c r="F546" s="24"/>
      <c r="G546" s="25" t="str">
        <f>IF($D546="","",IFERROR(VLOOKUP($D546,'ACAS Consumables Tracker'!$A:$D,4,FALSE()),""))</f>
        <v/>
      </c>
      <c r="H546" s="22"/>
    </row>
    <row r="547" spans="1:8">
      <c r="A547" s="21"/>
      <c r="B547" s="28"/>
      <c r="C547" s="22"/>
      <c r="D547" s="28"/>
      <c r="E547" s="23" t="str">
        <f>IF($D547="","",IFERROR(VLOOKUP($D547,'ACAS Consumables Tracker'!$A:$H,8,FALSE()),""))</f>
        <v/>
      </c>
      <c r="F547" s="24"/>
      <c r="G547" s="25" t="str">
        <f>IF($D547="","",IFERROR(VLOOKUP($D547,'ACAS Consumables Tracker'!$A:$D,4,FALSE()),""))</f>
        <v/>
      </c>
      <c r="H547" s="22"/>
    </row>
    <row r="548" spans="1:8">
      <c r="A548" s="21"/>
      <c r="B548" s="28"/>
      <c r="C548" s="22"/>
      <c r="D548" s="28"/>
      <c r="E548" s="23" t="str">
        <f>IF($D548="","",IFERROR(VLOOKUP($D548,'ACAS Consumables Tracker'!$A:$H,8,FALSE()),""))</f>
        <v/>
      </c>
      <c r="F548" s="24"/>
      <c r="G548" s="25" t="str">
        <f>IF($D548="","",IFERROR(VLOOKUP($D548,'ACAS Consumables Tracker'!$A:$D,4,FALSE()),""))</f>
        <v/>
      </c>
      <c r="H548" s="22"/>
    </row>
    <row r="549" spans="1:8">
      <c r="A549" s="21"/>
      <c r="B549" s="28"/>
      <c r="C549" s="22"/>
      <c r="D549" s="28"/>
      <c r="E549" s="23" t="str">
        <f>IF($D549="","",IFERROR(VLOOKUP($D549,'ACAS Consumables Tracker'!$A:$H,8,FALSE()),""))</f>
        <v/>
      </c>
      <c r="F549" s="24"/>
      <c r="G549" s="25" t="str">
        <f>IF($D549="","",IFERROR(VLOOKUP($D549,'ACAS Consumables Tracker'!$A:$D,4,FALSE()),""))</f>
        <v/>
      </c>
      <c r="H549" s="22"/>
    </row>
    <row r="550" spans="1:8">
      <c r="A550" s="21"/>
      <c r="B550" s="28"/>
      <c r="C550" s="22"/>
      <c r="D550" s="28"/>
      <c r="E550" s="23" t="str">
        <f>IF($D550="","",IFERROR(VLOOKUP($D550,'ACAS Consumables Tracker'!$A:$H,8,FALSE()),""))</f>
        <v/>
      </c>
      <c r="F550" s="24"/>
      <c r="G550" s="25" t="str">
        <f>IF($D550="","",IFERROR(VLOOKUP($D550,'ACAS Consumables Tracker'!$A:$D,4,FALSE()),""))</f>
        <v/>
      </c>
      <c r="H550" s="22"/>
    </row>
    <row r="551" spans="1:8">
      <c r="A551" s="21"/>
      <c r="B551" s="28"/>
      <c r="C551" s="22"/>
      <c r="D551" s="28"/>
      <c r="E551" s="23" t="str">
        <f>IF($D551="","",IFERROR(VLOOKUP($D551,'ACAS Consumables Tracker'!$A:$H,8,FALSE()),""))</f>
        <v/>
      </c>
      <c r="F551" s="24"/>
      <c r="G551" s="25" t="str">
        <f>IF($D551="","",IFERROR(VLOOKUP($D551,'ACAS Consumables Tracker'!$A:$D,4,FALSE()),""))</f>
        <v/>
      </c>
      <c r="H551" s="22"/>
    </row>
    <row r="552" spans="1:8">
      <c r="A552" s="21"/>
      <c r="B552" s="28"/>
      <c r="C552" s="22"/>
      <c r="D552" s="28"/>
      <c r="E552" s="23" t="str">
        <f>IF($D552="","",IFERROR(VLOOKUP($D552,'ACAS Consumables Tracker'!$A:$H,8,FALSE()),""))</f>
        <v/>
      </c>
      <c r="F552" s="24"/>
      <c r="G552" s="25" t="str">
        <f>IF($D552="","",IFERROR(VLOOKUP($D552,'ACAS Consumables Tracker'!$A:$D,4,FALSE()),""))</f>
        <v/>
      </c>
      <c r="H552" s="22"/>
    </row>
    <row r="553" spans="1:8">
      <c r="A553" s="21"/>
      <c r="B553" s="28"/>
      <c r="C553" s="22"/>
      <c r="D553" s="28"/>
      <c r="E553" s="23" t="str">
        <f>IF($D553="","",IFERROR(VLOOKUP($D553,'ACAS Consumables Tracker'!$A:$H,8,FALSE()),""))</f>
        <v/>
      </c>
      <c r="F553" s="24"/>
      <c r="G553" s="25" t="str">
        <f>IF($D553="","",IFERROR(VLOOKUP($D553,'ACAS Consumables Tracker'!$A:$D,4,FALSE()),""))</f>
        <v/>
      </c>
      <c r="H553" s="22"/>
    </row>
    <row r="554" spans="1:8">
      <c r="A554" s="21"/>
      <c r="B554" s="28"/>
      <c r="C554" s="22"/>
      <c r="D554" s="28"/>
      <c r="E554" s="23" t="str">
        <f>IF($D554="","",IFERROR(VLOOKUP($D554,'ACAS Consumables Tracker'!$A:$H,8,FALSE()),""))</f>
        <v/>
      </c>
      <c r="F554" s="24"/>
      <c r="G554" s="25" t="str">
        <f>IF($D554="","",IFERROR(VLOOKUP($D554,'ACAS Consumables Tracker'!$A:$D,4,FALSE()),""))</f>
        <v/>
      </c>
      <c r="H554" s="22"/>
    </row>
    <row r="555" spans="1:8">
      <c r="A555" s="21"/>
      <c r="B555" s="28"/>
      <c r="C555" s="22"/>
      <c r="D555" s="28"/>
      <c r="E555" s="23" t="str">
        <f>IF($D555="","",IFERROR(VLOOKUP($D555,'ACAS Consumables Tracker'!$A:$H,8,FALSE()),""))</f>
        <v/>
      </c>
      <c r="F555" s="24"/>
      <c r="G555" s="25" t="str">
        <f>IF($D555="","",IFERROR(VLOOKUP($D555,'ACAS Consumables Tracker'!$A:$D,4,FALSE()),""))</f>
        <v/>
      </c>
      <c r="H555" s="22"/>
    </row>
    <row r="556" spans="1:8">
      <c r="A556" s="21"/>
      <c r="B556" s="28"/>
      <c r="C556" s="22"/>
      <c r="D556" s="28"/>
      <c r="E556" s="23" t="str">
        <f>IF($D556="","",IFERROR(VLOOKUP($D556,'ACAS Consumables Tracker'!$A:$H,8,FALSE()),""))</f>
        <v/>
      </c>
      <c r="F556" s="24"/>
      <c r="G556" s="25" t="str">
        <f>IF($D556="","",IFERROR(VLOOKUP($D556,'ACAS Consumables Tracker'!$A:$D,4,FALSE()),""))</f>
        <v/>
      </c>
      <c r="H556" s="22"/>
    </row>
    <row r="557" spans="1:8">
      <c r="A557" s="21"/>
      <c r="B557" s="28"/>
      <c r="C557" s="22"/>
      <c r="D557" s="28"/>
      <c r="E557" s="23" t="str">
        <f>IF($D557="","",IFERROR(VLOOKUP($D557,'ACAS Consumables Tracker'!$A:$H,8,FALSE()),""))</f>
        <v/>
      </c>
      <c r="F557" s="24"/>
      <c r="G557" s="25" t="str">
        <f>IF($D557="","",IFERROR(VLOOKUP($D557,'ACAS Consumables Tracker'!$A:$D,4,FALSE()),""))</f>
        <v/>
      </c>
      <c r="H557" s="22"/>
    </row>
    <row r="558" spans="1:8">
      <c r="A558" s="21"/>
      <c r="B558" s="28"/>
      <c r="C558" s="22"/>
      <c r="D558" s="28"/>
      <c r="E558" s="23" t="str">
        <f>IF($D558="","",IFERROR(VLOOKUP($D558,'ACAS Consumables Tracker'!$A:$H,8,FALSE()),""))</f>
        <v/>
      </c>
      <c r="F558" s="24"/>
      <c r="G558" s="25" t="str">
        <f>IF($D558="","",IFERROR(VLOOKUP($D558,'ACAS Consumables Tracker'!$A:$D,4,FALSE()),""))</f>
        <v/>
      </c>
      <c r="H558" s="22"/>
    </row>
    <row r="559" spans="1:8">
      <c r="A559" s="21"/>
      <c r="B559" s="28"/>
      <c r="C559" s="22"/>
      <c r="D559" s="28"/>
      <c r="E559" s="23" t="str">
        <f>IF($D559="","",IFERROR(VLOOKUP($D559,'ACAS Consumables Tracker'!$A:$H,8,FALSE()),""))</f>
        <v/>
      </c>
      <c r="F559" s="24"/>
      <c r="G559" s="25" t="str">
        <f>IF($D559="","",IFERROR(VLOOKUP($D559,'ACAS Consumables Tracker'!$A:$D,4,FALSE()),""))</f>
        <v/>
      </c>
      <c r="H559" s="22"/>
    </row>
    <row r="560" spans="1:8">
      <c r="A560" s="21"/>
      <c r="B560" s="28"/>
      <c r="C560" s="22"/>
      <c r="D560" s="28"/>
      <c r="E560" s="23" t="str">
        <f>IF($D560="","",IFERROR(VLOOKUP($D560,'ACAS Consumables Tracker'!$A:$H,8,FALSE()),""))</f>
        <v/>
      </c>
      <c r="F560" s="24"/>
      <c r="G560" s="25" t="str">
        <f>IF($D560="","",IFERROR(VLOOKUP($D560,'ACAS Consumables Tracker'!$A:$D,4,FALSE()),""))</f>
        <v/>
      </c>
      <c r="H560" s="22"/>
    </row>
    <row r="561" spans="1:8">
      <c r="A561" s="21"/>
      <c r="B561" s="28"/>
      <c r="C561" s="22"/>
      <c r="D561" s="28"/>
      <c r="E561" s="23" t="str">
        <f>IF($D561="","",IFERROR(VLOOKUP($D561,'ACAS Consumables Tracker'!$A:$H,8,FALSE()),""))</f>
        <v/>
      </c>
      <c r="F561" s="24"/>
      <c r="G561" s="25" t="str">
        <f>IF($D561="","",IFERROR(VLOOKUP($D561,'ACAS Consumables Tracker'!$A:$D,4,FALSE()),""))</f>
        <v/>
      </c>
      <c r="H561" s="22"/>
    </row>
    <row r="562" spans="1:8">
      <c r="A562" s="21"/>
      <c r="B562" s="28"/>
      <c r="C562" s="22"/>
      <c r="D562" s="28"/>
      <c r="E562" s="23" t="str">
        <f>IF($D562="","",IFERROR(VLOOKUP($D562,'ACAS Consumables Tracker'!$A:$H,8,FALSE()),""))</f>
        <v/>
      </c>
      <c r="F562" s="24"/>
      <c r="G562" s="25" t="str">
        <f>IF($D562="","",IFERROR(VLOOKUP($D562,'ACAS Consumables Tracker'!$A:$D,4,FALSE()),""))</f>
        <v/>
      </c>
      <c r="H562" s="22"/>
    </row>
    <row r="563" spans="1:8">
      <c r="A563" s="21"/>
      <c r="B563" s="28"/>
      <c r="C563" s="22"/>
      <c r="D563" s="28"/>
      <c r="E563" s="23" t="str">
        <f>IF($D563="","",IFERROR(VLOOKUP($D563,'ACAS Consumables Tracker'!$A:$H,8,FALSE()),""))</f>
        <v/>
      </c>
      <c r="F563" s="24"/>
      <c r="G563" s="25" t="str">
        <f>IF($D563="","",IFERROR(VLOOKUP($D563,'ACAS Consumables Tracker'!$A:$D,4,FALSE()),""))</f>
        <v/>
      </c>
      <c r="H563" s="22"/>
    </row>
    <row r="564" spans="1:8">
      <c r="A564" s="21"/>
      <c r="B564" s="28"/>
      <c r="C564" s="22"/>
      <c r="D564" s="28"/>
      <c r="E564" s="23" t="str">
        <f>IF($D564="","",IFERROR(VLOOKUP($D564,'ACAS Consumables Tracker'!$A:$H,8,FALSE()),""))</f>
        <v/>
      </c>
      <c r="F564" s="24"/>
      <c r="G564" s="25" t="str">
        <f>IF($D564="","",IFERROR(VLOOKUP($D564,'ACAS Consumables Tracker'!$A:$D,4,FALSE()),""))</f>
        <v/>
      </c>
      <c r="H564" s="22"/>
    </row>
    <row r="565" spans="1:8">
      <c r="A565" s="21"/>
      <c r="B565" s="28"/>
      <c r="C565" s="22"/>
      <c r="D565" s="28"/>
      <c r="E565" s="23" t="str">
        <f>IF($D565="","",IFERROR(VLOOKUP($D565,'ACAS Consumables Tracker'!$A:$H,8,FALSE()),""))</f>
        <v/>
      </c>
      <c r="F565" s="24"/>
      <c r="G565" s="25" t="str">
        <f>IF($D565="","",IFERROR(VLOOKUP($D565,'ACAS Consumables Tracker'!$A:$D,4,FALSE()),""))</f>
        <v/>
      </c>
      <c r="H565" s="22"/>
    </row>
    <row r="566" spans="1:8">
      <c r="A566" s="21"/>
      <c r="B566" s="28"/>
      <c r="C566" s="22"/>
      <c r="D566" s="28"/>
      <c r="E566" s="23" t="str">
        <f>IF($D566="","",IFERROR(VLOOKUP($D566,'ACAS Consumables Tracker'!$A:$H,8,FALSE()),""))</f>
        <v/>
      </c>
      <c r="F566" s="24"/>
      <c r="G566" s="25" t="str">
        <f>IF($D566="","",IFERROR(VLOOKUP($D566,'ACAS Consumables Tracker'!$A:$D,4,FALSE()),""))</f>
        <v/>
      </c>
      <c r="H566" s="22"/>
    </row>
    <row r="567" spans="1:8">
      <c r="A567" s="21"/>
      <c r="B567" s="28"/>
      <c r="C567" s="22"/>
      <c r="D567" s="28"/>
      <c r="E567" s="23" t="str">
        <f>IF($D567="","",IFERROR(VLOOKUP($D567,'ACAS Consumables Tracker'!$A:$H,8,FALSE()),""))</f>
        <v/>
      </c>
      <c r="F567" s="24"/>
      <c r="G567" s="25" t="str">
        <f>IF($D567="","",IFERROR(VLOOKUP($D567,'ACAS Consumables Tracker'!$A:$D,4,FALSE()),""))</f>
        <v/>
      </c>
      <c r="H567" s="22"/>
    </row>
    <row r="568" spans="1:8">
      <c r="A568" s="21"/>
      <c r="B568" s="28"/>
      <c r="C568" s="22"/>
      <c r="D568" s="28"/>
      <c r="E568" s="23" t="str">
        <f>IF($D568="","",IFERROR(VLOOKUP($D568,'ACAS Consumables Tracker'!$A:$H,8,FALSE()),""))</f>
        <v/>
      </c>
      <c r="F568" s="24"/>
      <c r="G568" s="25" t="str">
        <f>IF($D568="","",IFERROR(VLOOKUP($D568,'ACAS Consumables Tracker'!$A:$D,4,FALSE()),""))</f>
        <v/>
      </c>
      <c r="H568" s="22"/>
    </row>
    <row r="569" spans="1:8">
      <c r="A569" s="21"/>
      <c r="B569" s="28"/>
      <c r="C569" s="22"/>
      <c r="D569" s="28"/>
      <c r="E569" s="23" t="str">
        <f>IF($D569="","",IFERROR(VLOOKUP($D569,'ACAS Consumables Tracker'!$A:$H,8,FALSE()),""))</f>
        <v/>
      </c>
      <c r="F569" s="24"/>
      <c r="G569" s="25" t="str">
        <f>IF($D569="","",IFERROR(VLOOKUP($D569,'ACAS Consumables Tracker'!$A:$D,4,FALSE()),""))</f>
        <v/>
      </c>
      <c r="H569" s="22"/>
    </row>
    <row r="570" spans="1:8">
      <c r="A570" s="21"/>
      <c r="B570" s="28"/>
      <c r="C570" s="22"/>
      <c r="D570" s="28"/>
      <c r="E570" s="23" t="str">
        <f>IF($D570="","",IFERROR(VLOOKUP($D570,'ACAS Consumables Tracker'!$A:$H,8,FALSE()),""))</f>
        <v/>
      </c>
      <c r="F570" s="24"/>
      <c r="G570" s="25" t="str">
        <f>IF($D570="","",IFERROR(VLOOKUP($D570,'ACAS Consumables Tracker'!$A:$D,4,FALSE()),""))</f>
        <v/>
      </c>
      <c r="H570" s="22"/>
    </row>
    <row r="571" spans="1:8">
      <c r="A571" s="21"/>
      <c r="B571" s="28"/>
      <c r="C571" s="22"/>
      <c r="D571" s="28"/>
      <c r="E571" s="23" t="str">
        <f>IF($D571="","",IFERROR(VLOOKUP($D571,'ACAS Consumables Tracker'!$A:$H,8,FALSE()),""))</f>
        <v/>
      </c>
      <c r="F571" s="24"/>
      <c r="G571" s="25" t="str">
        <f>IF($D571="","",IFERROR(VLOOKUP($D571,'ACAS Consumables Tracker'!$A:$D,4,FALSE()),""))</f>
        <v/>
      </c>
      <c r="H571" s="22"/>
    </row>
    <row r="572" spans="1:8">
      <c r="A572" s="21"/>
      <c r="B572" s="28"/>
      <c r="C572" s="22"/>
      <c r="D572" s="28"/>
      <c r="E572" s="23" t="str">
        <f>IF($D572="","",IFERROR(VLOOKUP($D572,'ACAS Consumables Tracker'!$A:$H,8,FALSE()),""))</f>
        <v/>
      </c>
      <c r="F572" s="24"/>
      <c r="G572" s="25" t="str">
        <f>IF($D572="","",IFERROR(VLOOKUP($D572,'ACAS Consumables Tracker'!$A:$D,4,FALSE()),""))</f>
        <v/>
      </c>
      <c r="H572" s="22"/>
    </row>
    <row r="573" spans="1:8">
      <c r="A573" s="21"/>
      <c r="B573" s="28"/>
      <c r="C573" s="22"/>
      <c r="D573" s="28"/>
      <c r="E573" s="23" t="str">
        <f>IF($D573="","",IFERROR(VLOOKUP($D573,'ACAS Consumables Tracker'!$A:$H,8,FALSE()),""))</f>
        <v/>
      </c>
      <c r="F573" s="24"/>
      <c r="G573" s="25" t="str">
        <f>IF($D573="","",IFERROR(VLOOKUP($D573,'ACAS Consumables Tracker'!$A:$D,4,FALSE()),""))</f>
        <v/>
      </c>
      <c r="H573" s="22"/>
    </row>
    <row r="574" spans="1:8">
      <c r="A574" s="21"/>
      <c r="B574" s="28"/>
      <c r="C574" s="22"/>
      <c r="D574" s="28"/>
      <c r="E574" s="23" t="str">
        <f>IF($D574="","",IFERROR(VLOOKUP($D574,'ACAS Consumables Tracker'!$A:$H,8,FALSE()),""))</f>
        <v/>
      </c>
      <c r="F574" s="24"/>
      <c r="G574" s="25" t="str">
        <f>IF($D574="","",IFERROR(VLOOKUP($D574,'ACAS Consumables Tracker'!$A:$D,4,FALSE()),""))</f>
        <v/>
      </c>
      <c r="H574" s="22"/>
    </row>
    <row r="575" spans="1:8">
      <c r="A575" s="21"/>
      <c r="B575" s="28"/>
      <c r="C575" s="22"/>
      <c r="D575" s="28"/>
      <c r="E575" s="23" t="str">
        <f>IF($D575="","",IFERROR(VLOOKUP($D575,'ACAS Consumables Tracker'!$A:$H,8,FALSE()),""))</f>
        <v/>
      </c>
      <c r="F575" s="24"/>
      <c r="G575" s="25" t="str">
        <f>IF($D575="","",IFERROR(VLOOKUP($D575,'ACAS Consumables Tracker'!$A:$D,4,FALSE()),""))</f>
        <v/>
      </c>
      <c r="H575" s="22"/>
    </row>
    <row r="576" spans="1:8">
      <c r="A576" s="21"/>
      <c r="B576" s="28"/>
      <c r="C576" s="22"/>
      <c r="D576" s="28"/>
      <c r="E576" s="23" t="str">
        <f>IF($D576="","",IFERROR(VLOOKUP($D576,'ACAS Consumables Tracker'!$A:$H,8,FALSE()),""))</f>
        <v/>
      </c>
      <c r="F576" s="24"/>
      <c r="G576" s="25" t="str">
        <f>IF($D576="","",IFERROR(VLOOKUP($D576,'ACAS Consumables Tracker'!$A:$D,4,FALSE()),""))</f>
        <v/>
      </c>
      <c r="H576" s="22"/>
    </row>
    <row r="577" spans="1:8">
      <c r="A577" s="21"/>
      <c r="B577" s="28"/>
      <c r="C577" s="22"/>
      <c r="D577" s="28"/>
      <c r="E577" s="23" t="str">
        <f>IF($D577="","",IFERROR(VLOOKUP($D577,'ACAS Consumables Tracker'!$A:$H,8,FALSE()),""))</f>
        <v/>
      </c>
      <c r="F577" s="24"/>
      <c r="G577" s="25" t="str">
        <f>IF($D577="","",IFERROR(VLOOKUP($D577,'ACAS Consumables Tracker'!$A:$D,4,FALSE()),""))</f>
        <v/>
      </c>
      <c r="H577" s="22"/>
    </row>
    <row r="578" spans="1:8">
      <c r="A578" s="21"/>
      <c r="B578" s="28"/>
      <c r="C578" s="22"/>
      <c r="D578" s="28"/>
      <c r="E578" s="23" t="str">
        <f>IF($D578="","",IFERROR(VLOOKUP($D578,'ACAS Consumables Tracker'!$A:$H,8,FALSE()),""))</f>
        <v/>
      </c>
      <c r="F578" s="24"/>
      <c r="G578" s="25" t="str">
        <f>IF($D578="","",IFERROR(VLOOKUP($D578,'ACAS Consumables Tracker'!$A:$D,4,FALSE()),""))</f>
        <v/>
      </c>
      <c r="H578" s="22"/>
    </row>
    <row r="579" spans="1:8">
      <c r="A579" s="21"/>
      <c r="B579" s="28"/>
      <c r="C579" s="22"/>
      <c r="D579" s="28"/>
      <c r="E579" s="23" t="str">
        <f>IF($D579="","",IFERROR(VLOOKUP($D579,'ACAS Consumables Tracker'!$A:$H,8,FALSE()),""))</f>
        <v/>
      </c>
      <c r="F579" s="24"/>
      <c r="G579" s="25" t="str">
        <f>IF($D579="","",IFERROR(VLOOKUP($D579,'ACAS Consumables Tracker'!$A:$D,4,FALSE()),""))</f>
        <v/>
      </c>
      <c r="H579" s="22"/>
    </row>
    <row r="580" spans="1:8">
      <c r="A580" s="21"/>
      <c r="B580" s="28"/>
      <c r="C580" s="22"/>
      <c r="D580" s="28"/>
      <c r="E580" s="23" t="str">
        <f>IF($D580="","",IFERROR(VLOOKUP($D580,'ACAS Consumables Tracker'!$A:$H,8,FALSE()),""))</f>
        <v/>
      </c>
      <c r="F580" s="24"/>
      <c r="G580" s="25" t="str">
        <f>IF($D580="","",IFERROR(VLOOKUP($D580,'ACAS Consumables Tracker'!$A:$D,4,FALSE()),""))</f>
        <v/>
      </c>
      <c r="H580" s="22"/>
    </row>
    <row r="581" spans="1:8">
      <c r="A581" s="21"/>
      <c r="B581" s="28"/>
      <c r="C581" s="22"/>
      <c r="D581" s="28"/>
      <c r="E581" s="23" t="str">
        <f>IF($D581="","",IFERROR(VLOOKUP($D581,'ACAS Consumables Tracker'!$A:$H,8,FALSE()),""))</f>
        <v/>
      </c>
      <c r="F581" s="24"/>
      <c r="G581" s="25" t="str">
        <f>IF($D581="","",IFERROR(VLOOKUP($D581,'ACAS Consumables Tracker'!$A:$D,4,FALSE()),""))</f>
        <v/>
      </c>
      <c r="H581" s="22"/>
    </row>
    <row r="582" spans="1:8">
      <c r="A582" s="21"/>
      <c r="B582" s="28"/>
      <c r="C582" s="22"/>
      <c r="D582" s="28"/>
      <c r="E582" s="23" t="str">
        <f>IF($D582="","",IFERROR(VLOOKUP($D582,'ACAS Consumables Tracker'!$A:$H,8,FALSE()),""))</f>
        <v/>
      </c>
      <c r="F582" s="24"/>
      <c r="G582" s="25" t="str">
        <f>IF($D582="","",IFERROR(VLOOKUP($D582,'ACAS Consumables Tracker'!$A:$D,4,FALSE()),""))</f>
        <v/>
      </c>
      <c r="H582" s="22"/>
    </row>
    <row r="583" spans="1:8">
      <c r="A583" s="21"/>
      <c r="B583" s="28"/>
      <c r="C583" s="22"/>
      <c r="D583" s="28"/>
      <c r="E583" s="23" t="str">
        <f>IF($D583="","",IFERROR(VLOOKUP($D583,'ACAS Consumables Tracker'!$A:$H,8,FALSE()),""))</f>
        <v/>
      </c>
      <c r="F583" s="24"/>
      <c r="G583" s="25" t="str">
        <f>IF($D583="","",IFERROR(VLOOKUP($D583,'ACAS Consumables Tracker'!$A:$D,4,FALSE()),""))</f>
        <v/>
      </c>
      <c r="H583" s="22"/>
    </row>
    <row r="584" spans="1:8">
      <c r="A584" s="21"/>
      <c r="B584" s="28"/>
      <c r="C584" s="22"/>
      <c r="D584" s="28"/>
      <c r="E584" s="23" t="str">
        <f>IF($D584="","",IFERROR(VLOOKUP($D584,'ACAS Consumables Tracker'!$A:$H,8,FALSE()),""))</f>
        <v/>
      </c>
      <c r="F584" s="24"/>
      <c r="G584" s="25" t="str">
        <f>IF($D584="","",IFERROR(VLOOKUP($D584,'ACAS Consumables Tracker'!$A:$D,4,FALSE()),""))</f>
        <v/>
      </c>
      <c r="H584" s="22"/>
    </row>
    <row r="585" spans="1:8">
      <c r="A585" s="21"/>
      <c r="B585" s="28"/>
      <c r="C585" s="22"/>
      <c r="D585" s="28"/>
      <c r="E585" s="23" t="str">
        <f>IF($D585="","",IFERROR(VLOOKUP($D585,'ACAS Consumables Tracker'!$A:$H,8,FALSE()),""))</f>
        <v/>
      </c>
      <c r="F585" s="24"/>
      <c r="G585" s="25" t="str">
        <f>IF($D585="","",IFERROR(VLOOKUP($D585,'ACAS Consumables Tracker'!$A:$D,4,FALSE()),""))</f>
        <v/>
      </c>
      <c r="H585" s="22"/>
    </row>
    <row r="586" spans="1:8">
      <c r="A586" s="21"/>
      <c r="B586" s="28"/>
      <c r="C586" s="22"/>
      <c r="D586" s="28"/>
      <c r="E586" s="23" t="str">
        <f>IF($D586="","",IFERROR(VLOOKUP($D586,'ACAS Consumables Tracker'!$A:$H,8,FALSE()),""))</f>
        <v/>
      </c>
      <c r="F586" s="24"/>
      <c r="G586" s="25" t="str">
        <f>IF($D586="","",IFERROR(VLOOKUP($D586,'ACAS Consumables Tracker'!$A:$D,4,FALSE()),""))</f>
        <v/>
      </c>
      <c r="H586" s="22"/>
    </row>
    <row r="587" spans="1:8">
      <c r="A587" s="21"/>
      <c r="B587" s="28"/>
      <c r="C587" s="22"/>
      <c r="D587" s="28"/>
      <c r="E587" s="23" t="str">
        <f>IF($D587="","",IFERROR(VLOOKUP($D587,'ACAS Consumables Tracker'!$A:$H,8,FALSE()),""))</f>
        <v/>
      </c>
      <c r="F587" s="24"/>
      <c r="G587" s="25" t="str">
        <f>IF($D587="","",IFERROR(VLOOKUP($D587,'ACAS Consumables Tracker'!$A:$D,4,FALSE()),""))</f>
        <v/>
      </c>
      <c r="H587" s="22"/>
    </row>
    <row r="588" spans="1:8">
      <c r="A588" s="21"/>
      <c r="B588" s="28"/>
      <c r="C588" s="22"/>
      <c r="D588" s="28"/>
      <c r="E588" s="23" t="str">
        <f>IF($D588="","",IFERROR(VLOOKUP($D588,'ACAS Consumables Tracker'!$A:$H,8,FALSE()),""))</f>
        <v/>
      </c>
      <c r="F588" s="24"/>
      <c r="G588" s="25" t="str">
        <f>IF($D588="","",IFERROR(VLOOKUP($D588,'ACAS Consumables Tracker'!$A:$D,4,FALSE()),""))</f>
        <v/>
      </c>
      <c r="H588" s="22"/>
    </row>
    <row r="589" spans="1:8">
      <c r="A589" s="21"/>
      <c r="B589" s="28"/>
      <c r="C589" s="22"/>
      <c r="D589" s="28"/>
      <c r="E589" s="23" t="str">
        <f>IF($D589="","",IFERROR(VLOOKUP($D589,'ACAS Consumables Tracker'!$A:$H,8,FALSE()),""))</f>
        <v/>
      </c>
      <c r="F589" s="24"/>
      <c r="G589" s="25" t="str">
        <f>IF($D589="","",IFERROR(VLOOKUP($D589,'ACAS Consumables Tracker'!$A:$D,4,FALSE()),""))</f>
        <v/>
      </c>
      <c r="H589" s="22"/>
    </row>
    <row r="590" spans="1:8">
      <c r="A590" s="21"/>
      <c r="B590" s="28"/>
      <c r="C590" s="22"/>
      <c r="D590" s="28"/>
      <c r="E590" s="23" t="str">
        <f>IF($D590="","",IFERROR(VLOOKUP($D590,'ACAS Consumables Tracker'!$A:$H,8,FALSE()),""))</f>
        <v/>
      </c>
      <c r="F590" s="24"/>
      <c r="G590" s="25" t="str">
        <f>IF($D590="","",IFERROR(VLOOKUP($D590,'ACAS Consumables Tracker'!$A:$D,4,FALSE()),""))</f>
        <v/>
      </c>
      <c r="H590" s="22"/>
    </row>
    <row r="591" spans="1:8">
      <c r="A591" s="21"/>
      <c r="B591" s="28"/>
      <c r="C591" s="22"/>
      <c r="D591" s="28"/>
      <c r="E591" s="23" t="str">
        <f>IF($D591="","",IFERROR(VLOOKUP($D591,'ACAS Consumables Tracker'!$A:$H,8,FALSE()),""))</f>
        <v/>
      </c>
      <c r="F591" s="24"/>
      <c r="G591" s="25" t="str">
        <f>IF($D591="","",IFERROR(VLOOKUP($D591,'ACAS Consumables Tracker'!$A:$D,4,FALSE()),""))</f>
        <v/>
      </c>
      <c r="H591" s="22"/>
    </row>
    <row r="592" spans="1:8">
      <c r="A592" s="21"/>
      <c r="B592" s="28"/>
      <c r="C592" s="22"/>
      <c r="D592" s="28"/>
      <c r="E592" s="23" t="str">
        <f>IF($D592="","",IFERROR(VLOOKUP($D592,'ACAS Consumables Tracker'!$A:$H,8,FALSE()),""))</f>
        <v/>
      </c>
      <c r="F592" s="24"/>
      <c r="G592" s="25" t="str">
        <f>IF($D592="","",IFERROR(VLOOKUP($D592,'ACAS Consumables Tracker'!$A:$D,4,FALSE()),""))</f>
        <v/>
      </c>
      <c r="H592" s="22"/>
    </row>
    <row r="593" spans="1:8">
      <c r="A593" s="21"/>
      <c r="B593" s="28"/>
      <c r="C593" s="22"/>
      <c r="D593" s="28"/>
      <c r="E593" s="23" t="str">
        <f>IF($D593="","",IFERROR(VLOOKUP($D593,'ACAS Consumables Tracker'!$A:$H,8,FALSE()),""))</f>
        <v/>
      </c>
      <c r="F593" s="24"/>
      <c r="G593" s="25" t="str">
        <f>IF($D593="","",IFERROR(VLOOKUP($D593,'ACAS Consumables Tracker'!$A:$D,4,FALSE()),""))</f>
        <v/>
      </c>
      <c r="H593" s="22"/>
    </row>
    <row r="594" spans="1:8">
      <c r="A594" s="21"/>
      <c r="B594" s="28"/>
      <c r="C594" s="22"/>
      <c r="D594" s="28"/>
      <c r="E594" s="23" t="str">
        <f>IF($D594="","",IFERROR(VLOOKUP($D594,'ACAS Consumables Tracker'!$A:$H,8,FALSE()),""))</f>
        <v/>
      </c>
      <c r="F594" s="24"/>
      <c r="G594" s="25" t="str">
        <f>IF($D594="","",IFERROR(VLOOKUP($D594,'ACAS Consumables Tracker'!$A:$D,4,FALSE()),""))</f>
        <v/>
      </c>
      <c r="H594" s="22"/>
    </row>
    <row r="595" spans="1:8">
      <c r="A595" s="21"/>
      <c r="B595" s="28"/>
      <c r="C595" s="22"/>
      <c r="D595" s="28"/>
      <c r="E595" s="23" t="str">
        <f>IF($D595="","",IFERROR(VLOOKUP($D595,'ACAS Consumables Tracker'!$A:$H,8,FALSE()),""))</f>
        <v/>
      </c>
      <c r="F595" s="24"/>
      <c r="G595" s="25" t="str">
        <f>IF($D595="","",IFERROR(VLOOKUP($D595,'ACAS Consumables Tracker'!$A:$D,4,FALSE()),""))</f>
        <v/>
      </c>
      <c r="H595" s="22"/>
    </row>
    <row r="596" spans="1:8">
      <c r="A596" s="21"/>
      <c r="B596" s="28"/>
      <c r="C596" s="22"/>
      <c r="D596" s="28"/>
      <c r="E596" s="23" t="str">
        <f>IF($D596="","",IFERROR(VLOOKUP($D596,'ACAS Consumables Tracker'!$A:$H,8,FALSE()),""))</f>
        <v/>
      </c>
      <c r="F596" s="24"/>
      <c r="G596" s="25" t="str">
        <f>IF($D596="","",IFERROR(VLOOKUP($D596,'ACAS Consumables Tracker'!$A:$D,4,FALSE()),""))</f>
        <v/>
      </c>
      <c r="H596" s="22"/>
    </row>
    <row r="597" spans="1:8">
      <c r="A597" s="21"/>
      <c r="B597" s="28"/>
      <c r="C597" s="22"/>
      <c r="D597" s="28"/>
      <c r="E597" s="23" t="str">
        <f>IF($D597="","",IFERROR(VLOOKUP($D597,'ACAS Consumables Tracker'!$A:$H,8,FALSE()),""))</f>
        <v/>
      </c>
      <c r="F597" s="24"/>
      <c r="G597" s="25" t="str">
        <f>IF($D597="","",IFERROR(VLOOKUP($D597,'ACAS Consumables Tracker'!$A:$D,4,FALSE()),""))</f>
        <v/>
      </c>
      <c r="H597" s="22"/>
    </row>
    <row r="598" spans="1:8">
      <c r="A598" s="21"/>
      <c r="B598" s="28"/>
      <c r="C598" s="22"/>
      <c r="D598" s="28"/>
      <c r="E598" s="23" t="str">
        <f>IF($D598="","",IFERROR(VLOOKUP($D598,'ACAS Consumables Tracker'!$A:$H,8,FALSE()),""))</f>
        <v/>
      </c>
      <c r="F598" s="24"/>
      <c r="G598" s="25" t="str">
        <f>IF($D598="","",IFERROR(VLOOKUP($D598,'ACAS Consumables Tracker'!$A:$D,4,FALSE()),""))</f>
        <v/>
      </c>
      <c r="H598" s="22"/>
    </row>
    <row r="599" spans="1:8">
      <c r="A599" s="21"/>
      <c r="B599" s="28"/>
      <c r="C599" s="22"/>
      <c r="D599" s="28"/>
      <c r="E599" s="23" t="str">
        <f>IF($D599="","",IFERROR(VLOOKUP($D599,'ACAS Consumables Tracker'!$A:$H,8,FALSE()),""))</f>
        <v/>
      </c>
      <c r="F599" s="24"/>
      <c r="G599" s="25" t="str">
        <f>IF($D599="","",IFERROR(VLOOKUP($D599,'ACAS Consumables Tracker'!$A:$D,4,FALSE()),""))</f>
        <v/>
      </c>
      <c r="H599" s="22"/>
    </row>
    <row r="600" spans="1:8">
      <c r="A600" s="21"/>
      <c r="B600" s="28"/>
      <c r="C600" s="22"/>
      <c r="D600" s="28"/>
      <c r="E600" s="23" t="str">
        <f>IF($D600="","",IFERROR(VLOOKUP($D600,'ACAS Consumables Tracker'!$A:$H,8,FALSE()),""))</f>
        <v/>
      </c>
      <c r="F600" s="24"/>
      <c r="G600" s="25" t="str">
        <f>IF($D600="","",IFERROR(VLOOKUP($D600,'ACAS Consumables Tracker'!$A:$D,4,FALSE()),""))</f>
        <v/>
      </c>
      <c r="H600" s="22"/>
    </row>
    <row r="601" spans="1:8">
      <c r="A601" s="21"/>
      <c r="B601" s="28"/>
      <c r="C601" s="22"/>
      <c r="D601" s="28"/>
      <c r="E601" s="23" t="str">
        <f>IF($D601="","",IFERROR(VLOOKUP($D601,'ACAS Consumables Tracker'!$A:$H,8,FALSE()),""))</f>
        <v/>
      </c>
      <c r="F601" s="24"/>
      <c r="G601" s="25" t="str">
        <f>IF($D601="","",IFERROR(VLOOKUP($D601,'ACAS Consumables Tracker'!$A:$D,4,FALSE()),""))</f>
        <v/>
      </c>
      <c r="H601" s="22"/>
    </row>
    <row r="602" spans="1:8">
      <c r="A602" s="21"/>
      <c r="B602" s="28"/>
      <c r="C602" s="22"/>
      <c r="D602" s="28"/>
      <c r="E602" s="23" t="str">
        <f>IF($D602="","",IFERROR(VLOOKUP($D602,'ACAS Consumables Tracker'!$A:$H,8,FALSE()),""))</f>
        <v/>
      </c>
      <c r="F602" s="24"/>
      <c r="G602" s="25" t="str">
        <f>IF($D602="","",IFERROR(VLOOKUP($D602,'ACAS Consumables Tracker'!$A:$D,4,FALSE()),""))</f>
        <v/>
      </c>
      <c r="H602" s="22"/>
    </row>
    <row r="603" spans="1:8">
      <c r="A603" s="21"/>
      <c r="B603" s="28"/>
      <c r="C603" s="22"/>
      <c r="D603" s="28"/>
      <c r="E603" s="23" t="str">
        <f>IF($D603="","",IFERROR(VLOOKUP($D603,'ACAS Consumables Tracker'!$A:$H,8,FALSE()),""))</f>
        <v/>
      </c>
      <c r="F603" s="24"/>
      <c r="G603" s="25" t="str">
        <f>IF($D603="","",IFERROR(VLOOKUP($D603,'ACAS Consumables Tracker'!$A:$D,4,FALSE()),""))</f>
        <v/>
      </c>
      <c r="H603" s="22"/>
    </row>
    <row r="604" spans="1:8">
      <c r="A604" s="21"/>
      <c r="B604" s="28"/>
      <c r="C604" s="22"/>
      <c r="D604" s="28"/>
      <c r="E604" s="23" t="str">
        <f>IF($D604="","",IFERROR(VLOOKUP($D604,'ACAS Consumables Tracker'!$A:$H,8,FALSE()),""))</f>
        <v/>
      </c>
      <c r="F604" s="24"/>
      <c r="G604" s="25" t="str">
        <f>IF($D604="","",IFERROR(VLOOKUP($D604,'ACAS Consumables Tracker'!$A:$D,4,FALSE()),""))</f>
        <v/>
      </c>
      <c r="H604" s="22"/>
    </row>
    <row r="605" spans="1:8">
      <c r="A605" s="21"/>
      <c r="B605" s="28"/>
      <c r="C605" s="22"/>
      <c r="D605" s="28"/>
      <c r="E605" s="23" t="str">
        <f>IF($D605="","",IFERROR(VLOOKUP($D605,'ACAS Consumables Tracker'!$A:$H,8,FALSE()),""))</f>
        <v/>
      </c>
      <c r="F605" s="24"/>
      <c r="G605" s="25" t="str">
        <f>IF($D605="","",IFERROR(VLOOKUP($D605,'ACAS Consumables Tracker'!$A:$D,4,FALSE()),""))</f>
        <v/>
      </c>
      <c r="H605" s="22"/>
    </row>
    <row r="606" spans="1:8">
      <c r="A606" s="21"/>
      <c r="B606" s="28"/>
      <c r="C606" s="22"/>
      <c r="D606" s="28"/>
      <c r="E606" s="23" t="str">
        <f>IF($D606="","",IFERROR(VLOOKUP($D606,'ACAS Consumables Tracker'!$A:$H,8,FALSE()),""))</f>
        <v/>
      </c>
      <c r="F606" s="24"/>
      <c r="G606" s="25" t="str">
        <f>IF($D606="","",IFERROR(VLOOKUP($D606,'ACAS Consumables Tracker'!$A:$D,4,FALSE()),""))</f>
        <v/>
      </c>
      <c r="H606" s="22"/>
    </row>
    <row r="607" spans="1:8">
      <c r="A607" s="21"/>
      <c r="B607" s="28"/>
      <c r="C607" s="22"/>
      <c r="D607" s="28"/>
      <c r="E607" s="23" t="str">
        <f>IF($D607="","",IFERROR(VLOOKUP($D607,'ACAS Consumables Tracker'!$A:$H,8,FALSE()),""))</f>
        <v/>
      </c>
      <c r="F607" s="24"/>
      <c r="G607" s="25" t="str">
        <f>IF($D607="","",IFERROR(VLOOKUP($D607,'ACAS Consumables Tracker'!$A:$D,4,FALSE()),""))</f>
        <v/>
      </c>
      <c r="H607" s="22"/>
    </row>
    <row r="608" spans="1:8">
      <c r="A608" s="21"/>
      <c r="B608" s="28"/>
      <c r="C608" s="22"/>
      <c r="D608" s="28"/>
      <c r="E608" s="23" t="str">
        <f>IF($D608="","",IFERROR(VLOOKUP($D608,'ACAS Consumables Tracker'!$A:$H,8,FALSE()),""))</f>
        <v/>
      </c>
      <c r="F608" s="24"/>
      <c r="G608" s="25" t="str">
        <f>IF($D608="","",IFERROR(VLOOKUP($D608,'ACAS Consumables Tracker'!$A:$D,4,FALSE()),""))</f>
        <v/>
      </c>
      <c r="H608" s="22"/>
    </row>
    <row r="609" spans="1:8">
      <c r="A609" s="21"/>
      <c r="B609" s="28"/>
      <c r="C609" s="22"/>
      <c r="D609" s="28"/>
      <c r="E609" s="23" t="str">
        <f>IF($D609="","",IFERROR(VLOOKUP($D609,'ACAS Consumables Tracker'!$A:$H,8,FALSE()),""))</f>
        <v/>
      </c>
      <c r="F609" s="24"/>
      <c r="G609" s="25" t="str">
        <f>IF($D609="","",IFERROR(VLOOKUP($D609,'ACAS Consumables Tracker'!$A:$D,4,FALSE()),""))</f>
        <v/>
      </c>
      <c r="H609" s="22"/>
    </row>
    <row r="610" spans="1:8">
      <c r="A610" s="21"/>
      <c r="B610" s="28"/>
      <c r="C610" s="22"/>
      <c r="D610" s="28"/>
      <c r="E610" s="23" t="str">
        <f>IF($D610="","",IFERROR(VLOOKUP($D610,'ACAS Consumables Tracker'!$A:$H,8,FALSE()),""))</f>
        <v/>
      </c>
      <c r="F610" s="24"/>
      <c r="G610" s="25" t="str">
        <f>IF($D610="","",IFERROR(VLOOKUP($D610,'ACAS Consumables Tracker'!$A:$D,4,FALSE()),""))</f>
        <v/>
      </c>
      <c r="H610" s="22"/>
    </row>
    <row r="611" spans="1:8">
      <c r="A611" s="21"/>
      <c r="B611" s="28"/>
      <c r="C611" s="22"/>
      <c r="D611" s="28"/>
      <c r="E611" s="23" t="str">
        <f>IF($D611="","",IFERROR(VLOOKUP($D611,'ACAS Consumables Tracker'!$A:$H,8,FALSE()),""))</f>
        <v/>
      </c>
      <c r="F611" s="24"/>
      <c r="G611" s="25" t="str">
        <f>IF($D611="","",IFERROR(VLOOKUP($D611,'ACAS Consumables Tracker'!$A:$D,4,FALSE()),""))</f>
        <v/>
      </c>
      <c r="H611" s="22"/>
    </row>
    <row r="612" spans="1:8">
      <c r="A612" s="21"/>
      <c r="B612" s="28"/>
      <c r="C612" s="22"/>
      <c r="D612" s="28"/>
      <c r="E612" s="23" t="str">
        <f>IF($D612="","",IFERROR(VLOOKUP($D612,'ACAS Consumables Tracker'!$A:$H,8,FALSE()),""))</f>
        <v/>
      </c>
      <c r="F612" s="24"/>
      <c r="G612" s="25" t="str">
        <f>IF($D612="","",IFERROR(VLOOKUP($D612,'ACAS Consumables Tracker'!$A:$D,4,FALSE()),""))</f>
        <v/>
      </c>
      <c r="H612" s="22"/>
    </row>
    <row r="613" spans="1:8">
      <c r="A613" s="21"/>
      <c r="B613" s="28"/>
      <c r="C613" s="22"/>
      <c r="D613" s="28"/>
      <c r="E613" s="23" t="str">
        <f>IF($D613="","",IFERROR(VLOOKUP($D613,'ACAS Consumables Tracker'!$A:$H,8,FALSE()),""))</f>
        <v/>
      </c>
      <c r="F613" s="24"/>
      <c r="G613" s="25" t="str">
        <f>IF($D613="","",IFERROR(VLOOKUP($D613,'ACAS Consumables Tracker'!$A:$D,4,FALSE()),""))</f>
        <v/>
      </c>
      <c r="H613" s="22"/>
    </row>
    <row r="614" spans="1:8">
      <c r="A614" s="21"/>
      <c r="B614" s="28"/>
      <c r="C614" s="22"/>
      <c r="D614" s="28"/>
      <c r="E614" s="23" t="str">
        <f>IF($D614="","",IFERROR(VLOOKUP($D614,'ACAS Consumables Tracker'!$A:$H,8,FALSE()),""))</f>
        <v/>
      </c>
      <c r="F614" s="24"/>
      <c r="G614" s="25" t="str">
        <f>IF($D614="","",IFERROR(VLOOKUP($D614,'ACAS Consumables Tracker'!$A:$D,4,FALSE()),""))</f>
        <v/>
      </c>
      <c r="H614" s="22"/>
    </row>
    <row r="615" spans="1:8">
      <c r="A615" s="21"/>
      <c r="B615" s="28"/>
      <c r="C615" s="22"/>
      <c r="D615" s="28"/>
      <c r="E615" s="23" t="str">
        <f>IF($D615="","",IFERROR(VLOOKUP($D615,'ACAS Consumables Tracker'!$A:$H,8,FALSE()),""))</f>
        <v/>
      </c>
      <c r="F615" s="24"/>
      <c r="G615" s="25" t="str">
        <f>IF($D615="","",IFERROR(VLOOKUP($D615,'ACAS Consumables Tracker'!$A:$D,4,FALSE()),""))</f>
        <v/>
      </c>
      <c r="H615" s="22"/>
    </row>
    <row r="616" spans="1:8">
      <c r="A616" s="21"/>
      <c r="B616" s="28"/>
      <c r="C616" s="22"/>
      <c r="D616" s="28"/>
      <c r="E616" s="23" t="str">
        <f>IF($D616="","",IFERROR(VLOOKUP($D616,'ACAS Consumables Tracker'!$A:$H,8,FALSE()),""))</f>
        <v/>
      </c>
      <c r="F616" s="24"/>
      <c r="G616" s="25" t="str">
        <f>IF($D616="","",IFERROR(VLOOKUP($D616,'ACAS Consumables Tracker'!$A:$D,4,FALSE()),""))</f>
        <v/>
      </c>
      <c r="H616" s="22"/>
    </row>
    <row r="617" spans="1:8">
      <c r="A617" s="21"/>
      <c r="B617" s="28"/>
      <c r="C617" s="22"/>
      <c r="D617" s="28"/>
      <c r="E617" s="23" t="str">
        <f>IF($D617="","",IFERROR(VLOOKUP($D617,'ACAS Consumables Tracker'!$A:$H,8,FALSE()),""))</f>
        <v/>
      </c>
      <c r="F617" s="24"/>
      <c r="G617" s="25" t="str">
        <f>IF($D617="","",IFERROR(VLOOKUP($D617,'ACAS Consumables Tracker'!$A:$D,4,FALSE()),""))</f>
        <v/>
      </c>
      <c r="H617" s="22"/>
    </row>
    <row r="618" spans="1:8">
      <c r="A618" s="21"/>
      <c r="B618" s="28"/>
      <c r="C618" s="22"/>
      <c r="D618" s="28"/>
      <c r="E618" s="23" t="str">
        <f>IF($D618="","",IFERROR(VLOOKUP($D618,'ACAS Consumables Tracker'!$A:$H,8,FALSE()),""))</f>
        <v/>
      </c>
      <c r="F618" s="24"/>
      <c r="G618" s="25" t="str">
        <f>IF($D618="","",IFERROR(VLOOKUP($D618,'ACAS Consumables Tracker'!$A:$D,4,FALSE()),""))</f>
        <v/>
      </c>
      <c r="H618" s="22"/>
    </row>
    <row r="619" spans="1:8">
      <c r="A619" s="21"/>
      <c r="B619" s="28"/>
      <c r="C619" s="22"/>
      <c r="D619" s="28"/>
      <c r="E619" s="23" t="str">
        <f>IF($D619="","",IFERROR(VLOOKUP($D619,'ACAS Consumables Tracker'!$A:$H,8,FALSE()),""))</f>
        <v/>
      </c>
      <c r="F619" s="24"/>
      <c r="G619" s="25" t="str">
        <f>IF($D619="","",IFERROR(VLOOKUP($D619,'ACAS Consumables Tracker'!$A:$D,4,FALSE()),""))</f>
        <v/>
      </c>
      <c r="H619" s="22"/>
    </row>
    <row r="620" spans="1:8">
      <c r="A620" s="21"/>
      <c r="B620" s="28"/>
      <c r="C620" s="22"/>
      <c r="D620" s="28"/>
      <c r="E620" s="23" t="str">
        <f>IF($D620="","",IFERROR(VLOOKUP($D620,'ACAS Consumables Tracker'!$A:$H,8,FALSE()),""))</f>
        <v/>
      </c>
      <c r="F620" s="24"/>
      <c r="G620" s="25" t="str">
        <f>IF($D620="","",IFERROR(VLOOKUP($D620,'ACAS Consumables Tracker'!$A:$D,4,FALSE()),""))</f>
        <v/>
      </c>
      <c r="H620" s="22"/>
    </row>
    <row r="621" spans="1:8">
      <c r="A621" s="21"/>
      <c r="B621" s="28"/>
      <c r="C621" s="22"/>
      <c r="D621" s="28"/>
      <c r="E621" s="23" t="str">
        <f>IF($D621="","",IFERROR(VLOOKUP($D621,'ACAS Consumables Tracker'!$A:$H,8,FALSE()),""))</f>
        <v/>
      </c>
      <c r="F621" s="24"/>
      <c r="G621" s="25" t="str">
        <f>IF($D621="","",IFERROR(VLOOKUP($D621,'ACAS Consumables Tracker'!$A:$D,4,FALSE()),""))</f>
        <v/>
      </c>
      <c r="H621" s="22"/>
    </row>
    <row r="622" spans="1:8">
      <c r="A622" s="21"/>
      <c r="B622" s="28"/>
      <c r="C622" s="22"/>
      <c r="D622" s="28"/>
      <c r="E622" s="23" t="str">
        <f>IF($D622="","",IFERROR(VLOOKUP($D622,'ACAS Consumables Tracker'!$A:$H,8,FALSE()),""))</f>
        <v/>
      </c>
      <c r="F622" s="24"/>
      <c r="G622" s="25" t="str">
        <f>IF($D622="","",IFERROR(VLOOKUP($D622,'ACAS Consumables Tracker'!$A:$D,4,FALSE()),""))</f>
        <v/>
      </c>
      <c r="H622" s="22"/>
    </row>
    <row r="623" spans="1:8">
      <c r="A623" s="21"/>
      <c r="B623" s="28"/>
      <c r="C623" s="22"/>
      <c r="D623" s="28"/>
      <c r="E623" s="23" t="str">
        <f>IF($D623="","",IFERROR(VLOOKUP($D623,'ACAS Consumables Tracker'!$A:$H,8,FALSE()),""))</f>
        <v/>
      </c>
      <c r="F623" s="24"/>
      <c r="G623" s="25" t="str">
        <f>IF($D623="","",IFERROR(VLOOKUP($D623,'ACAS Consumables Tracker'!$A:$D,4,FALSE()),""))</f>
        <v/>
      </c>
      <c r="H623" s="22"/>
    </row>
    <row r="624" spans="1:8">
      <c r="A624" s="21"/>
      <c r="B624" s="28"/>
      <c r="C624" s="22"/>
      <c r="D624" s="28"/>
      <c r="E624" s="23" t="str">
        <f>IF($D624="","",IFERROR(VLOOKUP($D624,'ACAS Consumables Tracker'!$A:$H,8,FALSE()),""))</f>
        <v/>
      </c>
      <c r="F624" s="24"/>
      <c r="G624" s="25" t="str">
        <f>IF($D624="","",IFERROR(VLOOKUP($D624,'ACAS Consumables Tracker'!$A:$D,4,FALSE()),""))</f>
        <v/>
      </c>
      <c r="H624" s="22"/>
    </row>
    <row r="625" spans="1:8">
      <c r="A625" s="21"/>
      <c r="B625" s="28"/>
      <c r="C625" s="22"/>
      <c r="D625" s="28"/>
      <c r="E625" s="23" t="str">
        <f>IF($D625="","",IFERROR(VLOOKUP($D625,'ACAS Consumables Tracker'!$A:$H,8,FALSE()),""))</f>
        <v/>
      </c>
      <c r="F625" s="24"/>
      <c r="G625" s="25" t="str">
        <f>IF($D625="","",IFERROR(VLOOKUP($D625,'ACAS Consumables Tracker'!$A:$D,4,FALSE()),""))</f>
        <v/>
      </c>
      <c r="H625" s="22"/>
    </row>
    <row r="626" spans="1:8">
      <c r="A626" s="21"/>
      <c r="B626" s="28"/>
      <c r="C626" s="22"/>
      <c r="D626" s="28"/>
      <c r="E626" s="23" t="str">
        <f>IF($D626="","",IFERROR(VLOOKUP($D626,'ACAS Consumables Tracker'!$A:$H,8,FALSE()),""))</f>
        <v/>
      </c>
      <c r="F626" s="24"/>
      <c r="G626" s="25" t="str">
        <f>IF($D626="","",IFERROR(VLOOKUP($D626,'ACAS Consumables Tracker'!$A:$D,4,FALSE()),""))</f>
        <v/>
      </c>
      <c r="H626" s="22"/>
    </row>
    <row r="627" spans="1:8">
      <c r="A627" s="21"/>
      <c r="B627" s="28"/>
      <c r="C627" s="22"/>
      <c r="D627" s="28"/>
      <c r="E627" s="23" t="str">
        <f>IF($D627="","",IFERROR(VLOOKUP($D627,'ACAS Consumables Tracker'!$A:$H,8,FALSE()),""))</f>
        <v/>
      </c>
      <c r="F627" s="24"/>
      <c r="G627" s="25" t="str">
        <f>IF($D627="","",IFERROR(VLOOKUP($D627,'ACAS Consumables Tracker'!$A:$D,4,FALSE()),""))</f>
        <v/>
      </c>
      <c r="H627" s="22"/>
    </row>
    <row r="628" spans="1:8">
      <c r="A628" s="21"/>
      <c r="B628" s="28"/>
      <c r="C628" s="22"/>
      <c r="D628" s="28"/>
      <c r="E628" s="23" t="str">
        <f>IF($D628="","",IFERROR(VLOOKUP($D628,'ACAS Consumables Tracker'!$A:$H,8,FALSE()),""))</f>
        <v/>
      </c>
      <c r="F628" s="24"/>
      <c r="G628" s="25" t="str">
        <f>IF($D628="","",IFERROR(VLOOKUP($D628,'ACAS Consumables Tracker'!$A:$D,4,FALSE()),""))</f>
        <v/>
      </c>
      <c r="H628" s="22"/>
    </row>
    <row r="629" spans="1:8">
      <c r="A629" s="21"/>
      <c r="B629" s="28"/>
      <c r="C629" s="22"/>
      <c r="D629" s="28"/>
      <c r="E629" s="23" t="str">
        <f>IF($D629="","",IFERROR(VLOOKUP($D629,'ACAS Consumables Tracker'!$A:$H,8,FALSE()),""))</f>
        <v/>
      </c>
      <c r="F629" s="24"/>
      <c r="G629" s="25" t="str">
        <f>IF($D629="","",IFERROR(VLOOKUP($D629,'ACAS Consumables Tracker'!$A:$D,4,FALSE()),""))</f>
        <v/>
      </c>
      <c r="H629" s="22"/>
    </row>
    <row r="630" spans="1:8">
      <c r="A630" s="21"/>
      <c r="B630" s="28"/>
      <c r="C630" s="22"/>
      <c r="D630" s="28"/>
      <c r="E630" s="23" t="str">
        <f>IF($D630="","",IFERROR(VLOOKUP($D630,'ACAS Consumables Tracker'!$A:$H,8,FALSE()),""))</f>
        <v/>
      </c>
      <c r="F630" s="24"/>
      <c r="G630" s="25" t="str">
        <f>IF($D630="","",IFERROR(VLOOKUP($D630,'ACAS Consumables Tracker'!$A:$D,4,FALSE()),""))</f>
        <v/>
      </c>
      <c r="H630" s="22"/>
    </row>
    <row r="631" spans="1:8">
      <c r="A631" s="21"/>
      <c r="B631" s="28"/>
      <c r="C631" s="22"/>
      <c r="D631" s="28"/>
      <c r="E631" s="23" t="str">
        <f>IF($D631="","",IFERROR(VLOOKUP($D631,'ACAS Consumables Tracker'!$A:$H,8,FALSE()),""))</f>
        <v/>
      </c>
      <c r="F631" s="24"/>
      <c r="G631" s="25" t="str">
        <f>IF($D631="","",IFERROR(VLOOKUP($D631,'ACAS Consumables Tracker'!$A:$D,4,FALSE()),""))</f>
        <v/>
      </c>
      <c r="H631" s="22"/>
    </row>
    <row r="632" spans="1:8">
      <c r="A632" s="21"/>
      <c r="B632" s="28"/>
      <c r="C632" s="22"/>
      <c r="D632" s="28"/>
      <c r="E632" s="23" t="str">
        <f>IF($D632="","",IFERROR(VLOOKUP($D632,'ACAS Consumables Tracker'!$A:$H,8,FALSE()),""))</f>
        <v/>
      </c>
      <c r="F632" s="24"/>
      <c r="G632" s="25" t="str">
        <f>IF($D632="","",IFERROR(VLOOKUP($D632,'ACAS Consumables Tracker'!$A:$D,4,FALSE()),""))</f>
        <v/>
      </c>
      <c r="H632" s="22"/>
    </row>
    <row r="633" spans="1:8">
      <c r="A633" s="21"/>
      <c r="B633" s="28"/>
      <c r="C633" s="22"/>
      <c r="D633" s="28"/>
      <c r="E633" s="23" t="str">
        <f>IF($D633="","",IFERROR(VLOOKUP($D633,'ACAS Consumables Tracker'!$A:$H,8,FALSE()),""))</f>
        <v/>
      </c>
      <c r="F633" s="24"/>
      <c r="G633" s="25" t="str">
        <f>IF($D633="","",IFERROR(VLOOKUP($D633,'ACAS Consumables Tracker'!$A:$D,4,FALSE()),""))</f>
        <v/>
      </c>
      <c r="H633" s="22"/>
    </row>
    <row r="634" spans="1:8">
      <c r="A634" s="21"/>
      <c r="B634" s="28"/>
      <c r="C634" s="22"/>
      <c r="D634" s="28"/>
      <c r="E634" s="23" t="str">
        <f>IF($D634="","",IFERROR(VLOOKUP($D634,'ACAS Consumables Tracker'!$A:$H,8,FALSE()),""))</f>
        <v/>
      </c>
      <c r="F634" s="24"/>
      <c r="G634" s="25" t="str">
        <f>IF($D634="","",IFERROR(VLOOKUP($D634,'ACAS Consumables Tracker'!$A:$D,4,FALSE()),""))</f>
        <v/>
      </c>
      <c r="H634" s="22"/>
    </row>
    <row r="635" spans="1:8">
      <c r="A635" s="21"/>
      <c r="B635" s="28"/>
      <c r="C635" s="22"/>
      <c r="D635" s="28"/>
      <c r="E635" s="23" t="str">
        <f>IF($D635="","",IFERROR(VLOOKUP($D635,'ACAS Consumables Tracker'!$A:$H,8,FALSE()),""))</f>
        <v/>
      </c>
      <c r="F635" s="24"/>
      <c r="G635" s="25" t="str">
        <f>IF($D635="","",IFERROR(VLOOKUP($D635,'ACAS Consumables Tracker'!$A:$D,4,FALSE()),""))</f>
        <v/>
      </c>
      <c r="H635" s="22"/>
    </row>
    <row r="636" spans="1:8">
      <c r="A636" s="21"/>
      <c r="B636" s="28"/>
      <c r="C636" s="22"/>
      <c r="D636" s="28"/>
      <c r="E636" s="23" t="str">
        <f>IF($D636="","",IFERROR(VLOOKUP($D636,'ACAS Consumables Tracker'!$A:$H,8,FALSE()),""))</f>
        <v/>
      </c>
      <c r="F636" s="24"/>
      <c r="G636" s="25" t="str">
        <f>IF($D636="","",IFERROR(VLOOKUP($D636,'ACAS Consumables Tracker'!$A:$D,4,FALSE()),""))</f>
        <v/>
      </c>
      <c r="H636" s="22"/>
    </row>
    <row r="637" spans="1:8">
      <c r="A637" s="21"/>
      <c r="B637" s="28"/>
      <c r="C637" s="22"/>
      <c r="D637" s="28"/>
      <c r="E637" s="23" t="str">
        <f>IF($D637="","",IFERROR(VLOOKUP($D637,'ACAS Consumables Tracker'!$A:$H,8,FALSE()),""))</f>
        <v/>
      </c>
      <c r="F637" s="24"/>
      <c r="G637" s="25" t="str">
        <f>IF($D637="","",IFERROR(VLOOKUP($D637,'ACAS Consumables Tracker'!$A:$D,4,FALSE()),""))</f>
        <v/>
      </c>
      <c r="H637" s="22"/>
    </row>
    <row r="638" spans="1:8">
      <c r="A638" s="21"/>
      <c r="B638" s="28"/>
      <c r="C638" s="22"/>
      <c r="D638" s="28"/>
      <c r="E638" s="23" t="str">
        <f>IF($D638="","",IFERROR(VLOOKUP($D638,'ACAS Consumables Tracker'!$A:$H,8,FALSE()),""))</f>
        <v/>
      </c>
      <c r="F638" s="24"/>
      <c r="G638" s="25" t="str">
        <f>IF($D638="","",IFERROR(VLOOKUP($D638,'ACAS Consumables Tracker'!$A:$D,4,FALSE()),""))</f>
        <v/>
      </c>
      <c r="H638" s="22"/>
    </row>
    <row r="639" spans="1:8">
      <c r="A639" s="21"/>
      <c r="B639" s="28"/>
      <c r="C639" s="22"/>
      <c r="D639" s="28"/>
      <c r="E639" s="23" t="str">
        <f>IF($D639="","",IFERROR(VLOOKUP($D639,'ACAS Consumables Tracker'!$A:$H,8,FALSE()),""))</f>
        <v/>
      </c>
      <c r="F639" s="24"/>
      <c r="G639" s="25" t="str">
        <f>IF($D639="","",IFERROR(VLOOKUP($D639,'ACAS Consumables Tracker'!$A:$D,4,FALSE()),""))</f>
        <v/>
      </c>
      <c r="H639" s="22"/>
    </row>
    <row r="640" spans="1:8">
      <c r="A640" s="21"/>
      <c r="B640" s="28"/>
      <c r="C640" s="22"/>
      <c r="D640" s="28"/>
      <c r="E640" s="23" t="str">
        <f>IF($D640="","",IFERROR(VLOOKUP($D640,'ACAS Consumables Tracker'!$A:$H,8,FALSE()),""))</f>
        <v/>
      </c>
      <c r="F640" s="24"/>
      <c r="G640" s="25" t="str">
        <f>IF($D640="","",IFERROR(VLOOKUP($D640,'ACAS Consumables Tracker'!$A:$D,4,FALSE()),""))</f>
        <v/>
      </c>
      <c r="H640" s="22"/>
    </row>
    <row r="641" spans="1:8">
      <c r="A641" s="21"/>
      <c r="B641" s="28"/>
      <c r="C641" s="22"/>
      <c r="D641" s="28"/>
      <c r="E641" s="23" t="str">
        <f>IF($D641="","",IFERROR(VLOOKUP($D641,'ACAS Consumables Tracker'!$A:$H,8,FALSE()),""))</f>
        <v/>
      </c>
      <c r="F641" s="24"/>
      <c r="G641" s="25" t="str">
        <f>IF($D641="","",IFERROR(VLOOKUP($D641,'ACAS Consumables Tracker'!$A:$D,4,FALSE()),""))</f>
        <v/>
      </c>
      <c r="H641" s="22"/>
    </row>
    <row r="642" spans="1:8">
      <c r="A642" s="21"/>
      <c r="B642" s="28"/>
      <c r="C642" s="22"/>
      <c r="D642" s="28"/>
      <c r="E642" s="23" t="str">
        <f>IF($D642="","",IFERROR(VLOOKUP($D642,'ACAS Consumables Tracker'!$A:$H,8,FALSE()),""))</f>
        <v/>
      </c>
      <c r="F642" s="24"/>
      <c r="G642" s="25" t="str">
        <f>IF($D642="","",IFERROR(VLOOKUP($D642,'ACAS Consumables Tracker'!$A:$D,4,FALSE()),""))</f>
        <v/>
      </c>
      <c r="H642" s="22"/>
    </row>
    <row r="643" spans="1:8">
      <c r="A643" s="21"/>
      <c r="B643" s="28"/>
      <c r="C643" s="22"/>
      <c r="D643" s="28"/>
      <c r="E643" s="23" t="str">
        <f>IF($D643="","",IFERROR(VLOOKUP($D643,'ACAS Consumables Tracker'!$A:$H,8,FALSE()),""))</f>
        <v/>
      </c>
      <c r="F643" s="24"/>
      <c r="G643" s="25" t="str">
        <f>IF($D643="","",IFERROR(VLOOKUP($D643,'ACAS Consumables Tracker'!$A:$D,4,FALSE()),""))</f>
        <v/>
      </c>
      <c r="H643" s="22"/>
    </row>
    <row r="644" spans="1:8">
      <c r="A644" s="21"/>
      <c r="B644" s="28"/>
      <c r="C644" s="22"/>
      <c r="D644" s="28"/>
      <c r="E644" s="23" t="str">
        <f>IF($D644="","",IFERROR(VLOOKUP($D644,'ACAS Consumables Tracker'!$A:$H,8,FALSE()),""))</f>
        <v/>
      </c>
      <c r="F644" s="24"/>
      <c r="G644" s="25" t="str">
        <f>IF($D644="","",IFERROR(VLOOKUP($D644,'ACAS Consumables Tracker'!$A:$D,4,FALSE()),""))</f>
        <v/>
      </c>
      <c r="H644" s="22"/>
    </row>
    <row r="645" spans="1:8">
      <c r="A645" s="21"/>
      <c r="B645" s="28"/>
      <c r="C645" s="22"/>
      <c r="D645" s="28"/>
      <c r="E645" s="23" t="str">
        <f>IF($D645="","",IFERROR(VLOOKUP($D645,'ACAS Consumables Tracker'!$A:$H,8,FALSE()),""))</f>
        <v/>
      </c>
      <c r="F645" s="24"/>
      <c r="G645" s="25" t="str">
        <f>IF($D645="","",IFERROR(VLOOKUP($D645,'ACAS Consumables Tracker'!$A:$D,4,FALSE()),""))</f>
        <v/>
      </c>
      <c r="H645" s="22"/>
    </row>
    <row r="646" spans="1:8">
      <c r="A646" s="21"/>
      <c r="B646" s="28"/>
      <c r="C646" s="22"/>
      <c r="D646" s="28"/>
      <c r="E646" s="23" t="str">
        <f>IF($D646="","",IFERROR(VLOOKUP($D646,'ACAS Consumables Tracker'!$A:$H,8,FALSE()),""))</f>
        <v/>
      </c>
      <c r="F646" s="24"/>
      <c r="G646" s="25" t="str">
        <f>IF($D646="","",IFERROR(VLOOKUP($D646,'ACAS Consumables Tracker'!$A:$D,4,FALSE()),""))</f>
        <v/>
      </c>
      <c r="H646" s="22"/>
    </row>
    <row r="647" spans="1:8">
      <c r="A647" s="21"/>
      <c r="B647" s="28"/>
      <c r="C647" s="22"/>
      <c r="D647" s="28"/>
      <c r="E647" s="23" t="str">
        <f>IF($D647="","",IFERROR(VLOOKUP($D647,'ACAS Consumables Tracker'!$A:$H,8,FALSE()),""))</f>
        <v/>
      </c>
      <c r="F647" s="24"/>
      <c r="G647" s="25" t="str">
        <f>IF($D647="","",IFERROR(VLOOKUP($D647,'ACAS Consumables Tracker'!$A:$D,4,FALSE()),""))</f>
        <v/>
      </c>
      <c r="H647" s="22"/>
    </row>
    <row r="648" spans="1:8">
      <c r="A648" s="21"/>
      <c r="B648" s="28"/>
      <c r="C648" s="22"/>
      <c r="D648" s="28"/>
      <c r="E648" s="23" t="str">
        <f>IF($D648="","",IFERROR(VLOOKUP($D648,'ACAS Consumables Tracker'!$A:$H,8,FALSE()),""))</f>
        <v/>
      </c>
      <c r="F648" s="24"/>
      <c r="G648" s="25" t="str">
        <f>IF($D648="","",IFERROR(VLOOKUP($D648,'ACAS Consumables Tracker'!$A:$D,4,FALSE()),""))</f>
        <v/>
      </c>
      <c r="H648" s="22"/>
    </row>
    <row r="649" spans="1:8">
      <c r="A649" s="21"/>
      <c r="B649" s="28"/>
      <c r="C649" s="22"/>
      <c r="D649" s="28"/>
      <c r="E649" s="23" t="str">
        <f>IF($D649="","",IFERROR(VLOOKUP($D649,'ACAS Consumables Tracker'!$A:$H,8,FALSE()),""))</f>
        <v/>
      </c>
      <c r="F649" s="24"/>
      <c r="G649" s="25" t="str">
        <f>IF($D649="","",IFERROR(VLOOKUP($D649,'ACAS Consumables Tracker'!$A:$D,4,FALSE()),""))</f>
        <v/>
      </c>
      <c r="H649" s="22"/>
    </row>
    <row r="650" spans="1:8">
      <c r="A650" s="21"/>
      <c r="B650" s="28"/>
      <c r="C650" s="22"/>
      <c r="D650" s="28"/>
      <c r="E650" s="23" t="str">
        <f>IF($D650="","",IFERROR(VLOOKUP($D650,'ACAS Consumables Tracker'!$A:$H,8,FALSE()),""))</f>
        <v/>
      </c>
      <c r="F650" s="24"/>
      <c r="G650" s="25" t="str">
        <f>IF($D650="","",IFERROR(VLOOKUP($D650,'ACAS Consumables Tracker'!$A:$D,4,FALSE()),""))</f>
        <v/>
      </c>
      <c r="H650" s="22"/>
    </row>
    <row r="651" spans="1:8">
      <c r="A651" s="21"/>
      <c r="B651" s="28"/>
      <c r="C651" s="22"/>
      <c r="D651" s="28"/>
      <c r="E651" s="23" t="str">
        <f>IF($D651="","",IFERROR(VLOOKUP($D651,'ACAS Consumables Tracker'!$A:$H,8,FALSE()),""))</f>
        <v/>
      </c>
      <c r="F651" s="24"/>
      <c r="G651" s="25" t="str">
        <f>IF($D651="","",IFERROR(VLOOKUP($D651,'ACAS Consumables Tracker'!$A:$D,4,FALSE()),""))</f>
        <v/>
      </c>
      <c r="H651" s="22"/>
    </row>
    <row r="652" spans="1:8">
      <c r="A652" s="21"/>
      <c r="B652" s="28"/>
      <c r="C652" s="22"/>
      <c r="D652" s="28"/>
      <c r="E652" s="23" t="str">
        <f>IF($D652="","",IFERROR(VLOOKUP($D652,'ACAS Consumables Tracker'!$A:$H,8,FALSE()),""))</f>
        <v/>
      </c>
      <c r="F652" s="24"/>
      <c r="G652" s="25" t="str">
        <f>IF($D652="","",IFERROR(VLOOKUP($D652,'ACAS Consumables Tracker'!$A:$D,4,FALSE()),""))</f>
        <v/>
      </c>
      <c r="H652" s="22"/>
    </row>
    <row r="653" spans="1:8">
      <c r="A653" s="21"/>
      <c r="B653" s="28"/>
      <c r="C653" s="22"/>
      <c r="D653" s="28"/>
      <c r="E653" s="23" t="str">
        <f>IF($D653="","",IFERROR(VLOOKUP($D653,'ACAS Consumables Tracker'!$A:$H,8,FALSE()),""))</f>
        <v/>
      </c>
      <c r="F653" s="24"/>
      <c r="G653" s="25" t="str">
        <f>IF($D653="","",IFERROR(VLOOKUP($D653,'ACAS Consumables Tracker'!$A:$D,4,FALSE()),""))</f>
        <v/>
      </c>
      <c r="H653" s="22"/>
    </row>
    <row r="654" spans="1:8">
      <c r="A654" s="21"/>
      <c r="B654" s="28"/>
      <c r="C654" s="22"/>
      <c r="D654" s="28"/>
      <c r="E654" s="23" t="str">
        <f>IF($D654="","",IFERROR(VLOOKUP($D654,'ACAS Consumables Tracker'!$A:$H,8,FALSE()),""))</f>
        <v/>
      </c>
      <c r="F654" s="24"/>
      <c r="G654" s="25" t="str">
        <f>IF($D654="","",IFERROR(VLOOKUP($D654,'ACAS Consumables Tracker'!$A:$D,4,FALSE()),""))</f>
        <v/>
      </c>
      <c r="H654" s="22"/>
    </row>
    <row r="655" spans="1:8">
      <c r="A655" s="21"/>
      <c r="B655" s="28"/>
      <c r="C655" s="22"/>
      <c r="D655" s="28"/>
      <c r="E655" s="23" t="str">
        <f>IF($D655="","",IFERROR(VLOOKUP($D655,'ACAS Consumables Tracker'!$A:$H,8,FALSE()),""))</f>
        <v/>
      </c>
      <c r="F655" s="24"/>
      <c r="G655" s="25" t="str">
        <f>IF($D655="","",IFERROR(VLOOKUP($D655,'ACAS Consumables Tracker'!$A:$D,4,FALSE()),""))</f>
        <v/>
      </c>
      <c r="H655" s="22"/>
    </row>
    <row r="656" spans="1:8">
      <c r="A656" s="21"/>
      <c r="B656" s="28"/>
      <c r="C656" s="22"/>
      <c r="D656" s="28"/>
      <c r="E656" s="23" t="str">
        <f>IF($D656="","",IFERROR(VLOOKUP($D656,'ACAS Consumables Tracker'!$A:$H,8,FALSE()),""))</f>
        <v/>
      </c>
      <c r="F656" s="24"/>
      <c r="G656" s="25" t="str">
        <f>IF($D656="","",IFERROR(VLOOKUP($D656,'ACAS Consumables Tracker'!$A:$D,4,FALSE()),""))</f>
        <v/>
      </c>
      <c r="H656" s="22"/>
    </row>
    <row r="657" spans="1:8">
      <c r="A657" s="21"/>
      <c r="B657" s="28"/>
      <c r="C657" s="22"/>
      <c r="D657" s="28"/>
      <c r="E657" s="23" t="str">
        <f>IF($D657="","",IFERROR(VLOOKUP($D657,'ACAS Consumables Tracker'!$A:$H,8,FALSE()),""))</f>
        <v/>
      </c>
      <c r="F657" s="24"/>
      <c r="G657" s="25" t="str">
        <f>IF($D657="","",IFERROR(VLOOKUP($D657,'ACAS Consumables Tracker'!$A:$D,4,FALSE()),""))</f>
        <v/>
      </c>
      <c r="H657" s="22"/>
    </row>
    <row r="658" spans="1:8">
      <c r="A658" s="21"/>
      <c r="B658" s="28"/>
      <c r="C658" s="22"/>
      <c r="D658" s="28"/>
      <c r="E658" s="23" t="str">
        <f>IF($D658="","",IFERROR(VLOOKUP($D658,'ACAS Consumables Tracker'!$A:$H,8,FALSE()),""))</f>
        <v/>
      </c>
      <c r="F658" s="24"/>
      <c r="G658" s="25" t="str">
        <f>IF($D658="","",IFERROR(VLOOKUP($D658,'ACAS Consumables Tracker'!$A:$D,4,FALSE()),""))</f>
        <v/>
      </c>
      <c r="H658" s="22"/>
    </row>
    <row r="659" spans="1:8">
      <c r="A659" s="21"/>
      <c r="B659" s="28"/>
      <c r="C659" s="22"/>
      <c r="D659" s="28"/>
      <c r="E659" s="23" t="str">
        <f>IF($D659="","",IFERROR(VLOOKUP($D659,'ACAS Consumables Tracker'!$A:$H,8,FALSE()),""))</f>
        <v/>
      </c>
      <c r="F659" s="24"/>
      <c r="G659" s="25" t="str">
        <f>IF($D659="","",IFERROR(VLOOKUP($D659,'ACAS Consumables Tracker'!$A:$D,4,FALSE()),""))</f>
        <v/>
      </c>
      <c r="H659" s="22"/>
    </row>
    <row r="660" spans="1:8">
      <c r="A660" s="21"/>
      <c r="B660" s="28"/>
      <c r="C660" s="22"/>
      <c r="D660" s="28"/>
      <c r="E660" s="23" t="str">
        <f>IF($D660="","",IFERROR(VLOOKUP($D660,'ACAS Consumables Tracker'!$A:$H,8,FALSE()),""))</f>
        <v/>
      </c>
      <c r="F660" s="24"/>
      <c r="G660" s="25" t="str">
        <f>IF($D660="","",IFERROR(VLOOKUP($D660,'ACAS Consumables Tracker'!$A:$D,4,FALSE()),""))</f>
        <v/>
      </c>
      <c r="H660" s="22"/>
    </row>
    <row r="661" spans="1:8">
      <c r="A661" s="21"/>
      <c r="B661" s="28"/>
      <c r="C661" s="22"/>
      <c r="D661" s="28"/>
      <c r="E661" s="23" t="str">
        <f>IF($D661="","",IFERROR(VLOOKUP($D661,'ACAS Consumables Tracker'!$A:$H,8,FALSE()),""))</f>
        <v/>
      </c>
      <c r="F661" s="24"/>
      <c r="G661" s="25" t="str">
        <f>IF($D661="","",IFERROR(VLOOKUP($D661,'ACAS Consumables Tracker'!$A:$D,4,FALSE()),""))</f>
        <v/>
      </c>
      <c r="H661" s="22"/>
    </row>
    <row r="662" spans="1:8">
      <c r="A662" s="21"/>
      <c r="B662" s="28"/>
      <c r="C662" s="22"/>
      <c r="D662" s="28"/>
      <c r="E662" s="23" t="str">
        <f>IF($D662="","",IFERROR(VLOOKUP($D662,'ACAS Consumables Tracker'!$A:$H,8,FALSE()),""))</f>
        <v/>
      </c>
      <c r="F662" s="24"/>
      <c r="G662" s="25" t="str">
        <f>IF($D662="","",IFERROR(VLOOKUP($D662,'ACAS Consumables Tracker'!$A:$D,4,FALSE()),""))</f>
        <v/>
      </c>
      <c r="H662" s="22"/>
    </row>
    <row r="663" spans="1:8">
      <c r="A663" s="21"/>
      <c r="B663" s="28"/>
      <c r="C663" s="22"/>
      <c r="D663" s="28"/>
      <c r="E663" s="23" t="str">
        <f>IF($D663="","",IFERROR(VLOOKUP($D663,'ACAS Consumables Tracker'!$A:$H,8,FALSE()),""))</f>
        <v/>
      </c>
      <c r="F663" s="24"/>
      <c r="G663" s="25" t="str">
        <f>IF($D663="","",IFERROR(VLOOKUP($D663,'ACAS Consumables Tracker'!$A:$D,4,FALSE()),""))</f>
        <v/>
      </c>
      <c r="H663" s="22"/>
    </row>
    <row r="664" spans="1:8">
      <c r="A664" s="21"/>
      <c r="B664" s="28"/>
      <c r="C664" s="22"/>
      <c r="D664" s="28"/>
      <c r="E664" s="23" t="str">
        <f>IF($D664="","",IFERROR(VLOOKUP($D664,'ACAS Consumables Tracker'!$A:$H,8,FALSE()),""))</f>
        <v/>
      </c>
      <c r="F664" s="24"/>
      <c r="G664" s="25" t="str">
        <f>IF($D664="","",IFERROR(VLOOKUP($D664,'ACAS Consumables Tracker'!$A:$D,4,FALSE()),""))</f>
        <v/>
      </c>
      <c r="H664" s="22"/>
    </row>
    <row r="665" spans="1:8">
      <c r="A665" s="21"/>
      <c r="B665" s="28"/>
      <c r="C665" s="22"/>
      <c r="D665" s="28"/>
      <c r="E665" s="23" t="str">
        <f>IF($D665="","",IFERROR(VLOOKUP($D665,'ACAS Consumables Tracker'!$A:$H,8,FALSE()),""))</f>
        <v/>
      </c>
      <c r="F665" s="24"/>
      <c r="G665" s="25" t="str">
        <f>IF($D665="","",IFERROR(VLOOKUP($D665,'ACAS Consumables Tracker'!$A:$D,4,FALSE()),""))</f>
        <v/>
      </c>
      <c r="H665" s="22"/>
    </row>
    <row r="666" spans="1:8">
      <c r="A666" s="21"/>
      <c r="B666" s="28"/>
      <c r="C666" s="22"/>
      <c r="D666" s="28"/>
      <c r="E666" s="23" t="str">
        <f>IF($D666="","",IFERROR(VLOOKUP($D666,'ACAS Consumables Tracker'!$A:$H,8,FALSE()),""))</f>
        <v/>
      </c>
      <c r="F666" s="24"/>
      <c r="G666" s="25" t="str">
        <f>IF($D666="","",IFERROR(VLOOKUP($D666,'ACAS Consumables Tracker'!$A:$D,4,FALSE()),""))</f>
        <v/>
      </c>
      <c r="H666" s="22"/>
    </row>
    <row r="667" spans="1:8">
      <c r="A667" s="21"/>
      <c r="B667" s="28"/>
      <c r="C667" s="22"/>
      <c r="D667" s="28"/>
      <c r="E667" s="23" t="str">
        <f>IF($D667="","",IFERROR(VLOOKUP($D667,'ACAS Consumables Tracker'!$A:$H,8,FALSE()),""))</f>
        <v/>
      </c>
      <c r="F667" s="24"/>
      <c r="G667" s="25" t="str">
        <f>IF($D667="","",IFERROR(VLOOKUP($D667,'ACAS Consumables Tracker'!$A:$D,4,FALSE()),""))</f>
        <v/>
      </c>
      <c r="H667" s="22"/>
    </row>
    <row r="668" spans="1:8">
      <c r="A668" s="21"/>
      <c r="B668" s="28"/>
      <c r="C668" s="22"/>
      <c r="D668" s="28"/>
      <c r="E668" s="23" t="str">
        <f>IF($D668="","",IFERROR(VLOOKUP($D668,'ACAS Consumables Tracker'!$A:$H,8,FALSE()),""))</f>
        <v/>
      </c>
      <c r="F668" s="24"/>
      <c r="G668" s="25" t="str">
        <f>IF($D668="","",IFERROR(VLOOKUP($D668,'ACAS Consumables Tracker'!$A:$D,4,FALSE()),""))</f>
        <v/>
      </c>
      <c r="H668" s="22"/>
    </row>
    <row r="669" spans="1:8">
      <c r="A669" s="21"/>
      <c r="B669" s="28"/>
      <c r="C669" s="22"/>
      <c r="D669" s="28"/>
      <c r="E669" s="23" t="str">
        <f>IF($D669="","",IFERROR(VLOOKUP($D669,'ACAS Consumables Tracker'!$A:$H,8,FALSE()),""))</f>
        <v/>
      </c>
      <c r="F669" s="24"/>
      <c r="G669" s="25" t="str">
        <f>IF($D669="","",IFERROR(VLOOKUP($D669,'ACAS Consumables Tracker'!$A:$D,4,FALSE()),""))</f>
        <v/>
      </c>
      <c r="H669" s="22"/>
    </row>
    <row r="670" spans="1:8">
      <c r="A670" s="21"/>
      <c r="B670" s="28"/>
      <c r="C670" s="22"/>
      <c r="D670" s="28"/>
      <c r="E670" s="23" t="str">
        <f>IF($D670="","",IFERROR(VLOOKUP($D670,'ACAS Consumables Tracker'!$A:$H,8,FALSE()),""))</f>
        <v/>
      </c>
      <c r="F670" s="24"/>
      <c r="G670" s="25" t="str">
        <f>IF($D670="","",IFERROR(VLOOKUP($D670,'ACAS Consumables Tracker'!$A:$D,4,FALSE()),""))</f>
        <v/>
      </c>
      <c r="H670" s="22"/>
    </row>
    <row r="671" spans="1:8">
      <c r="A671" s="21"/>
      <c r="B671" s="28"/>
      <c r="C671" s="22"/>
      <c r="D671" s="28"/>
      <c r="E671" s="23" t="str">
        <f>IF($D671="","",IFERROR(VLOOKUP($D671,'ACAS Consumables Tracker'!$A:$H,8,FALSE()),""))</f>
        <v/>
      </c>
      <c r="F671" s="24"/>
      <c r="G671" s="25" t="str">
        <f>IF($D671="","",IFERROR(VLOOKUP($D671,'ACAS Consumables Tracker'!$A:$D,4,FALSE()),""))</f>
        <v/>
      </c>
      <c r="H671" s="22"/>
    </row>
    <row r="672" spans="1:8">
      <c r="A672" s="21"/>
      <c r="B672" s="28"/>
      <c r="C672" s="22"/>
      <c r="D672" s="28"/>
      <c r="E672" s="23" t="str">
        <f>IF($D672="","",IFERROR(VLOOKUP($D672,'ACAS Consumables Tracker'!$A:$H,8,FALSE()),""))</f>
        <v/>
      </c>
      <c r="F672" s="24"/>
      <c r="G672" s="25" t="str">
        <f>IF($D672="","",IFERROR(VLOOKUP($D672,'ACAS Consumables Tracker'!$A:$D,4,FALSE()),""))</f>
        <v/>
      </c>
      <c r="H672" s="22"/>
    </row>
    <row r="673" spans="1:8">
      <c r="A673" s="21"/>
      <c r="B673" s="28"/>
      <c r="C673" s="22"/>
      <c r="D673" s="28"/>
      <c r="E673" s="23" t="str">
        <f>IF($D673="","",IFERROR(VLOOKUP($D673,'ACAS Consumables Tracker'!$A:$H,8,FALSE()),""))</f>
        <v/>
      </c>
      <c r="F673" s="24"/>
      <c r="G673" s="25" t="str">
        <f>IF($D673="","",IFERROR(VLOOKUP($D673,'ACAS Consumables Tracker'!$A:$D,4,FALSE()),""))</f>
        <v/>
      </c>
      <c r="H673" s="22"/>
    </row>
    <row r="674" spans="1:8">
      <c r="A674" s="21"/>
      <c r="B674" s="28"/>
      <c r="C674" s="22"/>
      <c r="D674" s="28"/>
      <c r="E674" s="23" t="str">
        <f>IF($D674="","",IFERROR(VLOOKUP($D674,'ACAS Consumables Tracker'!$A:$H,8,FALSE()),""))</f>
        <v/>
      </c>
      <c r="F674" s="24"/>
      <c r="G674" s="25" t="str">
        <f>IF($D674="","",IFERROR(VLOOKUP($D674,'ACAS Consumables Tracker'!$A:$D,4,FALSE()),""))</f>
        <v/>
      </c>
      <c r="H674" s="22"/>
    </row>
    <row r="675" spans="1:8">
      <c r="A675" s="21"/>
      <c r="B675" s="28"/>
      <c r="C675" s="22"/>
      <c r="D675" s="28"/>
      <c r="E675" s="23" t="str">
        <f>IF($D675="","",IFERROR(VLOOKUP($D675,'ACAS Consumables Tracker'!$A:$H,8,FALSE()),""))</f>
        <v/>
      </c>
      <c r="F675" s="24"/>
      <c r="G675" s="25" t="str">
        <f>IF($D675="","",IFERROR(VLOOKUP($D675,'ACAS Consumables Tracker'!$A:$D,4,FALSE()),""))</f>
        <v/>
      </c>
      <c r="H675" s="22"/>
    </row>
    <row r="676" spans="1:8">
      <c r="A676" s="21"/>
      <c r="B676" s="28"/>
      <c r="C676" s="22"/>
      <c r="D676" s="28"/>
      <c r="E676" s="23" t="str">
        <f>IF($D676="","",IFERROR(VLOOKUP($D676,'ACAS Consumables Tracker'!$A:$H,8,FALSE()),""))</f>
        <v/>
      </c>
      <c r="F676" s="24"/>
      <c r="G676" s="25" t="str">
        <f>IF($D676="","",IFERROR(VLOOKUP($D676,'ACAS Consumables Tracker'!$A:$D,4,FALSE()),""))</f>
        <v/>
      </c>
      <c r="H676" s="22"/>
    </row>
    <row r="677" spans="1:8">
      <c r="A677" s="21"/>
      <c r="B677" s="28"/>
      <c r="C677" s="22"/>
      <c r="D677" s="28"/>
      <c r="E677" s="23" t="str">
        <f>IF($D677="","",IFERROR(VLOOKUP($D677,'ACAS Consumables Tracker'!$A:$H,8,FALSE()),""))</f>
        <v/>
      </c>
      <c r="F677" s="24"/>
      <c r="G677" s="25" t="str">
        <f>IF($D677="","",IFERROR(VLOOKUP($D677,'ACAS Consumables Tracker'!$A:$D,4,FALSE()),""))</f>
        <v/>
      </c>
      <c r="H677" s="22"/>
    </row>
    <row r="678" spans="1:8">
      <c r="A678" s="21"/>
      <c r="B678" s="28"/>
      <c r="C678" s="22"/>
      <c r="D678" s="28"/>
      <c r="E678" s="23" t="str">
        <f>IF($D678="","",IFERROR(VLOOKUP($D678,'ACAS Consumables Tracker'!$A:$H,8,FALSE()),""))</f>
        <v/>
      </c>
      <c r="F678" s="24"/>
      <c r="G678" s="25" t="str">
        <f>IF($D678="","",IFERROR(VLOOKUP($D678,'ACAS Consumables Tracker'!$A:$D,4,FALSE()),""))</f>
        <v/>
      </c>
      <c r="H678" s="22"/>
    </row>
    <row r="679" spans="1:8">
      <c r="A679" s="21"/>
      <c r="B679" s="28"/>
      <c r="C679" s="22"/>
      <c r="D679" s="28"/>
      <c r="E679" s="23" t="str">
        <f>IF($D679="","",IFERROR(VLOOKUP($D679,'ACAS Consumables Tracker'!$A:$H,8,FALSE()),""))</f>
        <v/>
      </c>
      <c r="F679" s="24"/>
      <c r="G679" s="25" t="str">
        <f>IF($D679="","",IFERROR(VLOOKUP($D679,'ACAS Consumables Tracker'!$A:$D,4,FALSE()),""))</f>
        <v/>
      </c>
      <c r="H679" s="22"/>
    </row>
    <row r="680" spans="1:8">
      <c r="A680" s="21"/>
      <c r="B680" s="28"/>
      <c r="C680" s="22"/>
      <c r="D680" s="28"/>
      <c r="E680" s="23" t="str">
        <f>IF($D680="","",IFERROR(VLOOKUP($D680,'ACAS Consumables Tracker'!$A:$H,8,FALSE()),""))</f>
        <v/>
      </c>
      <c r="F680" s="24"/>
      <c r="G680" s="25" t="str">
        <f>IF($D680="","",IFERROR(VLOOKUP($D680,'ACAS Consumables Tracker'!$A:$D,4,FALSE()),""))</f>
        <v/>
      </c>
      <c r="H680" s="22"/>
    </row>
    <row r="681" spans="1:8">
      <c r="A681" s="21"/>
      <c r="B681" s="28"/>
      <c r="C681" s="22"/>
      <c r="D681" s="28"/>
      <c r="E681" s="23" t="str">
        <f>IF($D681="","",IFERROR(VLOOKUP($D681,'ACAS Consumables Tracker'!$A:$H,8,FALSE()),""))</f>
        <v/>
      </c>
      <c r="F681" s="24"/>
      <c r="G681" s="25" t="str">
        <f>IF($D681="","",IFERROR(VLOOKUP($D681,'ACAS Consumables Tracker'!$A:$D,4,FALSE()),""))</f>
        <v/>
      </c>
      <c r="H681" s="22"/>
    </row>
    <row r="682" spans="1:8">
      <c r="A682" s="21"/>
      <c r="B682" s="28"/>
      <c r="C682" s="22"/>
      <c r="D682" s="28"/>
      <c r="E682" s="23" t="str">
        <f>IF($D682="","",IFERROR(VLOOKUP($D682,'ACAS Consumables Tracker'!$A:$H,8,FALSE()),""))</f>
        <v/>
      </c>
      <c r="F682" s="24"/>
      <c r="G682" s="25" t="str">
        <f>IF($D682="","",IFERROR(VLOOKUP($D682,'ACAS Consumables Tracker'!$A:$D,4,FALSE()),""))</f>
        <v/>
      </c>
      <c r="H682" s="22"/>
    </row>
    <row r="683" spans="1:8">
      <c r="A683" s="21"/>
      <c r="B683" s="28"/>
      <c r="C683" s="22"/>
      <c r="D683" s="28"/>
      <c r="E683" s="23" t="str">
        <f>IF($D683="","",IFERROR(VLOOKUP($D683,'ACAS Consumables Tracker'!$A:$H,8,FALSE()),""))</f>
        <v/>
      </c>
      <c r="F683" s="24"/>
      <c r="G683" s="25" t="str">
        <f>IF($D683="","",IFERROR(VLOOKUP($D683,'ACAS Consumables Tracker'!$A:$D,4,FALSE()),""))</f>
        <v/>
      </c>
      <c r="H683" s="22"/>
    </row>
    <row r="684" spans="1:8">
      <c r="A684" s="21"/>
      <c r="B684" s="28"/>
      <c r="C684" s="22"/>
      <c r="D684" s="28"/>
      <c r="E684" s="23" t="str">
        <f>IF($D684="","",IFERROR(VLOOKUP($D684,'ACAS Consumables Tracker'!$A:$H,8,FALSE()),""))</f>
        <v/>
      </c>
      <c r="F684" s="24"/>
      <c r="G684" s="25" t="str">
        <f>IF($D684="","",IFERROR(VLOOKUP($D684,'ACAS Consumables Tracker'!$A:$D,4,FALSE()),""))</f>
        <v/>
      </c>
      <c r="H684" s="22"/>
    </row>
    <row r="685" spans="1:8">
      <c r="A685" s="21"/>
      <c r="B685" s="28"/>
      <c r="C685" s="22"/>
      <c r="D685" s="28"/>
      <c r="E685" s="23" t="str">
        <f>IF($D685="","",IFERROR(VLOOKUP($D685,'ACAS Consumables Tracker'!$A:$H,8,FALSE()),""))</f>
        <v/>
      </c>
      <c r="F685" s="24"/>
      <c r="G685" s="25" t="str">
        <f>IF($D685="","",IFERROR(VLOOKUP($D685,'ACAS Consumables Tracker'!$A:$D,4,FALSE()),""))</f>
        <v/>
      </c>
      <c r="H685" s="22"/>
    </row>
    <row r="686" spans="1:8">
      <c r="A686" s="21"/>
      <c r="B686" s="28"/>
      <c r="C686" s="22"/>
      <c r="D686" s="28"/>
      <c r="E686" s="23" t="str">
        <f>IF($D686="","",IFERROR(VLOOKUP($D686,'ACAS Consumables Tracker'!$A:$H,8,FALSE()),""))</f>
        <v/>
      </c>
      <c r="F686" s="24"/>
      <c r="G686" s="25" t="str">
        <f>IF($D686="","",IFERROR(VLOOKUP($D686,'ACAS Consumables Tracker'!$A:$D,4,FALSE()),""))</f>
        <v/>
      </c>
      <c r="H686" s="22"/>
    </row>
    <row r="687" spans="1:8">
      <c r="A687" s="21"/>
      <c r="B687" s="28"/>
      <c r="C687" s="22"/>
      <c r="D687" s="28"/>
      <c r="E687" s="23" t="str">
        <f>IF($D687="","",IFERROR(VLOOKUP($D687,'ACAS Consumables Tracker'!$A:$H,8,FALSE()),""))</f>
        <v/>
      </c>
      <c r="F687" s="24"/>
      <c r="G687" s="25" t="str">
        <f>IF($D687="","",IFERROR(VLOOKUP($D687,'ACAS Consumables Tracker'!$A:$D,4,FALSE()),""))</f>
        <v/>
      </c>
      <c r="H687" s="22"/>
    </row>
    <row r="688" spans="1:8">
      <c r="A688" s="21"/>
      <c r="B688" s="28"/>
      <c r="C688" s="22"/>
      <c r="D688" s="28"/>
      <c r="E688" s="23" t="str">
        <f>IF($D688="","",IFERROR(VLOOKUP($D688,'ACAS Consumables Tracker'!$A:$H,8,FALSE()),""))</f>
        <v/>
      </c>
      <c r="F688" s="24"/>
      <c r="G688" s="25" t="str">
        <f>IF($D688="","",IFERROR(VLOOKUP($D688,'ACAS Consumables Tracker'!$A:$D,4,FALSE()),""))</f>
        <v/>
      </c>
      <c r="H688" s="22"/>
    </row>
    <row r="689" spans="1:8">
      <c r="A689" s="21"/>
      <c r="B689" s="28"/>
      <c r="C689" s="22"/>
      <c r="D689" s="28"/>
      <c r="E689" s="23" t="str">
        <f>IF($D689="","",IFERROR(VLOOKUP($D689,'ACAS Consumables Tracker'!$A:$H,8,FALSE()),""))</f>
        <v/>
      </c>
      <c r="F689" s="24"/>
      <c r="G689" s="25" t="str">
        <f>IF($D689="","",IFERROR(VLOOKUP($D689,'ACAS Consumables Tracker'!$A:$D,4,FALSE()),""))</f>
        <v/>
      </c>
      <c r="H689" s="22"/>
    </row>
    <row r="690" spans="1:8">
      <c r="A690" s="21"/>
      <c r="B690" s="28"/>
      <c r="C690" s="22"/>
      <c r="D690" s="28"/>
      <c r="E690" s="23" t="str">
        <f>IF($D690="","",IFERROR(VLOOKUP($D690,'ACAS Consumables Tracker'!$A:$H,8,FALSE()),""))</f>
        <v/>
      </c>
      <c r="F690" s="24"/>
      <c r="G690" s="25" t="str">
        <f>IF($D690="","",IFERROR(VLOOKUP($D690,'ACAS Consumables Tracker'!$A:$D,4,FALSE()),""))</f>
        <v/>
      </c>
      <c r="H690" s="22"/>
    </row>
    <row r="691" spans="1:8">
      <c r="A691" s="21"/>
      <c r="B691" s="28"/>
      <c r="C691" s="22"/>
      <c r="D691" s="28"/>
      <c r="E691" s="23" t="str">
        <f>IF($D691="","",IFERROR(VLOOKUP($D691,'ACAS Consumables Tracker'!$A:$H,8,FALSE()),""))</f>
        <v/>
      </c>
      <c r="F691" s="24"/>
      <c r="G691" s="25" t="str">
        <f>IF($D691="","",IFERROR(VLOOKUP($D691,'ACAS Consumables Tracker'!$A:$D,4,FALSE()),""))</f>
        <v/>
      </c>
      <c r="H691" s="22"/>
    </row>
    <row r="692" spans="1:8">
      <c r="A692" s="21"/>
      <c r="B692" s="28"/>
      <c r="C692" s="22"/>
      <c r="D692" s="28"/>
      <c r="E692" s="23" t="str">
        <f>IF($D692="","",IFERROR(VLOOKUP($D692,'ACAS Consumables Tracker'!$A:$H,8,FALSE()),""))</f>
        <v/>
      </c>
      <c r="F692" s="24"/>
      <c r="G692" s="25" t="str">
        <f>IF($D692="","",IFERROR(VLOOKUP($D692,'ACAS Consumables Tracker'!$A:$D,4,FALSE()),""))</f>
        <v/>
      </c>
      <c r="H692" s="22"/>
    </row>
    <row r="693" spans="1:8">
      <c r="A693" s="21"/>
      <c r="B693" s="28"/>
      <c r="C693" s="22"/>
      <c r="D693" s="28"/>
      <c r="E693" s="23" t="str">
        <f>IF($D693="","",IFERROR(VLOOKUP($D693,'ACAS Consumables Tracker'!$A:$H,8,FALSE()),""))</f>
        <v/>
      </c>
      <c r="F693" s="24"/>
      <c r="G693" s="25" t="str">
        <f>IF($D693="","",IFERROR(VLOOKUP($D693,'ACAS Consumables Tracker'!$A:$D,4,FALSE()),""))</f>
        <v/>
      </c>
      <c r="H693" s="22"/>
    </row>
    <row r="694" spans="1:8">
      <c r="A694" s="21"/>
      <c r="B694" s="28"/>
      <c r="C694" s="22"/>
      <c r="D694" s="28"/>
      <c r="E694" s="23" t="str">
        <f>IF($D694="","",IFERROR(VLOOKUP($D694,'ACAS Consumables Tracker'!$A:$H,8,FALSE()),""))</f>
        <v/>
      </c>
      <c r="F694" s="24"/>
      <c r="G694" s="25" t="str">
        <f>IF($D694="","",IFERROR(VLOOKUP($D694,'ACAS Consumables Tracker'!$A:$D,4,FALSE()),""))</f>
        <v/>
      </c>
      <c r="H694" s="22"/>
    </row>
    <row r="695" spans="1:8">
      <c r="A695" s="21"/>
      <c r="B695" s="28"/>
      <c r="C695" s="22"/>
      <c r="D695" s="28"/>
      <c r="E695" s="23" t="str">
        <f>IF($D695="","",IFERROR(VLOOKUP($D695,'ACAS Consumables Tracker'!$A:$H,8,FALSE()),""))</f>
        <v/>
      </c>
      <c r="F695" s="24"/>
      <c r="G695" s="25" t="str">
        <f>IF($D695="","",IFERROR(VLOOKUP($D695,'ACAS Consumables Tracker'!$A:$D,4,FALSE()),""))</f>
        <v/>
      </c>
      <c r="H695" s="22"/>
    </row>
    <row r="696" spans="1:8">
      <c r="A696" s="21"/>
      <c r="B696" s="28"/>
      <c r="C696" s="22"/>
      <c r="D696" s="28"/>
      <c r="E696" s="23" t="str">
        <f>IF($D696="","",IFERROR(VLOOKUP($D696,'ACAS Consumables Tracker'!$A:$H,8,FALSE()),""))</f>
        <v/>
      </c>
      <c r="F696" s="24"/>
      <c r="G696" s="25" t="str">
        <f>IF($D696="","",IFERROR(VLOOKUP($D696,'ACAS Consumables Tracker'!$A:$D,4,FALSE()),""))</f>
        <v/>
      </c>
      <c r="H696" s="22"/>
    </row>
    <row r="697" spans="1:8">
      <c r="A697" s="21"/>
      <c r="B697" s="28"/>
      <c r="C697" s="22"/>
      <c r="D697" s="28"/>
      <c r="E697" s="23" t="str">
        <f>IF($D697="","",IFERROR(VLOOKUP($D697,'ACAS Consumables Tracker'!$A:$H,8,FALSE()),""))</f>
        <v/>
      </c>
      <c r="F697" s="24"/>
      <c r="G697" s="25" t="str">
        <f>IF($D697="","",IFERROR(VLOOKUP($D697,'ACAS Consumables Tracker'!$A:$D,4,FALSE()),""))</f>
        <v/>
      </c>
      <c r="H697" s="22"/>
    </row>
    <row r="698" spans="1:8">
      <c r="A698" s="21"/>
      <c r="B698" s="28"/>
      <c r="C698" s="22"/>
      <c r="D698" s="28"/>
      <c r="E698" s="23" t="str">
        <f>IF($D698="","",IFERROR(VLOOKUP($D698,'ACAS Consumables Tracker'!$A:$H,8,FALSE()),""))</f>
        <v/>
      </c>
      <c r="F698" s="24"/>
      <c r="G698" s="25" t="str">
        <f>IF($D698="","",IFERROR(VLOOKUP($D698,'ACAS Consumables Tracker'!$A:$D,4,FALSE()),""))</f>
        <v/>
      </c>
      <c r="H698" s="22"/>
    </row>
    <row r="699" spans="1:8">
      <c r="A699" s="21"/>
      <c r="B699" s="28"/>
      <c r="C699" s="22"/>
      <c r="D699" s="28"/>
      <c r="E699" s="23" t="str">
        <f>IF($D699="","",IFERROR(VLOOKUP($D699,'ACAS Consumables Tracker'!$A:$H,8,FALSE()),""))</f>
        <v/>
      </c>
      <c r="F699" s="24"/>
      <c r="G699" s="25" t="str">
        <f>IF($D699="","",IFERROR(VLOOKUP($D699,'ACAS Consumables Tracker'!$A:$D,4,FALSE()),""))</f>
        <v/>
      </c>
      <c r="H699" s="22"/>
    </row>
    <row r="700" spans="1:8">
      <c r="A700" s="21"/>
      <c r="B700" s="28"/>
      <c r="C700" s="22"/>
      <c r="D700" s="28"/>
      <c r="E700" s="23" t="str">
        <f>IF($D700="","",IFERROR(VLOOKUP($D700,'ACAS Consumables Tracker'!$A:$H,8,FALSE()),""))</f>
        <v/>
      </c>
      <c r="F700" s="24"/>
      <c r="G700" s="25" t="str">
        <f>IF($D700="","",IFERROR(VLOOKUP($D700,'ACAS Consumables Tracker'!$A:$D,4,FALSE()),""))</f>
        <v/>
      </c>
      <c r="H700" s="22"/>
    </row>
    <row r="701" spans="1:8">
      <c r="A701" s="21"/>
      <c r="B701" s="28"/>
      <c r="C701" s="22"/>
      <c r="D701" s="28"/>
      <c r="E701" s="23" t="str">
        <f>IF($D701="","",IFERROR(VLOOKUP($D701,'ACAS Consumables Tracker'!$A:$H,8,FALSE()),""))</f>
        <v/>
      </c>
      <c r="F701" s="24"/>
      <c r="G701" s="25" t="str">
        <f>IF($D701="","",IFERROR(VLOOKUP($D701,'ACAS Consumables Tracker'!$A:$D,4,FALSE()),""))</f>
        <v/>
      </c>
      <c r="H701" s="22"/>
    </row>
    <row r="702" spans="1:8">
      <c r="A702" s="21"/>
      <c r="B702" s="28"/>
      <c r="C702" s="22"/>
      <c r="D702" s="28"/>
      <c r="E702" s="23" t="str">
        <f>IF($D702="","",IFERROR(VLOOKUP($D702,'ACAS Consumables Tracker'!$A:$H,8,FALSE()),""))</f>
        <v/>
      </c>
      <c r="F702" s="24"/>
      <c r="G702" s="25" t="str">
        <f>IF($D702="","",IFERROR(VLOOKUP($D702,'ACAS Consumables Tracker'!$A:$D,4,FALSE()),""))</f>
        <v/>
      </c>
      <c r="H702" s="22"/>
    </row>
    <row r="703" spans="1:8">
      <c r="A703" s="21"/>
      <c r="B703" s="28"/>
      <c r="C703" s="22"/>
      <c r="D703" s="28"/>
      <c r="E703" s="23" t="str">
        <f>IF($D703="","",IFERROR(VLOOKUP($D703,'ACAS Consumables Tracker'!$A:$H,8,FALSE()),""))</f>
        <v/>
      </c>
      <c r="F703" s="24"/>
      <c r="G703" s="25" t="str">
        <f>IF($D703="","",IFERROR(VLOOKUP($D703,'ACAS Consumables Tracker'!$A:$D,4,FALSE()),""))</f>
        <v/>
      </c>
      <c r="H703" s="22"/>
    </row>
    <row r="704" spans="1:8">
      <c r="A704" s="21"/>
      <c r="B704" s="28"/>
      <c r="C704" s="22"/>
      <c r="D704" s="28"/>
      <c r="E704" s="23" t="str">
        <f>IF($D704="","",IFERROR(VLOOKUP($D704,'ACAS Consumables Tracker'!$A:$H,8,FALSE()),""))</f>
        <v/>
      </c>
      <c r="F704" s="24"/>
      <c r="G704" s="25" t="str">
        <f>IF($D704="","",IFERROR(VLOOKUP($D704,'ACAS Consumables Tracker'!$A:$D,4,FALSE()),""))</f>
        <v/>
      </c>
      <c r="H704" s="22"/>
    </row>
    <row r="705" spans="1:8">
      <c r="A705" s="21"/>
      <c r="B705" s="28"/>
      <c r="C705" s="22"/>
      <c r="D705" s="28"/>
      <c r="E705" s="23" t="str">
        <f>IF($D705="","",IFERROR(VLOOKUP($D705,'ACAS Consumables Tracker'!$A:$H,8,FALSE()),""))</f>
        <v/>
      </c>
      <c r="F705" s="24"/>
      <c r="G705" s="25" t="str">
        <f>IF($D705="","",IFERROR(VLOOKUP($D705,'ACAS Consumables Tracker'!$A:$D,4,FALSE()),""))</f>
        <v/>
      </c>
      <c r="H705" s="22"/>
    </row>
    <row r="706" spans="1:8">
      <c r="A706" s="21"/>
      <c r="B706" s="28"/>
      <c r="C706" s="22"/>
      <c r="D706" s="28"/>
      <c r="E706" s="23" t="str">
        <f>IF($D706="","",IFERROR(VLOOKUP($D706,'ACAS Consumables Tracker'!$A:$H,8,FALSE()),""))</f>
        <v/>
      </c>
      <c r="F706" s="24"/>
      <c r="G706" s="25" t="str">
        <f>IF($D706="","",IFERROR(VLOOKUP($D706,'ACAS Consumables Tracker'!$A:$D,4,FALSE()),""))</f>
        <v/>
      </c>
      <c r="H706" s="22"/>
    </row>
    <row r="707" spans="1:8">
      <c r="A707" s="21"/>
      <c r="B707" s="28"/>
      <c r="C707" s="22"/>
      <c r="D707" s="28"/>
      <c r="E707" s="23" t="str">
        <f>IF($D707="","",IFERROR(VLOOKUP($D707,'ACAS Consumables Tracker'!$A:$H,8,FALSE()),""))</f>
        <v/>
      </c>
      <c r="F707" s="24"/>
      <c r="G707" s="25" t="str">
        <f>IF($D707="","",IFERROR(VLOOKUP($D707,'ACAS Consumables Tracker'!$A:$D,4,FALSE()),""))</f>
        <v/>
      </c>
      <c r="H707" s="22"/>
    </row>
    <row r="708" spans="1:8">
      <c r="A708" s="21"/>
      <c r="B708" s="28"/>
      <c r="C708" s="22"/>
      <c r="D708" s="28"/>
      <c r="E708" s="23" t="str">
        <f>IF($D708="","",IFERROR(VLOOKUP($D708,'ACAS Consumables Tracker'!$A:$H,8,FALSE()),""))</f>
        <v/>
      </c>
      <c r="F708" s="24"/>
      <c r="G708" s="25" t="str">
        <f>IF($D708="","",IFERROR(VLOOKUP($D708,'ACAS Consumables Tracker'!$A:$D,4,FALSE()),""))</f>
        <v/>
      </c>
      <c r="H708" s="22"/>
    </row>
    <row r="709" spans="1:8">
      <c r="A709" s="21"/>
      <c r="B709" s="28"/>
      <c r="C709" s="22"/>
      <c r="D709" s="28"/>
      <c r="E709" s="23" t="str">
        <f>IF($D709="","",IFERROR(VLOOKUP($D709,'ACAS Consumables Tracker'!$A:$H,8,FALSE()),""))</f>
        <v/>
      </c>
      <c r="F709" s="24"/>
      <c r="G709" s="25" t="str">
        <f>IF($D709="","",IFERROR(VLOOKUP($D709,'ACAS Consumables Tracker'!$A:$D,4,FALSE()),""))</f>
        <v/>
      </c>
      <c r="H709" s="22"/>
    </row>
    <row r="710" spans="1:8">
      <c r="A710" s="21"/>
      <c r="B710" s="28"/>
      <c r="C710" s="22"/>
      <c r="D710" s="28"/>
      <c r="E710" s="23" t="str">
        <f>IF($D710="","",IFERROR(VLOOKUP($D710,'ACAS Consumables Tracker'!$A:$H,8,FALSE()),""))</f>
        <v/>
      </c>
      <c r="F710" s="24"/>
      <c r="G710" s="25" t="str">
        <f>IF($D710="","",IFERROR(VLOOKUP($D710,'ACAS Consumables Tracker'!$A:$D,4,FALSE()),""))</f>
        <v/>
      </c>
      <c r="H710" s="22"/>
    </row>
    <row r="711" spans="1:8">
      <c r="A711" s="21"/>
      <c r="B711" s="28"/>
      <c r="C711" s="22"/>
      <c r="D711" s="28"/>
      <c r="E711" s="23" t="str">
        <f>IF($D711="","",IFERROR(VLOOKUP($D711,'ACAS Consumables Tracker'!$A:$H,8,FALSE()),""))</f>
        <v/>
      </c>
      <c r="F711" s="24"/>
      <c r="G711" s="25" t="str">
        <f>IF($D711="","",IFERROR(VLOOKUP($D711,'ACAS Consumables Tracker'!$A:$D,4,FALSE()),""))</f>
        <v/>
      </c>
      <c r="H711" s="22"/>
    </row>
    <row r="712" spans="1:8">
      <c r="A712" s="21"/>
      <c r="B712" s="28"/>
      <c r="C712" s="22"/>
      <c r="D712" s="28"/>
      <c r="E712" s="23" t="str">
        <f>IF($D712="","",IFERROR(VLOOKUP($D712,'ACAS Consumables Tracker'!$A:$H,8,FALSE()),""))</f>
        <v/>
      </c>
      <c r="F712" s="24"/>
      <c r="G712" s="25" t="str">
        <f>IF($D712="","",IFERROR(VLOOKUP($D712,'ACAS Consumables Tracker'!$A:$D,4,FALSE()),""))</f>
        <v/>
      </c>
      <c r="H712" s="22"/>
    </row>
    <row r="713" spans="1:8">
      <c r="A713" s="21"/>
      <c r="B713" s="28"/>
      <c r="C713" s="22"/>
      <c r="D713" s="28"/>
      <c r="E713" s="23" t="str">
        <f>IF($D713="","",IFERROR(VLOOKUP($D713,'ACAS Consumables Tracker'!$A:$H,8,FALSE()),""))</f>
        <v/>
      </c>
      <c r="F713" s="24"/>
      <c r="G713" s="25" t="str">
        <f>IF($D713="","",IFERROR(VLOOKUP($D713,'ACAS Consumables Tracker'!$A:$D,4,FALSE()),""))</f>
        <v/>
      </c>
      <c r="H713" s="22"/>
    </row>
    <row r="714" spans="1:8">
      <c r="A714" s="21"/>
      <c r="B714" s="28"/>
      <c r="C714" s="22"/>
      <c r="D714" s="28"/>
      <c r="E714" s="23" t="str">
        <f>IF($D714="","",IFERROR(VLOOKUP($D714,'ACAS Consumables Tracker'!$A:$H,8,FALSE()),""))</f>
        <v/>
      </c>
      <c r="F714" s="24"/>
      <c r="G714" s="25" t="str">
        <f>IF($D714="","",IFERROR(VLOOKUP($D714,'ACAS Consumables Tracker'!$A:$D,4,FALSE()),""))</f>
        <v/>
      </c>
      <c r="H714" s="22"/>
    </row>
    <row r="715" spans="1:8">
      <c r="A715" s="21"/>
      <c r="B715" s="28"/>
      <c r="C715" s="22"/>
      <c r="D715" s="28"/>
      <c r="E715" s="23" t="str">
        <f>IF($D715="","",IFERROR(VLOOKUP($D715,'ACAS Consumables Tracker'!$A:$H,8,FALSE()),""))</f>
        <v/>
      </c>
      <c r="F715" s="24"/>
      <c r="G715" s="25" t="str">
        <f>IF($D715="","",IFERROR(VLOOKUP($D715,'ACAS Consumables Tracker'!$A:$D,4,FALSE()),""))</f>
        <v/>
      </c>
      <c r="H715" s="22"/>
    </row>
    <row r="716" spans="1:8">
      <c r="A716" s="21"/>
      <c r="B716" s="28"/>
      <c r="C716" s="22"/>
      <c r="D716" s="28"/>
      <c r="E716" s="23" t="str">
        <f>IF($D716="","",IFERROR(VLOOKUP($D716,'ACAS Consumables Tracker'!$A:$H,8,FALSE()),""))</f>
        <v/>
      </c>
      <c r="F716" s="24"/>
      <c r="G716" s="25" t="str">
        <f>IF($D716="","",IFERROR(VLOOKUP($D716,'ACAS Consumables Tracker'!$A:$D,4,FALSE()),""))</f>
        <v/>
      </c>
      <c r="H716" s="22"/>
    </row>
    <row r="717" spans="1:8">
      <c r="A717" s="21"/>
      <c r="B717" s="28"/>
      <c r="C717" s="22"/>
      <c r="D717" s="28"/>
      <c r="E717" s="23" t="str">
        <f>IF($D717="","",IFERROR(VLOOKUP($D717,'ACAS Consumables Tracker'!$A:$H,8,FALSE()),""))</f>
        <v/>
      </c>
      <c r="F717" s="24"/>
      <c r="G717" s="25" t="str">
        <f>IF($D717="","",IFERROR(VLOOKUP($D717,'ACAS Consumables Tracker'!$A:$D,4,FALSE()),""))</f>
        <v/>
      </c>
      <c r="H717" s="22"/>
    </row>
    <row r="718" spans="1:8">
      <c r="A718" s="21"/>
      <c r="B718" s="28"/>
      <c r="C718" s="22"/>
      <c r="D718" s="28"/>
      <c r="E718" s="23" t="str">
        <f>IF($D718="","",IFERROR(VLOOKUP($D718,'ACAS Consumables Tracker'!$A:$H,8,FALSE()),""))</f>
        <v/>
      </c>
      <c r="F718" s="24"/>
      <c r="G718" s="25" t="str">
        <f>IF($D718="","",IFERROR(VLOOKUP($D718,'ACAS Consumables Tracker'!$A:$D,4,FALSE()),""))</f>
        <v/>
      </c>
      <c r="H718" s="22"/>
    </row>
    <row r="719" spans="1:8">
      <c r="A719" s="21"/>
      <c r="B719" s="28"/>
      <c r="C719" s="22"/>
      <c r="D719" s="28"/>
      <c r="E719" s="23" t="str">
        <f>IF($D719="","",IFERROR(VLOOKUP($D719,'ACAS Consumables Tracker'!$A:$H,8,FALSE()),""))</f>
        <v/>
      </c>
      <c r="F719" s="24"/>
      <c r="G719" s="25" t="str">
        <f>IF($D719="","",IFERROR(VLOOKUP($D719,'ACAS Consumables Tracker'!$A:$D,4,FALSE()),""))</f>
        <v/>
      </c>
      <c r="H719" s="22"/>
    </row>
    <row r="720" spans="1:8">
      <c r="A720" s="21"/>
      <c r="B720" s="28"/>
      <c r="C720" s="22"/>
      <c r="D720" s="28"/>
      <c r="E720" s="23" t="str">
        <f>IF($D720="","",IFERROR(VLOOKUP($D720,'ACAS Consumables Tracker'!$A:$H,8,FALSE()),""))</f>
        <v/>
      </c>
      <c r="F720" s="24"/>
      <c r="G720" s="25" t="str">
        <f>IF($D720="","",IFERROR(VLOOKUP($D720,'ACAS Consumables Tracker'!$A:$D,4,FALSE()),""))</f>
        <v/>
      </c>
      <c r="H720" s="22"/>
    </row>
    <row r="721" spans="1:8">
      <c r="A721" s="21"/>
      <c r="B721" s="28"/>
      <c r="C721" s="22"/>
      <c r="D721" s="28"/>
      <c r="E721" s="23" t="str">
        <f>IF($D721="","",IFERROR(VLOOKUP($D721,'ACAS Consumables Tracker'!$A:$H,8,FALSE()),""))</f>
        <v/>
      </c>
      <c r="F721" s="24"/>
      <c r="G721" s="25" t="str">
        <f>IF($D721="","",IFERROR(VLOOKUP($D721,'ACAS Consumables Tracker'!$A:$D,4,FALSE()),""))</f>
        <v/>
      </c>
      <c r="H721" s="22"/>
    </row>
    <row r="722" spans="1:8">
      <c r="A722" s="21"/>
      <c r="B722" s="28"/>
      <c r="C722" s="22"/>
      <c r="D722" s="28"/>
      <c r="E722" s="23" t="str">
        <f>IF($D722="","",IFERROR(VLOOKUP($D722,'ACAS Consumables Tracker'!$A:$H,8,FALSE()),""))</f>
        <v/>
      </c>
      <c r="F722" s="24"/>
      <c r="G722" s="25" t="str">
        <f>IF($D722="","",IFERROR(VLOOKUP($D722,'ACAS Consumables Tracker'!$A:$D,4,FALSE()),""))</f>
        <v/>
      </c>
      <c r="H722" s="22"/>
    </row>
    <row r="723" spans="1:8">
      <c r="A723" s="21"/>
      <c r="B723" s="28"/>
      <c r="C723" s="22"/>
      <c r="D723" s="28"/>
      <c r="E723" s="23" t="str">
        <f>IF($D723="","",IFERROR(VLOOKUP($D723,'ACAS Consumables Tracker'!$A:$H,8,FALSE()),""))</f>
        <v/>
      </c>
      <c r="F723" s="24"/>
      <c r="G723" s="25" t="str">
        <f>IF($D723="","",IFERROR(VLOOKUP($D723,'ACAS Consumables Tracker'!$A:$D,4,FALSE()),""))</f>
        <v/>
      </c>
      <c r="H723" s="22"/>
    </row>
    <row r="724" spans="1:8">
      <c r="A724" s="21"/>
      <c r="B724" s="28"/>
      <c r="C724" s="22"/>
      <c r="D724" s="28"/>
      <c r="E724" s="23" t="str">
        <f>IF($D724="","",IFERROR(VLOOKUP($D724,'ACAS Consumables Tracker'!$A:$H,8,FALSE()),""))</f>
        <v/>
      </c>
      <c r="F724" s="24"/>
      <c r="G724" s="25" t="str">
        <f>IF($D724="","",IFERROR(VLOOKUP($D724,'ACAS Consumables Tracker'!$A:$D,4,FALSE()),""))</f>
        <v/>
      </c>
      <c r="H724" s="22"/>
    </row>
    <row r="725" spans="1:8">
      <c r="A725" s="21"/>
      <c r="B725" s="28"/>
      <c r="C725" s="22"/>
      <c r="D725" s="28"/>
      <c r="E725" s="23" t="str">
        <f>IF($D725="","",IFERROR(VLOOKUP($D725,'ACAS Consumables Tracker'!$A:$H,8,FALSE()),""))</f>
        <v/>
      </c>
      <c r="F725" s="24"/>
      <c r="G725" s="25" t="str">
        <f>IF($D725="","",IFERROR(VLOOKUP($D725,'ACAS Consumables Tracker'!$A:$D,4,FALSE()),""))</f>
        <v/>
      </c>
      <c r="H725" s="22"/>
    </row>
    <row r="726" spans="1:8">
      <c r="A726" s="21"/>
      <c r="B726" s="28"/>
      <c r="C726" s="22"/>
      <c r="D726" s="28"/>
      <c r="E726" s="23" t="str">
        <f>IF($D726="","",IFERROR(VLOOKUP($D726,'ACAS Consumables Tracker'!$A:$H,8,FALSE()),""))</f>
        <v/>
      </c>
      <c r="F726" s="24"/>
      <c r="G726" s="25" t="str">
        <f>IF($D726="","",IFERROR(VLOOKUP($D726,'ACAS Consumables Tracker'!$A:$D,4,FALSE()),""))</f>
        <v/>
      </c>
      <c r="H726" s="22"/>
    </row>
    <row r="727" spans="1:8">
      <c r="A727" s="21"/>
      <c r="B727" s="28"/>
      <c r="C727" s="22"/>
      <c r="D727" s="28"/>
      <c r="E727" s="23" t="str">
        <f>IF($D727="","",IFERROR(VLOOKUP($D727,'ACAS Consumables Tracker'!$A:$H,8,FALSE()),""))</f>
        <v/>
      </c>
      <c r="F727" s="24"/>
      <c r="G727" s="25" t="str">
        <f>IF($D727="","",IFERROR(VLOOKUP($D727,'ACAS Consumables Tracker'!$A:$D,4,FALSE()),""))</f>
        <v/>
      </c>
      <c r="H727" s="22"/>
    </row>
    <row r="728" spans="1:8">
      <c r="A728" s="21"/>
      <c r="B728" s="28"/>
      <c r="C728" s="22"/>
      <c r="D728" s="28"/>
      <c r="E728" s="23" t="str">
        <f>IF($D728="","",IFERROR(VLOOKUP($D728,'ACAS Consumables Tracker'!$A:$H,8,FALSE()),""))</f>
        <v/>
      </c>
      <c r="F728" s="24"/>
      <c r="G728" s="25" t="str">
        <f>IF($D728="","",IFERROR(VLOOKUP($D728,'ACAS Consumables Tracker'!$A:$D,4,FALSE()),""))</f>
        <v/>
      </c>
      <c r="H728" s="22"/>
    </row>
    <row r="729" spans="1:8">
      <c r="A729" s="21"/>
      <c r="B729" s="28"/>
      <c r="C729" s="22"/>
      <c r="D729" s="28"/>
      <c r="E729" s="23" t="str">
        <f>IF($D729="","",IFERROR(VLOOKUP($D729,'ACAS Consumables Tracker'!$A:$H,8,FALSE()),""))</f>
        <v/>
      </c>
      <c r="F729" s="24"/>
      <c r="G729" s="25" t="str">
        <f>IF($D729="","",IFERROR(VLOOKUP($D729,'ACAS Consumables Tracker'!$A:$D,4,FALSE()),""))</f>
        <v/>
      </c>
      <c r="H729" s="22"/>
    </row>
    <row r="730" spans="1:8">
      <c r="A730" s="21"/>
      <c r="B730" s="28"/>
      <c r="C730" s="22"/>
      <c r="D730" s="28"/>
      <c r="E730" s="23" t="str">
        <f>IF($D730="","",IFERROR(VLOOKUP($D730,'ACAS Consumables Tracker'!$A:$H,8,FALSE()),""))</f>
        <v/>
      </c>
      <c r="F730" s="24"/>
      <c r="G730" s="25" t="str">
        <f>IF($D730="","",IFERROR(VLOOKUP($D730,'ACAS Consumables Tracker'!$A:$D,4,FALSE()),""))</f>
        <v/>
      </c>
      <c r="H730" s="22"/>
    </row>
    <row r="731" spans="1:8">
      <c r="A731" s="21"/>
      <c r="B731" s="28"/>
      <c r="C731" s="22"/>
      <c r="D731" s="28"/>
      <c r="E731" s="23" t="str">
        <f>IF($D731="","",IFERROR(VLOOKUP($D731,'ACAS Consumables Tracker'!$A:$H,8,FALSE()),""))</f>
        <v/>
      </c>
      <c r="F731" s="24"/>
      <c r="G731" s="25" t="str">
        <f>IF($D731="","",IFERROR(VLOOKUP($D731,'ACAS Consumables Tracker'!$A:$D,4,FALSE()),""))</f>
        <v/>
      </c>
      <c r="H731" s="22"/>
    </row>
    <row r="732" spans="1:8">
      <c r="A732" s="21"/>
      <c r="B732" s="28"/>
      <c r="C732" s="22"/>
      <c r="D732" s="28"/>
      <c r="E732" s="23" t="str">
        <f>IF($D732="","",IFERROR(VLOOKUP($D732,'ACAS Consumables Tracker'!$A:$H,8,FALSE()),""))</f>
        <v/>
      </c>
      <c r="F732" s="24"/>
      <c r="G732" s="25" t="str">
        <f>IF($D732="","",IFERROR(VLOOKUP($D732,'ACAS Consumables Tracker'!$A:$D,4,FALSE()),""))</f>
        <v/>
      </c>
      <c r="H732" s="22"/>
    </row>
    <row r="733" spans="1:8">
      <c r="A733" s="21"/>
      <c r="B733" s="28"/>
      <c r="C733" s="22"/>
      <c r="D733" s="28"/>
      <c r="E733" s="23" t="str">
        <f>IF($D733="","",IFERROR(VLOOKUP($D733,'ACAS Consumables Tracker'!$A:$H,8,FALSE()),""))</f>
        <v/>
      </c>
      <c r="F733" s="24"/>
      <c r="G733" s="25" t="str">
        <f>IF($D733="","",IFERROR(VLOOKUP($D733,'ACAS Consumables Tracker'!$A:$D,4,FALSE()),""))</f>
        <v/>
      </c>
      <c r="H733" s="22"/>
    </row>
    <row r="734" spans="1:8">
      <c r="A734" s="21"/>
      <c r="B734" s="28"/>
      <c r="C734" s="22"/>
      <c r="D734" s="28"/>
      <c r="E734" s="23" t="str">
        <f>IF($D734="","",IFERROR(VLOOKUP($D734,'ACAS Consumables Tracker'!$A:$H,8,FALSE()),""))</f>
        <v/>
      </c>
      <c r="F734" s="24"/>
      <c r="G734" s="25" t="str">
        <f>IF($D734="","",IFERROR(VLOOKUP($D734,'ACAS Consumables Tracker'!$A:$D,4,FALSE()),""))</f>
        <v/>
      </c>
      <c r="H734" s="22"/>
    </row>
    <row r="735" spans="1:8">
      <c r="A735" s="21"/>
      <c r="B735" s="28"/>
      <c r="C735" s="22"/>
      <c r="D735" s="28"/>
      <c r="E735" s="23" t="str">
        <f>IF($D735="","",IFERROR(VLOOKUP($D735,'ACAS Consumables Tracker'!$A:$H,8,FALSE()),""))</f>
        <v/>
      </c>
      <c r="F735" s="24"/>
      <c r="G735" s="25" t="str">
        <f>IF($D735="","",IFERROR(VLOOKUP($D735,'ACAS Consumables Tracker'!$A:$D,4,FALSE()),""))</f>
        <v/>
      </c>
      <c r="H735" s="22"/>
    </row>
    <row r="736" spans="1:8">
      <c r="A736" s="21"/>
      <c r="B736" s="28"/>
      <c r="C736" s="22"/>
      <c r="D736" s="28"/>
      <c r="E736" s="23" t="str">
        <f>IF($D736="","",IFERROR(VLOOKUP($D736,'ACAS Consumables Tracker'!$A:$H,8,FALSE()),""))</f>
        <v/>
      </c>
      <c r="F736" s="24"/>
      <c r="G736" s="25" t="str">
        <f>IF($D736="","",IFERROR(VLOOKUP($D736,'ACAS Consumables Tracker'!$A:$D,4,FALSE()),""))</f>
        <v/>
      </c>
      <c r="H736" s="22"/>
    </row>
    <row r="737" spans="1:8">
      <c r="A737" s="21"/>
      <c r="B737" s="28"/>
      <c r="C737" s="22"/>
      <c r="D737" s="28"/>
      <c r="E737" s="23" t="str">
        <f>IF($D737="","",IFERROR(VLOOKUP($D737,'ACAS Consumables Tracker'!$A:$H,8,FALSE()),""))</f>
        <v/>
      </c>
      <c r="F737" s="24"/>
      <c r="G737" s="25" t="str">
        <f>IF($D737="","",IFERROR(VLOOKUP($D737,'ACAS Consumables Tracker'!$A:$D,4,FALSE()),""))</f>
        <v/>
      </c>
      <c r="H737" s="22"/>
    </row>
    <row r="738" spans="1:8">
      <c r="A738" s="21"/>
      <c r="B738" s="28"/>
      <c r="C738" s="22"/>
      <c r="D738" s="28"/>
      <c r="E738" s="23" t="str">
        <f>IF($D738="","",IFERROR(VLOOKUP($D738,'ACAS Consumables Tracker'!$A:$H,8,FALSE()),""))</f>
        <v/>
      </c>
      <c r="F738" s="24"/>
      <c r="G738" s="25" t="str">
        <f>IF($D738="","",IFERROR(VLOOKUP($D738,'ACAS Consumables Tracker'!$A:$D,4,FALSE()),""))</f>
        <v/>
      </c>
      <c r="H738" s="22"/>
    </row>
    <row r="739" spans="1:8">
      <c r="A739" s="21"/>
      <c r="B739" s="28"/>
      <c r="C739" s="22"/>
      <c r="D739" s="28"/>
      <c r="E739" s="23" t="str">
        <f>IF($D739="","",IFERROR(VLOOKUP($D739,'ACAS Consumables Tracker'!$A:$H,8,FALSE()),""))</f>
        <v/>
      </c>
      <c r="F739" s="24"/>
      <c r="G739" s="25" t="str">
        <f>IF($D739="","",IFERROR(VLOOKUP($D739,'ACAS Consumables Tracker'!$A:$D,4,FALSE()),""))</f>
        <v/>
      </c>
      <c r="H739" s="22"/>
    </row>
    <row r="740" spans="1:8">
      <c r="A740" s="21"/>
      <c r="B740" s="28"/>
      <c r="C740" s="22"/>
      <c r="D740" s="28"/>
      <c r="E740" s="23" t="str">
        <f>IF($D740="","",IFERROR(VLOOKUP($D740,'ACAS Consumables Tracker'!$A:$H,8,FALSE()),""))</f>
        <v/>
      </c>
      <c r="F740" s="24"/>
      <c r="G740" s="25" t="str">
        <f>IF($D740="","",IFERROR(VLOOKUP($D740,'ACAS Consumables Tracker'!$A:$D,4,FALSE()),""))</f>
        <v/>
      </c>
      <c r="H740" s="22"/>
    </row>
    <row r="741" spans="1:8">
      <c r="A741" s="21"/>
      <c r="B741" s="28"/>
      <c r="C741" s="22"/>
      <c r="D741" s="28"/>
      <c r="E741" s="23" t="str">
        <f>IF($D741="","",IFERROR(VLOOKUP($D741,'ACAS Consumables Tracker'!$A:$H,8,FALSE()),""))</f>
        <v/>
      </c>
      <c r="F741" s="24"/>
      <c r="G741" s="25" t="str">
        <f>IF($D741="","",IFERROR(VLOOKUP($D741,'ACAS Consumables Tracker'!$A:$D,4,FALSE()),""))</f>
        <v/>
      </c>
      <c r="H741" s="22"/>
    </row>
    <row r="742" spans="1:8">
      <c r="A742" s="21"/>
      <c r="B742" s="28"/>
      <c r="C742" s="22"/>
      <c r="D742" s="28"/>
      <c r="E742" s="23" t="str">
        <f>IF($D742="","",IFERROR(VLOOKUP($D742,'ACAS Consumables Tracker'!$A:$H,8,FALSE()),""))</f>
        <v/>
      </c>
      <c r="F742" s="24"/>
      <c r="G742" s="25" t="str">
        <f>IF($D742="","",IFERROR(VLOOKUP($D742,'ACAS Consumables Tracker'!$A:$D,4,FALSE()),""))</f>
        <v/>
      </c>
      <c r="H742" s="22"/>
    </row>
    <row r="743" spans="1:8">
      <c r="A743" s="21"/>
      <c r="B743" s="28"/>
      <c r="C743" s="22"/>
      <c r="D743" s="28"/>
      <c r="E743" s="23" t="str">
        <f>IF($D743="","",IFERROR(VLOOKUP($D743,'ACAS Consumables Tracker'!$A:$H,8,FALSE()),""))</f>
        <v/>
      </c>
      <c r="F743" s="24"/>
      <c r="G743" s="25" t="str">
        <f>IF($D743="","",IFERROR(VLOOKUP($D743,'ACAS Consumables Tracker'!$A:$D,4,FALSE()),""))</f>
        <v/>
      </c>
      <c r="H743" s="22"/>
    </row>
    <row r="744" spans="1:8">
      <c r="A744" s="21"/>
      <c r="B744" s="28"/>
      <c r="C744" s="22"/>
      <c r="D744" s="28"/>
      <c r="E744" s="23" t="str">
        <f>IF($D744="","",IFERROR(VLOOKUP($D744,'ACAS Consumables Tracker'!$A:$H,8,FALSE()),""))</f>
        <v/>
      </c>
      <c r="F744" s="24"/>
      <c r="G744" s="25" t="str">
        <f>IF($D744="","",IFERROR(VLOOKUP($D744,'ACAS Consumables Tracker'!$A:$D,4,FALSE()),""))</f>
        <v/>
      </c>
      <c r="H744" s="22"/>
    </row>
    <row r="745" spans="1:8">
      <c r="A745" s="21"/>
      <c r="B745" s="28"/>
      <c r="C745" s="22"/>
      <c r="D745" s="28"/>
      <c r="E745" s="23" t="str">
        <f>IF($D745="","",IFERROR(VLOOKUP($D745,'ACAS Consumables Tracker'!$A:$H,8,FALSE()),""))</f>
        <v/>
      </c>
      <c r="F745" s="24"/>
      <c r="G745" s="25" t="str">
        <f>IF($D745="","",IFERROR(VLOOKUP($D745,'ACAS Consumables Tracker'!$A:$D,4,FALSE()),""))</f>
        <v/>
      </c>
      <c r="H745" s="22"/>
    </row>
    <row r="746" spans="1:8">
      <c r="A746" s="21"/>
      <c r="B746" s="28"/>
      <c r="C746" s="22"/>
      <c r="D746" s="28"/>
      <c r="E746" s="23" t="str">
        <f>IF($D746="","",IFERROR(VLOOKUP($D746,'ACAS Consumables Tracker'!$A:$H,8,FALSE()),""))</f>
        <v/>
      </c>
      <c r="F746" s="24"/>
      <c r="G746" s="25" t="str">
        <f>IF($D746="","",IFERROR(VLOOKUP($D746,'ACAS Consumables Tracker'!$A:$D,4,FALSE()),""))</f>
        <v/>
      </c>
      <c r="H746" s="22"/>
    </row>
    <row r="747" spans="1:8">
      <c r="A747" s="21"/>
      <c r="B747" s="28"/>
      <c r="C747" s="22"/>
      <c r="D747" s="28"/>
      <c r="E747" s="23" t="str">
        <f>IF($D747="","",IFERROR(VLOOKUP($D747,'ACAS Consumables Tracker'!$A:$H,8,FALSE()),""))</f>
        <v/>
      </c>
      <c r="F747" s="24"/>
      <c r="G747" s="25" t="str">
        <f>IF($D747="","",IFERROR(VLOOKUP($D747,'ACAS Consumables Tracker'!$A:$D,4,FALSE()),""))</f>
        <v/>
      </c>
      <c r="H747" s="22"/>
    </row>
    <row r="748" spans="1:8">
      <c r="A748" s="21"/>
      <c r="B748" s="28"/>
      <c r="C748" s="22"/>
      <c r="D748" s="28"/>
      <c r="E748" s="23" t="str">
        <f>IF($D748="","",IFERROR(VLOOKUP($D748,'ACAS Consumables Tracker'!$A:$H,8,FALSE()),""))</f>
        <v/>
      </c>
      <c r="F748" s="24"/>
      <c r="G748" s="25" t="str">
        <f>IF($D748="","",IFERROR(VLOOKUP($D748,'ACAS Consumables Tracker'!$A:$D,4,FALSE()),""))</f>
        <v/>
      </c>
      <c r="H748" s="22"/>
    </row>
    <row r="749" spans="1:8">
      <c r="A749" s="21"/>
      <c r="B749" s="28"/>
      <c r="C749" s="22"/>
      <c r="D749" s="28"/>
      <c r="E749" s="23" t="str">
        <f>IF($D749="","",IFERROR(VLOOKUP($D749,'ACAS Consumables Tracker'!$A:$H,8,FALSE()),""))</f>
        <v/>
      </c>
      <c r="F749" s="24"/>
      <c r="G749" s="25" t="str">
        <f>IF($D749="","",IFERROR(VLOOKUP($D749,'ACAS Consumables Tracker'!$A:$D,4,FALSE()),""))</f>
        <v/>
      </c>
      <c r="H749" s="22"/>
    </row>
    <row r="750" spans="1:8">
      <c r="A750" s="21"/>
      <c r="B750" s="28"/>
      <c r="C750" s="22"/>
      <c r="D750" s="28"/>
      <c r="E750" s="23" t="str">
        <f>IF($D750="","",IFERROR(VLOOKUP($D750,'ACAS Consumables Tracker'!$A:$H,8,FALSE()),""))</f>
        <v/>
      </c>
      <c r="F750" s="24"/>
      <c r="G750" s="25" t="str">
        <f>IF($D750="","",IFERROR(VLOOKUP($D750,'ACAS Consumables Tracker'!$A:$D,4,FALSE()),""))</f>
        <v/>
      </c>
      <c r="H750" s="22"/>
    </row>
    <row r="751" spans="1:8">
      <c r="A751" s="21"/>
      <c r="B751" s="28"/>
      <c r="C751" s="22"/>
      <c r="D751" s="28"/>
      <c r="E751" s="23" t="str">
        <f>IF($D751="","",IFERROR(VLOOKUP($D751,'ACAS Consumables Tracker'!$A:$H,8,FALSE()),""))</f>
        <v/>
      </c>
      <c r="F751" s="24"/>
      <c r="G751" s="25" t="str">
        <f>IF($D751="","",IFERROR(VLOOKUP($D751,'ACAS Consumables Tracker'!$A:$D,4,FALSE()),""))</f>
        <v/>
      </c>
      <c r="H751" s="22"/>
    </row>
    <row r="752" spans="1:8">
      <c r="A752" s="21"/>
      <c r="B752" s="28"/>
      <c r="C752" s="22"/>
      <c r="D752" s="28"/>
      <c r="E752" s="23" t="str">
        <f>IF($D752="","",IFERROR(VLOOKUP($D752,'ACAS Consumables Tracker'!$A:$H,8,FALSE()),""))</f>
        <v/>
      </c>
      <c r="F752" s="24"/>
      <c r="G752" s="25" t="str">
        <f>IF($D752="","",IFERROR(VLOOKUP($D752,'ACAS Consumables Tracker'!$A:$D,4,FALSE()),""))</f>
        <v/>
      </c>
      <c r="H752" s="22"/>
    </row>
    <row r="753" spans="1:8">
      <c r="A753" s="21"/>
      <c r="B753" s="28"/>
      <c r="C753" s="22"/>
      <c r="D753" s="28"/>
      <c r="E753" s="23" t="str">
        <f>IF($D753="","",IFERROR(VLOOKUP($D753,'ACAS Consumables Tracker'!$A:$H,8,FALSE()),""))</f>
        <v/>
      </c>
      <c r="F753" s="24"/>
      <c r="G753" s="25" t="str">
        <f>IF($D753="","",IFERROR(VLOOKUP($D753,'ACAS Consumables Tracker'!$A:$D,4,FALSE()),""))</f>
        <v/>
      </c>
      <c r="H753" s="22"/>
    </row>
    <row r="754" spans="1:8">
      <c r="A754" s="21"/>
      <c r="B754" s="28"/>
      <c r="C754" s="22"/>
      <c r="D754" s="28"/>
      <c r="E754" s="23" t="str">
        <f>IF($D754="","",IFERROR(VLOOKUP($D754,'ACAS Consumables Tracker'!$A:$H,8,FALSE()),""))</f>
        <v/>
      </c>
      <c r="F754" s="24"/>
      <c r="G754" s="25" t="str">
        <f>IF($D754="","",IFERROR(VLOOKUP($D754,'ACAS Consumables Tracker'!$A:$D,4,FALSE()),""))</f>
        <v/>
      </c>
      <c r="H754" s="22"/>
    </row>
    <row r="755" spans="1:8">
      <c r="A755" s="21"/>
      <c r="B755" s="28"/>
      <c r="C755" s="22"/>
      <c r="D755" s="28"/>
      <c r="E755" s="23" t="str">
        <f>IF($D755="","",IFERROR(VLOOKUP($D755,'ACAS Consumables Tracker'!$A:$H,8,FALSE()),""))</f>
        <v/>
      </c>
      <c r="F755" s="24"/>
      <c r="G755" s="25" t="str">
        <f>IF($D755="","",IFERROR(VLOOKUP($D755,'ACAS Consumables Tracker'!$A:$D,4,FALSE()),""))</f>
        <v/>
      </c>
      <c r="H755" s="22"/>
    </row>
    <row r="756" spans="1:8">
      <c r="A756" s="21"/>
      <c r="B756" s="28"/>
      <c r="C756" s="22"/>
      <c r="D756" s="28"/>
      <c r="E756" s="23" t="str">
        <f>IF($D756="","",IFERROR(VLOOKUP($D756,'ACAS Consumables Tracker'!$A:$H,8,FALSE()),""))</f>
        <v/>
      </c>
      <c r="F756" s="24"/>
      <c r="G756" s="25" t="str">
        <f>IF($D756="","",IFERROR(VLOOKUP($D756,'ACAS Consumables Tracker'!$A:$D,4,FALSE()),""))</f>
        <v/>
      </c>
      <c r="H756" s="22"/>
    </row>
    <row r="757" spans="1:8">
      <c r="A757" s="21"/>
      <c r="B757" s="28"/>
      <c r="C757" s="22"/>
      <c r="D757" s="28"/>
      <c r="E757" s="23" t="str">
        <f>IF($D757="","",IFERROR(VLOOKUP($D757,'ACAS Consumables Tracker'!$A:$H,8,FALSE()),""))</f>
        <v/>
      </c>
      <c r="F757" s="24"/>
      <c r="G757" s="25" t="str">
        <f>IF($D757="","",IFERROR(VLOOKUP($D757,'ACAS Consumables Tracker'!$A:$D,4,FALSE()),""))</f>
        <v/>
      </c>
      <c r="H757" s="22"/>
    </row>
    <row r="758" spans="1:8">
      <c r="A758" s="21"/>
      <c r="B758" s="28"/>
      <c r="C758" s="22"/>
      <c r="D758" s="28"/>
      <c r="E758" s="23" t="str">
        <f>IF($D758="","",IFERROR(VLOOKUP($D758,'ACAS Consumables Tracker'!$A:$H,8,FALSE()),""))</f>
        <v/>
      </c>
      <c r="F758" s="24"/>
      <c r="G758" s="25" t="str">
        <f>IF($D758="","",IFERROR(VLOOKUP($D758,'ACAS Consumables Tracker'!$A:$D,4,FALSE()),""))</f>
        <v/>
      </c>
      <c r="H758" s="22"/>
    </row>
    <row r="759" spans="1:8">
      <c r="A759" s="21"/>
      <c r="B759" s="28"/>
      <c r="C759" s="22"/>
      <c r="D759" s="28"/>
      <c r="E759" s="23" t="str">
        <f>IF($D759="","",IFERROR(VLOOKUP($D759,'ACAS Consumables Tracker'!$A:$H,8,FALSE()),""))</f>
        <v/>
      </c>
      <c r="F759" s="24"/>
      <c r="G759" s="25" t="str">
        <f>IF($D759="","",IFERROR(VLOOKUP($D759,'ACAS Consumables Tracker'!$A:$D,4,FALSE()),""))</f>
        <v/>
      </c>
      <c r="H759" s="22"/>
    </row>
    <row r="760" spans="1:8">
      <c r="A760" s="21"/>
      <c r="B760" s="28"/>
      <c r="C760" s="22"/>
      <c r="D760" s="28"/>
      <c r="E760" s="23" t="str">
        <f>IF($D760="","",IFERROR(VLOOKUP($D760,'ACAS Consumables Tracker'!$A:$H,8,FALSE()),""))</f>
        <v/>
      </c>
      <c r="F760" s="24"/>
      <c r="G760" s="25" t="str">
        <f>IF($D760="","",IFERROR(VLOOKUP($D760,'ACAS Consumables Tracker'!$A:$D,4,FALSE()),""))</f>
        <v/>
      </c>
      <c r="H760" s="22"/>
    </row>
    <row r="761" spans="1:8">
      <c r="A761" s="21"/>
      <c r="B761" s="28"/>
      <c r="C761" s="22"/>
      <c r="D761" s="28"/>
      <c r="E761" s="23" t="str">
        <f>IF($D761="","",IFERROR(VLOOKUP($D761,'ACAS Consumables Tracker'!$A:$H,8,FALSE()),""))</f>
        <v/>
      </c>
      <c r="F761" s="24"/>
      <c r="G761" s="25" t="str">
        <f>IF($D761="","",IFERROR(VLOOKUP($D761,'ACAS Consumables Tracker'!$A:$D,4,FALSE()),""))</f>
        <v/>
      </c>
      <c r="H761" s="22"/>
    </row>
    <row r="762" spans="1:8">
      <c r="A762" s="21"/>
      <c r="B762" s="28"/>
      <c r="C762" s="22"/>
      <c r="D762" s="28"/>
      <c r="E762" s="23" t="str">
        <f>IF($D762="","",IFERROR(VLOOKUP($D762,'ACAS Consumables Tracker'!$A:$H,8,FALSE()),""))</f>
        <v/>
      </c>
      <c r="F762" s="24"/>
      <c r="G762" s="25" t="str">
        <f>IF($D762="","",IFERROR(VLOOKUP($D762,'ACAS Consumables Tracker'!$A:$D,4,FALSE()),""))</f>
        <v/>
      </c>
      <c r="H762" s="22"/>
    </row>
    <row r="763" spans="1:8">
      <c r="A763" s="21"/>
      <c r="B763" s="28"/>
      <c r="C763" s="22"/>
      <c r="D763" s="28"/>
      <c r="E763" s="23" t="str">
        <f>IF($D763="","",IFERROR(VLOOKUP($D763,'ACAS Consumables Tracker'!$A:$H,8,FALSE()),""))</f>
        <v/>
      </c>
      <c r="F763" s="24"/>
      <c r="G763" s="25" t="str">
        <f>IF($D763="","",IFERROR(VLOOKUP($D763,'ACAS Consumables Tracker'!$A:$D,4,FALSE()),""))</f>
        <v/>
      </c>
      <c r="H763" s="22"/>
    </row>
    <row r="764" spans="1:8">
      <c r="A764" s="21"/>
      <c r="B764" s="28"/>
      <c r="C764" s="22"/>
      <c r="D764" s="28"/>
      <c r="E764" s="23" t="str">
        <f>IF($D764="","",IFERROR(VLOOKUP($D764,'ACAS Consumables Tracker'!$A:$H,8,FALSE()),""))</f>
        <v/>
      </c>
      <c r="F764" s="24"/>
      <c r="G764" s="25" t="str">
        <f>IF($D764="","",IFERROR(VLOOKUP($D764,'ACAS Consumables Tracker'!$A:$D,4,FALSE()),""))</f>
        <v/>
      </c>
      <c r="H764" s="22"/>
    </row>
    <row r="765" spans="1:8">
      <c r="A765" s="21"/>
      <c r="B765" s="28"/>
      <c r="C765" s="22"/>
      <c r="D765" s="28"/>
      <c r="E765" s="23" t="str">
        <f>IF($D765="","",IFERROR(VLOOKUP($D765,'ACAS Consumables Tracker'!$A:$H,8,FALSE()),""))</f>
        <v/>
      </c>
      <c r="F765" s="24"/>
      <c r="G765" s="25" t="str">
        <f>IF($D765="","",IFERROR(VLOOKUP($D765,'ACAS Consumables Tracker'!$A:$D,4,FALSE()),""))</f>
        <v/>
      </c>
      <c r="H765" s="22"/>
    </row>
    <row r="766" spans="1:8">
      <c r="A766" s="21"/>
      <c r="B766" s="28"/>
      <c r="C766" s="22"/>
      <c r="D766" s="28"/>
      <c r="E766" s="23" t="str">
        <f>IF($D766="","",IFERROR(VLOOKUP($D766,'ACAS Consumables Tracker'!$A:$H,8,FALSE()),""))</f>
        <v/>
      </c>
      <c r="F766" s="24"/>
      <c r="G766" s="25" t="str">
        <f>IF($D766="","",IFERROR(VLOOKUP($D766,'ACAS Consumables Tracker'!$A:$D,4,FALSE()),""))</f>
        <v/>
      </c>
      <c r="H766" s="22"/>
    </row>
    <row r="767" spans="1:8">
      <c r="A767" s="21"/>
      <c r="B767" s="28"/>
      <c r="C767" s="22"/>
      <c r="D767" s="28"/>
      <c r="E767" s="23" t="str">
        <f>IF($D767="","",IFERROR(VLOOKUP($D767,'ACAS Consumables Tracker'!$A:$H,8,FALSE()),""))</f>
        <v/>
      </c>
      <c r="F767" s="24"/>
      <c r="G767" s="25" t="str">
        <f>IF($D767="","",IFERROR(VLOOKUP($D767,'ACAS Consumables Tracker'!$A:$D,4,FALSE()),""))</f>
        <v/>
      </c>
      <c r="H767" s="22"/>
    </row>
    <row r="768" spans="1:8">
      <c r="A768" s="21"/>
      <c r="B768" s="28"/>
      <c r="C768" s="22"/>
      <c r="D768" s="28"/>
      <c r="E768" s="23" t="str">
        <f>IF($D768="","",IFERROR(VLOOKUP($D768,'ACAS Consumables Tracker'!$A:$H,8,FALSE()),""))</f>
        <v/>
      </c>
      <c r="F768" s="24"/>
      <c r="G768" s="25" t="str">
        <f>IF($D768="","",IFERROR(VLOOKUP($D768,'ACAS Consumables Tracker'!$A:$D,4,FALSE()),""))</f>
        <v/>
      </c>
      <c r="H768" s="22"/>
    </row>
    <row r="769" spans="1:8">
      <c r="A769" s="21"/>
      <c r="B769" s="28"/>
      <c r="C769" s="22"/>
      <c r="D769" s="28"/>
      <c r="E769" s="23" t="str">
        <f>IF($D769="","",IFERROR(VLOOKUP($D769,'ACAS Consumables Tracker'!$A:$H,8,FALSE()),""))</f>
        <v/>
      </c>
      <c r="F769" s="24"/>
      <c r="G769" s="25" t="str">
        <f>IF($D769="","",IFERROR(VLOOKUP($D769,'ACAS Consumables Tracker'!$A:$D,4,FALSE()),""))</f>
        <v/>
      </c>
      <c r="H769" s="22"/>
    </row>
    <row r="770" spans="1:8">
      <c r="A770" s="21"/>
      <c r="B770" s="28"/>
      <c r="C770" s="22"/>
      <c r="D770" s="28"/>
      <c r="E770" s="23" t="str">
        <f>IF($D770="","",IFERROR(VLOOKUP($D770,'ACAS Consumables Tracker'!$A:$H,8,FALSE()),""))</f>
        <v/>
      </c>
      <c r="F770" s="24"/>
      <c r="G770" s="25" t="str">
        <f>IF($D770="","",IFERROR(VLOOKUP($D770,'ACAS Consumables Tracker'!$A:$D,4,FALSE()),""))</f>
        <v/>
      </c>
      <c r="H770" s="22"/>
    </row>
    <row r="771" spans="1:8">
      <c r="A771" s="21"/>
      <c r="B771" s="28"/>
      <c r="C771" s="22"/>
      <c r="D771" s="28"/>
      <c r="E771" s="23" t="str">
        <f>IF($D771="","",IFERROR(VLOOKUP($D771,'ACAS Consumables Tracker'!$A:$H,8,FALSE()),""))</f>
        <v/>
      </c>
      <c r="F771" s="24"/>
      <c r="G771" s="25" t="str">
        <f>IF($D771="","",IFERROR(VLOOKUP($D771,'ACAS Consumables Tracker'!$A:$D,4,FALSE()),""))</f>
        <v/>
      </c>
      <c r="H771" s="22"/>
    </row>
    <row r="772" spans="1:8">
      <c r="A772" s="21"/>
      <c r="B772" s="28"/>
      <c r="C772" s="22"/>
      <c r="D772" s="28"/>
      <c r="E772" s="23" t="str">
        <f>IF($D772="","",IFERROR(VLOOKUP($D772,'ACAS Consumables Tracker'!$A:$H,8,FALSE()),""))</f>
        <v/>
      </c>
      <c r="F772" s="24"/>
      <c r="G772" s="25" t="str">
        <f>IF($D772="","",IFERROR(VLOOKUP($D772,'ACAS Consumables Tracker'!$A:$D,4,FALSE()),""))</f>
        <v/>
      </c>
      <c r="H772" s="22"/>
    </row>
    <row r="773" spans="1:8">
      <c r="A773" s="21"/>
      <c r="B773" s="28"/>
      <c r="C773" s="22"/>
      <c r="D773" s="28"/>
      <c r="E773" s="23" t="str">
        <f>IF($D773="","",IFERROR(VLOOKUP($D773,'ACAS Consumables Tracker'!$A:$H,8,FALSE()),""))</f>
        <v/>
      </c>
      <c r="F773" s="24"/>
      <c r="G773" s="25" t="str">
        <f>IF($D773="","",IFERROR(VLOOKUP($D773,'ACAS Consumables Tracker'!$A:$D,4,FALSE()),""))</f>
        <v/>
      </c>
      <c r="H773" s="22"/>
    </row>
    <row r="774" spans="1:8">
      <c r="A774" s="21"/>
      <c r="B774" s="28"/>
      <c r="C774" s="22"/>
      <c r="D774" s="28"/>
      <c r="E774" s="23" t="str">
        <f>IF($D774="","",IFERROR(VLOOKUP($D774,'ACAS Consumables Tracker'!$A:$H,8,FALSE()),""))</f>
        <v/>
      </c>
      <c r="F774" s="24"/>
      <c r="G774" s="25" t="str">
        <f>IF($D774="","",IFERROR(VLOOKUP($D774,'ACAS Consumables Tracker'!$A:$D,4,FALSE()),""))</f>
        <v/>
      </c>
      <c r="H774" s="22"/>
    </row>
    <row r="775" spans="1:8">
      <c r="A775" s="21"/>
      <c r="B775" s="28"/>
      <c r="C775" s="22"/>
      <c r="D775" s="28"/>
      <c r="E775" s="23" t="str">
        <f>IF($D775="","",IFERROR(VLOOKUP($D775,'ACAS Consumables Tracker'!$A:$H,8,FALSE()),""))</f>
        <v/>
      </c>
      <c r="F775" s="24"/>
      <c r="G775" s="25" t="str">
        <f>IF($D775="","",IFERROR(VLOOKUP($D775,'ACAS Consumables Tracker'!$A:$D,4,FALSE()),""))</f>
        <v/>
      </c>
      <c r="H775" s="22"/>
    </row>
    <row r="776" spans="1:8">
      <c r="A776" s="21"/>
      <c r="B776" s="28"/>
      <c r="C776" s="22"/>
      <c r="D776" s="28"/>
      <c r="E776" s="23" t="str">
        <f>IF($D776="","",IFERROR(VLOOKUP($D776,'ACAS Consumables Tracker'!$A:$H,8,FALSE()),""))</f>
        <v/>
      </c>
      <c r="F776" s="24"/>
      <c r="G776" s="25" t="str">
        <f>IF($D776="","",IFERROR(VLOOKUP($D776,'ACAS Consumables Tracker'!$A:$D,4,FALSE()),""))</f>
        <v/>
      </c>
      <c r="H776" s="22"/>
    </row>
    <row r="777" spans="1:8">
      <c r="A777" s="21"/>
      <c r="B777" s="28"/>
      <c r="C777" s="22"/>
      <c r="D777" s="28"/>
      <c r="E777" s="23" t="str">
        <f>IF($D777="","",IFERROR(VLOOKUP($D777,'ACAS Consumables Tracker'!$A:$H,8,FALSE()),""))</f>
        <v/>
      </c>
      <c r="F777" s="24"/>
      <c r="G777" s="25" t="str">
        <f>IF($D777="","",IFERROR(VLOOKUP($D777,'ACAS Consumables Tracker'!$A:$D,4,FALSE()),""))</f>
        <v/>
      </c>
      <c r="H777" s="22"/>
    </row>
    <row r="778" spans="1:8">
      <c r="A778" s="21"/>
      <c r="B778" s="28"/>
      <c r="C778" s="22"/>
      <c r="D778" s="28"/>
      <c r="E778" s="23" t="str">
        <f>IF($D778="","",IFERROR(VLOOKUP($D778,'ACAS Consumables Tracker'!$A:$H,8,FALSE()),""))</f>
        <v/>
      </c>
      <c r="F778" s="24"/>
      <c r="G778" s="25" t="str">
        <f>IF($D778="","",IFERROR(VLOOKUP($D778,'ACAS Consumables Tracker'!$A:$D,4,FALSE()),""))</f>
        <v/>
      </c>
      <c r="H778" s="22"/>
    </row>
    <row r="779" spans="1:8">
      <c r="A779" s="21"/>
      <c r="B779" s="28"/>
      <c r="C779" s="22"/>
      <c r="D779" s="28"/>
      <c r="E779" s="23" t="str">
        <f>IF($D779="","",IFERROR(VLOOKUP($D779,'ACAS Consumables Tracker'!$A:$H,8,FALSE()),""))</f>
        <v/>
      </c>
      <c r="F779" s="24"/>
      <c r="G779" s="25" t="str">
        <f>IF($D779="","",IFERROR(VLOOKUP($D779,'ACAS Consumables Tracker'!$A:$D,4,FALSE()),""))</f>
        <v/>
      </c>
      <c r="H779" s="22"/>
    </row>
    <row r="780" spans="1:8">
      <c r="A780" s="21"/>
      <c r="B780" s="28"/>
      <c r="C780" s="22"/>
      <c r="D780" s="28"/>
      <c r="E780" s="23" t="str">
        <f>IF($D780="","",IFERROR(VLOOKUP($D780,'ACAS Consumables Tracker'!$A:$H,8,FALSE()),""))</f>
        <v/>
      </c>
      <c r="F780" s="24"/>
      <c r="G780" s="25" t="str">
        <f>IF($D780="","",IFERROR(VLOOKUP($D780,'ACAS Consumables Tracker'!$A:$D,4,FALSE()),""))</f>
        <v/>
      </c>
      <c r="H780" s="22"/>
    </row>
    <row r="781" spans="1:8">
      <c r="A781" s="21"/>
      <c r="B781" s="28"/>
      <c r="C781" s="22"/>
      <c r="D781" s="28"/>
      <c r="E781" s="23" t="str">
        <f>IF($D781="","",IFERROR(VLOOKUP($D781,'ACAS Consumables Tracker'!$A:$H,8,FALSE()),""))</f>
        <v/>
      </c>
      <c r="F781" s="24"/>
      <c r="G781" s="25" t="str">
        <f>IF($D781="","",IFERROR(VLOOKUP($D781,'ACAS Consumables Tracker'!$A:$D,4,FALSE()),""))</f>
        <v/>
      </c>
      <c r="H781" s="22"/>
    </row>
    <row r="782" spans="1:8">
      <c r="A782" s="21"/>
      <c r="B782" s="28"/>
      <c r="C782" s="22"/>
      <c r="D782" s="28"/>
      <c r="E782" s="23" t="str">
        <f>IF($D782="","",IFERROR(VLOOKUP($D782,'ACAS Consumables Tracker'!$A:$H,8,FALSE()),""))</f>
        <v/>
      </c>
      <c r="F782" s="24"/>
      <c r="G782" s="25" t="str">
        <f>IF($D782="","",IFERROR(VLOOKUP($D782,'ACAS Consumables Tracker'!$A:$D,4,FALSE()),""))</f>
        <v/>
      </c>
      <c r="H782" s="22"/>
    </row>
    <row r="783" spans="1:8">
      <c r="A783" s="21"/>
      <c r="B783" s="28"/>
      <c r="C783" s="22"/>
      <c r="D783" s="28"/>
      <c r="E783" s="23" t="str">
        <f>IF($D783="","",IFERROR(VLOOKUP($D783,'ACAS Consumables Tracker'!$A:$H,8,FALSE()),""))</f>
        <v/>
      </c>
      <c r="F783" s="24"/>
      <c r="G783" s="25" t="str">
        <f>IF($D783="","",IFERROR(VLOOKUP($D783,'ACAS Consumables Tracker'!$A:$D,4,FALSE()),""))</f>
        <v/>
      </c>
      <c r="H783" s="22"/>
    </row>
    <row r="784" spans="1:8">
      <c r="A784" s="21"/>
      <c r="B784" s="28"/>
      <c r="C784" s="22"/>
      <c r="D784" s="28"/>
      <c r="E784" s="23" t="str">
        <f>IF($D784="","",IFERROR(VLOOKUP($D784,'ACAS Consumables Tracker'!$A:$H,8,FALSE()),""))</f>
        <v/>
      </c>
      <c r="F784" s="24"/>
      <c r="G784" s="25" t="str">
        <f>IF($D784="","",IFERROR(VLOOKUP($D784,'ACAS Consumables Tracker'!$A:$D,4,FALSE()),""))</f>
        <v/>
      </c>
      <c r="H784" s="22"/>
    </row>
    <row r="785" spans="1:8">
      <c r="A785" s="21"/>
      <c r="B785" s="28"/>
      <c r="C785" s="22"/>
      <c r="D785" s="28"/>
      <c r="E785" s="23" t="str">
        <f>IF($D785="","",IFERROR(VLOOKUP($D785,'ACAS Consumables Tracker'!$A:$H,8,FALSE()),""))</f>
        <v/>
      </c>
      <c r="F785" s="24"/>
      <c r="G785" s="25" t="str">
        <f>IF($D785="","",IFERROR(VLOOKUP($D785,'ACAS Consumables Tracker'!$A:$D,4,FALSE()),""))</f>
        <v/>
      </c>
      <c r="H785" s="22"/>
    </row>
    <row r="786" spans="1:8">
      <c r="A786" s="21"/>
      <c r="B786" s="28"/>
      <c r="C786" s="22"/>
      <c r="D786" s="28"/>
      <c r="E786" s="23" t="str">
        <f>IF($D786="","",IFERROR(VLOOKUP($D786,'ACAS Consumables Tracker'!$A:$H,8,FALSE()),""))</f>
        <v/>
      </c>
      <c r="F786" s="24"/>
      <c r="G786" s="25" t="str">
        <f>IF($D786="","",IFERROR(VLOOKUP($D786,'ACAS Consumables Tracker'!$A:$D,4,FALSE()),""))</f>
        <v/>
      </c>
      <c r="H786" s="22"/>
    </row>
    <row r="787" spans="1:8">
      <c r="A787" s="21"/>
      <c r="B787" s="28"/>
      <c r="C787" s="22"/>
      <c r="D787" s="28"/>
      <c r="E787" s="23" t="str">
        <f>IF($D787="","",IFERROR(VLOOKUP($D787,'ACAS Consumables Tracker'!$A:$H,8,FALSE()),""))</f>
        <v/>
      </c>
      <c r="F787" s="24"/>
      <c r="G787" s="25" t="str">
        <f>IF($D787="","",IFERROR(VLOOKUP($D787,'ACAS Consumables Tracker'!$A:$D,4,FALSE()),""))</f>
        <v/>
      </c>
      <c r="H787" s="22"/>
    </row>
    <row r="788" spans="1:8">
      <c r="A788" s="21"/>
      <c r="B788" s="28"/>
      <c r="C788" s="22"/>
      <c r="D788" s="28"/>
      <c r="E788" s="23" t="str">
        <f>IF($D788="","",IFERROR(VLOOKUP($D788,'ACAS Consumables Tracker'!$A:$H,8,FALSE()),""))</f>
        <v/>
      </c>
      <c r="F788" s="24"/>
      <c r="G788" s="25" t="str">
        <f>IF($D788="","",IFERROR(VLOOKUP($D788,'ACAS Consumables Tracker'!$A:$D,4,FALSE()),""))</f>
        <v/>
      </c>
      <c r="H788" s="22"/>
    </row>
    <row r="789" spans="1:8">
      <c r="A789" s="21"/>
      <c r="B789" s="28"/>
      <c r="C789" s="22"/>
      <c r="D789" s="28"/>
      <c r="E789" s="23" t="str">
        <f>IF($D789="","",IFERROR(VLOOKUP($D789,'ACAS Consumables Tracker'!$A:$H,8,FALSE()),""))</f>
        <v/>
      </c>
      <c r="F789" s="24"/>
      <c r="G789" s="25" t="str">
        <f>IF($D789="","",IFERROR(VLOOKUP($D789,'ACAS Consumables Tracker'!$A:$D,4,FALSE()),""))</f>
        <v/>
      </c>
      <c r="H789" s="22"/>
    </row>
    <row r="790" spans="1:8">
      <c r="A790" s="21"/>
      <c r="B790" s="28"/>
      <c r="C790" s="22"/>
      <c r="D790" s="28"/>
      <c r="E790" s="23" t="str">
        <f>IF($D790="","",IFERROR(VLOOKUP($D790,'ACAS Consumables Tracker'!$A:$H,8,FALSE()),""))</f>
        <v/>
      </c>
      <c r="F790" s="24"/>
      <c r="G790" s="25" t="str">
        <f>IF($D790="","",IFERROR(VLOOKUP($D790,'ACAS Consumables Tracker'!$A:$D,4,FALSE()),""))</f>
        <v/>
      </c>
      <c r="H790" s="22"/>
    </row>
    <row r="791" spans="1:8">
      <c r="A791" s="21"/>
      <c r="B791" s="28"/>
      <c r="C791" s="22"/>
      <c r="D791" s="28"/>
      <c r="E791" s="23" t="str">
        <f>IF($D791="","",IFERROR(VLOOKUP($D791,'ACAS Consumables Tracker'!$A:$H,8,FALSE()),""))</f>
        <v/>
      </c>
      <c r="F791" s="24"/>
      <c r="G791" s="25" t="str">
        <f>IF($D791="","",IFERROR(VLOOKUP($D791,'ACAS Consumables Tracker'!$A:$D,4,FALSE()),""))</f>
        <v/>
      </c>
      <c r="H791" s="22"/>
    </row>
    <row r="792" spans="1:8">
      <c r="A792" s="21"/>
      <c r="B792" s="28"/>
      <c r="C792" s="22"/>
      <c r="D792" s="28"/>
      <c r="E792" s="23" t="str">
        <f>IF($D792="","",IFERROR(VLOOKUP($D792,'ACAS Consumables Tracker'!$A:$H,8,FALSE()),""))</f>
        <v/>
      </c>
      <c r="F792" s="24"/>
      <c r="G792" s="25" t="str">
        <f>IF($D792="","",IFERROR(VLOOKUP($D792,'ACAS Consumables Tracker'!$A:$D,4,FALSE()),""))</f>
        <v/>
      </c>
      <c r="H792" s="22"/>
    </row>
    <row r="793" spans="1:8">
      <c r="A793" s="21"/>
      <c r="B793" s="28"/>
      <c r="C793" s="22"/>
      <c r="D793" s="28"/>
      <c r="E793" s="23" t="str">
        <f>IF($D793="","",IFERROR(VLOOKUP($D793,'ACAS Consumables Tracker'!$A:$H,8,FALSE()),""))</f>
        <v/>
      </c>
      <c r="F793" s="24"/>
      <c r="G793" s="25" t="str">
        <f>IF($D793="","",IFERROR(VLOOKUP($D793,'ACAS Consumables Tracker'!$A:$D,4,FALSE()),""))</f>
        <v/>
      </c>
      <c r="H793" s="22"/>
    </row>
    <row r="794" spans="1:8">
      <c r="A794" s="21"/>
      <c r="B794" s="28"/>
      <c r="C794" s="22"/>
      <c r="D794" s="28"/>
      <c r="E794" s="23" t="str">
        <f>IF($D794="","",IFERROR(VLOOKUP($D794,'ACAS Consumables Tracker'!$A:$H,8,FALSE()),""))</f>
        <v/>
      </c>
      <c r="F794" s="24"/>
      <c r="G794" s="25" t="str">
        <f>IF($D794="","",IFERROR(VLOOKUP($D794,'ACAS Consumables Tracker'!$A:$D,4,FALSE()),""))</f>
        <v/>
      </c>
      <c r="H794" s="22"/>
    </row>
    <row r="795" spans="1:8">
      <c r="A795" s="21"/>
      <c r="B795" s="28"/>
      <c r="C795" s="22"/>
      <c r="D795" s="28"/>
      <c r="E795" s="23" t="str">
        <f>IF($D795="","",IFERROR(VLOOKUP($D795,'ACAS Consumables Tracker'!$A:$H,8,FALSE()),""))</f>
        <v/>
      </c>
      <c r="F795" s="24"/>
      <c r="G795" s="25" t="str">
        <f>IF($D795="","",IFERROR(VLOOKUP($D795,'ACAS Consumables Tracker'!$A:$D,4,FALSE()),""))</f>
        <v/>
      </c>
      <c r="H795" s="22"/>
    </row>
    <row r="796" spans="1:8">
      <c r="A796" s="21"/>
      <c r="B796" s="28"/>
      <c r="C796" s="22"/>
      <c r="D796" s="28"/>
      <c r="E796" s="23" t="str">
        <f>IF($D796="","",IFERROR(VLOOKUP($D796,'ACAS Consumables Tracker'!$A:$H,8,FALSE()),""))</f>
        <v/>
      </c>
      <c r="F796" s="24"/>
      <c r="G796" s="25" t="str">
        <f>IF($D796="","",IFERROR(VLOOKUP($D796,'ACAS Consumables Tracker'!$A:$D,4,FALSE()),""))</f>
        <v/>
      </c>
      <c r="H796" s="22"/>
    </row>
    <row r="797" spans="1:8">
      <c r="A797" s="21"/>
      <c r="B797" s="28"/>
      <c r="C797" s="22"/>
      <c r="D797" s="28"/>
      <c r="E797" s="23" t="str">
        <f>IF($D797="","",IFERROR(VLOOKUP($D797,'ACAS Consumables Tracker'!$A:$H,8,FALSE()),""))</f>
        <v/>
      </c>
      <c r="F797" s="24"/>
      <c r="G797" s="25" t="str">
        <f>IF($D797="","",IFERROR(VLOOKUP($D797,'ACAS Consumables Tracker'!$A:$D,4,FALSE()),""))</f>
        <v/>
      </c>
      <c r="H797" s="22"/>
    </row>
    <row r="798" spans="1:8">
      <c r="A798" s="21"/>
      <c r="B798" s="28"/>
      <c r="C798" s="22"/>
      <c r="D798" s="28"/>
      <c r="E798" s="23" t="str">
        <f>IF($D798="","",IFERROR(VLOOKUP($D798,'ACAS Consumables Tracker'!$A:$H,8,FALSE()),""))</f>
        <v/>
      </c>
      <c r="F798" s="24"/>
      <c r="G798" s="25" t="str">
        <f>IF($D798="","",IFERROR(VLOOKUP($D798,'ACAS Consumables Tracker'!$A:$D,4,FALSE()),""))</f>
        <v/>
      </c>
      <c r="H798" s="22"/>
    </row>
    <row r="799" spans="1:8">
      <c r="A799" s="21"/>
      <c r="B799" s="28"/>
      <c r="C799" s="22"/>
      <c r="D799" s="28"/>
      <c r="E799" s="23" t="str">
        <f>IF($D799="","",IFERROR(VLOOKUP($D799,'ACAS Consumables Tracker'!$A:$H,8,FALSE()),""))</f>
        <v/>
      </c>
      <c r="F799" s="24"/>
      <c r="G799" s="25" t="str">
        <f>IF($D799="","",IFERROR(VLOOKUP($D799,'ACAS Consumables Tracker'!$A:$D,4,FALSE()),""))</f>
        <v/>
      </c>
      <c r="H799" s="22"/>
    </row>
    <row r="800" spans="1:8">
      <c r="A800" s="21"/>
      <c r="B800" s="28"/>
      <c r="C800" s="22"/>
      <c r="D800" s="28"/>
      <c r="E800" s="23" t="str">
        <f>IF($D800="","",IFERROR(VLOOKUP($D800,'ACAS Consumables Tracker'!$A:$H,8,FALSE()),""))</f>
        <v/>
      </c>
      <c r="F800" s="24"/>
      <c r="G800" s="25" t="str">
        <f>IF($D800="","",IFERROR(VLOOKUP($D800,'ACAS Consumables Tracker'!$A:$D,4,FALSE()),""))</f>
        <v/>
      </c>
      <c r="H800" s="22"/>
    </row>
    <row r="801" spans="1:8">
      <c r="A801" s="21"/>
      <c r="B801" s="28"/>
      <c r="C801" s="22"/>
      <c r="D801" s="28"/>
      <c r="E801" s="23" t="str">
        <f>IF($D801="","",IFERROR(VLOOKUP($D801,'ACAS Consumables Tracker'!$A:$H,8,FALSE()),""))</f>
        <v/>
      </c>
      <c r="F801" s="24"/>
      <c r="G801" s="25" t="str">
        <f>IF($D801="","",IFERROR(VLOOKUP($D801,'ACAS Consumables Tracker'!$A:$D,4,FALSE()),""))</f>
        <v/>
      </c>
      <c r="H801" s="22"/>
    </row>
    <row r="802" spans="1:8">
      <c r="A802" s="21"/>
      <c r="B802" s="28"/>
      <c r="C802" s="22"/>
      <c r="D802" s="28"/>
      <c r="E802" s="23" t="str">
        <f>IF($D802="","",IFERROR(VLOOKUP($D802,'ACAS Consumables Tracker'!$A:$H,8,FALSE()),""))</f>
        <v/>
      </c>
      <c r="F802" s="24"/>
      <c r="G802" s="25" t="str">
        <f>IF($D802="","",IFERROR(VLOOKUP($D802,'ACAS Consumables Tracker'!$A:$D,4,FALSE()),""))</f>
        <v/>
      </c>
      <c r="H802" s="22"/>
    </row>
    <row r="803" spans="1:8">
      <c r="A803" s="21"/>
      <c r="B803" s="28"/>
      <c r="C803" s="22"/>
      <c r="D803" s="28"/>
      <c r="E803" s="23" t="str">
        <f>IF($D803="","",IFERROR(VLOOKUP($D803,'ACAS Consumables Tracker'!$A:$H,8,FALSE()),""))</f>
        <v/>
      </c>
      <c r="F803" s="24"/>
      <c r="G803" s="25" t="str">
        <f>IF($D803="","",IFERROR(VLOOKUP($D803,'ACAS Consumables Tracker'!$A:$D,4,FALSE()),""))</f>
        <v/>
      </c>
      <c r="H803" s="22"/>
    </row>
    <row r="804" spans="1:8">
      <c r="A804" s="21"/>
      <c r="B804" s="28"/>
      <c r="C804" s="22"/>
      <c r="D804" s="28"/>
      <c r="E804" s="23" t="str">
        <f>IF($D804="","",IFERROR(VLOOKUP($D804,'ACAS Consumables Tracker'!$A:$H,8,FALSE()),""))</f>
        <v/>
      </c>
      <c r="F804" s="24"/>
      <c r="G804" s="25" t="str">
        <f>IF($D804="","",IFERROR(VLOOKUP($D804,'ACAS Consumables Tracker'!$A:$D,4,FALSE()),""))</f>
        <v/>
      </c>
      <c r="H804" s="22"/>
    </row>
    <row r="805" spans="1:8">
      <c r="A805" s="21"/>
      <c r="B805" s="28"/>
      <c r="C805" s="22"/>
      <c r="D805" s="28"/>
      <c r="E805" s="23" t="str">
        <f>IF($D805="","",IFERROR(VLOOKUP($D805,'ACAS Consumables Tracker'!$A:$H,8,FALSE()),""))</f>
        <v/>
      </c>
      <c r="F805" s="24"/>
      <c r="G805" s="25" t="str">
        <f>IF($D805="","",IFERROR(VLOOKUP($D805,'ACAS Consumables Tracker'!$A:$D,4,FALSE()),""))</f>
        <v/>
      </c>
      <c r="H805" s="22"/>
    </row>
    <row r="806" spans="1:8">
      <c r="A806" s="21"/>
      <c r="B806" s="28"/>
      <c r="C806" s="22"/>
      <c r="D806" s="28"/>
      <c r="E806" s="23" t="str">
        <f>IF($D806="","",IFERROR(VLOOKUP($D806,'ACAS Consumables Tracker'!$A:$H,8,FALSE()),""))</f>
        <v/>
      </c>
      <c r="F806" s="24"/>
      <c r="G806" s="25" t="str">
        <f>IF($D806="","",IFERROR(VLOOKUP($D806,'ACAS Consumables Tracker'!$A:$D,4,FALSE()),""))</f>
        <v/>
      </c>
      <c r="H806" s="22"/>
    </row>
    <row r="807" spans="1:8">
      <c r="A807" s="21"/>
      <c r="B807" s="28"/>
      <c r="C807" s="22"/>
      <c r="D807" s="28"/>
      <c r="E807" s="23" t="str">
        <f>IF($D807="","",IFERROR(VLOOKUP($D807,'ACAS Consumables Tracker'!$A:$H,8,FALSE()),""))</f>
        <v/>
      </c>
      <c r="F807" s="24"/>
      <c r="G807" s="25" t="str">
        <f>IF($D807="","",IFERROR(VLOOKUP($D807,'ACAS Consumables Tracker'!$A:$D,4,FALSE()),""))</f>
        <v/>
      </c>
      <c r="H807" s="22"/>
    </row>
    <row r="808" spans="1:8">
      <c r="A808" s="21"/>
      <c r="B808" s="28"/>
      <c r="C808" s="22"/>
      <c r="D808" s="28"/>
      <c r="E808" s="23" t="str">
        <f>IF($D808="","",IFERROR(VLOOKUP($D808,'ACAS Consumables Tracker'!$A:$H,8,FALSE()),""))</f>
        <v/>
      </c>
      <c r="F808" s="24"/>
      <c r="G808" s="25" t="str">
        <f>IF($D808="","",IFERROR(VLOOKUP($D808,'ACAS Consumables Tracker'!$A:$D,4,FALSE()),""))</f>
        <v/>
      </c>
      <c r="H808" s="22"/>
    </row>
    <row r="809" spans="1:8">
      <c r="A809" s="21"/>
      <c r="B809" s="28"/>
      <c r="C809" s="22"/>
      <c r="D809" s="28"/>
      <c r="E809" s="23" t="str">
        <f>IF($D809="","",IFERROR(VLOOKUP($D809,'ACAS Consumables Tracker'!$A:$H,8,FALSE()),""))</f>
        <v/>
      </c>
      <c r="F809" s="24"/>
      <c r="G809" s="25" t="str">
        <f>IF($D809="","",IFERROR(VLOOKUP($D809,'ACAS Consumables Tracker'!$A:$D,4,FALSE()),""))</f>
        <v/>
      </c>
      <c r="H809" s="22"/>
    </row>
    <row r="810" spans="1:8">
      <c r="A810" s="21"/>
      <c r="B810" s="28"/>
      <c r="C810" s="22"/>
      <c r="D810" s="28"/>
      <c r="E810" s="23" t="str">
        <f>IF($D810="","",IFERROR(VLOOKUP($D810,'ACAS Consumables Tracker'!$A:$H,8,FALSE()),""))</f>
        <v/>
      </c>
      <c r="F810" s="24"/>
      <c r="G810" s="25" t="str">
        <f>IF($D810="","",IFERROR(VLOOKUP($D810,'ACAS Consumables Tracker'!$A:$D,4,FALSE()),""))</f>
        <v/>
      </c>
      <c r="H810" s="22"/>
    </row>
    <row r="811" spans="1:8">
      <c r="A811" s="21"/>
      <c r="B811" s="28"/>
      <c r="C811" s="22"/>
      <c r="D811" s="28"/>
      <c r="E811" s="23" t="str">
        <f>IF($D811="","",IFERROR(VLOOKUP($D811,'ACAS Consumables Tracker'!$A:$H,8,FALSE()),""))</f>
        <v/>
      </c>
      <c r="F811" s="24"/>
      <c r="G811" s="25" t="str">
        <f>IF($D811="","",IFERROR(VLOOKUP($D811,'ACAS Consumables Tracker'!$A:$D,4,FALSE()),""))</f>
        <v/>
      </c>
      <c r="H811" s="22"/>
    </row>
    <row r="812" spans="1:8">
      <c r="A812" s="21"/>
      <c r="B812" s="28"/>
      <c r="C812" s="22"/>
      <c r="D812" s="28"/>
      <c r="E812" s="23" t="str">
        <f>IF($D812="","",IFERROR(VLOOKUP($D812,'ACAS Consumables Tracker'!$A:$H,8,FALSE()),""))</f>
        <v/>
      </c>
      <c r="F812" s="24"/>
      <c r="G812" s="25" t="str">
        <f>IF($D812="","",IFERROR(VLOOKUP($D812,'ACAS Consumables Tracker'!$A:$D,4,FALSE()),""))</f>
        <v/>
      </c>
      <c r="H812" s="22"/>
    </row>
    <row r="813" spans="1:8">
      <c r="A813" s="21"/>
      <c r="B813" s="28"/>
      <c r="C813" s="22"/>
      <c r="D813" s="28"/>
      <c r="E813" s="23" t="str">
        <f>IF($D813="","",IFERROR(VLOOKUP($D813,'ACAS Consumables Tracker'!$A:$H,8,FALSE()),""))</f>
        <v/>
      </c>
      <c r="F813" s="24"/>
      <c r="G813" s="25" t="str">
        <f>IF($D813="","",IFERROR(VLOOKUP($D813,'ACAS Consumables Tracker'!$A:$D,4,FALSE()),""))</f>
        <v/>
      </c>
      <c r="H813" s="22"/>
    </row>
    <row r="814" spans="1:8">
      <c r="A814" s="21"/>
      <c r="B814" s="28"/>
      <c r="C814" s="22"/>
      <c r="D814" s="28"/>
      <c r="E814" s="23" t="str">
        <f>IF($D814="","",IFERROR(VLOOKUP($D814,'ACAS Consumables Tracker'!$A:$H,8,FALSE()),""))</f>
        <v/>
      </c>
      <c r="F814" s="24"/>
      <c r="G814" s="25" t="str">
        <f>IF($D814="","",IFERROR(VLOOKUP($D814,'ACAS Consumables Tracker'!$A:$D,4,FALSE()),""))</f>
        <v/>
      </c>
      <c r="H814" s="22"/>
    </row>
    <row r="815" spans="1:8">
      <c r="A815" s="21"/>
      <c r="B815" s="28"/>
      <c r="C815" s="22"/>
      <c r="D815" s="28"/>
      <c r="E815" s="23" t="str">
        <f>IF($D815="","",IFERROR(VLOOKUP($D815,'ACAS Consumables Tracker'!$A:$H,8,FALSE()),""))</f>
        <v/>
      </c>
      <c r="F815" s="24"/>
      <c r="G815" s="25" t="str">
        <f>IF($D815="","",IFERROR(VLOOKUP($D815,'ACAS Consumables Tracker'!$A:$D,4,FALSE()),""))</f>
        <v/>
      </c>
      <c r="H815" s="22"/>
    </row>
    <row r="816" spans="1:8">
      <c r="A816" s="21"/>
      <c r="B816" s="28"/>
      <c r="C816" s="22"/>
      <c r="D816" s="28"/>
      <c r="E816" s="23" t="str">
        <f>IF($D816="","",IFERROR(VLOOKUP($D816,'ACAS Consumables Tracker'!$A:$H,8,FALSE()),""))</f>
        <v/>
      </c>
      <c r="F816" s="24"/>
      <c r="G816" s="25" t="str">
        <f>IF($D816="","",IFERROR(VLOOKUP($D816,'ACAS Consumables Tracker'!$A:$D,4,FALSE()),""))</f>
        <v/>
      </c>
      <c r="H816" s="22"/>
    </row>
    <row r="817" spans="1:8">
      <c r="A817" s="21"/>
      <c r="B817" s="28"/>
      <c r="C817" s="22"/>
      <c r="D817" s="28"/>
      <c r="E817" s="23" t="str">
        <f>IF($D817="","",IFERROR(VLOOKUP($D817,'ACAS Consumables Tracker'!$A:$H,8,FALSE()),""))</f>
        <v/>
      </c>
      <c r="F817" s="24"/>
      <c r="G817" s="25" t="str">
        <f>IF($D817="","",IFERROR(VLOOKUP($D817,'ACAS Consumables Tracker'!$A:$D,4,FALSE()),""))</f>
        <v/>
      </c>
      <c r="H817" s="22"/>
    </row>
    <row r="818" spans="1:8">
      <c r="A818" s="21"/>
      <c r="B818" s="28"/>
      <c r="C818" s="22"/>
      <c r="D818" s="28"/>
      <c r="E818" s="23" t="str">
        <f>IF($D818="","",IFERROR(VLOOKUP($D818,'ACAS Consumables Tracker'!$A:$H,8,FALSE()),""))</f>
        <v/>
      </c>
      <c r="F818" s="24"/>
      <c r="G818" s="25" t="str">
        <f>IF($D818="","",IFERROR(VLOOKUP($D818,'ACAS Consumables Tracker'!$A:$D,4,FALSE()),""))</f>
        <v/>
      </c>
      <c r="H818" s="22"/>
    </row>
    <row r="819" spans="1:8">
      <c r="A819" s="21"/>
      <c r="B819" s="28"/>
      <c r="C819" s="22"/>
      <c r="D819" s="28"/>
      <c r="E819" s="23" t="str">
        <f>IF($D819="","",IFERROR(VLOOKUP($D819,'ACAS Consumables Tracker'!$A:$H,8,FALSE()),""))</f>
        <v/>
      </c>
      <c r="F819" s="24"/>
      <c r="G819" s="25" t="str">
        <f>IF($D819="","",IFERROR(VLOOKUP($D819,'ACAS Consumables Tracker'!$A:$D,4,FALSE()),""))</f>
        <v/>
      </c>
      <c r="H819" s="22"/>
    </row>
    <row r="820" spans="1:8">
      <c r="A820" s="21"/>
      <c r="B820" s="28"/>
      <c r="C820" s="22"/>
      <c r="D820" s="28"/>
      <c r="E820" s="23" t="str">
        <f>IF($D820="","",IFERROR(VLOOKUP($D820,'ACAS Consumables Tracker'!$A:$H,8,FALSE()),""))</f>
        <v/>
      </c>
      <c r="F820" s="24"/>
      <c r="G820" s="25" t="str">
        <f>IF($D820="","",IFERROR(VLOOKUP($D820,'ACAS Consumables Tracker'!$A:$D,4,FALSE()),""))</f>
        <v/>
      </c>
      <c r="H820" s="22"/>
    </row>
    <row r="821" spans="1:8">
      <c r="A821" s="21"/>
      <c r="B821" s="28"/>
      <c r="C821" s="22"/>
      <c r="D821" s="28"/>
      <c r="E821" s="23" t="str">
        <f>IF($D821="","",IFERROR(VLOOKUP($D821,'ACAS Consumables Tracker'!$A:$H,8,FALSE()),""))</f>
        <v/>
      </c>
      <c r="F821" s="24"/>
      <c r="G821" s="25" t="str">
        <f>IF($D821="","",IFERROR(VLOOKUP($D821,'ACAS Consumables Tracker'!$A:$D,4,FALSE()),""))</f>
        <v/>
      </c>
      <c r="H821" s="22"/>
    </row>
    <row r="822" spans="1:8">
      <c r="A822" s="21"/>
      <c r="B822" s="28"/>
      <c r="C822" s="22"/>
      <c r="D822" s="28"/>
      <c r="E822" s="23" t="str">
        <f>IF($D822="","",IFERROR(VLOOKUP($D822,'ACAS Consumables Tracker'!$A:$H,8,FALSE()),""))</f>
        <v/>
      </c>
      <c r="F822" s="24"/>
      <c r="G822" s="25" t="str">
        <f>IF($D822="","",IFERROR(VLOOKUP($D822,'ACAS Consumables Tracker'!$A:$D,4,FALSE()),""))</f>
        <v/>
      </c>
      <c r="H822" s="22"/>
    </row>
    <row r="823" spans="1:8">
      <c r="A823" s="21"/>
      <c r="B823" s="28"/>
      <c r="C823" s="22"/>
      <c r="D823" s="28"/>
      <c r="E823" s="23" t="str">
        <f>IF($D823="","",IFERROR(VLOOKUP($D823,'ACAS Consumables Tracker'!$A:$H,8,FALSE()),""))</f>
        <v/>
      </c>
      <c r="F823" s="24"/>
      <c r="G823" s="25" t="str">
        <f>IF($D823="","",IFERROR(VLOOKUP($D823,'ACAS Consumables Tracker'!$A:$D,4,FALSE()),""))</f>
        <v/>
      </c>
      <c r="H823" s="22"/>
    </row>
    <row r="824" spans="1:8">
      <c r="A824" s="21"/>
      <c r="B824" s="28"/>
      <c r="C824" s="22"/>
      <c r="D824" s="28"/>
      <c r="E824" s="23" t="str">
        <f>IF($D824="","",IFERROR(VLOOKUP($D824,'ACAS Consumables Tracker'!$A:$H,8,FALSE()),""))</f>
        <v/>
      </c>
      <c r="F824" s="24"/>
      <c r="G824" s="25" t="str">
        <f>IF($D824="","",IFERROR(VLOOKUP($D824,'ACAS Consumables Tracker'!$A:$D,4,FALSE()),""))</f>
        <v/>
      </c>
      <c r="H824" s="22"/>
    </row>
    <row r="825" spans="1:8">
      <c r="A825" s="21"/>
      <c r="B825" s="28"/>
      <c r="C825" s="22"/>
      <c r="D825" s="28"/>
      <c r="E825" s="23" t="str">
        <f>IF($D825="","",IFERROR(VLOOKUP($D825,'ACAS Consumables Tracker'!$A:$H,8,FALSE()),""))</f>
        <v/>
      </c>
      <c r="F825" s="24"/>
      <c r="G825" s="25" t="str">
        <f>IF($D825="","",IFERROR(VLOOKUP($D825,'ACAS Consumables Tracker'!$A:$D,4,FALSE()),""))</f>
        <v/>
      </c>
      <c r="H825" s="22"/>
    </row>
    <row r="826" spans="1:8">
      <c r="A826" s="21"/>
      <c r="B826" s="28"/>
      <c r="C826" s="22"/>
      <c r="D826" s="28"/>
      <c r="E826" s="23" t="str">
        <f>IF($D826="","",IFERROR(VLOOKUP($D826,'ACAS Consumables Tracker'!$A:$H,8,FALSE()),""))</f>
        <v/>
      </c>
      <c r="F826" s="24"/>
      <c r="G826" s="25" t="str">
        <f>IF($D826="","",IFERROR(VLOOKUP($D826,'ACAS Consumables Tracker'!$A:$D,4,FALSE()),""))</f>
        <v/>
      </c>
      <c r="H826" s="22"/>
    </row>
    <row r="827" spans="1:8">
      <c r="A827" s="21"/>
      <c r="B827" s="28"/>
      <c r="C827" s="22"/>
      <c r="D827" s="28"/>
      <c r="E827" s="23" t="str">
        <f>IF($D827="","",IFERROR(VLOOKUP($D827,'ACAS Consumables Tracker'!$A:$H,8,FALSE()),""))</f>
        <v/>
      </c>
      <c r="F827" s="24"/>
      <c r="G827" s="25" t="str">
        <f>IF($D827="","",IFERROR(VLOOKUP($D827,'ACAS Consumables Tracker'!$A:$D,4,FALSE()),""))</f>
        <v/>
      </c>
      <c r="H827" s="22"/>
    </row>
    <row r="828" spans="1:8">
      <c r="A828" s="21"/>
      <c r="B828" s="28"/>
      <c r="C828" s="22"/>
      <c r="D828" s="28"/>
      <c r="E828" s="23" t="str">
        <f>IF($D828="","",IFERROR(VLOOKUP($D828,'ACAS Consumables Tracker'!$A:$H,8,FALSE()),""))</f>
        <v/>
      </c>
      <c r="F828" s="24"/>
      <c r="G828" s="25" t="str">
        <f>IF($D828="","",IFERROR(VLOOKUP($D828,'ACAS Consumables Tracker'!$A:$D,4,FALSE()),""))</f>
        <v/>
      </c>
      <c r="H828" s="22"/>
    </row>
    <row r="829" spans="1:8">
      <c r="A829" s="21"/>
      <c r="B829" s="28"/>
      <c r="C829" s="22"/>
      <c r="D829" s="28"/>
      <c r="E829" s="23" t="str">
        <f>IF($D829="","",IFERROR(VLOOKUP($D829,'ACAS Consumables Tracker'!$A:$H,8,FALSE()),""))</f>
        <v/>
      </c>
      <c r="F829" s="24"/>
      <c r="G829" s="25" t="str">
        <f>IF($D829="","",IFERROR(VLOOKUP($D829,'ACAS Consumables Tracker'!$A:$D,4,FALSE()),""))</f>
        <v/>
      </c>
      <c r="H829" s="22"/>
    </row>
    <row r="830" spans="1:8">
      <c r="A830" s="21"/>
      <c r="B830" s="28"/>
      <c r="C830" s="22"/>
      <c r="D830" s="28"/>
      <c r="E830" s="23" t="str">
        <f>IF($D830="","",IFERROR(VLOOKUP($D830,'ACAS Consumables Tracker'!$A:$H,8,FALSE()),""))</f>
        <v/>
      </c>
      <c r="F830" s="24"/>
      <c r="G830" s="25" t="str">
        <f>IF($D830="","",IFERROR(VLOOKUP($D830,'ACAS Consumables Tracker'!$A:$D,4,FALSE()),""))</f>
        <v/>
      </c>
      <c r="H830" s="22"/>
    </row>
    <row r="831" spans="1:8">
      <c r="A831" s="21"/>
      <c r="B831" s="28"/>
      <c r="C831" s="22"/>
      <c r="D831" s="28"/>
      <c r="E831" s="23" t="str">
        <f>IF($D831="","",IFERROR(VLOOKUP($D831,'ACAS Consumables Tracker'!$A:$H,8,FALSE()),""))</f>
        <v/>
      </c>
      <c r="F831" s="24"/>
      <c r="G831" s="25" t="str">
        <f>IF($D831="","",IFERROR(VLOOKUP($D831,'ACAS Consumables Tracker'!$A:$D,4,FALSE()),""))</f>
        <v/>
      </c>
      <c r="H831" s="22"/>
    </row>
    <row r="832" spans="1:8">
      <c r="A832" s="21"/>
      <c r="B832" s="28"/>
      <c r="C832" s="22"/>
      <c r="D832" s="28"/>
      <c r="E832" s="23" t="str">
        <f>IF($D832="","",IFERROR(VLOOKUP($D832,'ACAS Consumables Tracker'!$A:$H,8,FALSE()),""))</f>
        <v/>
      </c>
      <c r="F832" s="24"/>
      <c r="G832" s="25" t="str">
        <f>IF($D832="","",IFERROR(VLOOKUP($D832,'ACAS Consumables Tracker'!$A:$D,4,FALSE()),""))</f>
        <v/>
      </c>
      <c r="H832" s="22"/>
    </row>
    <row r="833" spans="1:8">
      <c r="A833" s="21"/>
      <c r="B833" s="28"/>
      <c r="C833" s="22"/>
      <c r="D833" s="28"/>
      <c r="E833" s="23" t="str">
        <f>IF($D833="","",IFERROR(VLOOKUP($D833,'ACAS Consumables Tracker'!$A:$H,8,FALSE()),""))</f>
        <v/>
      </c>
      <c r="F833" s="24"/>
      <c r="G833" s="25" t="str">
        <f>IF($D833="","",IFERROR(VLOOKUP($D833,'ACAS Consumables Tracker'!$A:$D,4,FALSE()),""))</f>
        <v/>
      </c>
      <c r="H833" s="22"/>
    </row>
    <row r="834" spans="1:8">
      <c r="A834" s="21"/>
      <c r="B834" s="28"/>
      <c r="C834" s="22"/>
      <c r="D834" s="28"/>
      <c r="E834" s="23" t="str">
        <f>IF($D834="","",IFERROR(VLOOKUP($D834,'ACAS Consumables Tracker'!$A:$H,8,FALSE()),""))</f>
        <v/>
      </c>
      <c r="F834" s="24"/>
      <c r="G834" s="25" t="str">
        <f>IF($D834="","",IFERROR(VLOOKUP($D834,'ACAS Consumables Tracker'!$A:$D,4,FALSE()),""))</f>
        <v/>
      </c>
      <c r="H834" s="22"/>
    </row>
    <row r="835" spans="1:8">
      <c r="A835" s="21"/>
      <c r="B835" s="28"/>
      <c r="C835" s="22"/>
      <c r="D835" s="28"/>
      <c r="E835" s="23" t="str">
        <f>IF($D835="","",IFERROR(VLOOKUP($D835,'ACAS Consumables Tracker'!$A:$H,8,FALSE()),""))</f>
        <v/>
      </c>
      <c r="F835" s="24"/>
      <c r="G835" s="25" t="str">
        <f>IF($D835="","",IFERROR(VLOOKUP($D835,'ACAS Consumables Tracker'!$A:$D,4,FALSE()),""))</f>
        <v/>
      </c>
      <c r="H835" s="22"/>
    </row>
    <row r="836" spans="1:8">
      <c r="A836" s="21"/>
      <c r="B836" s="28"/>
      <c r="C836" s="22"/>
      <c r="D836" s="28"/>
      <c r="E836" s="23" t="str">
        <f>IF($D836="","",IFERROR(VLOOKUP($D836,'ACAS Consumables Tracker'!$A:$H,8,FALSE()),""))</f>
        <v/>
      </c>
      <c r="F836" s="24"/>
      <c r="G836" s="25" t="str">
        <f>IF($D836="","",IFERROR(VLOOKUP($D836,'ACAS Consumables Tracker'!$A:$D,4,FALSE()),""))</f>
        <v/>
      </c>
      <c r="H836" s="22"/>
    </row>
    <row r="837" spans="1:8">
      <c r="A837" s="21"/>
      <c r="B837" s="28"/>
      <c r="C837" s="22"/>
      <c r="D837" s="28"/>
      <c r="E837" s="23" t="str">
        <f>IF($D837="","",IFERROR(VLOOKUP($D837,'ACAS Consumables Tracker'!$A:$H,8,FALSE()),""))</f>
        <v/>
      </c>
      <c r="F837" s="24"/>
      <c r="G837" s="25" t="str">
        <f>IF($D837="","",IFERROR(VLOOKUP($D837,'ACAS Consumables Tracker'!$A:$D,4,FALSE()),""))</f>
        <v/>
      </c>
      <c r="H837" s="22"/>
    </row>
    <row r="838" spans="1:8">
      <c r="A838" s="21"/>
      <c r="B838" s="28"/>
      <c r="C838" s="22"/>
      <c r="D838" s="28"/>
      <c r="E838" s="23" t="str">
        <f>IF($D838="","",IFERROR(VLOOKUP($D838,'ACAS Consumables Tracker'!$A:$H,8,FALSE()),""))</f>
        <v/>
      </c>
      <c r="F838" s="24"/>
      <c r="G838" s="25" t="str">
        <f>IF($D838="","",IFERROR(VLOOKUP($D838,'ACAS Consumables Tracker'!$A:$D,4,FALSE()),""))</f>
        <v/>
      </c>
      <c r="H838" s="22"/>
    </row>
    <row r="839" spans="1:8">
      <c r="A839" s="21"/>
      <c r="B839" s="28"/>
      <c r="C839" s="22"/>
      <c r="D839" s="28"/>
      <c r="E839" s="23" t="str">
        <f>IF($D839="","",IFERROR(VLOOKUP($D839,'ACAS Consumables Tracker'!$A:$H,8,FALSE()),""))</f>
        <v/>
      </c>
      <c r="F839" s="24"/>
      <c r="G839" s="25" t="str">
        <f>IF($D839="","",IFERROR(VLOOKUP($D839,'ACAS Consumables Tracker'!$A:$D,4,FALSE()),""))</f>
        <v/>
      </c>
      <c r="H839" s="22"/>
    </row>
    <row r="840" spans="1:8">
      <c r="A840" s="21"/>
      <c r="B840" s="28"/>
      <c r="C840" s="22"/>
      <c r="D840" s="28"/>
      <c r="E840" s="23" t="str">
        <f>IF($D840="","",IFERROR(VLOOKUP($D840,'ACAS Consumables Tracker'!$A:$H,8,FALSE()),""))</f>
        <v/>
      </c>
      <c r="F840" s="24"/>
      <c r="G840" s="25" t="str">
        <f>IF($D840="","",IFERROR(VLOOKUP($D840,'ACAS Consumables Tracker'!$A:$D,4,FALSE()),""))</f>
        <v/>
      </c>
      <c r="H840" s="22"/>
    </row>
    <row r="841" spans="1:8">
      <c r="A841" s="21"/>
      <c r="B841" s="28"/>
      <c r="C841" s="22"/>
      <c r="D841" s="28"/>
      <c r="E841" s="23" t="str">
        <f>IF($D841="","",IFERROR(VLOOKUP($D841,'ACAS Consumables Tracker'!$A:$H,8,FALSE()),""))</f>
        <v/>
      </c>
      <c r="F841" s="24"/>
      <c r="G841" s="25" t="str">
        <f>IF($D841="","",IFERROR(VLOOKUP($D841,'ACAS Consumables Tracker'!$A:$D,4,FALSE()),""))</f>
        <v/>
      </c>
      <c r="H841" s="22"/>
    </row>
    <row r="842" spans="1:8">
      <c r="A842" s="21"/>
      <c r="B842" s="28"/>
      <c r="C842" s="22"/>
      <c r="D842" s="28"/>
      <c r="E842" s="23" t="str">
        <f>IF($D842="","",IFERROR(VLOOKUP($D842,'ACAS Consumables Tracker'!$A:$H,8,FALSE()),""))</f>
        <v/>
      </c>
      <c r="F842" s="24"/>
      <c r="G842" s="25" t="str">
        <f>IF($D842="","",IFERROR(VLOOKUP($D842,'ACAS Consumables Tracker'!$A:$D,4,FALSE()),""))</f>
        <v/>
      </c>
      <c r="H842" s="22"/>
    </row>
    <row r="843" spans="1:8">
      <c r="A843" s="21"/>
      <c r="B843" s="28"/>
      <c r="C843" s="22"/>
      <c r="D843" s="28"/>
      <c r="E843" s="23" t="str">
        <f>IF($D843="","",IFERROR(VLOOKUP($D843,'ACAS Consumables Tracker'!$A:$H,8,FALSE()),""))</f>
        <v/>
      </c>
      <c r="F843" s="24"/>
      <c r="G843" s="25" t="str">
        <f>IF($D843="","",IFERROR(VLOOKUP($D843,'ACAS Consumables Tracker'!$A:$D,4,FALSE()),""))</f>
        <v/>
      </c>
      <c r="H843" s="22"/>
    </row>
    <row r="844" spans="1:8">
      <c r="A844" s="21"/>
      <c r="B844" s="28"/>
      <c r="C844" s="22"/>
      <c r="D844" s="28"/>
      <c r="E844" s="23" t="str">
        <f>IF($D844="","",IFERROR(VLOOKUP($D844,'ACAS Consumables Tracker'!$A:$H,8,FALSE()),""))</f>
        <v/>
      </c>
      <c r="F844" s="24"/>
      <c r="G844" s="25" t="str">
        <f>IF($D844="","",IFERROR(VLOOKUP($D844,'ACAS Consumables Tracker'!$A:$D,4,FALSE()),""))</f>
        <v/>
      </c>
      <c r="H844" s="22"/>
    </row>
    <row r="845" spans="1:8">
      <c r="A845" s="21"/>
      <c r="B845" s="28"/>
      <c r="C845" s="22"/>
      <c r="D845" s="28"/>
      <c r="E845" s="23" t="str">
        <f>IF($D845="","",IFERROR(VLOOKUP($D845,'ACAS Consumables Tracker'!$A:$H,8,FALSE()),""))</f>
        <v/>
      </c>
      <c r="F845" s="24"/>
      <c r="G845" s="25" t="str">
        <f>IF($D845="","",IFERROR(VLOOKUP($D845,'ACAS Consumables Tracker'!$A:$D,4,FALSE()),""))</f>
        <v/>
      </c>
      <c r="H845" s="22"/>
    </row>
    <row r="846" spans="1:8">
      <c r="A846" s="21"/>
      <c r="B846" s="28"/>
      <c r="C846" s="22"/>
      <c r="D846" s="28"/>
      <c r="E846" s="23" t="str">
        <f>IF($D846="","",IFERROR(VLOOKUP($D846,'ACAS Consumables Tracker'!$A:$H,8,FALSE()),""))</f>
        <v/>
      </c>
      <c r="F846" s="24"/>
      <c r="G846" s="25" t="str">
        <f>IF($D846="","",IFERROR(VLOOKUP($D846,'ACAS Consumables Tracker'!$A:$D,4,FALSE()),""))</f>
        <v/>
      </c>
      <c r="H846" s="22"/>
    </row>
    <row r="847" spans="1:8">
      <c r="A847" s="21"/>
      <c r="B847" s="28"/>
      <c r="C847" s="22"/>
      <c r="D847" s="28"/>
      <c r="E847" s="23" t="str">
        <f>IF($D847="","",IFERROR(VLOOKUP($D847,'ACAS Consumables Tracker'!$A:$H,8,FALSE()),""))</f>
        <v/>
      </c>
      <c r="F847" s="24"/>
      <c r="G847" s="25" t="str">
        <f>IF($D847="","",IFERROR(VLOOKUP($D847,'ACAS Consumables Tracker'!$A:$D,4,FALSE()),""))</f>
        <v/>
      </c>
      <c r="H847" s="22"/>
    </row>
    <row r="848" spans="1:8">
      <c r="A848" s="21"/>
      <c r="B848" s="28"/>
      <c r="C848" s="22"/>
      <c r="D848" s="28"/>
      <c r="E848" s="23" t="str">
        <f>IF($D848="","",IFERROR(VLOOKUP($D848,'ACAS Consumables Tracker'!$A:$H,8,FALSE()),""))</f>
        <v/>
      </c>
      <c r="F848" s="24"/>
      <c r="G848" s="25" t="str">
        <f>IF($D848="","",IFERROR(VLOOKUP($D848,'ACAS Consumables Tracker'!$A:$D,4,FALSE()),""))</f>
        <v/>
      </c>
      <c r="H848" s="22"/>
    </row>
    <row r="849" spans="1:8">
      <c r="A849" s="21"/>
      <c r="B849" s="28"/>
      <c r="C849" s="22"/>
      <c r="D849" s="28"/>
      <c r="E849" s="23" t="str">
        <f>IF($D849="","",IFERROR(VLOOKUP($D849,'ACAS Consumables Tracker'!$A:$H,8,FALSE()),""))</f>
        <v/>
      </c>
      <c r="F849" s="24"/>
      <c r="G849" s="25" t="str">
        <f>IF($D849="","",IFERROR(VLOOKUP($D849,'ACAS Consumables Tracker'!$A:$D,4,FALSE()),""))</f>
        <v/>
      </c>
      <c r="H849" s="22"/>
    </row>
    <row r="850" spans="1:8">
      <c r="A850" s="21"/>
      <c r="B850" s="28"/>
      <c r="C850" s="22"/>
      <c r="D850" s="28"/>
      <c r="E850" s="23" t="str">
        <f>IF($D850="","",IFERROR(VLOOKUP($D850,'ACAS Consumables Tracker'!$A:$H,8,FALSE()),""))</f>
        <v/>
      </c>
      <c r="F850" s="24"/>
      <c r="G850" s="25" t="str">
        <f>IF($D850="","",IFERROR(VLOOKUP($D850,'ACAS Consumables Tracker'!$A:$D,4,FALSE()),""))</f>
        <v/>
      </c>
      <c r="H850" s="22"/>
    </row>
    <row r="851" spans="1:8">
      <c r="A851" s="21"/>
      <c r="B851" s="28"/>
      <c r="C851" s="22"/>
      <c r="D851" s="28"/>
      <c r="E851" s="23" t="str">
        <f>IF($D851="","",IFERROR(VLOOKUP($D851,'ACAS Consumables Tracker'!$A:$H,8,FALSE()),""))</f>
        <v/>
      </c>
      <c r="F851" s="24"/>
      <c r="G851" s="25" t="str">
        <f>IF($D851="","",IFERROR(VLOOKUP($D851,'ACAS Consumables Tracker'!$A:$D,4,FALSE()),""))</f>
        <v/>
      </c>
      <c r="H851" s="22"/>
    </row>
    <row r="852" spans="1:8">
      <c r="A852" s="21"/>
      <c r="B852" s="28"/>
      <c r="C852" s="22"/>
      <c r="D852" s="28"/>
      <c r="E852" s="23" t="str">
        <f>IF($D852="","",IFERROR(VLOOKUP($D852,'ACAS Consumables Tracker'!$A:$H,8,FALSE()),""))</f>
        <v/>
      </c>
      <c r="F852" s="24"/>
      <c r="G852" s="25" t="str">
        <f>IF($D852="","",IFERROR(VLOOKUP($D852,'ACAS Consumables Tracker'!$A:$D,4,FALSE()),""))</f>
        <v/>
      </c>
      <c r="H852" s="22"/>
    </row>
    <row r="853" spans="1:8">
      <c r="A853" s="21"/>
      <c r="B853" s="28"/>
      <c r="C853" s="22"/>
      <c r="D853" s="28"/>
      <c r="E853" s="23" t="str">
        <f>IF($D853="","",IFERROR(VLOOKUP($D853,'ACAS Consumables Tracker'!$A:$H,8,FALSE()),""))</f>
        <v/>
      </c>
      <c r="F853" s="24"/>
      <c r="G853" s="25" t="str">
        <f>IF($D853="","",IFERROR(VLOOKUP($D853,'ACAS Consumables Tracker'!$A:$D,4,FALSE()),""))</f>
        <v/>
      </c>
      <c r="H853" s="22"/>
    </row>
    <row r="854" spans="1:8">
      <c r="A854" s="21"/>
      <c r="B854" s="28"/>
      <c r="C854" s="22"/>
      <c r="D854" s="28"/>
      <c r="E854" s="23" t="str">
        <f>IF($D854="","",IFERROR(VLOOKUP($D854,'ACAS Consumables Tracker'!$A:$H,8,FALSE()),""))</f>
        <v/>
      </c>
      <c r="F854" s="24"/>
      <c r="G854" s="25" t="str">
        <f>IF($D854="","",IFERROR(VLOOKUP($D854,'ACAS Consumables Tracker'!$A:$D,4,FALSE()),""))</f>
        <v/>
      </c>
      <c r="H854" s="22"/>
    </row>
    <row r="855" spans="1:8">
      <c r="A855" s="21"/>
      <c r="B855" s="28"/>
      <c r="C855" s="22"/>
      <c r="D855" s="28"/>
      <c r="E855" s="23" t="str">
        <f>IF($D855="","",IFERROR(VLOOKUP($D855,'ACAS Consumables Tracker'!$A:$H,8,FALSE()),""))</f>
        <v/>
      </c>
      <c r="F855" s="24"/>
      <c r="G855" s="25" t="str">
        <f>IF($D855="","",IFERROR(VLOOKUP($D855,'ACAS Consumables Tracker'!$A:$D,4,FALSE()),""))</f>
        <v/>
      </c>
      <c r="H855" s="22"/>
    </row>
    <row r="856" spans="1:8">
      <c r="A856" s="21"/>
      <c r="B856" s="28"/>
      <c r="C856" s="22"/>
      <c r="D856" s="28"/>
      <c r="E856" s="23" t="str">
        <f>IF($D856="","",IFERROR(VLOOKUP($D856,'ACAS Consumables Tracker'!$A:$H,8,FALSE()),""))</f>
        <v/>
      </c>
      <c r="F856" s="24"/>
      <c r="G856" s="25" t="str">
        <f>IF($D856="","",IFERROR(VLOOKUP($D856,'ACAS Consumables Tracker'!$A:$D,4,FALSE()),""))</f>
        <v/>
      </c>
      <c r="H856" s="22"/>
    </row>
    <row r="857" spans="1:8">
      <c r="A857" s="21"/>
      <c r="B857" s="28"/>
      <c r="C857" s="22"/>
      <c r="D857" s="28"/>
      <c r="E857" s="23" t="str">
        <f>IF($D857="","",IFERROR(VLOOKUP($D857,'ACAS Consumables Tracker'!$A:$H,8,FALSE()),""))</f>
        <v/>
      </c>
      <c r="F857" s="24"/>
      <c r="G857" s="25" t="str">
        <f>IF($D857="","",IFERROR(VLOOKUP($D857,'ACAS Consumables Tracker'!$A:$D,4,FALSE()),""))</f>
        <v/>
      </c>
      <c r="H857" s="22"/>
    </row>
    <row r="858" spans="1:8">
      <c r="A858" s="21"/>
      <c r="B858" s="28"/>
      <c r="C858" s="22"/>
      <c r="D858" s="28"/>
      <c r="E858" s="23" t="str">
        <f>IF($D858="","",IFERROR(VLOOKUP($D858,'ACAS Consumables Tracker'!$A:$H,8,FALSE()),""))</f>
        <v/>
      </c>
      <c r="F858" s="24"/>
      <c r="G858" s="25" t="str">
        <f>IF($D858="","",IFERROR(VLOOKUP($D858,'ACAS Consumables Tracker'!$A:$D,4,FALSE()),""))</f>
        <v/>
      </c>
      <c r="H858" s="22"/>
    </row>
    <row r="859" spans="1:8">
      <c r="A859" s="21"/>
      <c r="B859" s="28"/>
      <c r="C859" s="22"/>
      <c r="D859" s="28"/>
      <c r="E859" s="23" t="str">
        <f>IF($D859="","",IFERROR(VLOOKUP($D859,'ACAS Consumables Tracker'!$A:$H,8,FALSE()),""))</f>
        <v/>
      </c>
      <c r="F859" s="24"/>
      <c r="G859" s="25" t="str">
        <f>IF($D859="","",IFERROR(VLOOKUP($D859,'ACAS Consumables Tracker'!$A:$D,4,FALSE()),""))</f>
        <v/>
      </c>
      <c r="H859" s="22"/>
    </row>
    <row r="860" spans="1:8">
      <c r="A860" s="21"/>
      <c r="B860" s="28"/>
      <c r="C860" s="22"/>
      <c r="D860" s="28"/>
      <c r="E860" s="23" t="str">
        <f>IF($D860="","",IFERROR(VLOOKUP($D860,'ACAS Consumables Tracker'!$A:$H,8,FALSE()),""))</f>
        <v/>
      </c>
      <c r="F860" s="24"/>
      <c r="G860" s="25" t="str">
        <f>IF($D860="","",IFERROR(VLOOKUP($D860,'ACAS Consumables Tracker'!$A:$D,4,FALSE()),""))</f>
        <v/>
      </c>
      <c r="H860" s="22"/>
    </row>
    <row r="861" spans="1:8">
      <c r="A861" s="21"/>
      <c r="B861" s="28"/>
      <c r="C861" s="22"/>
      <c r="D861" s="28"/>
      <c r="E861" s="23" t="str">
        <f>IF($D861="","",IFERROR(VLOOKUP($D861,'ACAS Consumables Tracker'!$A:$H,8,FALSE()),""))</f>
        <v/>
      </c>
      <c r="F861" s="24"/>
      <c r="G861" s="25" t="str">
        <f>IF($D861="","",IFERROR(VLOOKUP($D861,'ACAS Consumables Tracker'!$A:$D,4,FALSE()),""))</f>
        <v/>
      </c>
      <c r="H861" s="22"/>
    </row>
    <row r="862" spans="1:8">
      <c r="A862" s="21"/>
      <c r="B862" s="28"/>
      <c r="C862" s="22"/>
      <c r="D862" s="28"/>
      <c r="E862" s="23" t="str">
        <f>IF($D862="","",IFERROR(VLOOKUP($D862,'ACAS Consumables Tracker'!$A:$H,8,FALSE()),""))</f>
        <v/>
      </c>
      <c r="F862" s="24"/>
      <c r="G862" s="25" t="str">
        <f>IF($D862="","",IFERROR(VLOOKUP($D862,'ACAS Consumables Tracker'!$A:$D,4,FALSE()),""))</f>
        <v/>
      </c>
      <c r="H862" s="22"/>
    </row>
    <row r="863" spans="1:8">
      <c r="A863" s="21"/>
      <c r="B863" s="28"/>
      <c r="C863" s="22"/>
      <c r="D863" s="28"/>
      <c r="E863" s="23" t="str">
        <f>IF($D863="","",IFERROR(VLOOKUP($D863,'ACAS Consumables Tracker'!$A:$H,8,FALSE()),""))</f>
        <v/>
      </c>
      <c r="F863" s="24"/>
      <c r="G863" s="25" t="str">
        <f>IF($D863="","",IFERROR(VLOOKUP($D863,'ACAS Consumables Tracker'!$A:$D,4,FALSE()),""))</f>
        <v/>
      </c>
      <c r="H863" s="22"/>
    </row>
    <row r="864" spans="1:8">
      <c r="A864" s="21"/>
      <c r="B864" s="28"/>
      <c r="C864" s="22"/>
      <c r="D864" s="28"/>
      <c r="E864" s="23" t="str">
        <f>IF($D864="","",IFERROR(VLOOKUP($D864,'ACAS Consumables Tracker'!$A:$H,8,FALSE()),""))</f>
        <v/>
      </c>
      <c r="F864" s="24"/>
      <c r="G864" s="25" t="str">
        <f>IF($D864="","",IFERROR(VLOOKUP($D864,'ACAS Consumables Tracker'!$A:$D,4,FALSE()),""))</f>
        <v/>
      </c>
      <c r="H864" s="22"/>
    </row>
    <row r="865" spans="1:8">
      <c r="A865" s="21"/>
      <c r="B865" s="28"/>
      <c r="C865" s="22"/>
      <c r="D865" s="28"/>
      <c r="E865" s="23" t="str">
        <f>IF($D865="","",IFERROR(VLOOKUP($D865,'ACAS Consumables Tracker'!$A:$H,8,FALSE()),""))</f>
        <v/>
      </c>
      <c r="F865" s="24"/>
      <c r="G865" s="25" t="str">
        <f>IF($D865="","",IFERROR(VLOOKUP($D865,'ACAS Consumables Tracker'!$A:$D,4,FALSE()),""))</f>
        <v/>
      </c>
      <c r="H865" s="22"/>
    </row>
    <row r="866" spans="1:8">
      <c r="A866" s="21"/>
      <c r="B866" s="28"/>
      <c r="C866" s="22"/>
      <c r="D866" s="28"/>
      <c r="E866" s="23" t="str">
        <f>IF($D866="","",IFERROR(VLOOKUP($D866,'ACAS Consumables Tracker'!$A:$H,8,FALSE()),""))</f>
        <v/>
      </c>
      <c r="F866" s="24"/>
      <c r="G866" s="25" t="str">
        <f>IF($D866="","",IFERROR(VLOOKUP($D866,'ACAS Consumables Tracker'!$A:$D,4,FALSE()),""))</f>
        <v/>
      </c>
      <c r="H866" s="22"/>
    </row>
    <row r="867" spans="1:8">
      <c r="A867" s="21"/>
      <c r="B867" s="28"/>
      <c r="C867" s="22"/>
      <c r="D867" s="28"/>
      <c r="E867" s="23" t="str">
        <f>IF($D867="","",IFERROR(VLOOKUP($D867,'ACAS Consumables Tracker'!$A:$H,8,FALSE()),""))</f>
        <v/>
      </c>
      <c r="F867" s="24"/>
      <c r="G867" s="25" t="str">
        <f>IF($D867="","",IFERROR(VLOOKUP($D867,'ACAS Consumables Tracker'!$A:$D,4,FALSE()),""))</f>
        <v/>
      </c>
      <c r="H867" s="22"/>
    </row>
    <row r="868" spans="1:8">
      <c r="A868" s="21"/>
      <c r="B868" s="28"/>
      <c r="C868" s="22"/>
      <c r="D868" s="28"/>
      <c r="E868" s="23" t="str">
        <f>IF($D868="","",IFERROR(VLOOKUP($D868,'ACAS Consumables Tracker'!$A:$H,8,FALSE()),""))</f>
        <v/>
      </c>
      <c r="F868" s="24"/>
      <c r="G868" s="25" t="str">
        <f>IF($D868="","",IFERROR(VLOOKUP($D868,'ACAS Consumables Tracker'!$A:$D,4,FALSE()),""))</f>
        <v/>
      </c>
      <c r="H868" s="22"/>
    </row>
    <row r="869" spans="1:8">
      <c r="A869" s="21"/>
      <c r="B869" s="28"/>
      <c r="C869" s="22"/>
      <c r="D869" s="28"/>
      <c r="E869" s="23" t="str">
        <f>IF($D869="","",IFERROR(VLOOKUP($D869,'ACAS Consumables Tracker'!$A:$H,8,FALSE()),""))</f>
        <v/>
      </c>
      <c r="F869" s="24"/>
      <c r="G869" s="25" t="str">
        <f>IF($D869="","",IFERROR(VLOOKUP($D869,'ACAS Consumables Tracker'!$A:$D,4,FALSE()),""))</f>
        <v/>
      </c>
      <c r="H869" s="22"/>
    </row>
    <row r="870" spans="1:8">
      <c r="A870" s="21"/>
      <c r="B870" s="28"/>
      <c r="C870" s="22"/>
      <c r="D870" s="28"/>
      <c r="E870" s="23" t="str">
        <f>IF($D870="","",IFERROR(VLOOKUP($D870,'ACAS Consumables Tracker'!$A:$H,8,FALSE()),""))</f>
        <v/>
      </c>
      <c r="F870" s="24"/>
      <c r="G870" s="25" t="str">
        <f>IF($D870="","",IFERROR(VLOOKUP($D870,'ACAS Consumables Tracker'!$A:$D,4,FALSE()),""))</f>
        <v/>
      </c>
      <c r="H870" s="22"/>
    </row>
    <row r="871" spans="1:8">
      <c r="A871" s="21"/>
      <c r="B871" s="28"/>
      <c r="C871" s="22"/>
      <c r="D871" s="28"/>
      <c r="E871" s="23" t="str">
        <f>IF($D871="","",IFERROR(VLOOKUP($D871,'ACAS Consumables Tracker'!$A:$H,8,FALSE()),""))</f>
        <v/>
      </c>
      <c r="F871" s="24"/>
      <c r="G871" s="25" t="str">
        <f>IF($D871="","",IFERROR(VLOOKUP($D871,'ACAS Consumables Tracker'!$A:$D,4,FALSE()),""))</f>
        <v/>
      </c>
      <c r="H871" s="22"/>
    </row>
    <row r="872" spans="1:8">
      <c r="A872" s="21"/>
      <c r="B872" s="28"/>
      <c r="C872" s="22"/>
      <c r="D872" s="28"/>
      <c r="E872" s="23" t="str">
        <f>IF($D872="","",IFERROR(VLOOKUP($D872,'ACAS Consumables Tracker'!$A:$H,8,FALSE()),""))</f>
        <v/>
      </c>
      <c r="F872" s="24"/>
      <c r="G872" s="25" t="str">
        <f>IF($D872="","",IFERROR(VLOOKUP($D872,'ACAS Consumables Tracker'!$A:$D,4,FALSE()),""))</f>
        <v/>
      </c>
      <c r="H872" s="22"/>
    </row>
    <row r="873" spans="1:8">
      <c r="A873" s="21"/>
      <c r="B873" s="28"/>
      <c r="C873" s="22"/>
      <c r="D873" s="28"/>
      <c r="E873" s="23" t="str">
        <f>IF($D873="","",IFERROR(VLOOKUP($D873,'ACAS Consumables Tracker'!$A:$H,8,FALSE()),""))</f>
        <v/>
      </c>
      <c r="F873" s="24"/>
      <c r="G873" s="25" t="str">
        <f>IF($D873="","",IFERROR(VLOOKUP($D873,'ACAS Consumables Tracker'!$A:$D,4,FALSE()),""))</f>
        <v/>
      </c>
      <c r="H873" s="22"/>
    </row>
    <row r="874" spans="1:8">
      <c r="A874" s="21"/>
      <c r="B874" s="28"/>
      <c r="C874" s="22"/>
      <c r="D874" s="28"/>
      <c r="E874" s="23" t="str">
        <f>IF($D874="","",IFERROR(VLOOKUP($D874,'ACAS Consumables Tracker'!$A:$H,8,FALSE()),""))</f>
        <v/>
      </c>
      <c r="F874" s="24"/>
      <c r="G874" s="25" t="str">
        <f>IF($D874="","",IFERROR(VLOOKUP($D874,'ACAS Consumables Tracker'!$A:$D,4,FALSE()),""))</f>
        <v/>
      </c>
      <c r="H874" s="22"/>
    </row>
    <row r="875" spans="1:8">
      <c r="A875" s="21"/>
      <c r="B875" s="28"/>
      <c r="C875" s="22"/>
      <c r="D875" s="28"/>
      <c r="E875" s="23" t="str">
        <f>IF($D875="","",IFERROR(VLOOKUP($D875,'ACAS Consumables Tracker'!$A:$H,8,FALSE()),""))</f>
        <v/>
      </c>
      <c r="F875" s="24"/>
      <c r="G875" s="25" t="str">
        <f>IF($D875="","",IFERROR(VLOOKUP($D875,'ACAS Consumables Tracker'!$A:$D,4,FALSE()),""))</f>
        <v/>
      </c>
      <c r="H875" s="22"/>
    </row>
    <row r="876" spans="1:8">
      <c r="A876" s="21"/>
      <c r="B876" s="28"/>
      <c r="C876" s="22"/>
      <c r="D876" s="28"/>
      <c r="E876" s="23" t="str">
        <f>IF($D876="","",IFERROR(VLOOKUP($D876,'ACAS Consumables Tracker'!$A:$H,8,FALSE()),""))</f>
        <v/>
      </c>
      <c r="F876" s="24"/>
      <c r="G876" s="25" t="str">
        <f>IF($D876="","",IFERROR(VLOOKUP($D876,'ACAS Consumables Tracker'!$A:$D,4,FALSE()),""))</f>
        <v/>
      </c>
      <c r="H876" s="22"/>
    </row>
    <row r="877" spans="1:8">
      <c r="A877" s="21"/>
      <c r="B877" s="28"/>
      <c r="C877" s="22"/>
      <c r="D877" s="28"/>
      <c r="E877" s="23" t="str">
        <f>IF($D877="","",IFERROR(VLOOKUP($D877,'ACAS Consumables Tracker'!$A:$H,8,FALSE()),""))</f>
        <v/>
      </c>
      <c r="F877" s="24"/>
      <c r="G877" s="25" t="str">
        <f>IF($D877="","",IFERROR(VLOOKUP($D877,'ACAS Consumables Tracker'!$A:$D,4,FALSE()),""))</f>
        <v/>
      </c>
      <c r="H877" s="22"/>
    </row>
    <row r="878" spans="1:8">
      <c r="A878" s="21"/>
      <c r="B878" s="28"/>
      <c r="C878" s="22"/>
      <c r="D878" s="28"/>
      <c r="E878" s="23" t="str">
        <f>IF($D878="","",IFERROR(VLOOKUP($D878,'ACAS Consumables Tracker'!$A:$H,8,FALSE()),""))</f>
        <v/>
      </c>
      <c r="F878" s="24"/>
      <c r="G878" s="25" t="str">
        <f>IF($D878="","",IFERROR(VLOOKUP($D878,'ACAS Consumables Tracker'!$A:$D,4,FALSE()),""))</f>
        <v/>
      </c>
      <c r="H878" s="22"/>
    </row>
    <row r="879" spans="1:8">
      <c r="A879" s="21"/>
      <c r="B879" s="28"/>
      <c r="C879" s="22"/>
      <c r="D879" s="28"/>
      <c r="E879" s="23" t="str">
        <f>IF($D879="","",IFERROR(VLOOKUP($D879,'ACAS Consumables Tracker'!$A:$H,8,FALSE()),""))</f>
        <v/>
      </c>
      <c r="F879" s="24"/>
      <c r="G879" s="25" t="str">
        <f>IF($D879="","",IFERROR(VLOOKUP($D879,'ACAS Consumables Tracker'!$A:$D,4,FALSE()),""))</f>
        <v/>
      </c>
      <c r="H879" s="22"/>
    </row>
    <row r="880" spans="1:8">
      <c r="A880" s="21"/>
      <c r="B880" s="28"/>
      <c r="C880" s="22"/>
      <c r="D880" s="28"/>
      <c r="E880" s="23" t="str">
        <f>IF($D880="","",IFERROR(VLOOKUP($D880,'ACAS Consumables Tracker'!$A:$H,8,FALSE()),""))</f>
        <v/>
      </c>
      <c r="F880" s="24"/>
      <c r="G880" s="25" t="str">
        <f>IF($D880="","",IFERROR(VLOOKUP($D880,'ACAS Consumables Tracker'!$A:$D,4,FALSE()),""))</f>
        <v/>
      </c>
      <c r="H880" s="22"/>
    </row>
    <row r="881" spans="1:8">
      <c r="A881" s="21"/>
      <c r="B881" s="28"/>
      <c r="C881" s="22"/>
      <c r="D881" s="28"/>
      <c r="E881" s="23" t="str">
        <f>IF($D881="","",IFERROR(VLOOKUP($D881,'ACAS Consumables Tracker'!$A:$H,8,FALSE()),""))</f>
        <v/>
      </c>
      <c r="F881" s="24"/>
      <c r="G881" s="25" t="str">
        <f>IF($D881="","",IFERROR(VLOOKUP($D881,'ACAS Consumables Tracker'!$A:$D,4,FALSE()),""))</f>
        <v/>
      </c>
      <c r="H881" s="22"/>
    </row>
    <row r="882" spans="1:8">
      <c r="A882" s="21"/>
      <c r="B882" s="28"/>
      <c r="C882" s="22"/>
      <c r="D882" s="28"/>
      <c r="E882" s="23" t="str">
        <f>IF($D882="","",IFERROR(VLOOKUP($D882,'ACAS Consumables Tracker'!$A:$H,8,FALSE()),""))</f>
        <v/>
      </c>
      <c r="F882" s="24"/>
      <c r="G882" s="25" t="str">
        <f>IF($D882="","",IFERROR(VLOOKUP($D882,'ACAS Consumables Tracker'!$A:$D,4,FALSE()),""))</f>
        <v/>
      </c>
      <c r="H882" s="22"/>
    </row>
    <row r="883" spans="1:8">
      <c r="A883" s="21"/>
      <c r="B883" s="28"/>
      <c r="C883" s="22"/>
      <c r="D883" s="28"/>
      <c r="E883" s="23" t="str">
        <f>IF($D883="","",IFERROR(VLOOKUP($D883,'ACAS Consumables Tracker'!$A:$H,8,FALSE()),""))</f>
        <v/>
      </c>
      <c r="F883" s="24"/>
      <c r="G883" s="25" t="str">
        <f>IF($D883="","",IFERROR(VLOOKUP($D883,'ACAS Consumables Tracker'!$A:$D,4,FALSE()),""))</f>
        <v/>
      </c>
      <c r="H883" s="22"/>
    </row>
    <row r="884" spans="1:8">
      <c r="A884" s="21"/>
      <c r="B884" s="28"/>
      <c r="C884" s="22"/>
      <c r="D884" s="28"/>
      <c r="E884" s="23" t="str">
        <f>IF($D884="","",IFERROR(VLOOKUP($D884,'ACAS Consumables Tracker'!$A:$H,8,FALSE()),""))</f>
        <v/>
      </c>
      <c r="F884" s="24"/>
      <c r="G884" s="25" t="str">
        <f>IF($D884="","",IFERROR(VLOOKUP($D884,'ACAS Consumables Tracker'!$A:$D,4,FALSE()),""))</f>
        <v/>
      </c>
      <c r="H884" s="22"/>
    </row>
    <row r="885" spans="1:8">
      <c r="A885" s="21"/>
      <c r="B885" s="28"/>
      <c r="C885" s="22"/>
      <c r="D885" s="28"/>
      <c r="E885" s="23" t="str">
        <f>IF($D885="","",IFERROR(VLOOKUP($D885,'ACAS Consumables Tracker'!$A:$H,8,FALSE()),""))</f>
        <v/>
      </c>
      <c r="F885" s="24"/>
      <c r="G885" s="25" t="str">
        <f>IF($D885="","",IFERROR(VLOOKUP($D885,'ACAS Consumables Tracker'!$A:$D,4,FALSE()),""))</f>
        <v/>
      </c>
      <c r="H885" s="22"/>
    </row>
    <row r="886" spans="1:8">
      <c r="A886" s="21"/>
      <c r="B886" s="28"/>
      <c r="C886" s="22"/>
      <c r="D886" s="28"/>
      <c r="E886" s="23" t="str">
        <f>IF($D886="","",IFERROR(VLOOKUP($D886,'ACAS Consumables Tracker'!$A:$H,8,FALSE()),""))</f>
        <v/>
      </c>
      <c r="F886" s="24"/>
      <c r="G886" s="25" t="str">
        <f>IF($D886="","",IFERROR(VLOOKUP($D886,'ACAS Consumables Tracker'!$A:$D,4,FALSE()),""))</f>
        <v/>
      </c>
      <c r="H886" s="22"/>
    </row>
    <row r="887" spans="1:8">
      <c r="A887" s="21"/>
      <c r="B887" s="28"/>
      <c r="C887" s="22"/>
      <c r="D887" s="28"/>
      <c r="E887" s="23" t="str">
        <f>IF($D887="","",IFERROR(VLOOKUP($D887,'ACAS Consumables Tracker'!$A:$H,8,FALSE()),""))</f>
        <v/>
      </c>
      <c r="F887" s="24"/>
      <c r="G887" s="25" t="str">
        <f>IF($D887="","",IFERROR(VLOOKUP($D887,'ACAS Consumables Tracker'!$A:$D,4,FALSE()),""))</f>
        <v/>
      </c>
      <c r="H887" s="22"/>
    </row>
    <row r="888" spans="1:8">
      <c r="A888" s="21"/>
      <c r="B888" s="28"/>
      <c r="C888" s="22"/>
      <c r="D888" s="28"/>
      <c r="E888" s="23" t="str">
        <f>IF($D888="","",IFERROR(VLOOKUP($D888,'ACAS Consumables Tracker'!$A:$H,8,FALSE()),""))</f>
        <v/>
      </c>
      <c r="F888" s="24"/>
      <c r="G888" s="25" t="str">
        <f>IF($D888="","",IFERROR(VLOOKUP($D888,'ACAS Consumables Tracker'!$A:$D,4,FALSE()),""))</f>
        <v/>
      </c>
      <c r="H888" s="22"/>
    </row>
    <row r="889" spans="1:8">
      <c r="A889" s="21"/>
      <c r="B889" s="28"/>
      <c r="C889" s="22"/>
      <c r="D889" s="28"/>
      <c r="E889" s="23" t="str">
        <f>IF($D889="","",IFERROR(VLOOKUP($D889,'ACAS Consumables Tracker'!$A:$H,8,FALSE()),""))</f>
        <v/>
      </c>
      <c r="F889" s="24"/>
      <c r="G889" s="25" t="str">
        <f>IF($D889="","",IFERROR(VLOOKUP($D889,'ACAS Consumables Tracker'!$A:$D,4,FALSE()),""))</f>
        <v/>
      </c>
      <c r="H889" s="22"/>
    </row>
    <row r="890" spans="1:8">
      <c r="A890" s="21"/>
      <c r="B890" s="28"/>
      <c r="C890" s="22"/>
      <c r="D890" s="28"/>
      <c r="E890" s="23" t="str">
        <f>IF($D890="","",IFERROR(VLOOKUP($D890,'ACAS Consumables Tracker'!$A:$H,8,FALSE()),""))</f>
        <v/>
      </c>
      <c r="F890" s="24"/>
      <c r="G890" s="25" t="str">
        <f>IF($D890="","",IFERROR(VLOOKUP($D890,'ACAS Consumables Tracker'!$A:$D,4,FALSE()),""))</f>
        <v/>
      </c>
      <c r="H890" s="22"/>
    </row>
    <row r="891" spans="1:8">
      <c r="A891" s="21"/>
      <c r="B891" s="28"/>
      <c r="C891" s="22"/>
      <c r="D891" s="28"/>
      <c r="E891" s="23" t="str">
        <f>IF($D891="","",IFERROR(VLOOKUP($D891,'ACAS Consumables Tracker'!$A:$H,8,FALSE()),""))</f>
        <v/>
      </c>
      <c r="F891" s="24"/>
      <c r="G891" s="25" t="str">
        <f>IF($D891="","",IFERROR(VLOOKUP($D891,'ACAS Consumables Tracker'!$A:$D,4,FALSE()),""))</f>
        <v/>
      </c>
      <c r="H891" s="22"/>
    </row>
    <row r="892" spans="1:8">
      <c r="A892" s="21"/>
      <c r="B892" s="28"/>
      <c r="C892" s="22"/>
      <c r="D892" s="28"/>
      <c r="E892" s="23" t="str">
        <f>IF($D892="","",IFERROR(VLOOKUP($D892,'ACAS Consumables Tracker'!$A:$H,8,FALSE()),""))</f>
        <v/>
      </c>
      <c r="F892" s="24"/>
      <c r="G892" s="25" t="str">
        <f>IF($D892="","",IFERROR(VLOOKUP($D892,'ACAS Consumables Tracker'!$A:$D,4,FALSE()),""))</f>
        <v/>
      </c>
      <c r="H892" s="22"/>
    </row>
    <row r="893" spans="1:8">
      <c r="A893" s="21"/>
      <c r="B893" s="28"/>
      <c r="C893" s="22"/>
      <c r="D893" s="28"/>
      <c r="E893" s="23" t="str">
        <f>IF($D893="","",IFERROR(VLOOKUP($D893,'ACAS Consumables Tracker'!$A:$H,8,FALSE()),""))</f>
        <v/>
      </c>
      <c r="F893" s="24"/>
      <c r="G893" s="25" t="str">
        <f>IF($D893="","",IFERROR(VLOOKUP($D893,'ACAS Consumables Tracker'!$A:$D,4,FALSE()),""))</f>
        <v/>
      </c>
      <c r="H893" s="22"/>
    </row>
    <row r="894" spans="1:8">
      <c r="A894" s="21"/>
      <c r="B894" s="28"/>
      <c r="C894" s="22"/>
      <c r="D894" s="28"/>
      <c r="E894" s="23" t="str">
        <f>IF($D894="","",IFERROR(VLOOKUP($D894,'ACAS Consumables Tracker'!$A:$H,8,FALSE()),""))</f>
        <v/>
      </c>
      <c r="F894" s="24"/>
      <c r="G894" s="25" t="str">
        <f>IF($D894="","",IFERROR(VLOOKUP($D894,'ACAS Consumables Tracker'!$A:$D,4,FALSE()),""))</f>
        <v/>
      </c>
      <c r="H894" s="22"/>
    </row>
    <row r="895" spans="1:8">
      <c r="A895" s="21"/>
      <c r="B895" s="28"/>
      <c r="C895" s="22"/>
      <c r="D895" s="28"/>
      <c r="E895" s="23" t="str">
        <f>IF($D895="","",IFERROR(VLOOKUP($D895,'ACAS Consumables Tracker'!$A:$H,8,FALSE()),""))</f>
        <v/>
      </c>
      <c r="F895" s="24"/>
      <c r="G895" s="25" t="str">
        <f>IF($D895="","",IFERROR(VLOOKUP($D895,'ACAS Consumables Tracker'!$A:$D,4,FALSE()),""))</f>
        <v/>
      </c>
      <c r="H895" s="22"/>
    </row>
    <row r="896" spans="1:8">
      <c r="A896" s="21"/>
      <c r="B896" s="28"/>
      <c r="C896" s="22"/>
      <c r="D896" s="28"/>
      <c r="E896" s="23" t="str">
        <f>IF($D896="","",IFERROR(VLOOKUP($D896,'ACAS Consumables Tracker'!$A:$H,8,FALSE()),""))</f>
        <v/>
      </c>
      <c r="F896" s="24"/>
      <c r="G896" s="25" t="str">
        <f>IF($D896="","",IFERROR(VLOOKUP($D896,'ACAS Consumables Tracker'!$A:$D,4,FALSE()),""))</f>
        <v/>
      </c>
      <c r="H896" s="22"/>
    </row>
    <row r="897" spans="1:8">
      <c r="A897" s="21"/>
      <c r="B897" s="28"/>
      <c r="C897" s="22"/>
      <c r="D897" s="28"/>
      <c r="E897" s="23" t="str">
        <f>IF($D897="","",IFERROR(VLOOKUP($D897,'ACAS Consumables Tracker'!$A:$H,8,FALSE()),""))</f>
        <v/>
      </c>
      <c r="F897" s="24"/>
      <c r="G897" s="25" t="str">
        <f>IF($D897="","",IFERROR(VLOOKUP($D897,'ACAS Consumables Tracker'!$A:$D,4,FALSE()),""))</f>
        <v/>
      </c>
      <c r="H897" s="22"/>
    </row>
    <row r="898" spans="1:8">
      <c r="A898" s="21"/>
      <c r="B898" s="28"/>
      <c r="C898" s="22"/>
      <c r="D898" s="28"/>
      <c r="E898" s="23" t="str">
        <f>IF($D898="","",IFERROR(VLOOKUP($D898,'ACAS Consumables Tracker'!$A:$H,8,FALSE()),""))</f>
        <v/>
      </c>
      <c r="F898" s="24"/>
      <c r="G898" s="25" t="str">
        <f>IF($D898="","",IFERROR(VLOOKUP($D898,'ACAS Consumables Tracker'!$A:$D,4,FALSE()),""))</f>
        <v/>
      </c>
      <c r="H898" s="22"/>
    </row>
    <row r="899" spans="1:8">
      <c r="A899" s="21"/>
      <c r="B899" s="28"/>
      <c r="C899" s="22"/>
      <c r="D899" s="28"/>
      <c r="E899" s="23" t="str">
        <f>IF($D899="","",IFERROR(VLOOKUP($D899,'ACAS Consumables Tracker'!$A:$H,8,FALSE()),""))</f>
        <v/>
      </c>
      <c r="F899" s="24"/>
      <c r="G899" s="25" t="str">
        <f>IF($D899="","",IFERROR(VLOOKUP($D899,'ACAS Consumables Tracker'!$A:$D,4,FALSE()),""))</f>
        <v/>
      </c>
      <c r="H899" s="22"/>
    </row>
    <row r="900" spans="1:8">
      <c r="A900" s="21"/>
      <c r="B900" s="28"/>
      <c r="C900" s="22"/>
      <c r="D900" s="28"/>
      <c r="E900" s="23" t="str">
        <f>IF($D900="","",IFERROR(VLOOKUP($D900,'ACAS Consumables Tracker'!$A:$H,8,FALSE()),""))</f>
        <v/>
      </c>
      <c r="F900" s="24"/>
      <c r="G900" s="25" t="str">
        <f>IF($D900="","",IFERROR(VLOOKUP($D900,'ACAS Consumables Tracker'!$A:$D,4,FALSE()),""))</f>
        <v/>
      </c>
      <c r="H900" s="22"/>
    </row>
    <row r="901" spans="1:8">
      <c r="A901" s="21"/>
      <c r="B901" s="28"/>
      <c r="C901" s="22"/>
      <c r="D901" s="28"/>
      <c r="E901" s="23" t="str">
        <f>IF($D901="","",IFERROR(VLOOKUP($D901,'ACAS Consumables Tracker'!$A:$H,8,FALSE()),""))</f>
        <v/>
      </c>
      <c r="F901" s="24"/>
      <c r="G901" s="25" t="str">
        <f>IF($D901="","",IFERROR(VLOOKUP($D901,'ACAS Consumables Tracker'!$A:$D,4,FALSE()),""))</f>
        <v/>
      </c>
      <c r="H901" s="22"/>
    </row>
    <row r="902" spans="1:8">
      <c r="A902" s="21"/>
      <c r="B902" s="28"/>
      <c r="C902" s="22"/>
      <c r="D902" s="28"/>
      <c r="E902" s="23" t="str">
        <f>IF($D902="","",IFERROR(VLOOKUP($D902,'ACAS Consumables Tracker'!$A:$H,8,FALSE()),""))</f>
        <v/>
      </c>
      <c r="F902" s="24"/>
      <c r="G902" s="25" t="str">
        <f>IF($D902="","",IFERROR(VLOOKUP($D902,'ACAS Consumables Tracker'!$A:$D,4,FALSE()),""))</f>
        <v/>
      </c>
      <c r="H902" s="22"/>
    </row>
    <row r="903" spans="1:8">
      <c r="A903" s="21"/>
      <c r="B903" s="28"/>
      <c r="C903" s="22"/>
      <c r="D903" s="28"/>
      <c r="E903" s="23" t="str">
        <f>IF($D903="","",IFERROR(VLOOKUP($D903,'ACAS Consumables Tracker'!$A:$H,8,FALSE()),""))</f>
        <v/>
      </c>
      <c r="F903" s="24"/>
      <c r="G903" s="25" t="str">
        <f>IF($D903="","",IFERROR(VLOOKUP($D903,'ACAS Consumables Tracker'!$A:$D,4,FALSE()),""))</f>
        <v/>
      </c>
      <c r="H903" s="22"/>
    </row>
    <row r="904" spans="1:8">
      <c r="A904" s="21"/>
      <c r="B904" s="28"/>
      <c r="C904" s="22"/>
      <c r="D904" s="28"/>
      <c r="E904" s="23" t="str">
        <f>IF($D904="","",IFERROR(VLOOKUP($D904,'ACAS Consumables Tracker'!$A:$H,8,FALSE()),""))</f>
        <v/>
      </c>
      <c r="F904" s="24"/>
      <c r="G904" s="25" t="str">
        <f>IF($D904="","",IFERROR(VLOOKUP($D904,'ACAS Consumables Tracker'!$A:$D,4,FALSE()),""))</f>
        <v/>
      </c>
      <c r="H904" s="22"/>
    </row>
    <row r="905" spans="1:8">
      <c r="A905" s="21"/>
      <c r="B905" s="28"/>
      <c r="C905" s="22"/>
      <c r="D905" s="28"/>
      <c r="E905" s="23" t="str">
        <f>IF($D905="","",IFERROR(VLOOKUP($D905,'ACAS Consumables Tracker'!$A:$H,8,FALSE()),""))</f>
        <v/>
      </c>
      <c r="F905" s="24"/>
      <c r="G905" s="25" t="str">
        <f>IF($D905="","",IFERROR(VLOOKUP($D905,'ACAS Consumables Tracker'!$A:$D,4,FALSE()),""))</f>
        <v/>
      </c>
      <c r="H905" s="22"/>
    </row>
    <row r="906" spans="1:8">
      <c r="A906" s="21"/>
      <c r="B906" s="28"/>
      <c r="C906" s="22"/>
      <c r="D906" s="28"/>
      <c r="E906" s="23" t="str">
        <f>IF($D906="","",IFERROR(VLOOKUP($D906,'ACAS Consumables Tracker'!$A:$H,8,FALSE()),""))</f>
        <v/>
      </c>
      <c r="F906" s="24"/>
      <c r="G906" s="25" t="str">
        <f>IF($D906="","",IFERROR(VLOOKUP($D906,'ACAS Consumables Tracker'!$A:$D,4,FALSE()),""))</f>
        <v/>
      </c>
      <c r="H906" s="22"/>
    </row>
    <row r="907" spans="1:8">
      <c r="A907" s="21"/>
      <c r="B907" s="28"/>
      <c r="C907" s="22"/>
      <c r="D907" s="28"/>
      <c r="E907" s="23" t="str">
        <f>IF($D907="","",IFERROR(VLOOKUP($D907,'ACAS Consumables Tracker'!$A:$H,8,FALSE()),""))</f>
        <v/>
      </c>
      <c r="F907" s="24"/>
      <c r="G907" s="25" t="str">
        <f>IF($D907="","",IFERROR(VLOOKUP($D907,'ACAS Consumables Tracker'!$A:$D,4,FALSE()),""))</f>
        <v/>
      </c>
      <c r="H907" s="22"/>
    </row>
    <row r="908" spans="1:8">
      <c r="A908" s="21"/>
      <c r="B908" s="28"/>
      <c r="C908" s="22"/>
      <c r="D908" s="28"/>
      <c r="E908" s="23" t="str">
        <f>IF($D908="","",IFERROR(VLOOKUP($D908,'ACAS Consumables Tracker'!$A:$H,8,FALSE()),""))</f>
        <v/>
      </c>
      <c r="F908" s="24"/>
      <c r="G908" s="25" t="str">
        <f>IF($D908="","",IFERROR(VLOOKUP($D908,'ACAS Consumables Tracker'!$A:$D,4,FALSE()),""))</f>
        <v/>
      </c>
      <c r="H908" s="22"/>
    </row>
    <row r="909" spans="1:8">
      <c r="A909" s="21"/>
      <c r="B909" s="28"/>
      <c r="C909" s="22"/>
      <c r="D909" s="28"/>
      <c r="E909" s="23" t="str">
        <f>IF($D909="","",IFERROR(VLOOKUP($D909,'ACAS Consumables Tracker'!$A:$H,8,FALSE()),""))</f>
        <v/>
      </c>
      <c r="F909" s="24"/>
      <c r="G909" s="25" t="str">
        <f>IF($D909="","",IFERROR(VLOOKUP($D909,'ACAS Consumables Tracker'!$A:$D,4,FALSE()),""))</f>
        <v/>
      </c>
      <c r="H909" s="22"/>
    </row>
    <row r="910" spans="1:8">
      <c r="A910" s="21"/>
      <c r="B910" s="28"/>
      <c r="C910" s="22"/>
      <c r="D910" s="28"/>
      <c r="E910" s="23" t="str">
        <f>IF($D910="","",IFERROR(VLOOKUP($D910,'ACAS Consumables Tracker'!$A:$H,8,FALSE()),""))</f>
        <v/>
      </c>
      <c r="F910" s="24"/>
      <c r="G910" s="25" t="str">
        <f>IF($D910="","",IFERROR(VLOOKUP($D910,'ACAS Consumables Tracker'!$A:$D,4,FALSE()),""))</f>
        <v/>
      </c>
      <c r="H910" s="22"/>
    </row>
    <row r="911" spans="1:8">
      <c r="A911" s="21"/>
      <c r="B911" s="28"/>
      <c r="C911" s="22"/>
      <c r="D911" s="28"/>
      <c r="E911" s="23" t="str">
        <f>IF($D911="","",IFERROR(VLOOKUP($D911,'ACAS Consumables Tracker'!$A:$H,8,FALSE()),""))</f>
        <v/>
      </c>
      <c r="F911" s="24"/>
      <c r="G911" s="25" t="str">
        <f>IF($D911="","",IFERROR(VLOOKUP($D911,'ACAS Consumables Tracker'!$A:$D,4,FALSE()),""))</f>
        <v/>
      </c>
      <c r="H911" s="22"/>
    </row>
    <row r="912" spans="1:8">
      <c r="A912" s="21"/>
      <c r="B912" s="28"/>
      <c r="C912" s="22"/>
      <c r="D912" s="28"/>
      <c r="E912" s="23" t="str">
        <f>IF($D912="","",IFERROR(VLOOKUP($D912,'ACAS Consumables Tracker'!$A:$H,8,FALSE()),""))</f>
        <v/>
      </c>
      <c r="F912" s="24"/>
      <c r="G912" s="25" t="str">
        <f>IF($D912="","",IFERROR(VLOOKUP($D912,'ACAS Consumables Tracker'!$A:$D,4,FALSE()),""))</f>
        <v/>
      </c>
      <c r="H912" s="22"/>
    </row>
    <row r="913" spans="1:8">
      <c r="A913" s="21"/>
      <c r="B913" s="28"/>
      <c r="C913" s="22"/>
      <c r="D913" s="28"/>
      <c r="E913" s="23" t="str">
        <f>IF($D913="","",IFERROR(VLOOKUP($D913,'ACAS Consumables Tracker'!$A:$H,8,FALSE()),""))</f>
        <v/>
      </c>
      <c r="F913" s="24"/>
      <c r="G913" s="25" t="str">
        <f>IF($D913="","",IFERROR(VLOOKUP($D913,'ACAS Consumables Tracker'!$A:$D,4,FALSE()),""))</f>
        <v/>
      </c>
      <c r="H913" s="22"/>
    </row>
    <row r="914" spans="1:8">
      <c r="A914" s="21"/>
      <c r="B914" s="28"/>
      <c r="C914" s="22"/>
      <c r="D914" s="28"/>
      <c r="E914" s="23" t="str">
        <f>IF($D914="","",IFERROR(VLOOKUP($D914,'ACAS Consumables Tracker'!$A:$H,8,FALSE()),""))</f>
        <v/>
      </c>
      <c r="F914" s="24"/>
      <c r="G914" s="25" t="str">
        <f>IF($D914="","",IFERROR(VLOOKUP($D914,'ACAS Consumables Tracker'!$A:$D,4,FALSE()),""))</f>
        <v/>
      </c>
      <c r="H914" s="22"/>
    </row>
    <row r="915" spans="1:8">
      <c r="A915" s="21"/>
      <c r="B915" s="28"/>
      <c r="C915" s="22"/>
      <c r="D915" s="28"/>
      <c r="E915" s="23" t="str">
        <f>IF($D915="","",IFERROR(VLOOKUP($D915,'ACAS Consumables Tracker'!$A:$H,8,FALSE()),""))</f>
        <v/>
      </c>
      <c r="F915" s="24"/>
      <c r="G915" s="25" t="str">
        <f>IF($D915="","",IFERROR(VLOOKUP($D915,'ACAS Consumables Tracker'!$A:$D,4,FALSE()),""))</f>
        <v/>
      </c>
      <c r="H915" s="22"/>
    </row>
    <row r="916" spans="1:8">
      <c r="A916" s="21"/>
      <c r="B916" s="28"/>
      <c r="C916" s="22"/>
      <c r="D916" s="28"/>
      <c r="E916" s="23" t="str">
        <f>IF($D916="","",IFERROR(VLOOKUP($D916,'ACAS Consumables Tracker'!$A:$H,8,FALSE()),""))</f>
        <v/>
      </c>
      <c r="F916" s="24"/>
      <c r="G916" s="25" t="str">
        <f>IF($D916="","",IFERROR(VLOOKUP($D916,'ACAS Consumables Tracker'!$A:$D,4,FALSE()),""))</f>
        <v/>
      </c>
      <c r="H916" s="22"/>
    </row>
    <row r="917" spans="1:8">
      <c r="A917" s="21"/>
      <c r="B917" s="28"/>
      <c r="C917" s="22"/>
      <c r="D917" s="28"/>
      <c r="E917" s="23" t="str">
        <f>IF($D917="","",IFERROR(VLOOKUP($D917,'ACAS Consumables Tracker'!$A:$H,8,FALSE()),""))</f>
        <v/>
      </c>
      <c r="F917" s="24"/>
      <c r="G917" s="25" t="str">
        <f>IF($D917="","",IFERROR(VLOOKUP($D917,'ACAS Consumables Tracker'!$A:$D,4,FALSE()),""))</f>
        <v/>
      </c>
      <c r="H917" s="22"/>
    </row>
    <row r="918" spans="1:8">
      <c r="A918" s="21"/>
      <c r="B918" s="28"/>
      <c r="C918" s="22"/>
      <c r="D918" s="28"/>
      <c r="E918" s="23" t="str">
        <f>IF($D918="","",IFERROR(VLOOKUP($D918,'ACAS Consumables Tracker'!$A:$H,8,FALSE()),""))</f>
        <v/>
      </c>
      <c r="F918" s="24"/>
      <c r="G918" s="25" t="str">
        <f>IF($D918="","",IFERROR(VLOOKUP($D918,'ACAS Consumables Tracker'!$A:$D,4,FALSE()),""))</f>
        <v/>
      </c>
      <c r="H918" s="22"/>
    </row>
    <row r="919" spans="1:8">
      <c r="A919" s="21"/>
      <c r="B919" s="28"/>
      <c r="C919" s="22"/>
      <c r="D919" s="28"/>
      <c r="E919" s="23" t="str">
        <f>IF($D919="","",IFERROR(VLOOKUP($D919,'ACAS Consumables Tracker'!$A:$H,8,FALSE()),""))</f>
        <v/>
      </c>
      <c r="F919" s="24"/>
      <c r="G919" s="25" t="str">
        <f>IF($D919="","",IFERROR(VLOOKUP($D919,'ACAS Consumables Tracker'!$A:$D,4,FALSE()),""))</f>
        <v/>
      </c>
      <c r="H919" s="22"/>
    </row>
    <row r="920" spans="1:8">
      <c r="A920" s="21"/>
      <c r="B920" s="28"/>
      <c r="C920" s="22"/>
      <c r="D920" s="28"/>
      <c r="E920" s="23" t="str">
        <f>IF($D920="","",IFERROR(VLOOKUP($D920,'ACAS Consumables Tracker'!$A:$H,8,FALSE()),""))</f>
        <v/>
      </c>
      <c r="F920" s="24"/>
      <c r="G920" s="25" t="str">
        <f>IF($D920="","",IFERROR(VLOOKUP($D920,'ACAS Consumables Tracker'!$A:$D,4,FALSE()),""))</f>
        <v/>
      </c>
      <c r="H920" s="22"/>
    </row>
    <row r="921" spans="1:8">
      <c r="A921" s="21"/>
      <c r="B921" s="28"/>
      <c r="C921" s="22"/>
      <c r="D921" s="28"/>
      <c r="E921" s="23" t="str">
        <f>IF($D921="","",IFERROR(VLOOKUP($D921,'ACAS Consumables Tracker'!$A:$H,8,FALSE()),""))</f>
        <v/>
      </c>
      <c r="F921" s="24"/>
      <c r="G921" s="25" t="str">
        <f>IF($D921="","",IFERROR(VLOOKUP($D921,'ACAS Consumables Tracker'!$A:$D,4,FALSE()),""))</f>
        <v/>
      </c>
      <c r="H921" s="22"/>
    </row>
    <row r="922" spans="1:8">
      <c r="A922" s="21"/>
      <c r="B922" s="28"/>
      <c r="C922" s="22"/>
      <c r="D922" s="28"/>
      <c r="E922" s="23" t="str">
        <f>IF($D922="","",IFERROR(VLOOKUP($D922,'ACAS Consumables Tracker'!$A:$H,8,FALSE()),""))</f>
        <v/>
      </c>
      <c r="F922" s="24"/>
      <c r="G922" s="25" t="str">
        <f>IF($D922="","",IFERROR(VLOOKUP($D922,'ACAS Consumables Tracker'!$A:$D,4,FALSE()),""))</f>
        <v/>
      </c>
      <c r="H922" s="22"/>
    </row>
    <row r="923" spans="1:8">
      <c r="A923" s="21"/>
      <c r="B923" s="28"/>
      <c r="C923" s="22"/>
      <c r="D923" s="28"/>
      <c r="E923" s="23" t="str">
        <f>IF($D923="","",IFERROR(VLOOKUP($D923,'ACAS Consumables Tracker'!$A:$H,8,FALSE()),""))</f>
        <v/>
      </c>
      <c r="F923" s="24"/>
      <c r="G923" s="25" t="str">
        <f>IF($D923="","",IFERROR(VLOOKUP($D923,'ACAS Consumables Tracker'!$A:$D,4,FALSE()),""))</f>
        <v/>
      </c>
      <c r="H923" s="22"/>
    </row>
    <row r="924" spans="1:8">
      <c r="A924" s="21"/>
      <c r="B924" s="28"/>
      <c r="C924" s="22"/>
      <c r="D924" s="28"/>
      <c r="E924" s="23" t="str">
        <f>IF($D924="","",IFERROR(VLOOKUP($D924,'ACAS Consumables Tracker'!$A:$H,8,FALSE()),""))</f>
        <v/>
      </c>
      <c r="F924" s="24"/>
      <c r="G924" s="25" t="str">
        <f>IF($D924="","",IFERROR(VLOOKUP($D924,'ACAS Consumables Tracker'!$A:$D,4,FALSE()),""))</f>
        <v/>
      </c>
      <c r="H924" s="22"/>
    </row>
    <row r="925" spans="1:8">
      <c r="A925" s="21"/>
      <c r="B925" s="28"/>
      <c r="C925" s="22"/>
      <c r="D925" s="28"/>
      <c r="E925" s="23" t="str">
        <f>IF($D925="","",IFERROR(VLOOKUP($D925,'ACAS Consumables Tracker'!$A:$H,8,FALSE()),""))</f>
        <v/>
      </c>
      <c r="F925" s="24"/>
      <c r="G925" s="25" t="str">
        <f>IF($D925="","",IFERROR(VLOOKUP($D925,'ACAS Consumables Tracker'!$A:$D,4,FALSE()),""))</f>
        <v/>
      </c>
      <c r="H925" s="22"/>
    </row>
    <row r="926" spans="1:8">
      <c r="A926" s="21"/>
      <c r="B926" s="28"/>
      <c r="C926" s="22"/>
      <c r="D926" s="28"/>
      <c r="E926" s="23" t="str">
        <f>IF($D926="","",IFERROR(VLOOKUP($D926,'ACAS Consumables Tracker'!$A:$H,8,FALSE()),""))</f>
        <v/>
      </c>
      <c r="F926" s="24"/>
      <c r="G926" s="25" t="str">
        <f>IF($D926="","",IFERROR(VLOOKUP($D926,'ACAS Consumables Tracker'!$A:$D,4,FALSE()),""))</f>
        <v/>
      </c>
      <c r="H926" s="22"/>
    </row>
    <row r="927" spans="1:8">
      <c r="A927" s="21"/>
      <c r="B927" s="28"/>
      <c r="C927" s="22"/>
      <c r="D927" s="28"/>
      <c r="E927" s="23" t="str">
        <f>IF($D927="","",IFERROR(VLOOKUP($D927,'ACAS Consumables Tracker'!$A:$H,8,FALSE()),""))</f>
        <v/>
      </c>
      <c r="F927" s="24"/>
      <c r="G927" s="25" t="str">
        <f>IF($D927="","",IFERROR(VLOOKUP($D927,'ACAS Consumables Tracker'!$A:$D,4,FALSE()),""))</f>
        <v/>
      </c>
      <c r="H927" s="22"/>
    </row>
    <row r="928" spans="1:8">
      <c r="A928" s="21"/>
      <c r="B928" s="28"/>
      <c r="C928" s="22"/>
      <c r="D928" s="28"/>
      <c r="E928" s="23" t="str">
        <f>IF($D928="","",IFERROR(VLOOKUP($D928,'ACAS Consumables Tracker'!$A:$H,8,FALSE()),""))</f>
        <v/>
      </c>
      <c r="F928" s="24"/>
      <c r="G928" s="25" t="str">
        <f>IF($D928="","",IFERROR(VLOOKUP($D928,'ACAS Consumables Tracker'!$A:$D,4,FALSE()),""))</f>
        <v/>
      </c>
      <c r="H928" s="22"/>
    </row>
    <row r="929" spans="1:8">
      <c r="A929" s="21"/>
      <c r="B929" s="28"/>
      <c r="C929" s="22"/>
      <c r="D929" s="28"/>
      <c r="E929" s="23" t="str">
        <f>IF($D929="","",IFERROR(VLOOKUP($D929,'ACAS Consumables Tracker'!$A:$H,8,FALSE()),""))</f>
        <v/>
      </c>
      <c r="F929" s="24"/>
      <c r="G929" s="25" t="str">
        <f>IF($D929="","",IFERROR(VLOOKUP($D929,'ACAS Consumables Tracker'!$A:$D,4,FALSE()),""))</f>
        <v/>
      </c>
      <c r="H929" s="22"/>
    </row>
    <row r="930" spans="1:8">
      <c r="A930" s="21"/>
      <c r="B930" s="28"/>
      <c r="C930" s="22"/>
      <c r="D930" s="28"/>
      <c r="E930" s="23" t="str">
        <f>IF($D930="","",IFERROR(VLOOKUP($D930,'ACAS Consumables Tracker'!$A:$H,8,FALSE()),""))</f>
        <v/>
      </c>
      <c r="F930" s="24"/>
      <c r="G930" s="25" t="str">
        <f>IF($D930="","",IFERROR(VLOOKUP($D930,'ACAS Consumables Tracker'!$A:$D,4,FALSE()),""))</f>
        <v/>
      </c>
      <c r="H930" s="22"/>
    </row>
    <row r="931" spans="1:8">
      <c r="A931" s="21"/>
      <c r="B931" s="28"/>
      <c r="C931" s="22"/>
      <c r="D931" s="28"/>
      <c r="E931" s="23" t="str">
        <f>IF($D931="","",IFERROR(VLOOKUP($D931,'ACAS Consumables Tracker'!$A:$H,8,FALSE()),""))</f>
        <v/>
      </c>
      <c r="F931" s="24"/>
      <c r="G931" s="25" t="str">
        <f>IF($D931="","",IFERROR(VLOOKUP($D931,'ACAS Consumables Tracker'!$A:$D,4,FALSE()),""))</f>
        <v/>
      </c>
      <c r="H931" s="22"/>
    </row>
    <row r="932" spans="1:8">
      <c r="A932" s="21"/>
      <c r="B932" s="28"/>
      <c r="C932" s="22"/>
      <c r="D932" s="28"/>
      <c r="E932" s="23" t="str">
        <f>IF($D932="","",IFERROR(VLOOKUP($D932,'ACAS Consumables Tracker'!$A:$H,8,FALSE()),""))</f>
        <v/>
      </c>
      <c r="F932" s="24"/>
      <c r="G932" s="25" t="str">
        <f>IF($D932="","",IFERROR(VLOOKUP($D932,'ACAS Consumables Tracker'!$A:$D,4,FALSE()),""))</f>
        <v/>
      </c>
      <c r="H932" s="22"/>
    </row>
    <row r="933" spans="1:8">
      <c r="A933" s="21"/>
      <c r="B933" s="28"/>
      <c r="C933" s="22"/>
      <c r="D933" s="28"/>
      <c r="E933" s="23" t="str">
        <f>IF($D933="","",IFERROR(VLOOKUP($D933,'ACAS Consumables Tracker'!$A:$H,8,FALSE()),""))</f>
        <v/>
      </c>
      <c r="F933" s="24"/>
      <c r="G933" s="25" t="str">
        <f>IF($D933="","",IFERROR(VLOOKUP($D933,'ACAS Consumables Tracker'!$A:$D,4,FALSE()),""))</f>
        <v/>
      </c>
      <c r="H933" s="22"/>
    </row>
    <row r="934" spans="1:8">
      <c r="A934" s="21"/>
      <c r="B934" s="28"/>
      <c r="C934" s="22"/>
      <c r="D934" s="28"/>
      <c r="E934" s="23" t="str">
        <f>IF($D934="","",IFERROR(VLOOKUP($D934,'ACAS Consumables Tracker'!$A:$H,8,FALSE()),""))</f>
        <v/>
      </c>
      <c r="F934" s="24"/>
      <c r="G934" s="25" t="str">
        <f>IF($D934="","",IFERROR(VLOOKUP($D934,'ACAS Consumables Tracker'!$A:$D,4,FALSE()),""))</f>
        <v/>
      </c>
      <c r="H934" s="22"/>
    </row>
    <row r="935" spans="1:8">
      <c r="A935" s="21"/>
      <c r="B935" s="28"/>
      <c r="C935" s="22"/>
      <c r="D935" s="28"/>
      <c r="E935" s="23" t="str">
        <f>IF($D935="","",IFERROR(VLOOKUP($D935,'ACAS Consumables Tracker'!$A:$H,8,FALSE()),""))</f>
        <v/>
      </c>
      <c r="F935" s="24"/>
      <c r="G935" s="25" t="str">
        <f>IF($D935="","",IFERROR(VLOOKUP($D935,'ACAS Consumables Tracker'!$A:$D,4,FALSE()),""))</f>
        <v/>
      </c>
      <c r="H935" s="22"/>
    </row>
    <row r="936" spans="1:8">
      <c r="A936" s="21"/>
      <c r="B936" s="28"/>
      <c r="C936" s="22"/>
      <c r="D936" s="28"/>
      <c r="E936" s="23" t="str">
        <f>IF($D936="","",IFERROR(VLOOKUP($D936,'ACAS Consumables Tracker'!$A:$H,8,FALSE()),""))</f>
        <v/>
      </c>
      <c r="F936" s="24"/>
      <c r="G936" s="25" t="str">
        <f>IF($D936="","",IFERROR(VLOOKUP($D936,'ACAS Consumables Tracker'!$A:$D,4,FALSE()),""))</f>
        <v/>
      </c>
      <c r="H936" s="22"/>
    </row>
    <row r="937" spans="1:8">
      <c r="A937" s="21"/>
      <c r="B937" s="28"/>
      <c r="C937" s="22"/>
      <c r="D937" s="28"/>
      <c r="E937" s="23" t="str">
        <f>IF($D937="","",IFERROR(VLOOKUP($D937,'ACAS Consumables Tracker'!$A:$H,8,FALSE()),""))</f>
        <v/>
      </c>
      <c r="F937" s="24"/>
      <c r="G937" s="25" t="str">
        <f>IF($D937="","",IFERROR(VLOOKUP($D937,'ACAS Consumables Tracker'!$A:$D,4,FALSE()),""))</f>
        <v/>
      </c>
      <c r="H937" s="22"/>
    </row>
    <row r="938" spans="1:8">
      <c r="A938" s="21"/>
      <c r="B938" s="28"/>
      <c r="C938" s="22"/>
      <c r="D938" s="28"/>
      <c r="E938" s="23" t="str">
        <f>IF($D938="","",IFERROR(VLOOKUP($D938,'ACAS Consumables Tracker'!$A:$H,8,FALSE()),""))</f>
        <v/>
      </c>
      <c r="F938" s="24"/>
      <c r="G938" s="25" t="str">
        <f>IF($D938="","",IFERROR(VLOOKUP($D938,'ACAS Consumables Tracker'!$A:$D,4,FALSE()),""))</f>
        <v/>
      </c>
      <c r="H938" s="22"/>
    </row>
    <row r="939" spans="1:8">
      <c r="A939" s="21"/>
      <c r="B939" s="28"/>
      <c r="C939" s="22"/>
      <c r="D939" s="28"/>
      <c r="E939" s="23" t="str">
        <f>IF($D939="","",IFERROR(VLOOKUP($D939,'ACAS Consumables Tracker'!$A:$H,8,FALSE()),""))</f>
        <v/>
      </c>
      <c r="F939" s="24"/>
      <c r="G939" s="25" t="str">
        <f>IF($D939="","",IFERROR(VLOOKUP($D939,'ACAS Consumables Tracker'!$A:$D,4,FALSE()),""))</f>
        <v/>
      </c>
      <c r="H939" s="22"/>
    </row>
    <row r="940" spans="1:8">
      <c r="A940" s="21"/>
      <c r="B940" s="28"/>
      <c r="C940" s="22"/>
      <c r="D940" s="28"/>
      <c r="E940" s="23" t="str">
        <f>IF($D940="","",IFERROR(VLOOKUP($D940,'ACAS Consumables Tracker'!$A:$H,8,FALSE()),""))</f>
        <v/>
      </c>
      <c r="F940" s="24"/>
      <c r="G940" s="25" t="str">
        <f>IF($D940="","",IFERROR(VLOOKUP($D940,'ACAS Consumables Tracker'!$A:$D,4,FALSE()),""))</f>
        <v/>
      </c>
      <c r="H940" s="22"/>
    </row>
    <row r="941" spans="1:8">
      <c r="A941" s="21"/>
      <c r="B941" s="28"/>
      <c r="C941" s="22"/>
      <c r="D941" s="28"/>
      <c r="E941" s="23" t="str">
        <f>IF($D941="","",IFERROR(VLOOKUP($D941,'ACAS Consumables Tracker'!$A:$H,8,FALSE()),""))</f>
        <v/>
      </c>
      <c r="F941" s="24"/>
      <c r="G941" s="25" t="str">
        <f>IF($D941="","",IFERROR(VLOOKUP($D941,'ACAS Consumables Tracker'!$A:$D,4,FALSE()),""))</f>
        <v/>
      </c>
      <c r="H941" s="22"/>
    </row>
    <row r="942" spans="1:8">
      <c r="A942" s="21"/>
      <c r="B942" s="28"/>
      <c r="C942" s="22"/>
      <c r="D942" s="28"/>
      <c r="E942" s="23" t="str">
        <f>IF($D942="","",IFERROR(VLOOKUP($D942,'ACAS Consumables Tracker'!$A:$H,8,FALSE()),""))</f>
        <v/>
      </c>
      <c r="F942" s="24"/>
      <c r="G942" s="25" t="str">
        <f>IF($D942="","",IFERROR(VLOOKUP($D942,'ACAS Consumables Tracker'!$A:$D,4,FALSE()),""))</f>
        <v/>
      </c>
      <c r="H942" s="22"/>
    </row>
    <row r="943" spans="1:8">
      <c r="A943" s="21"/>
      <c r="B943" s="28"/>
      <c r="C943" s="22"/>
      <c r="D943" s="28"/>
      <c r="E943" s="23" t="str">
        <f>IF($D943="","",IFERROR(VLOOKUP($D943,'ACAS Consumables Tracker'!$A:$H,8,FALSE()),""))</f>
        <v/>
      </c>
      <c r="F943" s="24"/>
      <c r="G943" s="25" t="str">
        <f>IF($D943="","",IFERROR(VLOOKUP($D943,'ACAS Consumables Tracker'!$A:$D,4,FALSE()),""))</f>
        <v/>
      </c>
      <c r="H943" s="22"/>
    </row>
    <row r="944" spans="1:8">
      <c r="A944" s="21"/>
      <c r="B944" s="28"/>
      <c r="C944" s="22"/>
      <c r="D944" s="28"/>
      <c r="E944" s="23" t="str">
        <f>IF($D944="","",IFERROR(VLOOKUP($D944,'ACAS Consumables Tracker'!$A:$H,8,FALSE()),""))</f>
        <v/>
      </c>
      <c r="F944" s="24"/>
      <c r="G944" s="25" t="str">
        <f>IF($D944="","",IFERROR(VLOOKUP($D944,'ACAS Consumables Tracker'!$A:$D,4,FALSE()),""))</f>
        <v/>
      </c>
      <c r="H944" s="22"/>
    </row>
    <row r="945" spans="1:8">
      <c r="A945" s="21"/>
      <c r="B945" s="28"/>
      <c r="C945" s="22"/>
      <c r="D945" s="28"/>
      <c r="E945" s="23" t="str">
        <f>IF($D945="","",IFERROR(VLOOKUP($D945,'ACAS Consumables Tracker'!$A:$H,8,FALSE()),""))</f>
        <v/>
      </c>
      <c r="F945" s="24"/>
      <c r="G945" s="25" t="str">
        <f>IF($D945="","",IFERROR(VLOOKUP($D945,'ACAS Consumables Tracker'!$A:$D,4,FALSE()),""))</f>
        <v/>
      </c>
      <c r="H945" s="22"/>
    </row>
    <row r="946" spans="1:8">
      <c r="A946" s="21"/>
      <c r="B946" s="28"/>
      <c r="C946" s="22"/>
      <c r="D946" s="28"/>
      <c r="E946" s="23" t="str">
        <f>IF($D946="","",IFERROR(VLOOKUP($D946,'ACAS Consumables Tracker'!$A:$H,8,FALSE()),""))</f>
        <v/>
      </c>
      <c r="F946" s="24"/>
      <c r="G946" s="25" t="str">
        <f>IF($D946="","",IFERROR(VLOOKUP($D946,'ACAS Consumables Tracker'!$A:$D,4,FALSE()),""))</f>
        <v/>
      </c>
      <c r="H946" s="22"/>
    </row>
    <row r="947" spans="1:8">
      <c r="A947" s="21"/>
      <c r="B947" s="28"/>
      <c r="C947" s="22"/>
      <c r="D947" s="28"/>
      <c r="E947" s="23" t="str">
        <f>IF($D947="","",IFERROR(VLOOKUP($D947,'ACAS Consumables Tracker'!$A:$H,8,FALSE()),""))</f>
        <v/>
      </c>
      <c r="F947" s="24"/>
      <c r="G947" s="25" t="str">
        <f>IF($D947="","",IFERROR(VLOOKUP($D947,'ACAS Consumables Tracker'!$A:$D,4,FALSE()),""))</f>
        <v/>
      </c>
      <c r="H947" s="22"/>
    </row>
    <row r="948" spans="1:8">
      <c r="A948" s="21"/>
      <c r="B948" s="28"/>
      <c r="C948" s="22"/>
      <c r="D948" s="28"/>
      <c r="E948" s="23" t="str">
        <f>IF($D948="","",IFERROR(VLOOKUP($D948,'ACAS Consumables Tracker'!$A:$H,8,FALSE()),""))</f>
        <v/>
      </c>
      <c r="F948" s="24"/>
      <c r="G948" s="25" t="str">
        <f>IF($D948="","",IFERROR(VLOOKUP($D948,'ACAS Consumables Tracker'!$A:$D,4,FALSE()),""))</f>
        <v/>
      </c>
      <c r="H948" s="22"/>
    </row>
    <row r="949" spans="1:8">
      <c r="A949" s="21"/>
      <c r="B949" s="28"/>
      <c r="C949" s="22"/>
      <c r="D949" s="28"/>
      <c r="E949" s="23" t="str">
        <f>IF($D949="","",IFERROR(VLOOKUP($D949,'ACAS Consumables Tracker'!$A:$H,8,FALSE()),""))</f>
        <v/>
      </c>
      <c r="F949" s="24"/>
      <c r="G949" s="25" t="str">
        <f>IF($D949="","",IFERROR(VLOOKUP($D949,'ACAS Consumables Tracker'!$A:$D,4,FALSE()),""))</f>
        <v/>
      </c>
      <c r="H949" s="22"/>
    </row>
    <row r="950" spans="1:8">
      <c r="A950" s="21"/>
      <c r="B950" s="28"/>
      <c r="C950" s="22"/>
      <c r="D950" s="28"/>
      <c r="E950" s="23" t="str">
        <f>IF($D950="","",IFERROR(VLOOKUP($D950,'ACAS Consumables Tracker'!$A:$H,8,FALSE()),""))</f>
        <v/>
      </c>
      <c r="F950" s="24"/>
      <c r="G950" s="25" t="str">
        <f>IF($D950="","",IFERROR(VLOOKUP($D950,'ACAS Consumables Tracker'!$A:$D,4,FALSE()),""))</f>
        <v/>
      </c>
      <c r="H950" s="22"/>
    </row>
    <row r="951" spans="1:8">
      <c r="A951" s="21"/>
      <c r="B951" s="28"/>
      <c r="C951" s="22"/>
      <c r="D951" s="28"/>
      <c r="E951" s="23" t="str">
        <f>IF($D951="","",IFERROR(VLOOKUP($D951,'ACAS Consumables Tracker'!$A:$H,8,FALSE()),""))</f>
        <v/>
      </c>
      <c r="F951" s="24"/>
      <c r="G951" s="25" t="str">
        <f>IF($D951="","",IFERROR(VLOOKUP($D951,'ACAS Consumables Tracker'!$A:$D,4,FALSE()),""))</f>
        <v/>
      </c>
      <c r="H951" s="22"/>
    </row>
    <row r="952" spans="1:8">
      <c r="A952" s="21"/>
      <c r="B952" s="28"/>
      <c r="C952" s="22"/>
      <c r="D952" s="28"/>
      <c r="E952" s="23" t="str">
        <f>IF($D952="","",IFERROR(VLOOKUP($D952,'ACAS Consumables Tracker'!$A:$H,8,FALSE()),""))</f>
        <v/>
      </c>
      <c r="F952" s="24"/>
      <c r="G952" s="25" t="str">
        <f>IF($D952="","",IFERROR(VLOOKUP($D952,'ACAS Consumables Tracker'!$A:$D,4,FALSE()),""))</f>
        <v/>
      </c>
      <c r="H952" s="22"/>
    </row>
    <row r="953" spans="1:8">
      <c r="A953" s="21"/>
      <c r="B953" s="28"/>
      <c r="C953" s="22"/>
      <c r="D953" s="28"/>
      <c r="E953" s="23" t="str">
        <f>IF($D953="","",IFERROR(VLOOKUP($D953,'ACAS Consumables Tracker'!$A:$H,8,FALSE()),""))</f>
        <v/>
      </c>
      <c r="F953" s="24"/>
      <c r="G953" s="25" t="str">
        <f>IF($D953="","",IFERROR(VLOOKUP($D953,'ACAS Consumables Tracker'!$A:$D,4,FALSE()),""))</f>
        <v/>
      </c>
      <c r="H953" s="22"/>
    </row>
    <row r="954" spans="1:8">
      <c r="A954" s="21"/>
      <c r="B954" s="28"/>
      <c r="C954" s="22"/>
      <c r="D954" s="28"/>
      <c r="E954" s="23" t="str">
        <f>IF($D954="","",IFERROR(VLOOKUP($D954,'ACAS Consumables Tracker'!$A:$H,8,FALSE()),""))</f>
        <v/>
      </c>
      <c r="F954" s="24"/>
      <c r="G954" s="25" t="str">
        <f>IF($D954="","",IFERROR(VLOOKUP($D954,'ACAS Consumables Tracker'!$A:$D,4,FALSE()),""))</f>
        <v/>
      </c>
      <c r="H954" s="22"/>
    </row>
    <row r="955" spans="1:8">
      <c r="A955" s="21"/>
      <c r="B955" s="28"/>
      <c r="C955" s="22"/>
      <c r="D955" s="28"/>
      <c r="E955" s="23" t="str">
        <f>IF($D955="","",IFERROR(VLOOKUP($D955,'ACAS Consumables Tracker'!$A:$H,8,FALSE()),""))</f>
        <v/>
      </c>
      <c r="F955" s="24"/>
      <c r="G955" s="25" t="str">
        <f>IF($D955="","",IFERROR(VLOOKUP($D955,'ACAS Consumables Tracker'!$A:$D,4,FALSE()),""))</f>
        <v/>
      </c>
      <c r="H955" s="22"/>
    </row>
    <row r="956" spans="1:8">
      <c r="A956" s="21"/>
      <c r="B956" s="28"/>
      <c r="C956" s="22"/>
      <c r="D956" s="28"/>
      <c r="E956" s="23" t="str">
        <f>IF($D956="","",IFERROR(VLOOKUP($D956,'ACAS Consumables Tracker'!$A:$H,8,FALSE()),""))</f>
        <v/>
      </c>
      <c r="F956" s="24"/>
      <c r="G956" s="25" t="str">
        <f>IF($D956="","",IFERROR(VLOOKUP($D956,'ACAS Consumables Tracker'!$A:$D,4,FALSE()),""))</f>
        <v/>
      </c>
      <c r="H956" s="22"/>
    </row>
    <row r="957" spans="1:8">
      <c r="A957" s="21"/>
      <c r="B957" s="28"/>
      <c r="C957" s="22"/>
      <c r="D957" s="28"/>
      <c r="E957" s="23" t="str">
        <f>IF($D957="","",IFERROR(VLOOKUP($D957,'ACAS Consumables Tracker'!$A:$H,8,FALSE()),""))</f>
        <v/>
      </c>
      <c r="F957" s="24"/>
      <c r="G957" s="25" t="str">
        <f>IF($D957="","",IFERROR(VLOOKUP($D957,'ACAS Consumables Tracker'!$A:$D,4,FALSE()),""))</f>
        <v/>
      </c>
      <c r="H957" s="22"/>
    </row>
    <row r="958" spans="1:8">
      <c r="A958" s="21"/>
      <c r="B958" s="28"/>
      <c r="C958" s="22"/>
      <c r="D958" s="28"/>
      <c r="E958" s="23" t="str">
        <f>IF($D958="","",IFERROR(VLOOKUP($D958,'ACAS Consumables Tracker'!$A:$H,8,FALSE()),""))</f>
        <v/>
      </c>
      <c r="F958" s="24"/>
      <c r="G958" s="25" t="str">
        <f>IF($D958="","",IFERROR(VLOOKUP($D958,'ACAS Consumables Tracker'!$A:$D,4,FALSE()),""))</f>
        <v/>
      </c>
      <c r="H958" s="22"/>
    </row>
    <row r="959" spans="1:8">
      <c r="A959" s="21"/>
      <c r="B959" s="28"/>
      <c r="C959" s="22"/>
      <c r="D959" s="28"/>
      <c r="E959" s="23" t="str">
        <f>IF($D959="","",IFERROR(VLOOKUP($D959,'ACAS Consumables Tracker'!$A:$H,8,FALSE()),""))</f>
        <v/>
      </c>
      <c r="F959" s="24"/>
      <c r="G959" s="25" t="str">
        <f>IF($D959="","",IFERROR(VLOOKUP($D959,'ACAS Consumables Tracker'!$A:$D,4,FALSE()),""))</f>
        <v/>
      </c>
      <c r="H959" s="22"/>
    </row>
    <row r="960" spans="1:8">
      <c r="A960" s="21"/>
      <c r="B960" s="28"/>
      <c r="C960" s="22"/>
      <c r="D960" s="28"/>
      <c r="E960" s="23" t="str">
        <f>IF($D960="","",IFERROR(VLOOKUP($D960,'ACAS Consumables Tracker'!$A:$H,8,FALSE()),""))</f>
        <v/>
      </c>
      <c r="F960" s="24"/>
      <c r="G960" s="25" t="str">
        <f>IF($D960="","",IFERROR(VLOOKUP($D960,'ACAS Consumables Tracker'!$A:$D,4,FALSE()),""))</f>
        <v/>
      </c>
      <c r="H960" s="22"/>
    </row>
    <row r="961" spans="1:8">
      <c r="A961" s="21"/>
      <c r="B961" s="28"/>
      <c r="C961" s="22"/>
      <c r="D961" s="28"/>
      <c r="E961" s="23" t="str">
        <f>IF($D961="","",IFERROR(VLOOKUP($D961,'ACAS Consumables Tracker'!$A:$H,8,FALSE()),""))</f>
        <v/>
      </c>
      <c r="F961" s="24"/>
      <c r="G961" s="25" t="str">
        <f>IF($D961="","",IFERROR(VLOOKUP($D961,'ACAS Consumables Tracker'!$A:$D,4,FALSE()),""))</f>
        <v/>
      </c>
      <c r="H961" s="22"/>
    </row>
    <row r="962" spans="1:8">
      <c r="A962" s="21"/>
      <c r="B962" s="28"/>
      <c r="C962" s="22"/>
      <c r="D962" s="28"/>
      <c r="E962" s="23" t="str">
        <f>IF($D962="","",IFERROR(VLOOKUP($D962,'ACAS Consumables Tracker'!$A:$H,8,FALSE()),""))</f>
        <v/>
      </c>
      <c r="F962" s="24"/>
      <c r="G962" s="25" t="str">
        <f>IF($D962="","",IFERROR(VLOOKUP($D962,'ACAS Consumables Tracker'!$A:$D,4,FALSE()),""))</f>
        <v/>
      </c>
      <c r="H962" s="22"/>
    </row>
    <row r="963" spans="1:8">
      <c r="A963" s="21"/>
      <c r="B963" s="28"/>
      <c r="C963" s="22"/>
      <c r="D963" s="28"/>
      <c r="E963" s="23" t="str">
        <f>IF($D963="","",IFERROR(VLOOKUP($D963,'ACAS Consumables Tracker'!$A:$H,8,FALSE()),""))</f>
        <v/>
      </c>
      <c r="F963" s="24"/>
      <c r="G963" s="25" t="str">
        <f>IF($D963="","",IFERROR(VLOOKUP($D963,'ACAS Consumables Tracker'!$A:$D,4,FALSE()),""))</f>
        <v/>
      </c>
      <c r="H963" s="22"/>
    </row>
    <row r="964" spans="1:8">
      <c r="A964" s="21"/>
      <c r="B964" s="28"/>
      <c r="C964" s="22"/>
      <c r="D964" s="28"/>
      <c r="E964" s="23" t="str">
        <f>IF($D964="","",IFERROR(VLOOKUP($D964,'ACAS Consumables Tracker'!$A:$H,8,FALSE()),""))</f>
        <v/>
      </c>
      <c r="F964" s="24"/>
      <c r="G964" s="25" t="str">
        <f>IF($D964="","",IFERROR(VLOOKUP($D964,'ACAS Consumables Tracker'!$A:$D,4,FALSE()),""))</f>
        <v/>
      </c>
      <c r="H964" s="22"/>
    </row>
    <row r="965" spans="1:8">
      <c r="A965" s="21"/>
      <c r="B965" s="28"/>
      <c r="C965" s="22"/>
      <c r="D965" s="28"/>
      <c r="E965" s="23" t="str">
        <f>IF($D965="","",IFERROR(VLOOKUP($D965,'ACAS Consumables Tracker'!$A:$H,8,FALSE()),""))</f>
        <v/>
      </c>
      <c r="F965" s="24"/>
      <c r="G965" s="25" t="str">
        <f>IF($D965="","",IFERROR(VLOOKUP($D965,'ACAS Consumables Tracker'!$A:$D,4,FALSE()),""))</f>
        <v/>
      </c>
      <c r="H965" s="22"/>
    </row>
    <row r="966" spans="1:8">
      <c r="A966" s="21"/>
      <c r="B966" s="28"/>
      <c r="C966" s="22"/>
      <c r="D966" s="28"/>
      <c r="E966" s="23" t="str">
        <f>IF($D966="","",IFERROR(VLOOKUP($D966,'ACAS Consumables Tracker'!$A:$H,8,FALSE()),""))</f>
        <v/>
      </c>
      <c r="F966" s="24"/>
      <c r="G966" s="25" t="str">
        <f>IF($D966="","",IFERROR(VLOOKUP($D966,'ACAS Consumables Tracker'!$A:$D,4,FALSE()),""))</f>
        <v/>
      </c>
      <c r="H966" s="22"/>
    </row>
    <row r="967" spans="1:8">
      <c r="A967" s="21"/>
      <c r="B967" s="28"/>
      <c r="C967" s="22"/>
      <c r="D967" s="28"/>
      <c r="E967" s="23" t="str">
        <f>IF($D967="","",IFERROR(VLOOKUP($D967,'ACAS Consumables Tracker'!$A:$H,8,FALSE()),""))</f>
        <v/>
      </c>
      <c r="F967" s="24"/>
      <c r="G967" s="25" t="str">
        <f>IF($D967="","",IFERROR(VLOOKUP($D967,'ACAS Consumables Tracker'!$A:$D,4,FALSE()),""))</f>
        <v/>
      </c>
      <c r="H967" s="22"/>
    </row>
    <row r="968" spans="1:8">
      <c r="A968" s="21"/>
      <c r="B968" s="28"/>
      <c r="C968" s="22"/>
      <c r="D968" s="28"/>
      <c r="E968" s="23" t="str">
        <f>IF($D968="","",IFERROR(VLOOKUP($D968,'ACAS Consumables Tracker'!$A:$H,8,FALSE()),""))</f>
        <v/>
      </c>
      <c r="F968" s="24"/>
      <c r="G968" s="25" t="str">
        <f>IF($D968="","",IFERROR(VLOOKUP($D968,'ACAS Consumables Tracker'!$A:$D,4,FALSE()),""))</f>
        <v/>
      </c>
      <c r="H968" s="22"/>
    </row>
    <row r="969" spans="1:8">
      <c r="A969" s="21"/>
      <c r="B969" s="28"/>
      <c r="C969" s="22"/>
      <c r="D969" s="28"/>
      <c r="E969" s="23" t="str">
        <f>IF($D969="","",IFERROR(VLOOKUP($D969,'ACAS Consumables Tracker'!$A:$H,8,FALSE()),""))</f>
        <v/>
      </c>
      <c r="F969" s="24"/>
      <c r="G969" s="25" t="str">
        <f>IF($D969="","",IFERROR(VLOOKUP($D969,'ACAS Consumables Tracker'!$A:$D,4,FALSE()),""))</f>
        <v/>
      </c>
      <c r="H969" s="22"/>
    </row>
    <row r="970" spans="1:8">
      <c r="A970" s="21"/>
      <c r="B970" s="28"/>
      <c r="C970" s="22"/>
      <c r="D970" s="28"/>
      <c r="E970" s="23" t="str">
        <f>IF($D970="","",IFERROR(VLOOKUP($D970,'ACAS Consumables Tracker'!$A:$H,8,FALSE()),""))</f>
        <v/>
      </c>
      <c r="F970" s="24"/>
      <c r="G970" s="25" t="str">
        <f>IF($D970="","",IFERROR(VLOOKUP($D970,'ACAS Consumables Tracker'!$A:$D,4,FALSE()),""))</f>
        <v/>
      </c>
      <c r="H970" s="22"/>
    </row>
    <row r="971" spans="1:8">
      <c r="A971" s="21"/>
      <c r="B971" s="28"/>
      <c r="C971" s="22"/>
      <c r="D971" s="28"/>
      <c r="E971" s="23" t="str">
        <f>IF($D971="","",IFERROR(VLOOKUP($D971,'ACAS Consumables Tracker'!$A:$H,8,FALSE()),""))</f>
        <v/>
      </c>
      <c r="F971" s="24"/>
      <c r="G971" s="25" t="str">
        <f>IF($D971="","",IFERROR(VLOOKUP($D971,'ACAS Consumables Tracker'!$A:$D,4,FALSE()),""))</f>
        <v/>
      </c>
      <c r="H971" s="22"/>
    </row>
    <row r="972" spans="1:8">
      <c r="A972" s="21"/>
      <c r="B972" s="28"/>
      <c r="C972" s="22"/>
      <c r="D972" s="28"/>
      <c r="E972" s="23" t="str">
        <f>IF($D972="","",IFERROR(VLOOKUP($D972,'ACAS Consumables Tracker'!$A:$H,8,FALSE()),""))</f>
        <v/>
      </c>
      <c r="F972" s="24"/>
      <c r="G972" s="25" t="str">
        <f>IF($D972="","",IFERROR(VLOOKUP($D972,'ACAS Consumables Tracker'!$A:$D,4,FALSE()),""))</f>
        <v/>
      </c>
      <c r="H972" s="22"/>
    </row>
    <row r="973" spans="1:8">
      <c r="A973" s="21"/>
      <c r="B973" s="28"/>
      <c r="C973" s="22"/>
      <c r="D973" s="28"/>
      <c r="E973" s="23" t="str">
        <f>IF($D973="","",IFERROR(VLOOKUP($D973,'ACAS Consumables Tracker'!$A:$H,8,FALSE()),""))</f>
        <v/>
      </c>
      <c r="F973" s="24"/>
      <c r="G973" s="25" t="str">
        <f>IF($D973="","",IFERROR(VLOOKUP($D973,'ACAS Consumables Tracker'!$A:$D,4,FALSE()),""))</f>
        <v/>
      </c>
      <c r="H973" s="22"/>
    </row>
    <row r="974" spans="1:8">
      <c r="A974" s="21"/>
      <c r="B974" s="28"/>
      <c r="C974" s="22"/>
      <c r="D974" s="28"/>
      <c r="E974" s="23" t="str">
        <f>IF($D974="","",IFERROR(VLOOKUP($D974,'ACAS Consumables Tracker'!$A:$H,8,FALSE()),""))</f>
        <v/>
      </c>
      <c r="F974" s="24"/>
      <c r="G974" s="25" t="str">
        <f>IF($D974="","",IFERROR(VLOOKUP($D974,'ACAS Consumables Tracker'!$A:$D,4,FALSE()),""))</f>
        <v/>
      </c>
      <c r="H974" s="22"/>
    </row>
    <row r="975" spans="1:8">
      <c r="A975" s="21"/>
      <c r="B975" s="28"/>
      <c r="C975" s="22"/>
      <c r="D975" s="28"/>
      <c r="E975" s="23" t="str">
        <f>IF($D975="","",IFERROR(VLOOKUP($D975,'ACAS Consumables Tracker'!$A:$H,8,FALSE()),""))</f>
        <v/>
      </c>
      <c r="F975" s="24"/>
      <c r="G975" s="25" t="str">
        <f>IF($D975="","",IFERROR(VLOOKUP($D975,'ACAS Consumables Tracker'!$A:$D,4,FALSE()),""))</f>
        <v/>
      </c>
      <c r="H975" s="22"/>
    </row>
    <row r="976" spans="1:8">
      <c r="A976" s="21"/>
      <c r="B976" s="28"/>
      <c r="C976" s="22"/>
      <c r="D976" s="28"/>
      <c r="E976" s="23" t="str">
        <f>IF($D976="","",IFERROR(VLOOKUP($D976,'ACAS Consumables Tracker'!$A:$H,8,FALSE()),""))</f>
        <v/>
      </c>
      <c r="F976" s="24"/>
      <c r="G976" s="25" t="str">
        <f>IF($D976="","",IFERROR(VLOOKUP($D976,'ACAS Consumables Tracker'!$A:$D,4,FALSE()),""))</f>
        <v/>
      </c>
      <c r="H976" s="22"/>
    </row>
    <row r="977" spans="1:8">
      <c r="A977" s="21"/>
      <c r="B977" s="28"/>
      <c r="C977" s="22"/>
      <c r="D977" s="28"/>
      <c r="E977" s="23" t="str">
        <f>IF($D977="","",IFERROR(VLOOKUP($D977,'ACAS Consumables Tracker'!$A:$H,8,FALSE()),""))</f>
        <v/>
      </c>
      <c r="F977" s="24"/>
      <c r="G977" s="25" t="str">
        <f>IF($D977="","",IFERROR(VLOOKUP($D977,'ACAS Consumables Tracker'!$A:$D,4,FALSE()),""))</f>
        <v/>
      </c>
      <c r="H977" s="22"/>
    </row>
    <row r="978" spans="1:8">
      <c r="A978" s="21"/>
      <c r="B978" s="28"/>
      <c r="C978" s="22"/>
      <c r="D978" s="28"/>
      <c r="E978" s="23" t="str">
        <f>IF($D978="","",IFERROR(VLOOKUP($D978,'ACAS Consumables Tracker'!$A:$H,8,FALSE()),""))</f>
        <v/>
      </c>
      <c r="F978" s="24"/>
      <c r="G978" s="25" t="str">
        <f>IF($D978="","",IFERROR(VLOOKUP($D978,'ACAS Consumables Tracker'!$A:$D,4,FALSE()),""))</f>
        <v/>
      </c>
      <c r="H978" s="22"/>
    </row>
    <row r="979" spans="1:8">
      <c r="A979" s="21"/>
      <c r="B979" s="28"/>
      <c r="C979" s="22"/>
      <c r="D979" s="28"/>
      <c r="E979" s="23" t="str">
        <f>IF($D979="","",IFERROR(VLOOKUP($D979,'ACAS Consumables Tracker'!$A:$H,8,FALSE()),""))</f>
        <v/>
      </c>
      <c r="F979" s="24"/>
      <c r="G979" s="25" t="str">
        <f>IF($D979="","",IFERROR(VLOOKUP($D979,'ACAS Consumables Tracker'!$A:$D,4,FALSE()),""))</f>
        <v/>
      </c>
      <c r="H979" s="22"/>
    </row>
    <row r="980" spans="1:8">
      <c r="A980" s="21"/>
      <c r="B980" s="28"/>
      <c r="C980" s="22"/>
      <c r="D980" s="28"/>
      <c r="E980" s="23" t="str">
        <f>IF($D980="","",IFERROR(VLOOKUP($D980,'ACAS Consumables Tracker'!$A:$H,8,FALSE()),""))</f>
        <v/>
      </c>
      <c r="F980" s="24"/>
      <c r="G980" s="25" t="str">
        <f>IF($D980="","",IFERROR(VLOOKUP($D980,'ACAS Consumables Tracker'!$A:$D,4,FALSE()),""))</f>
        <v/>
      </c>
      <c r="H980" s="22"/>
    </row>
    <row r="981" spans="1:8">
      <c r="A981" s="21"/>
      <c r="B981" s="28"/>
      <c r="C981" s="22"/>
      <c r="D981" s="28"/>
      <c r="E981" s="23" t="str">
        <f>IF($D981="","",IFERROR(VLOOKUP($D981,'ACAS Consumables Tracker'!$A:$H,8,FALSE()),""))</f>
        <v/>
      </c>
      <c r="F981" s="24"/>
      <c r="G981" s="25" t="str">
        <f>IF($D981="","",IFERROR(VLOOKUP($D981,'ACAS Consumables Tracker'!$A:$D,4,FALSE()),""))</f>
        <v/>
      </c>
      <c r="H981" s="22"/>
    </row>
    <row r="982" spans="1:8">
      <c r="A982" s="21"/>
      <c r="B982" s="28"/>
      <c r="C982" s="22"/>
      <c r="D982" s="28"/>
      <c r="E982" s="23" t="str">
        <f>IF($D982="","",IFERROR(VLOOKUP($D982,'ACAS Consumables Tracker'!$A:$H,8,FALSE()),""))</f>
        <v/>
      </c>
      <c r="F982" s="24"/>
      <c r="G982" s="25" t="str">
        <f>IF($D982="","",IFERROR(VLOOKUP($D982,'ACAS Consumables Tracker'!$A:$D,4,FALSE()),""))</f>
        <v/>
      </c>
      <c r="H982" s="22"/>
    </row>
    <row r="983" spans="1:8">
      <c r="A983" s="21"/>
      <c r="B983" s="28"/>
      <c r="C983" s="22"/>
      <c r="D983" s="28"/>
      <c r="E983" s="23" t="str">
        <f>IF($D983="","",IFERROR(VLOOKUP($D983,'ACAS Consumables Tracker'!$A:$H,8,FALSE()),""))</f>
        <v/>
      </c>
      <c r="F983" s="24"/>
      <c r="G983" s="25" t="str">
        <f>IF($D983="","",IFERROR(VLOOKUP($D983,'ACAS Consumables Tracker'!$A:$D,4,FALSE()),""))</f>
        <v/>
      </c>
      <c r="H983" s="22"/>
    </row>
    <row r="984" spans="1:8">
      <c r="A984" s="21"/>
      <c r="B984" s="28"/>
      <c r="C984" s="22"/>
      <c r="D984" s="28"/>
      <c r="E984" s="23" t="str">
        <f>IF($D984="","",IFERROR(VLOOKUP($D984,'ACAS Consumables Tracker'!$A:$H,8,FALSE()),""))</f>
        <v/>
      </c>
      <c r="F984" s="24"/>
      <c r="G984" s="25" t="str">
        <f>IF($D984="","",IFERROR(VLOOKUP($D984,'ACAS Consumables Tracker'!$A:$D,4,FALSE()),""))</f>
        <v/>
      </c>
      <c r="H984" s="22"/>
    </row>
    <row r="985" spans="1:8">
      <c r="A985" s="21"/>
      <c r="B985" s="28"/>
      <c r="C985" s="22"/>
      <c r="D985" s="28"/>
      <c r="E985" s="23" t="str">
        <f>IF($D985="","",IFERROR(VLOOKUP($D985,'ACAS Consumables Tracker'!$A:$H,8,FALSE()),""))</f>
        <v/>
      </c>
      <c r="F985" s="24"/>
      <c r="G985" s="25" t="str">
        <f>IF($D985="","",IFERROR(VLOOKUP($D985,'ACAS Consumables Tracker'!$A:$D,4,FALSE()),""))</f>
        <v/>
      </c>
      <c r="H985" s="22"/>
    </row>
    <row r="986" spans="1:8">
      <c r="A986" s="21"/>
      <c r="B986" s="28"/>
      <c r="C986" s="22"/>
      <c r="D986" s="28"/>
      <c r="E986" s="23" t="str">
        <f>IF($D986="","",IFERROR(VLOOKUP($D986,'ACAS Consumables Tracker'!$A:$H,8,FALSE()),""))</f>
        <v/>
      </c>
      <c r="F986" s="24"/>
      <c r="G986" s="25" t="str">
        <f>IF($D986="","",IFERROR(VLOOKUP($D986,'ACAS Consumables Tracker'!$A:$D,4,FALSE()),""))</f>
        <v/>
      </c>
      <c r="H986" s="22"/>
    </row>
    <row r="987" spans="1:8">
      <c r="A987" s="21"/>
      <c r="B987" s="28"/>
      <c r="C987" s="22"/>
      <c r="D987" s="28"/>
      <c r="E987" s="23" t="str">
        <f>IF($D987="","",IFERROR(VLOOKUP($D987,'ACAS Consumables Tracker'!$A:$H,8,FALSE()),""))</f>
        <v/>
      </c>
      <c r="F987" s="24"/>
      <c r="G987" s="25" t="str">
        <f>IF($D987="","",IFERROR(VLOOKUP($D987,'ACAS Consumables Tracker'!$A:$D,4,FALSE()),""))</f>
        <v/>
      </c>
      <c r="H987" s="22"/>
    </row>
    <row r="988" spans="1:8">
      <c r="A988" s="21"/>
      <c r="B988" s="28"/>
      <c r="C988" s="22"/>
      <c r="D988" s="28"/>
      <c r="E988" s="23" t="str">
        <f>IF($D988="","",IFERROR(VLOOKUP($D988,'ACAS Consumables Tracker'!$A:$H,8,FALSE()),""))</f>
        <v/>
      </c>
      <c r="F988" s="24"/>
      <c r="G988" s="25" t="str">
        <f>IF($D988="","",IFERROR(VLOOKUP($D988,'ACAS Consumables Tracker'!$A:$D,4,FALSE()),""))</f>
        <v/>
      </c>
      <c r="H988" s="22"/>
    </row>
    <row r="989" spans="1:8">
      <c r="A989" s="21"/>
      <c r="B989" s="28"/>
      <c r="C989" s="22"/>
      <c r="D989" s="28"/>
      <c r="E989" s="23" t="str">
        <f>IF($D989="","",IFERROR(VLOOKUP($D989,'ACAS Consumables Tracker'!$A:$H,8,FALSE()),""))</f>
        <v/>
      </c>
      <c r="F989" s="24"/>
      <c r="G989" s="25" t="str">
        <f>IF($D989="","",IFERROR(VLOOKUP($D989,'ACAS Consumables Tracker'!$A:$D,4,FALSE()),""))</f>
        <v/>
      </c>
      <c r="H989" s="22"/>
    </row>
    <row r="990" spans="1:8">
      <c r="A990" s="21"/>
      <c r="B990" s="28"/>
      <c r="C990" s="22"/>
      <c r="D990" s="28"/>
      <c r="E990" s="23" t="str">
        <f>IF($D990="","",IFERROR(VLOOKUP($D990,'ACAS Consumables Tracker'!$A:$H,8,FALSE()),""))</f>
        <v/>
      </c>
      <c r="F990" s="24"/>
      <c r="G990" s="25" t="str">
        <f>IF($D990="","",IFERROR(VLOOKUP($D990,'ACAS Consumables Tracker'!$A:$D,4,FALSE()),""))</f>
        <v/>
      </c>
      <c r="H990" s="22"/>
    </row>
    <row r="991" spans="1:8">
      <c r="A991" s="21"/>
      <c r="B991" s="28"/>
      <c r="C991" s="22"/>
      <c r="D991" s="28"/>
      <c r="E991" s="23" t="str">
        <f>IF($D991="","",IFERROR(VLOOKUP($D991,'ACAS Consumables Tracker'!$A:$H,8,FALSE()),""))</f>
        <v/>
      </c>
      <c r="F991" s="24"/>
      <c r="G991" s="25" t="str">
        <f>IF($D991="","",IFERROR(VLOOKUP($D991,'ACAS Consumables Tracker'!$A:$D,4,FALSE()),""))</f>
        <v/>
      </c>
      <c r="H991" s="22"/>
    </row>
    <row r="992" spans="1:8">
      <c r="A992" s="21"/>
      <c r="B992" s="28"/>
      <c r="C992" s="22"/>
      <c r="D992" s="28"/>
      <c r="E992" s="23" t="str">
        <f>IF($D992="","",IFERROR(VLOOKUP($D992,'ACAS Consumables Tracker'!$A:$H,8,FALSE()),""))</f>
        <v/>
      </c>
      <c r="F992" s="24"/>
      <c r="G992" s="25" t="str">
        <f>IF($D992="","",IFERROR(VLOOKUP($D992,'ACAS Consumables Tracker'!$A:$D,4,FALSE()),""))</f>
        <v/>
      </c>
      <c r="H992" s="22"/>
    </row>
    <row r="993" spans="1:8">
      <c r="A993" s="21"/>
      <c r="B993" s="28"/>
      <c r="C993" s="22"/>
      <c r="D993" s="28"/>
      <c r="E993" s="23" t="str">
        <f>IF($D993="","",IFERROR(VLOOKUP($D993,'ACAS Consumables Tracker'!$A:$H,8,FALSE()),""))</f>
        <v/>
      </c>
      <c r="F993" s="24"/>
      <c r="G993" s="25" t="str">
        <f>IF($D993="","",IFERROR(VLOOKUP($D993,'ACAS Consumables Tracker'!$A:$D,4,FALSE()),""))</f>
        <v/>
      </c>
      <c r="H993" s="22"/>
    </row>
    <row r="994" spans="1:8">
      <c r="A994" s="21"/>
      <c r="B994" s="28"/>
      <c r="C994" s="22"/>
      <c r="D994" s="28"/>
      <c r="E994" s="23" t="str">
        <f>IF($D994="","",IFERROR(VLOOKUP($D994,'ACAS Consumables Tracker'!$A:$H,8,FALSE()),""))</f>
        <v/>
      </c>
      <c r="F994" s="24"/>
      <c r="G994" s="25" t="str">
        <f>IF($D994="","",IFERROR(VLOOKUP($D994,'ACAS Consumables Tracker'!$A:$D,4,FALSE()),""))</f>
        <v/>
      </c>
      <c r="H994" s="22"/>
    </row>
    <row r="995" spans="1:8">
      <c r="A995" s="21"/>
      <c r="B995" s="28"/>
      <c r="C995" s="22"/>
      <c r="D995" s="28"/>
      <c r="E995" s="23" t="str">
        <f>IF($D995="","",IFERROR(VLOOKUP($D995,'ACAS Consumables Tracker'!$A:$H,8,FALSE()),""))</f>
        <v/>
      </c>
      <c r="F995" s="24"/>
      <c r="G995" s="25" t="str">
        <f>IF($D995="","",IFERROR(VLOOKUP($D995,'ACAS Consumables Tracker'!$A:$D,4,FALSE()),""))</f>
        <v/>
      </c>
      <c r="H995" s="22"/>
    </row>
    <row r="996" spans="1:8">
      <c r="A996" s="21"/>
      <c r="B996" s="28"/>
      <c r="C996" s="22"/>
      <c r="D996" s="28"/>
      <c r="E996" s="23" t="str">
        <f>IF($D996="","",IFERROR(VLOOKUP($D996,'ACAS Consumables Tracker'!$A:$H,8,FALSE()),""))</f>
        <v/>
      </c>
      <c r="F996" s="24"/>
      <c r="G996" s="25" t="str">
        <f>IF($D996="","",IFERROR(VLOOKUP($D996,'ACAS Consumables Tracker'!$A:$D,4,FALSE()),""))</f>
        <v/>
      </c>
      <c r="H996" s="22"/>
    </row>
    <row r="997" spans="1:8">
      <c r="A997" s="21"/>
      <c r="B997" s="28"/>
      <c r="C997" s="22"/>
      <c r="D997" s="28"/>
      <c r="E997" s="23" t="str">
        <f>IF($D997="","",IFERROR(VLOOKUP($D997,'ACAS Consumables Tracker'!$A:$H,8,FALSE()),""))</f>
        <v/>
      </c>
      <c r="F997" s="24"/>
      <c r="G997" s="25" t="str">
        <f>IF($D997="","",IFERROR(VLOOKUP($D997,'ACAS Consumables Tracker'!$A:$D,4,FALSE()),""))</f>
        <v/>
      </c>
      <c r="H997" s="22"/>
    </row>
    <row r="998" spans="1:8">
      <c r="A998" s="21"/>
      <c r="B998" s="28"/>
      <c r="C998" s="22"/>
      <c r="D998" s="28"/>
      <c r="E998" s="23" t="str">
        <f>IF($D998="","",IFERROR(VLOOKUP($D998,'ACAS Consumables Tracker'!$A:$H,8,FALSE()),""))</f>
        <v/>
      </c>
      <c r="F998" s="24"/>
      <c r="G998" s="25" t="str">
        <f>IF($D998="","",IFERROR(VLOOKUP($D998,'ACAS Consumables Tracker'!$A:$D,4,FALSE()),""))</f>
        <v/>
      </c>
      <c r="H998" s="22"/>
    </row>
    <row r="999" spans="1:8">
      <c r="A999" s="21"/>
      <c r="B999" s="28"/>
      <c r="C999" s="22"/>
      <c r="D999" s="28"/>
      <c r="E999" s="23" t="str">
        <f>IF($D999="","",IFERROR(VLOOKUP($D999,'ACAS Consumables Tracker'!$A:$H,8,FALSE()),""))</f>
        <v/>
      </c>
      <c r="F999" s="24"/>
      <c r="G999" s="25" t="str">
        <f>IF($D999="","",IFERROR(VLOOKUP($D999,'ACAS Consumables Tracker'!$A:$D,4,FALSE()),""))</f>
        <v/>
      </c>
      <c r="H999" s="22"/>
    </row>
    <row r="1000" spans="1:8">
      <c r="A1000" s="21"/>
      <c r="B1000" s="28"/>
      <c r="C1000" s="22"/>
      <c r="D1000" s="28"/>
      <c r="E1000" s="23" t="str">
        <f>IF($D1000="","",IFERROR(VLOOKUP($D1000,'ACAS Consumables Tracker'!$A:$H,8,FALSE()),""))</f>
        <v/>
      </c>
      <c r="F1000" s="24"/>
      <c r="G1000" s="25" t="str">
        <f>IF($D1000="","",IFERROR(VLOOKUP($D1000,'ACAS Consumables Tracker'!$A:$D,4,FALSE()),""))</f>
        <v/>
      </c>
      <c r="H1000" s="22"/>
    </row>
    <row r="1001" spans="1:8">
      <c r="A1001" s="21"/>
      <c r="B1001" s="28"/>
      <c r="C1001" s="22"/>
      <c r="D1001" s="28"/>
      <c r="E1001" s="23" t="str">
        <f>IF($D1001="","",IFERROR(VLOOKUP($D1001,'ACAS Consumables Tracker'!$A:$H,8,FALSE()),""))</f>
        <v/>
      </c>
      <c r="F1001" s="24"/>
      <c r="G1001" s="25" t="str">
        <f>IF($D1001="","",IFERROR(VLOOKUP($D1001,'ACAS Consumables Tracker'!$A:$D,4,FALSE()),""))</f>
        <v/>
      </c>
      <c r="H1001" s="22"/>
    </row>
    <row r="1002" spans="1:8">
      <c r="A1002" s="21"/>
      <c r="B1002" s="28"/>
      <c r="C1002" s="22"/>
      <c r="D1002" s="28"/>
      <c r="E1002" s="23" t="str">
        <f>IF($D1002="","",IFERROR(VLOOKUP($D1002,'ACAS Consumables Tracker'!$A:$H,8,FALSE()),""))</f>
        <v/>
      </c>
      <c r="F1002" s="24"/>
      <c r="G1002" s="25" t="str">
        <f>IF($D1002="","",IFERROR(VLOOKUP($D1002,'ACAS Consumables Tracker'!$A:$D,4,FALSE()),""))</f>
        <v/>
      </c>
      <c r="H1002" s="22"/>
    </row>
    <row r="1003" spans="1:8">
      <c r="A1003" s="21"/>
      <c r="B1003" s="28"/>
      <c r="C1003" s="22"/>
      <c r="D1003" s="28"/>
      <c r="E1003" s="23" t="str">
        <f>IF($D1003="","",IFERROR(VLOOKUP($D1003,'ACAS Consumables Tracker'!$A:$H,8,FALSE()),""))</f>
        <v/>
      </c>
      <c r="F1003" s="24"/>
      <c r="G1003" s="25" t="str">
        <f>IF($D1003="","",IFERROR(VLOOKUP($D1003,'ACAS Consumables Tracker'!$A:$D,4,FALSE()),""))</f>
        <v/>
      </c>
      <c r="H1003" s="22"/>
    </row>
    <row r="1004" spans="1:8">
      <c r="A1004" s="21"/>
      <c r="B1004" s="28"/>
      <c r="C1004" s="22"/>
      <c r="D1004" s="28"/>
      <c r="E1004" s="23" t="str">
        <f>IF($D1004="","",IFERROR(VLOOKUP($D1004,'ACAS Consumables Tracker'!$A:$H,8,FALSE()),""))</f>
        <v/>
      </c>
      <c r="F1004" s="24"/>
      <c r="G1004" s="25" t="str">
        <f>IF($D1004="","",IFERROR(VLOOKUP($D1004,'ACAS Consumables Tracker'!$A:$D,4,FALSE()),""))</f>
        <v/>
      </c>
      <c r="H1004" s="22"/>
    </row>
    <row r="1005" spans="1:8">
      <c r="A1005" s="21"/>
      <c r="B1005" s="28"/>
      <c r="C1005" s="22"/>
      <c r="D1005" s="28"/>
      <c r="E1005" s="23" t="str">
        <f>IF($D1005="","",IFERROR(VLOOKUP($D1005,'ACAS Consumables Tracker'!$A:$H,8,FALSE()),""))</f>
        <v/>
      </c>
      <c r="F1005" s="24"/>
      <c r="G1005" s="25" t="str">
        <f>IF($D1005="","",IFERROR(VLOOKUP($D1005,'ACAS Consumables Tracker'!$A:$D,4,FALSE()),""))</f>
        <v/>
      </c>
      <c r="H1005" s="22"/>
    </row>
    <row r="1006" spans="1:8">
      <c r="A1006" s="21"/>
      <c r="B1006" s="28"/>
      <c r="C1006" s="22"/>
      <c r="D1006" s="28"/>
      <c r="E1006" s="23" t="str">
        <f>IF($D1006="","",IFERROR(VLOOKUP($D1006,'ACAS Consumables Tracker'!$A:$H,8,FALSE()),""))</f>
        <v/>
      </c>
      <c r="F1006" s="24"/>
      <c r="G1006" s="25" t="str">
        <f>IF($D1006="","",IFERROR(VLOOKUP($D1006,'ACAS Consumables Tracker'!$A:$D,4,FALSE()),""))</f>
        <v/>
      </c>
      <c r="H1006" s="22"/>
    </row>
    <row r="1007" spans="1:8">
      <c r="A1007" s="21"/>
      <c r="B1007" s="28"/>
      <c r="C1007" s="22"/>
      <c r="D1007" s="28"/>
      <c r="E1007" s="23" t="str">
        <f>IF($D1007="","",IFERROR(VLOOKUP($D1007,'ACAS Consumables Tracker'!$A:$H,8,FALSE()),""))</f>
        <v/>
      </c>
      <c r="F1007" s="24"/>
      <c r="G1007" s="25" t="str">
        <f>IF($D1007="","",IFERROR(VLOOKUP($D1007,'ACAS Consumables Tracker'!$A:$D,4,FALSE()),""))</f>
        <v/>
      </c>
      <c r="H1007" s="22"/>
    </row>
    <row r="1008" spans="1:8">
      <c r="A1008" s="21"/>
      <c r="B1008" s="28"/>
      <c r="C1008" s="22"/>
      <c r="D1008" s="28"/>
      <c r="E1008" s="23" t="str">
        <f>IF($D1008="","",IFERROR(VLOOKUP($D1008,'ACAS Consumables Tracker'!$A:$H,8,FALSE()),""))</f>
        <v/>
      </c>
      <c r="F1008" s="24"/>
      <c r="G1008" s="25" t="str">
        <f>IF($D1008="","",IFERROR(VLOOKUP($D1008,'ACAS Consumables Tracker'!$A:$D,4,FALSE()),""))</f>
        <v/>
      </c>
      <c r="H1008" s="22"/>
    </row>
    <row r="1009" spans="1:8">
      <c r="A1009" s="21"/>
      <c r="B1009" s="28"/>
      <c r="C1009" s="22"/>
      <c r="D1009" s="28"/>
      <c r="E1009" s="23" t="str">
        <f>IF($D1009="","",IFERROR(VLOOKUP($D1009,'ACAS Consumables Tracker'!$A:$H,8,FALSE()),""))</f>
        <v/>
      </c>
      <c r="F1009" s="24"/>
      <c r="G1009" s="25" t="str">
        <f>IF($D1009="","",IFERROR(VLOOKUP($D1009,'ACAS Consumables Tracker'!$A:$D,4,FALSE()),""))</f>
        <v/>
      </c>
      <c r="H1009" s="22"/>
    </row>
    <row r="1010" spans="1:8">
      <c r="A1010" s="21"/>
      <c r="B1010" s="28"/>
      <c r="C1010" s="22"/>
      <c r="D1010" s="28"/>
      <c r="E1010" s="23" t="str">
        <f>IF($D1010="","",IFERROR(VLOOKUP($D1010,'ACAS Consumables Tracker'!$A:$H,8,FALSE()),""))</f>
        <v/>
      </c>
      <c r="F1010" s="24"/>
      <c r="G1010" s="25" t="str">
        <f>IF($D1010="","",IFERROR(VLOOKUP($D1010,'ACAS Consumables Tracker'!$A:$D,4,FALSE()),""))</f>
        <v/>
      </c>
      <c r="H1010" s="22"/>
    </row>
    <row r="1011" spans="1:8">
      <c r="A1011" s="21"/>
      <c r="B1011" s="28"/>
      <c r="C1011" s="22"/>
      <c r="D1011" s="28"/>
      <c r="E1011" s="23" t="str">
        <f>IF($D1011="","",IFERROR(VLOOKUP($D1011,'ACAS Consumables Tracker'!$A:$H,8,FALSE()),""))</f>
        <v/>
      </c>
      <c r="F1011" s="24"/>
      <c r="G1011" s="25" t="str">
        <f>IF($D1011="","",IFERROR(VLOOKUP($D1011,'ACAS Consumables Tracker'!$A:$D,4,FALSE()),""))</f>
        <v/>
      </c>
      <c r="H1011" s="22"/>
    </row>
    <row r="1012" spans="1:8">
      <c r="A1012" s="21"/>
      <c r="B1012" s="28"/>
      <c r="C1012" s="22"/>
      <c r="D1012" s="28"/>
      <c r="E1012" s="23" t="str">
        <f>IF($D1012="","",IFERROR(VLOOKUP($D1012,'ACAS Consumables Tracker'!$A:$H,8,FALSE()),""))</f>
        <v/>
      </c>
      <c r="F1012" s="24"/>
      <c r="G1012" s="25" t="str">
        <f>IF($D1012="","",IFERROR(VLOOKUP($D1012,'ACAS Consumables Tracker'!$A:$D,4,FALSE()),""))</f>
        <v/>
      </c>
      <c r="H1012" s="22"/>
    </row>
    <row r="1013" spans="1:8">
      <c r="A1013" s="21"/>
      <c r="B1013" s="28"/>
      <c r="C1013" s="22"/>
      <c r="D1013" s="28"/>
      <c r="E1013" s="23" t="str">
        <f>IF($D1013="","",IFERROR(VLOOKUP($D1013,'ACAS Consumables Tracker'!$A:$H,8,FALSE()),""))</f>
        <v/>
      </c>
      <c r="F1013" s="24"/>
      <c r="G1013" s="25" t="str">
        <f>IF($D1013="","",IFERROR(VLOOKUP($D1013,'ACAS Consumables Tracker'!$A:$D,4,FALSE()),""))</f>
        <v/>
      </c>
      <c r="H1013" s="22"/>
    </row>
    <row r="1014" spans="1:8">
      <c r="A1014" s="21"/>
      <c r="B1014" s="28"/>
      <c r="C1014" s="22"/>
      <c r="D1014" s="28"/>
      <c r="E1014" s="23" t="str">
        <f>IF($D1014="","",IFERROR(VLOOKUP($D1014,'ACAS Consumables Tracker'!$A:$H,8,FALSE()),""))</f>
        <v/>
      </c>
      <c r="F1014" s="24"/>
      <c r="G1014" s="25" t="str">
        <f>IF($D1014="","",IFERROR(VLOOKUP($D1014,'ACAS Consumables Tracker'!$A:$D,4,FALSE()),""))</f>
        <v/>
      </c>
      <c r="H1014" s="22"/>
    </row>
    <row r="1015" spans="1:8">
      <c r="A1015" s="21"/>
      <c r="B1015" s="28"/>
      <c r="C1015" s="22"/>
      <c r="D1015" s="28"/>
      <c r="E1015" s="23" t="str">
        <f>IF($D1015="","",IFERROR(VLOOKUP($D1015,'ACAS Consumables Tracker'!$A:$H,8,FALSE()),""))</f>
        <v/>
      </c>
      <c r="F1015" s="24"/>
      <c r="G1015" s="25" t="str">
        <f>IF($D1015="","",IFERROR(VLOOKUP($D1015,'ACAS Consumables Tracker'!$A:$D,4,FALSE()),""))</f>
        <v/>
      </c>
      <c r="H1015" s="22"/>
    </row>
    <row r="1016" spans="1:8">
      <c r="A1016" s="21"/>
      <c r="B1016" s="28"/>
      <c r="C1016" s="22"/>
      <c r="D1016" s="28"/>
      <c r="E1016" s="23" t="str">
        <f>IF($D1016="","",IFERROR(VLOOKUP($D1016,'ACAS Consumables Tracker'!$A:$H,8,FALSE()),""))</f>
        <v/>
      </c>
      <c r="F1016" s="24"/>
      <c r="G1016" s="25" t="str">
        <f>IF($D1016="","",IFERROR(VLOOKUP($D1016,'ACAS Consumables Tracker'!$A:$D,4,FALSE()),""))</f>
        <v/>
      </c>
      <c r="H1016" s="22"/>
    </row>
    <row r="1017" spans="1:8">
      <c r="A1017" s="21"/>
      <c r="B1017" s="28"/>
      <c r="C1017" s="22"/>
      <c r="D1017" s="28"/>
      <c r="E1017" s="23" t="str">
        <f>IF($D1017="","",IFERROR(VLOOKUP($D1017,'ACAS Consumables Tracker'!$A:$H,8,FALSE()),""))</f>
        <v/>
      </c>
      <c r="F1017" s="24"/>
      <c r="G1017" s="25" t="str">
        <f>IF($D1017="","",IFERROR(VLOOKUP($D1017,'ACAS Consumables Tracker'!$A:$D,4,FALSE()),""))</f>
        <v/>
      </c>
      <c r="H1017" s="22"/>
    </row>
    <row r="1018" spans="1:8">
      <c r="A1018" s="21"/>
      <c r="B1018" s="28"/>
      <c r="C1018" s="22"/>
      <c r="D1018" s="28"/>
      <c r="E1018" s="23" t="str">
        <f>IF($D1018="","",IFERROR(VLOOKUP($D1018,'ACAS Consumables Tracker'!$A:$H,8,FALSE()),""))</f>
        <v/>
      </c>
      <c r="F1018" s="24"/>
      <c r="G1018" s="25" t="str">
        <f>IF($D1018="","",IFERROR(VLOOKUP($D1018,'ACAS Consumables Tracker'!$A:$D,4,FALSE()),""))</f>
        <v/>
      </c>
      <c r="H1018" s="22"/>
    </row>
    <row r="1019" spans="1:8">
      <c r="A1019" s="21"/>
      <c r="B1019" s="28"/>
      <c r="C1019" s="22"/>
      <c r="D1019" s="28"/>
      <c r="E1019" s="23" t="str">
        <f>IF($D1019="","",IFERROR(VLOOKUP($D1019,'ACAS Consumables Tracker'!$A:$H,8,FALSE()),""))</f>
        <v/>
      </c>
      <c r="F1019" s="24"/>
      <c r="G1019" s="25" t="str">
        <f>IF($D1019="","",IFERROR(VLOOKUP($D1019,'ACAS Consumables Tracker'!$A:$D,4,FALSE()),""))</f>
        <v/>
      </c>
      <c r="H1019" s="22"/>
    </row>
    <row r="1020" spans="1:8">
      <c r="A1020" s="21"/>
      <c r="B1020" s="28"/>
      <c r="C1020" s="22"/>
      <c r="D1020" s="28"/>
      <c r="E1020" s="23" t="str">
        <f>IF($D1020="","",IFERROR(VLOOKUP($D1020,'ACAS Consumables Tracker'!$A:$H,8,FALSE()),""))</f>
        <v/>
      </c>
      <c r="F1020" s="24"/>
      <c r="G1020" s="25" t="str">
        <f>IF($D1020="","",IFERROR(VLOOKUP($D1020,'ACAS Consumables Tracker'!$A:$D,4,FALSE()),""))</f>
        <v/>
      </c>
      <c r="H1020" s="22"/>
    </row>
    <row r="1021" spans="1:8">
      <c r="A1021" s="21"/>
      <c r="B1021" s="28"/>
      <c r="C1021" s="22"/>
      <c r="D1021" s="28"/>
      <c r="E1021" s="23" t="str">
        <f>IF($D1021="","",IFERROR(VLOOKUP($D1021,'ACAS Consumables Tracker'!$A:$H,8,FALSE()),""))</f>
        <v/>
      </c>
      <c r="F1021" s="24"/>
      <c r="G1021" s="25" t="str">
        <f>IF($D1021="","",IFERROR(VLOOKUP($D1021,'ACAS Consumables Tracker'!$A:$D,4,FALSE()),""))</f>
        <v/>
      </c>
      <c r="H1021" s="22"/>
    </row>
    <row r="1022" spans="1:8">
      <c r="A1022" s="21"/>
      <c r="B1022" s="28"/>
      <c r="C1022" s="22"/>
      <c r="D1022" s="28"/>
      <c r="E1022" s="23" t="str">
        <f>IF($D1022="","",IFERROR(VLOOKUP($D1022,'ACAS Consumables Tracker'!$A:$H,8,FALSE()),""))</f>
        <v/>
      </c>
      <c r="F1022" s="24"/>
      <c r="G1022" s="25" t="str">
        <f>IF($D1022="","",IFERROR(VLOOKUP($D1022,'ACAS Consumables Tracker'!$A:$D,4,FALSE()),""))</f>
        <v/>
      </c>
      <c r="H1022" s="22"/>
    </row>
    <row r="1023" spans="1:8">
      <c r="A1023" s="21"/>
      <c r="B1023" s="28"/>
      <c r="C1023" s="22"/>
      <c r="D1023" s="28"/>
      <c r="E1023" s="23" t="str">
        <f>IF($D1023="","",IFERROR(VLOOKUP($D1023,'ACAS Consumables Tracker'!$A:$H,8,FALSE()),""))</f>
        <v/>
      </c>
      <c r="F1023" s="24"/>
      <c r="G1023" s="25" t="str">
        <f>IF($D1023="","",IFERROR(VLOOKUP($D1023,'ACAS Consumables Tracker'!$A:$D,4,FALSE()),""))</f>
        <v/>
      </c>
      <c r="H1023" s="22"/>
    </row>
    <row r="1024" spans="1:8">
      <c r="A1024" s="21"/>
      <c r="B1024" s="28"/>
      <c r="C1024" s="22"/>
      <c r="D1024" s="28"/>
      <c r="E1024" s="23" t="str">
        <f>IF($D1024="","",IFERROR(VLOOKUP($D1024,'ACAS Consumables Tracker'!$A:$H,8,FALSE()),""))</f>
        <v/>
      </c>
      <c r="F1024" s="24"/>
      <c r="G1024" s="25" t="str">
        <f>IF($D1024="","",IFERROR(VLOOKUP($D1024,'ACAS Consumables Tracker'!$A:$D,4,FALSE()),""))</f>
        <v/>
      </c>
      <c r="H1024" s="22"/>
    </row>
    <row r="1025" spans="1:8">
      <c r="A1025" s="21"/>
      <c r="B1025" s="28"/>
      <c r="C1025" s="22"/>
      <c r="D1025" s="28"/>
      <c r="E1025" s="23" t="str">
        <f>IF($D1025="","",IFERROR(VLOOKUP($D1025,'ACAS Consumables Tracker'!$A:$H,8,FALSE()),""))</f>
        <v/>
      </c>
      <c r="F1025" s="24"/>
      <c r="G1025" s="25" t="str">
        <f>IF($D1025="","",IFERROR(VLOOKUP($D1025,'ACAS Consumables Tracker'!$A:$D,4,FALSE()),""))</f>
        <v/>
      </c>
      <c r="H1025" s="22"/>
    </row>
    <row r="1026" spans="1:8">
      <c r="A1026" s="21"/>
      <c r="B1026" s="28"/>
      <c r="C1026" s="22"/>
      <c r="D1026" s="28"/>
      <c r="E1026" s="23" t="str">
        <f>IF($D1026="","",IFERROR(VLOOKUP($D1026,'ACAS Consumables Tracker'!$A:$H,8,FALSE()),""))</f>
        <v/>
      </c>
      <c r="F1026" s="24"/>
      <c r="G1026" s="25" t="str">
        <f>IF($D1026="","",IFERROR(VLOOKUP($D1026,'ACAS Consumables Tracker'!$A:$D,4,FALSE()),""))</f>
        <v/>
      </c>
      <c r="H1026" s="22"/>
    </row>
    <row r="1027" spans="1:8">
      <c r="A1027" s="21"/>
      <c r="B1027" s="28"/>
      <c r="C1027" s="22"/>
      <c r="D1027" s="28"/>
      <c r="E1027" s="23" t="str">
        <f>IF($D1027="","",IFERROR(VLOOKUP($D1027,'ACAS Consumables Tracker'!$A:$H,8,FALSE()),""))</f>
        <v/>
      </c>
      <c r="F1027" s="24"/>
      <c r="G1027" s="25" t="str">
        <f>IF($D1027="","",IFERROR(VLOOKUP($D1027,'ACAS Consumables Tracker'!$A:$D,4,FALSE()),""))</f>
        <v/>
      </c>
      <c r="H1027" s="22"/>
    </row>
    <row r="1028" spans="1:8">
      <c r="A1028" s="21"/>
      <c r="B1028" s="28"/>
      <c r="C1028" s="22"/>
      <c r="D1028" s="28"/>
      <c r="E1028" s="23" t="str">
        <f>IF($D1028="","",IFERROR(VLOOKUP($D1028,'ACAS Consumables Tracker'!$A:$H,8,FALSE()),""))</f>
        <v/>
      </c>
      <c r="F1028" s="24"/>
      <c r="G1028" s="25" t="str">
        <f>IF($D1028="","",IFERROR(VLOOKUP($D1028,'ACAS Consumables Tracker'!$A:$D,4,FALSE()),""))</f>
        <v/>
      </c>
      <c r="H1028" s="22"/>
    </row>
    <row r="1029" spans="1:8">
      <c r="A1029" s="21"/>
      <c r="B1029" s="28"/>
      <c r="C1029" s="22"/>
      <c r="D1029" s="28"/>
      <c r="E1029" s="23" t="str">
        <f>IF($D1029="","",IFERROR(VLOOKUP($D1029,'ACAS Consumables Tracker'!$A:$H,8,FALSE()),""))</f>
        <v/>
      </c>
      <c r="F1029" s="24"/>
      <c r="G1029" s="25" t="str">
        <f>IF($D1029="","",IFERROR(VLOOKUP($D1029,'ACAS Consumables Tracker'!$A:$D,4,FALSE()),""))</f>
        <v/>
      </c>
      <c r="H1029" s="22"/>
    </row>
    <row r="1030" spans="1:8">
      <c r="A1030" s="21"/>
      <c r="B1030" s="28"/>
      <c r="C1030" s="22"/>
      <c r="D1030" s="28"/>
      <c r="E1030" s="23" t="str">
        <f>IF($D1030="","",IFERROR(VLOOKUP($D1030,'ACAS Consumables Tracker'!$A:$H,8,FALSE()),""))</f>
        <v/>
      </c>
      <c r="F1030" s="24"/>
      <c r="G1030" s="25" t="str">
        <f>IF($D1030="","",IFERROR(VLOOKUP($D1030,'ACAS Consumables Tracker'!$A:$D,4,FALSE()),""))</f>
        <v/>
      </c>
      <c r="H1030" s="22"/>
    </row>
    <row r="1031" spans="1:8">
      <c r="A1031" s="21"/>
      <c r="B1031" s="28"/>
      <c r="C1031" s="22"/>
      <c r="D1031" s="28"/>
      <c r="E1031" s="23" t="str">
        <f>IF($D1031="","",IFERROR(VLOOKUP($D1031,'ACAS Consumables Tracker'!$A:$H,8,FALSE()),""))</f>
        <v/>
      </c>
      <c r="F1031" s="24"/>
      <c r="G1031" s="25" t="str">
        <f>IF($D1031="","",IFERROR(VLOOKUP($D1031,'ACAS Consumables Tracker'!$A:$D,4,FALSE()),""))</f>
        <v/>
      </c>
      <c r="H1031" s="22"/>
    </row>
    <row r="1032" spans="1:8">
      <c r="A1032" s="21"/>
      <c r="B1032" s="28"/>
      <c r="C1032" s="22"/>
      <c r="D1032" s="28"/>
      <c r="E1032" s="23" t="str">
        <f>IF($D1032="","",IFERROR(VLOOKUP($D1032,'ACAS Consumables Tracker'!$A:$H,8,FALSE()),""))</f>
        <v/>
      </c>
      <c r="F1032" s="24"/>
      <c r="G1032" s="25" t="str">
        <f>IF($D1032="","",IFERROR(VLOOKUP($D1032,'ACAS Consumables Tracker'!$A:$D,4,FALSE()),""))</f>
        <v/>
      </c>
      <c r="H1032" s="22"/>
    </row>
    <row r="1033" spans="1:8">
      <c r="A1033" s="21"/>
      <c r="B1033" s="28"/>
      <c r="C1033" s="22"/>
      <c r="D1033" s="28"/>
      <c r="E1033" s="23" t="str">
        <f>IF($D1033="","",IFERROR(VLOOKUP($D1033,'ACAS Consumables Tracker'!$A:$H,8,FALSE()),""))</f>
        <v/>
      </c>
      <c r="F1033" s="24"/>
      <c r="G1033" s="25" t="str">
        <f>IF($D1033="","",IFERROR(VLOOKUP($D1033,'ACAS Consumables Tracker'!$A:$D,4,FALSE()),""))</f>
        <v/>
      </c>
      <c r="H1033" s="22"/>
    </row>
    <row r="1034" spans="1:8">
      <c r="A1034" s="21"/>
      <c r="B1034" s="28"/>
      <c r="C1034" s="22"/>
      <c r="D1034" s="28"/>
      <c r="E1034" s="23" t="str">
        <f>IF($D1034="","",IFERROR(VLOOKUP($D1034,'ACAS Consumables Tracker'!$A:$H,8,FALSE()),""))</f>
        <v/>
      </c>
      <c r="F1034" s="24"/>
      <c r="G1034" s="25" t="str">
        <f>IF($D1034="","",IFERROR(VLOOKUP($D1034,'ACAS Consumables Tracker'!$A:$D,4,FALSE()),""))</f>
        <v/>
      </c>
      <c r="H1034" s="22"/>
    </row>
    <row r="1035" spans="1:8">
      <c r="A1035" s="21"/>
      <c r="B1035" s="28"/>
      <c r="C1035" s="22"/>
      <c r="D1035" s="28"/>
      <c r="E1035" s="23" t="str">
        <f>IF($D1035="","",IFERROR(VLOOKUP($D1035,'ACAS Consumables Tracker'!$A:$H,8,FALSE()),""))</f>
        <v/>
      </c>
      <c r="F1035" s="24"/>
      <c r="G1035" s="25" t="str">
        <f>IF($D1035="","",IFERROR(VLOOKUP($D1035,'ACAS Consumables Tracker'!$A:$D,4,FALSE()),""))</f>
        <v/>
      </c>
      <c r="H1035" s="22"/>
    </row>
    <row r="1036" spans="1:8">
      <c r="A1036" s="21"/>
      <c r="B1036" s="28"/>
      <c r="C1036" s="22"/>
      <c r="D1036" s="28"/>
      <c r="E1036" s="23" t="str">
        <f>IF($D1036="","",IFERROR(VLOOKUP($D1036,'ACAS Consumables Tracker'!$A:$H,8,FALSE()),""))</f>
        <v/>
      </c>
      <c r="F1036" s="24"/>
      <c r="G1036" s="25" t="str">
        <f>IF($D1036="","",IFERROR(VLOOKUP($D1036,'ACAS Consumables Tracker'!$A:$D,4,FALSE()),""))</f>
        <v/>
      </c>
      <c r="H1036" s="22"/>
    </row>
    <row r="1037" spans="1:8">
      <c r="A1037" s="21"/>
      <c r="B1037" s="28"/>
      <c r="C1037" s="22"/>
      <c r="D1037" s="28"/>
      <c r="E1037" s="23" t="str">
        <f>IF($D1037="","",IFERROR(VLOOKUP($D1037,'ACAS Consumables Tracker'!$A:$H,8,FALSE()),""))</f>
        <v/>
      </c>
      <c r="F1037" s="24"/>
      <c r="G1037" s="25" t="str">
        <f>IF($D1037="","",IFERROR(VLOOKUP($D1037,'ACAS Consumables Tracker'!$A:$D,4,FALSE()),""))</f>
        <v/>
      </c>
      <c r="H1037" s="22"/>
    </row>
    <row r="1038" spans="1:8">
      <c r="A1038" s="21"/>
      <c r="B1038" s="28"/>
      <c r="C1038" s="22"/>
      <c r="D1038" s="28"/>
      <c r="E1038" s="23" t="str">
        <f>IF($D1038="","",IFERROR(VLOOKUP($D1038,'ACAS Consumables Tracker'!$A:$H,8,FALSE()),""))</f>
        <v/>
      </c>
      <c r="F1038" s="24"/>
      <c r="G1038" s="25" t="str">
        <f>IF($D1038="","",IFERROR(VLOOKUP($D1038,'ACAS Consumables Tracker'!$A:$D,4,FALSE()),""))</f>
        <v/>
      </c>
      <c r="H1038" s="22"/>
    </row>
    <row r="1039" spans="1:8">
      <c r="A1039" s="21"/>
      <c r="B1039" s="28"/>
      <c r="C1039" s="22"/>
      <c r="D1039" s="28"/>
      <c r="E1039" s="23" t="str">
        <f>IF($D1039="","",IFERROR(VLOOKUP($D1039,'ACAS Consumables Tracker'!$A:$H,8,FALSE()),""))</f>
        <v/>
      </c>
      <c r="F1039" s="24"/>
      <c r="G1039" s="25" t="str">
        <f>IF($D1039="","",IFERROR(VLOOKUP($D1039,'ACAS Consumables Tracker'!$A:$D,4,FALSE()),""))</f>
        <v/>
      </c>
      <c r="H1039" s="22"/>
    </row>
    <row r="1040" spans="1:8">
      <c r="A1040" s="21"/>
      <c r="B1040" s="28"/>
      <c r="C1040" s="22"/>
      <c r="D1040" s="28"/>
      <c r="E1040" s="23" t="str">
        <f>IF($D1040="","",IFERROR(VLOOKUP($D1040,'ACAS Consumables Tracker'!$A:$H,8,FALSE()),""))</f>
        <v/>
      </c>
      <c r="F1040" s="24"/>
      <c r="G1040" s="25" t="str">
        <f>IF($D1040="","",IFERROR(VLOOKUP($D1040,'ACAS Consumables Tracker'!$A:$D,4,FALSE()),""))</f>
        <v/>
      </c>
      <c r="H1040" s="22"/>
    </row>
    <row r="1041" spans="1:8">
      <c r="A1041" s="21"/>
      <c r="B1041" s="28"/>
      <c r="C1041" s="22"/>
      <c r="D1041" s="28"/>
      <c r="E1041" s="23" t="str">
        <f>IF($D1041="","",IFERROR(VLOOKUP($D1041,'ACAS Consumables Tracker'!$A:$H,8,FALSE()),""))</f>
        <v/>
      </c>
      <c r="F1041" s="24"/>
      <c r="G1041" s="25" t="str">
        <f>IF($D1041="","",IFERROR(VLOOKUP($D1041,'ACAS Consumables Tracker'!$A:$D,4,FALSE()),""))</f>
        <v/>
      </c>
      <c r="H1041" s="22"/>
    </row>
    <row r="1042" spans="1:8">
      <c r="A1042" s="21"/>
      <c r="B1042" s="28"/>
      <c r="C1042" s="22"/>
      <c r="D1042" s="28"/>
      <c r="E1042" s="23" t="str">
        <f>IF($D1042="","",IFERROR(VLOOKUP($D1042,'ACAS Consumables Tracker'!$A:$H,8,FALSE()),""))</f>
        <v/>
      </c>
      <c r="F1042" s="24"/>
      <c r="G1042" s="25" t="str">
        <f>IF($D1042="","",IFERROR(VLOOKUP($D1042,'ACAS Consumables Tracker'!$A:$D,4,FALSE()),""))</f>
        <v/>
      </c>
      <c r="H1042" s="22"/>
    </row>
    <row r="1043" spans="1:8">
      <c r="A1043" s="21"/>
      <c r="B1043" s="28"/>
      <c r="C1043" s="22"/>
      <c r="D1043" s="28"/>
      <c r="E1043" s="23" t="str">
        <f>IF($D1043="","",IFERROR(VLOOKUP($D1043,'ACAS Consumables Tracker'!$A:$H,8,FALSE()),""))</f>
        <v/>
      </c>
      <c r="F1043" s="24"/>
      <c r="G1043" s="25" t="str">
        <f>IF($D1043="","",IFERROR(VLOOKUP($D1043,'ACAS Consumables Tracker'!$A:$D,4,FALSE()),""))</f>
        <v/>
      </c>
      <c r="H1043" s="22"/>
    </row>
    <row r="1044" spans="1:8">
      <c r="A1044" s="21"/>
      <c r="B1044" s="28"/>
      <c r="C1044" s="22"/>
      <c r="D1044" s="28"/>
      <c r="E1044" s="23" t="str">
        <f>IF($D1044="","",IFERROR(VLOOKUP($D1044,'ACAS Consumables Tracker'!$A:$H,8,FALSE()),""))</f>
        <v/>
      </c>
      <c r="F1044" s="24"/>
      <c r="G1044" s="25" t="str">
        <f>IF($D1044="","",IFERROR(VLOOKUP($D1044,'ACAS Consumables Tracker'!$A:$D,4,FALSE()),""))</f>
        <v/>
      </c>
      <c r="H1044" s="22"/>
    </row>
    <row r="1045" spans="1:8">
      <c r="A1045" s="21"/>
      <c r="B1045" s="28"/>
      <c r="C1045" s="22"/>
      <c r="D1045" s="28"/>
      <c r="E1045" s="23" t="str">
        <f>IF($D1045="","",IFERROR(VLOOKUP($D1045,'ACAS Consumables Tracker'!$A:$H,8,FALSE()),""))</f>
        <v/>
      </c>
      <c r="F1045" s="24"/>
      <c r="G1045" s="25" t="str">
        <f>IF($D1045="","",IFERROR(VLOOKUP($D1045,'ACAS Consumables Tracker'!$A:$D,4,FALSE()),""))</f>
        <v/>
      </c>
      <c r="H1045" s="22"/>
    </row>
    <row r="1046" spans="1:8">
      <c r="A1046" s="21"/>
      <c r="B1046" s="28"/>
      <c r="C1046" s="22"/>
      <c r="D1046" s="28"/>
      <c r="E1046" s="23" t="str">
        <f>IF($D1046="","",IFERROR(VLOOKUP($D1046,'ACAS Consumables Tracker'!$A:$H,8,FALSE()),""))</f>
        <v/>
      </c>
      <c r="F1046" s="24"/>
      <c r="G1046" s="25" t="str">
        <f>IF($D1046="","",IFERROR(VLOOKUP($D1046,'ACAS Consumables Tracker'!$A:$D,4,FALSE()),""))</f>
        <v/>
      </c>
      <c r="H1046" s="22"/>
    </row>
    <row r="1047" spans="1:8">
      <c r="A1047" s="21"/>
      <c r="B1047" s="28"/>
      <c r="C1047" s="22"/>
      <c r="D1047" s="28"/>
      <c r="E1047" s="23" t="str">
        <f>IF($D1047="","",IFERROR(VLOOKUP($D1047,'ACAS Consumables Tracker'!$A:$H,8,FALSE()),""))</f>
        <v/>
      </c>
      <c r="F1047" s="24"/>
      <c r="G1047" s="25" t="str">
        <f>IF($D1047="","",IFERROR(VLOOKUP($D1047,'ACAS Consumables Tracker'!$A:$D,4,FALSE()),""))</f>
        <v/>
      </c>
      <c r="H1047" s="22"/>
    </row>
    <row r="1048" spans="1:8">
      <c r="A1048" s="21"/>
      <c r="B1048" s="28"/>
      <c r="C1048" s="22"/>
      <c r="D1048" s="28"/>
      <c r="E1048" s="23" t="str">
        <f>IF($D1048="","",IFERROR(VLOOKUP($D1048,'ACAS Consumables Tracker'!$A:$H,8,FALSE()),""))</f>
        <v/>
      </c>
      <c r="F1048" s="24"/>
      <c r="G1048" s="25" t="str">
        <f>IF($D1048="","",IFERROR(VLOOKUP($D1048,'ACAS Consumables Tracker'!$A:$D,4,FALSE()),""))</f>
        <v/>
      </c>
      <c r="H1048" s="22"/>
    </row>
    <row r="1049" spans="1:8">
      <c r="A1049" s="21"/>
      <c r="B1049" s="28"/>
      <c r="C1049" s="22"/>
      <c r="D1049" s="28"/>
      <c r="E1049" s="23" t="str">
        <f>IF($D1049="","",IFERROR(VLOOKUP($D1049,'ACAS Consumables Tracker'!$A:$H,8,FALSE()),""))</f>
        <v/>
      </c>
      <c r="F1049" s="24"/>
      <c r="G1049" s="25" t="str">
        <f>IF($D1049="","",IFERROR(VLOOKUP($D1049,'ACAS Consumables Tracker'!$A:$D,4,FALSE()),""))</f>
        <v/>
      </c>
      <c r="H1049" s="22"/>
    </row>
    <row r="1050" spans="1:8">
      <c r="A1050" s="21"/>
      <c r="B1050" s="28"/>
      <c r="C1050" s="22"/>
      <c r="D1050" s="28"/>
      <c r="E1050" s="23" t="str">
        <f>IF($D1050="","",IFERROR(VLOOKUP($D1050,'ACAS Consumables Tracker'!$A:$H,8,FALSE()),""))</f>
        <v/>
      </c>
      <c r="F1050" s="24"/>
      <c r="G1050" s="25" t="str">
        <f>IF($D1050="","",IFERROR(VLOOKUP($D1050,'ACAS Consumables Tracker'!$A:$D,4,FALSE()),""))</f>
        <v/>
      </c>
      <c r="H1050" s="22"/>
    </row>
    <row r="1051" spans="1:8">
      <c r="A1051" s="21"/>
      <c r="B1051" s="28"/>
      <c r="C1051" s="22"/>
      <c r="D1051" s="28"/>
      <c r="E1051" s="23" t="str">
        <f>IF($D1051="","",IFERROR(VLOOKUP($D1051,'ACAS Consumables Tracker'!$A:$H,8,FALSE()),""))</f>
        <v/>
      </c>
      <c r="F1051" s="24"/>
      <c r="G1051" s="25" t="str">
        <f>IF($D1051="","",IFERROR(VLOOKUP($D1051,'ACAS Consumables Tracker'!$A:$D,4,FALSE()),""))</f>
        <v/>
      </c>
      <c r="H1051" s="22"/>
    </row>
    <row r="1052" spans="1:8">
      <c r="A1052" s="21"/>
      <c r="B1052" s="28"/>
      <c r="C1052" s="22"/>
      <c r="D1052" s="28"/>
      <c r="E1052" s="23" t="str">
        <f>IF($D1052="","",IFERROR(VLOOKUP($D1052,'ACAS Consumables Tracker'!$A:$H,8,FALSE()),""))</f>
        <v/>
      </c>
      <c r="F1052" s="24"/>
      <c r="G1052" s="25" t="str">
        <f>IF($D1052="","",IFERROR(VLOOKUP($D1052,'ACAS Consumables Tracker'!$A:$D,4,FALSE()),""))</f>
        <v/>
      </c>
      <c r="H1052" s="22"/>
    </row>
    <row r="1053" spans="1:8">
      <c r="A1053" s="21"/>
      <c r="B1053" s="28"/>
      <c r="C1053" s="22"/>
      <c r="D1053" s="28"/>
      <c r="E1053" s="23" t="str">
        <f>IF($D1053="","",IFERROR(VLOOKUP($D1053,'ACAS Consumables Tracker'!$A:$H,8,FALSE()),""))</f>
        <v/>
      </c>
      <c r="F1053" s="24"/>
      <c r="G1053" s="25" t="str">
        <f>IF($D1053="","",IFERROR(VLOOKUP($D1053,'ACAS Consumables Tracker'!$A:$D,4,FALSE()),""))</f>
        <v/>
      </c>
      <c r="H1053" s="22"/>
    </row>
    <row r="1054" spans="1:8">
      <c r="A1054" s="21"/>
      <c r="B1054" s="28"/>
      <c r="C1054" s="22"/>
      <c r="D1054" s="28"/>
      <c r="E1054" s="23" t="str">
        <f>IF($D1054="","",IFERROR(VLOOKUP($D1054,'ACAS Consumables Tracker'!$A:$H,8,FALSE()),""))</f>
        <v/>
      </c>
      <c r="F1054" s="24"/>
      <c r="G1054" s="25" t="str">
        <f>IF($D1054="","",IFERROR(VLOOKUP($D1054,'ACAS Consumables Tracker'!$A:$D,4,FALSE()),""))</f>
        <v/>
      </c>
      <c r="H1054" s="22"/>
    </row>
    <row r="1055" spans="1:8">
      <c r="A1055" s="21"/>
      <c r="B1055" s="28"/>
      <c r="C1055" s="22"/>
      <c r="D1055" s="28"/>
      <c r="E1055" s="23" t="str">
        <f>IF($D1055="","",IFERROR(VLOOKUP($D1055,'ACAS Consumables Tracker'!$A:$H,8,FALSE()),""))</f>
        <v/>
      </c>
      <c r="F1055" s="24"/>
      <c r="G1055" s="25" t="str">
        <f>IF($D1055="","",IFERROR(VLOOKUP($D1055,'ACAS Consumables Tracker'!$A:$D,4,FALSE()),""))</f>
        <v/>
      </c>
      <c r="H1055" s="22"/>
    </row>
    <row r="1056" spans="1:8">
      <c r="A1056" s="21"/>
      <c r="B1056" s="28"/>
      <c r="C1056" s="22"/>
      <c r="D1056" s="28"/>
      <c r="E1056" s="23" t="str">
        <f>IF($D1056="","",IFERROR(VLOOKUP($D1056,'ACAS Consumables Tracker'!$A:$H,8,FALSE()),""))</f>
        <v/>
      </c>
      <c r="F1056" s="24"/>
      <c r="G1056" s="25" t="str">
        <f>IF($D1056="","",IFERROR(VLOOKUP($D1056,'ACAS Consumables Tracker'!$A:$D,4,FALSE()),""))</f>
        <v/>
      </c>
      <c r="H1056" s="22"/>
    </row>
    <row r="1057" spans="1:8">
      <c r="A1057" s="21"/>
      <c r="B1057" s="28"/>
      <c r="C1057" s="22"/>
      <c r="D1057" s="28"/>
      <c r="E1057" s="23" t="str">
        <f>IF($D1057="","",IFERROR(VLOOKUP($D1057,'ACAS Consumables Tracker'!$A:$H,8,FALSE()),""))</f>
        <v/>
      </c>
      <c r="F1057" s="24"/>
      <c r="G1057" s="25" t="str">
        <f>IF($D1057="","",IFERROR(VLOOKUP($D1057,'ACAS Consumables Tracker'!$A:$D,4,FALSE()),""))</f>
        <v/>
      </c>
      <c r="H1057" s="22"/>
    </row>
    <row r="1058" spans="1:8">
      <c r="A1058" s="21"/>
      <c r="B1058" s="28"/>
      <c r="C1058" s="22"/>
      <c r="D1058" s="28"/>
      <c r="E1058" s="23" t="str">
        <f>IF($D1058="","",IFERROR(VLOOKUP($D1058,'ACAS Consumables Tracker'!$A:$H,8,FALSE()),""))</f>
        <v/>
      </c>
      <c r="F1058" s="24"/>
      <c r="G1058" s="25" t="str">
        <f>IF($D1058="","",IFERROR(VLOOKUP($D1058,'ACAS Consumables Tracker'!$A:$D,4,FALSE()),""))</f>
        <v/>
      </c>
      <c r="H1058" s="22"/>
    </row>
    <row r="1059" spans="1:8">
      <c r="A1059" s="21"/>
      <c r="B1059" s="28"/>
      <c r="C1059" s="22"/>
      <c r="D1059" s="28"/>
      <c r="E1059" s="23" t="str">
        <f>IF($D1059="","",IFERROR(VLOOKUP($D1059,'ACAS Consumables Tracker'!$A:$H,8,FALSE()),""))</f>
        <v/>
      </c>
      <c r="F1059" s="24"/>
      <c r="G1059" s="25" t="str">
        <f>IF($D1059="","",IFERROR(VLOOKUP($D1059,'ACAS Consumables Tracker'!$A:$D,4,FALSE()),""))</f>
        <v/>
      </c>
      <c r="H1059" s="22"/>
    </row>
    <row r="1060" spans="1:8">
      <c r="A1060" s="21"/>
      <c r="B1060" s="28"/>
      <c r="C1060" s="22"/>
      <c r="D1060" s="28"/>
      <c r="E1060" s="23" t="str">
        <f>IF($D1060="","",IFERROR(VLOOKUP($D1060,'ACAS Consumables Tracker'!$A:$H,8,FALSE()),""))</f>
        <v/>
      </c>
      <c r="F1060" s="24"/>
      <c r="G1060" s="25" t="str">
        <f>IF($D1060="","",IFERROR(VLOOKUP($D1060,'ACAS Consumables Tracker'!$A:$D,4,FALSE()),""))</f>
        <v/>
      </c>
      <c r="H1060" s="22"/>
    </row>
    <row r="1061" spans="1:8">
      <c r="A1061" s="21"/>
      <c r="B1061" s="28"/>
      <c r="C1061" s="22"/>
      <c r="D1061" s="28"/>
      <c r="E1061" s="23" t="str">
        <f>IF($D1061="","",IFERROR(VLOOKUP($D1061,'ACAS Consumables Tracker'!$A:$H,8,FALSE()),""))</f>
        <v/>
      </c>
      <c r="F1061" s="24"/>
      <c r="G1061" s="25" t="str">
        <f>IF($D1061="","",IFERROR(VLOOKUP($D1061,'ACAS Consumables Tracker'!$A:$D,4,FALSE()),""))</f>
        <v/>
      </c>
      <c r="H1061" s="22"/>
    </row>
    <row r="1062" spans="1:8">
      <c r="A1062" s="21"/>
      <c r="B1062" s="28"/>
      <c r="C1062" s="22"/>
      <c r="D1062" s="28"/>
      <c r="E1062" s="23" t="str">
        <f>IF($D1062="","",IFERROR(VLOOKUP($D1062,'ACAS Consumables Tracker'!$A:$H,8,FALSE()),""))</f>
        <v/>
      </c>
      <c r="F1062" s="24"/>
      <c r="G1062" s="25" t="str">
        <f>IF($D1062="","",IFERROR(VLOOKUP($D1062,'ACAS Consumables Tracker'!$A:$D,4,FALSE()),""))</f>
        <v/>
      </c>
      <c r="H1062" s="22"/>
    </row>
    <row r="1063" spans="1:8">
      <c r="A1063" s="21"/>
      <c r="B1063" s="28"/>
      <c r="C1063" s="22"/>
      <c r="D1063" s="28"/>
      <c r="E1063" s="23" t="str">
        <f>IF($D1063="","",IFERROR(VLOOKUP($D1063,'ACAS Consumables Tracker'!$A:$H,8,FALSE()),""))</f>
        <v/>
      </c>
      <c r="F1063" s="24"/>
      <c r="G1063" s="25" t="str">
        <f>IF($D1063="","",IFERROR(VLOOKUP($D1063,'ACAS Consumables Tracker'!$A:$D,4,FALSE()),""))</f>
        <v/>
      </c>
      <c r="H1063" s="22"/>
    </row>
    <row r="1064" spans="1:8">
      <c r="A1064" s="21"/>
      <c r="B1064" s="28"/>
      <c r="C1064" s="22"/>
      <c r="D1064" s="28"/>
      <c r="E1064" s="23" t="str">
        <f>IF($D1064="","",IFERROR(VLOOKUP($D1064,'ACAS Consumables Tracker'!$A:$H,8,FALSE()),""))</f>
        <v/>
      </c>
      <c r="F1064" s="24"/>
      <c r="G1064" s="25" t="str">
        <f>IF($D1064="","",IFERROR(VLOOKUP($D1064,'ACAS Consumables Tracker'!$A:$D,4,FALSE()),""))</f>
        <v/>
      </c>
      <c r="H1064" s="22"/>
    </row>
    <row r="1065" spans="1:8">
      <c r="A1065" s="21"/>
      <c r="B1065" s="28"/>
      <c r="C1065" s="22"/>
      <c r="D1065" s="28"/>
      <c r="E1065" s="23" t="str">
        <f>IF($D1065="","",IFERROR(VLOOKUP($D1065,'ACAS Consumables Tracker'!$A:$H,8,FALSE()),""))</f>
        <v/>
      </c>
      <c r="F1065" s="24"/>
      <c r="G1065" s="25" t="str">
        <f>IF($D1065="","",IFERROR(VLOOKUP($D1065,'ACAS Consumables Tracker'!$A:$D,4,FALSE()),""))</f>
        <v/>
      </c>
      <c r="H1065" s="22"/>
    </row>
    <row r="1066" spans="1:8">
      <c r="A1066" s="21"/>
      <c r="B1066" s="28"/>
      <c r="C1066" s="22"/>
      <c r="D1066" s="28"/>
      <c r="E1066" s="23" t="str">
        <f>IF($D1066="","",IFERROR(VLOOKUP($D1066,'ACAS Consumables Tracker'!$A:$H,8,FALSE()),""))</f>
        <v/>
      </c>
      <c r="F1066" s="24"/>
      <c r="G1066" s="25" t="str">
        <f>IF($D1066="","",IFERROR(VLOOKUP($D1066,'ACAS Consumables Tracker'!$A:$D,4,FALSE()),""))</f>
        <v/>
      </c>
      <c r="H1066" s="22"/>
    </row>
    <row r="1067" spans="1:8">
      <c r="A1067" s="21"/>
      <c r="B1067" s="28"/>
      <c r="C1067" s="22"/>
      <c r="D1067" s="28"/>
      <c r="E1067" s="23" t="str">
        <f>IF($D1067="","",IFERROR(VLOOKUP($D1067,'ACAS Consumables Tracker'!$A:$H,8,FALSE()),""))</f>
        <v/>
      </c>
      <c r="F1067" s="24"/>
      <c r="G1067" s="25" t="str">
        <f>IF($D1067="","",IFERROR(VLOOKUP($D1067,'ACAS Consumables Tracker'!$A:$D,4,FALSE()),""))</f>
        <v/>
      </c>
      <c r="H1067" s="22"/>
    </row>
    <row r="1068" spans="1:8">
      <c r="A1068" s="21"/>
      <c r="B1068" s="28"/>
      <c r="C1068" s="22"/>
      <c r="D1068" s="28"/>
      <c r="E1068" s="23" t="str">
        <f>IF($D1068="","",IFERROR(VLOOKUP($D1068,'ACAS Consumables Tracker'!$A:$H,8,FALSE()),""))</f>
        <v/>
      </c>
      <c r="F1068" s="24"/>
      <c r="G1068" s="25" t="str">
        <f>IF($D1068="","",IFERROR(VLOOKUP($D1068,'ACAS Consumables Tracker'!$A:$D,4,FALSE()),""))</f>
        <v/>
      </c>
      <c r="H1068" s="22"/>
    </row>
    <row r="1069" spans="1:8">
      <c r="A1069" s="21"/>
      <c r="B1069" s="28"/>
      <c r="C1069" s="22"/>
      <c r="D1069" s="28"/>
      <c r="E1069" s="23" t="str">
        <f>IF($D1069="","",IFERROR(VLOOKUP($D1069,'ACAS Consumables Tracker'!$A:$H,8,FALSE()),""))</f>
        <v/>
      </c>
      <c r="F1069" s="24"/>
      <c r="G1069" s="25" t="str">
        <f>IF($D1069="","",IFERROR(VLOOKUP($D1069,'ACAS Consumables Tracker'!$A:$D,4,FALSE()),""))</f>
        <v/>
      </c>
      <c r="H1069" s="22"/>
    </row>
    <row r="1070" spans="1:8">
      <c r="A1070" s="21"/>
      <c r="B1070" s="28"/>
      <c r="C1070" s="22"/>
      <c r="D1070" s="28"/>
      <c r="E1070" s="23" t="str">
        <f>IF($D1070="","",IFERROR(VLOOKUP($D1070,'ACAS Consumables Tracker'!$A:$H,8,FALSE()),""))</f>
        <v/>
      </c>
      <c r="F1070" s="24"/>
      <c r="G1070" s="25" t="str">
        <f>IF($D1070="","",IFERROR(VLOOKUP($D1070,'ACAS Consumables Tracker'!$A:$D,4,FALSE()),""))</f>
        <v/>
      </c>
      <c r="H1070" s="22"/>
    </row>
    <row r="1071" spans="1:8">
      <c r="A1071" s="21"/>
      <c r="B1071" s="28"/>
      <c r="C1071" s="22"/>
      <c r="D1071" s="28"/>
      <c r="E1071" s="23" t="str">
        <f>IF($D1071="","",IFERROR(VLOOKUP($D1071,'ACAS Consumables Tracker'!$A:$H,8,FALSE()),""))</f>
        <v/>
      </c>
      <c r="F1071" s="24"/>
      <c r="G1071" s="25" t="str">
        <f>IF($D1071="","",IFERROR(VLOOKUP($D1071,'ACAS Consumables Tracker'!$A:$D,4,FALSE()),""))</f>
        <v/>
      </c>
      <c r="H1071" s="22"/>
    </row>
    <row r="1072" spans="1:8">
      <c r="A1072" s="21"/>
      <c r="B1072" s="28"/>
      <c r="C1072" s="22"/>
      <c r="D1072" s="28"/>
      <c r="E1072" s="23" t="str">
        <f>IF($D1072="","",IFERROR(VLOOKUP($D1072,'ACAS Consumables Tracker'!$A:$H,8,FALSE()),""))</f>
        <v/>
      </c>
      <c r="F1072" s="24"/>
      <c r="G1072" s="25" t="str">
        <f>IF($D1072="","",IFERROR(VLOOKUP($D1072,'ACAS Consumables Tracker'!$A:$D,4,FALSE()),""))</f>
        <v/>
      </c>
      <c r="H1072" s="22"/>
    </row>
    <row r="1073" spans="1:8">
      <c r="A1073" s="21"/>
      <c r="B1073" s="28"/>
      <c r="C1073" s="22"/>
      <c r="D1073" s="28"/>
      <c r="E1073" s="23" t="str">
        <f>IF($D1073="","",IFERROR(VLOOKUP($D1073,'ACAS Consumables Tracker'!$A:$H,8,FALSE()),""))</f>
        <v/>
      </c>
      <c r="F1073" s="24"/>
      <c r="G1073" s="25" t="str">
        <f>IF($D1073="","",IFERROR(VLOOKUP($D1073,'ACAS Consumables Tracker'!$A:$D,4,FALSE()),""))</f>
        <v/>
      </c>
      <c r="H1073" s="22"/>
    </row>
    <row r="1074" spans="1:8">
      <c r="A1074" s="21"/>
      <c r="B1074" s="28"/>
      <c r="C1074" s="22"/>
      <c r="D1074" s="28"/>
      <c r="E1074" s="23" t="str">
        <f>IF($D1074="","",IFERROR(VLOOKUP($D1074,'ACAS Consumables Tracker'!$A:$H,8,FALSE()),""))</f>
        <v/>
      </c>
      <c r="F1074" s="24"/>
      <c r="G1074" s="25" t="str">
        <f>IF($D1074="","",IFERROR(VLOOKUP($D1074,'ACAS Consumables Tracker'!$A:$D,4,FALSE()),""))</f>
        <v/>
      </c>
      <c r="H1074" s="22"/>
    </row>
    <row r="1075" spans="1:8">
      <c r="A1075" s="21"/>
      <c r="B1075" s="28"/>
      <c r="C1075" s="22"/>
      <c r="D1075" s="28"/>
      <c r="E1075" s="23" t="str">
        <f>IF($D1075="","",IFERROR(VLOOKUP($D1075,'ACAS Consumables Tracker'!$A:$H,8,FALSE()),""))</f>
        <v/>
      </c>
      <c r="F1075" s="24"/>
      <c r="G1075" s="25" t="str">
        <f>IF($D1075="","",IFERROR(VLOOKUP($D1075,'ACAS Consumables Tracker'!$A:$D,4,FALSE()),""))</f>
        <v/>
      </c>
      <c r="H1075" s="22"/>
    </row>
    <row r="1076" spans="1:8">
      <c r="A1076" s="21"/>
      <c r="B1076" s="28"/>
      <c r="C1076" s="22"/>
      <c r="D1076" s="28"/>
      <c r="E1076" s="23" t="str">
        <f>IF($D1076="","",IFERROR(VLOOKUP($D1076,'ACAS Consumables Tracker'!$A:$H,8,FALSE()),""))</f>
        <v/>
      </c>
      <c r="F1076" s="24"/>
      <c r="G1076" s="25" t="str">
        <f>IF($D1076="","",IFERROR(VLOOKUP($D1076,'ACAS Consumables Tracker'!$A:$D,4,FALSE()),""))</f>
        <v/>
      </c>
      <c r="H1076" s="22"/>
    </row>
    <row r="1077" spans="1:8">
      <c r="A1077" s="21"/>
      <c r="B1077" s="28"/>
      <c r="C1077" s="22"/>
      <c r="D1077" s="28"/>
      <c r="E1077" s="23" t="str">
        <f>IF($D1077="","",IFERROR(VLOOKUP($D1077,'ACAS Consumables Tracker'!$A:$H,8,FALSE()),""))</f>
        <v/>
      </c>
      <c r="F1077" s="24"/>
      <c r="G1077" s="25" t="str">
        <f>IF($D1077="","",IFERROR(VLOOKUP($D1077,'ACAS Consumables Tracker'!$A:$D,4,FALSE()),""))</f>
        <v/>
      </c>
      <c r="H1077" s="22"/>
    </row>
    <row r="1078" spans="1:8">
      <c r="A1078" s="21"/>
      <c r="B1078" s="28"/>
      <c r="C1078" s="22"/>
      <c r="D1078" s="28"/>
      <c r="E1078" s="23" t="str">
        <f>IF($D1078="","",IFERROR(VLOOKUP($D1078,'ACAS Consumables Tracker'!$A:$H,8,FALSE()),""))</f>
        <v/>
      </c>
      <c r="F1078" s="24"/>
      <c r="G1078" s="25" t="str">
        <f>IF($D1078="","",IFERROR(VLOOKUP($D1078,'ACAS Consumables Tracker'!$A:$D,4,FALSE()),""))</f>
        <v/>
      </c>
      <c r="H1078" s="22"/>
    </row>
    <row r="1079" spans="1:8">
      <c r="A1079" s="21"/>
      <c r="B1079" s="28"/>
      <c r="C1079" s="22"/>
      <c r="D1079" s="28"/>
      <c r="E1079" s="23" t="str">
        <f>IF($D1079="","",IFERROR(VLOOKUP($D1079,'ACAS Consumables Tracker'!$A:$H,8,FALSE()),""))</f>
        <v/>
      </c>
      <c r="F1079" s="24"/>
      <c r="G1079" s="25" t="str">
        <f>IF($D1079="","",IFERROR(VLOOKUP($D1079,'ACAS Consumables Tracker'!$A:$D,4,FALSE()),""))</f>
        <v/>
      </c>
      <c r="H1079" s="22"/>
    </row>
    <row r="1080" spans="1:8">
      <c r="A1080" s="21"/>
      <c r="B1080" s="28"/>
      <c r="C1080" s="22"/>
      <c r="D1080" s="28"/>
      <c r="E1080" s="23" t="str">
        <f>IF($D1080="","",IFERROR(VLOOKUP($D1080,'ACAS Consumables Tracker'!$A:$H,8,FALSE()),""))</f>
        <v/>
      </c>
      <c r="F1080" s="24"/>
      <c r="G1080" s="25" t="str">
        <f>IF($D1080="","",IFERROR(VLOOKUP($D1080,'ACAS Consumables Tracker'!$A:$D,4,FALSE()),""))</f>
        <v/>
      </c>
      <c r="H1080" s="22"/>
    </row>
    <row r="1081" spans="1:8">
      <c r="A1081" s="21"/>
      <c r="B1081" s="28"/>
      <c r="C1081" s="22"/>
      <c r="D1081" s="28"/>
      <c r="E1081" s="23" t="str">
        <f>IF($D1081="","",IFERROR(VLOOKUP($D1081,'ACAS Consumables Tracker'!$A:$H,8,FALSE()),""))</f>
        <v/>
      </c>
      <c r="F1081" s="24"/>
      <c r="G1081" s="25" t="str">
        <f>IF($D1081="","",IFERROR(VLOOKUP($D1081,'ACAS Consumables Tracker'!$A:$D,4,FALSE()),""))</f>
        <v/>
      </c>
      <c r="H1081" s="22"/>
    </row>
    <row r="1082" spans="1:8">
      <c r="A1082" s="21"/>
      <c r="B1082" s="28"/>
      <c r="C1082" s="22"/>
      <c r="D1082" s="28"/>
      <c r="E1082" s="23" t="str">
        <f>IF($D1082="","",IFERROR(VLOOKUP($D1082,'ACAS Consumables Tracker'!$A:$H,8,FALSE()),""))</f>
        <v/>
      </c>
      <c r="F1082" s="24"/>
      <c r="G1082" s="25" t="str">
        <f>IF($D1082="","",IFERROR(VLOOKUP($D1082,'ACAS Consumables Tracker'!$A:$D,4,FALSE()),""))</f>
        <v/>
      </c>
      <c r="H1082" s="22"/>
    </row>
    <row r="1083" spans="1:8">
      <c r="A1083" s="21"/>
      <c r="B1083" s="28"/>
      <c r="C1083" s="22"/>
      <c r="D1083" s="28"/>
      <c r="E1083" s="23" t="str">
        <f>IF($D1083="","",IFERROR(VLOOKUP($D1083,'ACAS Consumables Tracker'!$A:$H,8,FALSE()),""))</f>
        <v/>
      </c>
      <c r="F1083" s="24"/>
      <c r="G1083" s="25" t="str">
        <f>IF($D1083="","",IFERROR(VLOOKUP($D1083,'ACAS Consumables Tracker'!$A:$D,4,FALSE()),""))</f>
        <v/>
      </c>
      <c r="H1083" s="22"/>
    </row>
    <row r="1084" spans="1:8">
      <c r="A1084" s="21"/>
      <c r="B1084" s="28"/>
      <c r="C1084" s="22"/>
      <c r="D1084" s="28"/>
      <c r="E1084" s="23" t="str">
        <f>IF($D1084="","",IFERROR(VLOOKUP($D1084,'ACAS Consumables Tracker'!$A:$H,8,FALSE()),""))</f>
        <v/>
      </c>
      <c r="F1084" s="24"/>
      <c r="G1084" s="25" t="str">
        <f>IF($D1084="","",IFERROR(VLOOKUP($D1084,'ACAS Consumables Tracker'!$A:$D,4,FALSE()),""))</f>
        <v/>
      </c>
      <c r="H1084" s="22"/>
    </row>
    <row r="1085" spans="1:8">
      <c r="A1085" s="21"/>
      <c r="B1085" s="28"/>
      <c r="C1085" s="22"/>
      <c r="D1085" s="28"/>
      <c r="E1085" s="23" t="str">
        <f>IF($D1085="","",IFERROR(VLOOKUP($D1085,'ACAS Consumables Tracker'!$A:$H,8,FALSE()),""))</f>
        <v/>
      </c>
      <c r="F1085" s="24"/>
      <c r="G1085" s="25" t="str">
        <f>IF($D1085="","",IFERROR(VLOOKUP($D1085,'ACAS Consumables Tracker'!$A:$D,4,FALSE()),""))</f>
        <v/>
      </c>
      <c r="H1085" s="22"/>
    </row>
    <row r="1086" spans="1:8">
      <c r="A1086" s="21"/>
      <c r="B1086" s="28"/>
      <c r="C1086" s="22"/>
      <c r="D1086" s="28"/>
      <c r="E1086" s="23" t="str">
        <f>IF($D1086="","",IFERROR(VLOOKUP($D1086,'ACAS Consumables Tracker'!$A:$H,8,FALSE()),""))</f>
        <v/>
      </c>
      <c r="F1086" s="24"/>
      <c r="G1086" s="25" t="str">
        <f>IF($D1086="","",IFERROR(VLOOKUP($D1086,'ACAS Consumables Tracker'!$A:$D,4,FALSE()),""))</f>
        <v/>
      </c>
      <c r="H1086" s="22"/>
    </row>
    <row r="1087" spans="1:8">
      <c r="A1087" s="21"/>
      <c r="B1087" s="28"/>
      <c r="C1087" s="22"/>
      <c r="D1087" s="28"/>
      <c r="E1087" s="23" t="str">
        <f>IF($D1087="","",IFERROR(VLOOKUP($D1087,'ACAS Consumables Tracker'!$A:$H,8,FALSE()),""))</f>
        <v/>
      </c>
      <c r="F1087" s="24"/>
      <c r="G1087" s="25" t="str">
        <f>IF($D1087="","",IFERROR(VLOOKUP($D1087,'ACAS Consumables Tracker'!$A:$D,4,FALSE()),""))</f>
        <v/>
      </c>
      <c r="H1087" s="22"/>
    </row>
    <row r="1088" spans="1:8">
      <c r="A1088" s="21"/>
      <c r="B1088" s="28"/>
      <c r="C1088" s="22"/>
      <c r="D1088" s="28"/>
      <c r="E1088" s="23" t="str">
        <f>IF($D1088="","",IFERROR(VLOOKUP($D1088,'ACAS Consumables Tracker'!$A:$H,8,FALSE()),""))</f>
        <v/>
      </c>
      <c r="F1088" s="24"/>
      <c r="G1088" s="25" t="str">
        <f>IF($D1088="","",IFERROR(VLOOKUP($D1088,'ACAS Consumables Tracker'!$A:$D,4,FALSE()),""))</f>
        <v/>
      </c>
      <c r="H1088" s="22"/>
    </row>
    <row r="1089" spans="1:8">
      <c r="A1089" s="21"/>
      <c r="B1089" s="28"/>
      <c r="C1089" s="22"/>
      <c r="D1089" s="28"/>
      <c r="E1089" s="23" t="str">
        <f>IF($D1089="","",IFERROR(VLOOKUP($D1089,'ACAS Consumables Tracker'!$A:$H,8,FALSE()),""))</f>
        <v/>
      </c>
      <c r="F1089" s="24"/>
      <c r="G1089" s="25" t="str">
        <f>IF($D1089="","",IFERROR(VLOOKUP($D1089,'ACAS Consumables Tracker'!$A:$D,4,FALSE()),""))</f>
        <v/>
      </c>
      <c r="H1089" s="22"/>
    </row>
    <row r="1090" spans="1:8">
      <c r="A1090" s="21"/>
      <c r="B1090" s="28"/>
      <c r="C1090" s="22"/>
      <c r="D1090" s="28"/>
      <c r="E1090" s="23" t="str">
        <f>IF($D1090="","",IFERROR(VLOOKUP($D1090,'ACAS Consumables Tracker'!$A:$H,8,FALSE()),""))</f>
        <v/>
      </c>
      <c r="F1090" s="24"/>
      <c r="G1090" s="25" t="str">
        <f>IF($D1090="","",IFERROR(VLOOKUP($D1090,'ACAS Consumables Tracker'!$A:$D,4,FALSE()),""))</f>
        <v/>
      </c>
      <c r="H1090" s="22"/>
    </row>
    <row r="1091" spans="1:8">
      <c r="A1091" s="21"/>
      <c r="B1091" s="28"/>
      <c r="C1091" s="22"/>
      <c r="D1091" s="28"/>
      <c r="E1091" s="23" t="str">
        <f>IF($D1091="","",IFERROR(VLOOKUP($D1091,'ACAS Consumables Tracker'!$A:$H,8,FALSE()),""))</f>
        <v/>
      </c>
      <c r="F1091" s="24"/>
      <c r="G1091" s="25" t="str">
        <f>IF($D1091="","",IFERROR(VLOOKUP($D1091,'ACAS Consumables Tracker'!$A:$D,4,FALSE()),""))</f>
        <v/>
      </c>
      <c r="H1091" s="22"/>
    </row>
    <row r="1092" spans="1:8">
      <c r="A1092" s="21"/>
      <c r="B1092" s="28"/>
      <c r="C1092" s="22"/>
      <c r="D1092" s="28"/>
      <c r="E1092" s="23" t="str">
        <f>IF($D1092="","",IFERROR(VLOOKUP($D1092,'ACAS Consumables Tracker'!$A:$H,8,FALSE()),""))</f>
        <v/>
      </c>
      <c r="F1092" s="24"/>
      <c r="G1092" s="25" t="str">
        <f>IF($D1092="","",IFERROR(VLOOKUP($D1092,'ACAS Consumables Tracker'!$A:$D,4,FALSE()),""))</f>
        <v/>
      </c>
      <c r="H1092" s="22"/>
    </row>
    <row r="1093" spans="1:8">
      <c r="A1093" s="21"/>
      <c r="B1093" s="28"/>
      <c r="C1093" s="22"/>
      <c r="D1093" s="28"/>
      <c r="E1093" s="23" t="str">
        <f>IF($D1093="","",IFERROR(VLOOKUP($D1093,'ACAS Consumables Tracker'!$A:$H,8,FALSE()),""))</f>
        <v/>
      </c>
      <c r="F1093" s="24"/>
      <c r="G1093" s="25" t="str">
        <f>IF($D1093="","",IFERROR(VLOOKUP($D1093,'ACAS Consumables Tracker'!$A:$D,4,FALSE()),""))</f>
        <v/>
      </c>
      <c r="H1093" s="22"/>
    </row>
    <row r="1094" spans="1:8">
      <c r="A1094" s="21"/>
      <c r="B1094" s="28"/>
      <c r="C1094" s="22"/>
      <c r="D1094" s="28"/>
      <c r="E1094" s="23" t="str">
        <f>IF($D1094="","",IFERROR(VLOOKUP($D1094,'ACAS Consumables Tracker'!$A:$H,8,FALSE()),""))</f>
        <v/>
      </c>
      <c r="F1094" s="24"/>
      <c r="G1094" s="25" t="str">
        <f>IF($D1094="","",IFERROR(VLOOKUP($D1094,'ACAS Consumables Tracker'!$A:$D,4,FALSE()),""))</f>
        <v/>
      </c>
      <c r="H1094" s="22"/>
    </row>
    <row r="1095" spans="1:8">
      <c r="A1095" s="21"/>
      <c r="B1095" s="28"/>
      <c r="C1095" s="22"/>
      <c r="D1095" s="28"/>
      <c r="E1095" s="23" t="str">
        <f>IF($D1095="","",IFERROR(VLOOKUP($D1095,'ACAS Consumables Tracker'!$A:$H,8,FALSE()),""))</f>
        <v/>
      </c>
      <c r="F1095" s="24"/>
      <c r="G1095" s="25" t="str">
        <f>IF($D1095="","",IFERROR(VLOOKUP($D1095,'ACAS Consumables Tracker'!$A:$D,4,FALSE()),""))</f>
        <v/>
      </c>
      <c r="H1095" s="22"/>
    </row>
    <row r="1096" spans="1:8">
      <c r="A1096" s="21"/>
      <c r="B1096" s="28"/>
      <c r="C1096" s="22"/>
      <c r="D1096" s="28"/>
      <c r="E1096" s="23" t="str">
        <f>IF($D1096="","",IFERROR(VLOOKUP($D1096,'ACAS Consumables Tracker'!$A:$H,8,FALSE()),""))</f>
        <v/>
      </c>
      <c r="F1096" s="24"/>
      <c r="G1096" s="25" t="str">
        <f>IF($D1096="","",IFERROR(VLOOKUP($D1096,'ACAS Consumables Tracker'!$A:$D,4,FALSE()),""))</f>
        <v/>
      </c>
      <c r="H1096" s="22"/>
    </row>
    <row r="1097" spans="1:8">
      <c r="A1097" s="21"/>
      <c r="B1097" s="28"/>
      <c r="C1097" s="22"/>
      <c r="D1097" s="28"/>
      <c r="E1097" s="23" t="str">
        <f>IF($D1097="","",IFERROR(VLOOKUP($D1097,'ACAS Consumables Tracker'!$A:$H,8,FALSE()),""))</f>
        <v/>
      </c>
      <c r="F1097" s="24"/>
      <c r="G1097" s="25" t="str">
        <f>IF($D1097="","",IFERROR(VLOOKUP($D1097,'ACAS Consumables Tracker'!$A:$D,4,FALSE()),""))</f>
        <v/>
      </c>
      <c r="H1097" s="22"/>
    </row>
    <row r="1098" spans="1:8">
      <c r="A1098" s="21"/>
      <c r="B1098" s="28"/>
      <c r="C1098" s="22"/>
      <c r="D1098" s="28"/>
      <c r="E1098" s="23" t="str">
        <f>IF($D1098="","",IFERROR(VLOOKUP($D1098,'ACAS Consumables Tracker'!$A:$H,8,FALSE()),""))</f>
        <v/>
      </c>
      <c r="F1098" s="24"/>
      <c r="G1098" s="25" t="str">
        <f>IF($D1098="","",IFERROR(VLOOKUP($D1098,'ACAS Consumables Tracker'!$A:$D,4,FALSE()),""))</f>
        <v/>
      </c>
      <c r="H1098" s="22"/>
    </row>
    <row r="1099" spans="1:8">
      <c r="A1099" s="21"/>
      <c r="B1099" s="28"/>
      <c r="C1099" s="22"/>
      <c r="D1099" s="28"/>
      <c r="E1099" s="23" t="str">
        <f>IF($D1099="","",IFERROR(VLOOKUP($D1099,'ACAS Consumables Tracker'!$A:$H,8,FALSE()),""))</f>
        <v/>
      </c>
      <c r="F1099" s="24"/>
      <c r="G1099" s="25" t="str">
        <f>IF($D1099="","",IFERROR(VLOOKUP($D1099,'ACAS Consumables Tracker'!$A:$D,4,FALSE()),""))</f>
        <v/>
      </c>
      <c r="H1099" s="22"/>
    </row>
    <row r="1100" spans="1:8">
      <c r="A1100" s="21"/>
      <c r="B1100" s="28"/>
      <c r="C1100" s="22"/>
      <c r="D1100" s="28"/>
      <c r="E1100" s="23" t="str">
        <f>IF($D1100="","",IFERROR(VLOOKUP($D1100,'ACAS Consumables Tracker'!$A:$H,8,FALSE()),""))</f>
        <v/>
      </c>
      <c r="F1100" s="24"/>
      <c r="G1100" s="25" t="str">
        <f>IF($D1100="","",IFERROR(VLOOKUP($D1100,'ACAS Consumables Tracker'!$A:$D,4,FALSE()),""))</f>
        <v/>
      </c>
      <c r="H1100" s="22"/>
    </row>
    <row r="1101" spans="1:8">
      <c r="A1101" s="21"/>
      <c r="B1101" s="28"/>
      <c r="C1101" s="22"/>
      <c r="D1101" s="28"/>
      <c r="E1101" s="23" t="str">
        <f>IF($D1101="","",IFERROR(VLOOKUP($D1101,'ACAS Consumables Tracker'!$A:$H,8,FALSE()),""))</f>
        <v/>
      </c>
      <c r="F1101" s="24"/>
      <c r="G1101" s="25" t="str">
        <f>IF($D1101="","",IFERROR(VLOOKUP($D1101,'ACAS Consumables Tracker'!$A:$D,4,FALSE()),""))</f>
        <v/>
      </c>
      <c r="H1101" s="22"/>
    </row>
    <row r="1102" spans="1:8">
      <c r="A1102" s="21"/>
      <c r="B1102" s="28"/>
      <c r="C1102" s="22"/>
      <c r="D1102" s="28"/>
      <c r="E1102" s="23" t="str">
        <f>IF($D1102="","",IFERROR(VLOOKUP($D1102,'ACAS Consumables Tracker'!$A:$H,8,FALSE()),""))</f>
        <v/>
      </c>
      <c r="F1102" s="24"/>
      <c r="G1102" s="25" t="str">
        <f>IF($D1102="","",IFERROR(VLOOKUP($D1102,'ACAS Consumables Tracker'!$A:$D,4,FALSE()),""))</f>
        <v/>
      </c>
      <c r="H1102" s="22"/>
    </row>
    <row r="1103" spans="1:8">
      <c r="A1103" s="21"/>
      <c r="B1103" s="28"/>
      <c r="C1103" s="22"/>
      <c r="D1103" s="28"/>
      <c r="E1103" s="23" t="str">
        <f>IF($D1103="","",IFERROR(VLOOKUP($D1103,'ACAS Consumables Tracker'!$A:$H,8,FALSE()),""))</f>
        <v/>
      </c>
      <c r="F1103" s="24"/>
      <c r="G1103" s="25" t="str">
        <f>IF($D1103="","",IFERROR(VLOOKUP($D1103,'ACAS Consumables Tracker'!$A:$D,4,FALSE()),""))</f>
        <v/>
      </c>
      <c r="H1103" s="22"/>
    </row>
    <row r="1104" spans="1:8">
      <c r="A1104" s="21"/>
      <c r="B1104" s="28"/>
      <c r="C1104" s="22"/>
      <c r="D1104" s="28"/>
      <c r="E1104" s="23" t="str">
        <f>IF($D1104="","",IFERROR(VLOOKUP($D1104,'ACAS Consumables Tracker'!$A:$H,8,FALSE()),""))</f>
        <v/>
      </c>
      <c r="F1104" s="24"/>
      <c r="G1104" s="25" t="str">
        <f>IF($D1104="","",IFERROR(VLOOKUP($D1104,'ACAS Consumables Tracker'!$A:$D,4,FALSE()),""))</f>
        <v/>
      </c>
      <c r="H1104" s="22"/>
    </row>
    <row r="1105" spans="1:8">
      <c r="A1105" s="21"/>
      <c r="B1105" s="28"/>
      <c r="C1105" s="22"/>
      <c r="D1105" s="28"/>
      <c r="E1105" s="23" t="str">
        <f>IF($D1105="","",IFERROR(VLOOKUP($D1105,'ACAS Consumables Tracker'!$A:$H,8,FALSE()),""))</f>
        <v/>
      </c>
      <c r="F1105" s="24"/>
      <c r="G1105" s="25" t="str">
        <f>IF($D1105="","",IFERROR(VLOOKUP($D1105,'ACAS Consumables Tracker'!$A:$D,4,FALSE()),""))</f>
        <v/>
      </c>
      <c r="H1105" s="22"/>
    </row>
    <row r="1106" spans="1:8">
      <c r="A1106" s="21"/>
      <c r="B1106" s="28"/>
      <c r="C1106" s="22"/>
      <c r="D1106" s="28"/>
      <c r="E1106" s="23" t="str">
        <f>IF($D1106="","",IFERROR(VLOOKUP($D1106,'ACAS Consumables Tracker'!$A:$H,8,FALSE()),""))</f>
        <v/>
      </c>
      <c r="F1106" s="24"/>
      <c r="G1106" s="25" t="str">
        <f>IF($D1106="","",IFERROR(VLOOKUP($D1106,'ACAS Consumables Tracker'!$A:$D,4,FALSE()),""))</f>
        <v/>
      </c>
      <c r="H1106" s="22"/>
    </row>
    <row r="1107" spans="1:8">
      <c r="A1107" s="21"/>
      <c r="B1107" s="28"/>
      <c r="C1107" s="22"/>
      <c r="D1107" s="28"/>
      <c r="E1107" s="23" t="str">
        <f>IF($D1107="","",IFERROR(VLOOKUP($D1107,'ACAS Consumables Tracker'!$A:$H,8,FALSE()),""))</f>
        <v/>
      </c>
      <c r="F1107" s="24"/>
      <c r="G1107" s="25" t="str">
        <f>IF($D1107="","",IFERROR(VLOOKUP($D1107,'ACAS Consumables Tracker'!$A:$D,4,FALSE()),""))</f>
        <v/>
      </c>
      <c r="H1107" s="22"/>
    </row>
    <row r="1108" spans="1:8">
      <c r="A1108" s="21"/>
      <c r="B1108" s="28"/>
      <c r="C1108" s="22"/>
      <c r="D1108" s="28"/>
      <c r="E1108" s="23" t="str">
        <f>IF($D1108="","",IFERROR(VLOOKUP($D1108,'ACAS Consumables Tracker'!$A:$H,8,FALSE()),""))</f>
        <v/>
      </c>
      <c r="F1108" s="24"/>
      <c r="G1108" s="25" t="str">
        <f>IF($D1108="","",IFERROR(VLOOKUP($D1108,'ACAS Consumables Tracker'!$A:$D,4,FALSE()),""))</f>
        <v/>
      </c>
      <c r="H1108" s="22"/>
    </row>
    <row r="1109" spans="1:8">
      <c r="A1109" s="21"/>
      <c r="B1109" s="28"/>
      <c r="C1109" s="22"/>
      <c r="D1109" s="28"/>
      <c r="E1109" s="23" t="str">
        <f>IF($D1109="","",IFERROR(VLOOKUP($D1109,'ACAS Consumables Tracker'!$A:$H,8,FALSE()),""))</f>
        <v/>
      </c>
      <c r="F1109" s="24"/>
      <c r="G1109" s="25" t="str">
        <f>IF($D1109="","",IFERROR(VLOOKUP($D1109,'ACAS Consumables Tracker'!$A:$D,4,FALSE()),""))</f>
        <v/>
      </c>
      <c r="H1109" s="22"/>
    </row>
    <row r="1110" spans="1:8">
      <c r="A1110" s="21"/>
      <c r="B1110" s="28"/>
      <c r="C1110" s="22"/>
      <c r="D1110" s="28"/>
      <c r="E1110" s="23" t="str">
        <f>IF($D1110="","",IFERROR(VLOOKUP($D1110,'ACAS Consumables Tracker'!$A:$H,8,FALSE()),""))</f>
        <v/>
      </c>
      <c r="F1110" s="24"/>
      <c r="G1110" s="25" t="str">
        <f>IF($D1110="","",IFERROR(VLOOKUP($D1110,'ACAS Consumables Tracker'!$A:$D,4,FALSE()),""))</f>
        <v/>
      </c>
      <c r="H1110" s="22"/>
    </row>
    <row r="1111" spans="1:8">
      <c r="A1111" s="21"/>
      <c r="B1111" s="28"/>
      <c r="C1111" s="22"/>
      <c r="D1111" s="28"/>
      <c r="E1111" s="23" t="str">
        <f>IF($D1111="","",IFERROR(VLOOKUP($D1111,'ACAS Consumables Tracker'!$A:$H,8,FALSE()),""))</f>
        <v/>
      </c>
      <c r="F1111" s="24"/>
      <c r="G1111" s="25" t="str">
        <f>IF($D1111="","",IFERROR(VLOOKUP($D1111,'ACAS Consumables Tracker'!$A:$D,4,FALSE()),""))</f>
        <v/>
      </c>
      <c r="H1111" s="22"/>
    </row>
    <row r="1112" spans="1:8">
      <c r="A1112" s="21"/>
      <c r="B1112" s="28"/>
      <c r="C1112" s="22"/>
      <c r="D1112" s="28"/>
      <c r="E1112" s="23" t="str">
        <f>IF($D1112="","",IFERROR(VLOOKUP($D1112,'ACAS Consumables Tracker'!$A:$H,8,FALSE()),""))</f>
        <v/>
      </c>
      <c r="F1112" s="24"/>
      <c r="G1112" s="25" t="str">
        <f>IF($D1112="","",IFERROR(VLOOKUP($D1112,'ACAS Consumables Tracker'!$A:$D,4,FALSE()),""))</f>
        <v/>
      </c>
      <c r="H1112" s="22"/>
    </row>
    <row r="1113" spans="1:8">
      <c r="A1113" s="21"/>
      <c r="B1113" s="28"/>
      <c r="C1113" s="22"/>
      <c r="D1113" s="28"/>
      <c r="E1113" s="23" t="str">
        <f>IF($D1113="","",IFERROR(VLOOKUP($D1113,'ACAS Consumables Tracker'!$A:$H,8,FALSE()),""))</f>
        <v/>
      </c>
      <c r="F1113" s="24"/>
      <c r="G1113" s="25" t="str">
        <f>IF($D1113="","",IFERROR(VLOOKUP($D1113,'ACAS Consumables Tracker'!$A:$D,4,FALSE()),""))</f>
        <v/>
      </c>
      <c r="H1113" s="22"/>
    </row>
    <row r="1114" spans="1:8">
      <c r="A1114" s="21"/>
      <c r="B1114" s="28"/>
      <c r="C1114" s="22"/>
      <c r="D1114" s="28"/>
      <c r="E1114" s="23" t="str">
        <f>IF($D1114="","",IFERROR(VLOOKUP($D1114,'ACAS Consumables Tracker'!$A:$H,8,FALSE()),""))</f>
        <v/>
      </c>
      <c r="F1114" s="24"/>
      <c r="G1114" s="25" t="str">
        <f>IF($D1114="","",IFERROR(VLOOKUP($D1114,'ACAS Consumables Tracker'!$A:$D,4,FALSE()),""))</f>
        <v/>
      </c>
      <c r="H1114" s="22"/>
    </row>
    <row r="1115" spans="1:8">
      <c r="A1115" s="21"/>
      <c r="B1115" s="28"/>
      <c r="C1115" s="22"/>
      <c r="D1115" s="28"/>
      <c r="E1115" s="23" t="str">
        <f>IF($D1115="","",IFERROR(VLOOKUP($D1115,'ACAS Consumables Tracker'!$A:$H,8,FALSE()),""))</f>
        <v/>
      </c>
      <c r="F1115" s="24"/>
      <c r="G1115" s="25" t="str">
        <f>IF($D1115="","",IFERROR(VLOOKUP($D1115,'ACAS Consumables Tracker'!$A:$D,4,FALSE()),""))</f>
        <v/>
      </c>
      <c r="H1115" s="22"/>
    </row>
    <row r="1116" spans="1:8">
      <c r="A1116" s="21"/>
      <c r="B1116" s="28"/>
      <c r="C1116" s="22"/>
      <c r="D1116" s="28"/>
      <c r="E1116" s="23" t="str">
        <f>IF($D1116="","",IFERROR(VLOOKUP($D1116,'ACAS Consumables Tracker'!$A:$H,8,FALSE()),""))</f>
        <v/>
      </c>
      <c r="F1116" s="24"/>
      <c r="G1116" s="25" t="str">
        <f>IF($D1116="","",IFERROR(VLOOKUP($D1116,'ACAS Consumables Tracker'!$A:$D,4,FALSE()),""))</f>
        <v/>
      </c>
      <c r="H1116" s="22"/>
    </row>
    <row r="1117" spans="1:8">
      <c r="A1117" s="21"/>
      <c r="B1117" s="28"/>
      <c r="C1117" s="22"/>
      <c r="D1117" s="28"/>
      <c r="E1117" s="23" t="str">
        <f>IF($D1117="","",IFERROR(VLOOKUP($D1117,'ACAS Consumables Tracker'!$A:$H,8,FALSE()),""))</f>
        <v/>
      </c>
      <c r="F1117" s="24"/>
      <c r="G1117" s="25" t="str">
        <f>IF($D1117="","",IFERROR(VLOOKUP($D1117,'ACAS Consumables Tracker'!$A:$D,4,FALSE()),""))</f>
        <v/>
      </c>
      <c r="H1117" s="22"/>
    </row>
    <row r="1118" spans="1:8">
      <c r="A1118" s="21"/>
      <c r="B1118" s="28"/>
      <c r="C1118" s="22"/>
      <c r="D1118" s="28"/>
      <c r="E1118" s="23" t="str">
        <f>IF($D1118="","",IFERROR(VLOOKUP($D1118,'ACAS Consumables Tracker'!$A:$H,8,FALSE()),""))</f>
        <v/>
      </c>
      <c r="F1118" s="24"/>
      <c r="G1118" s="25" t="str">
        <f>IF($D1118="","",IFERROR(VLOOKUP($D1118,'ACAS Consumables Tracker'!$A:$D,4,FALSE()),""))</f>
        <v/>
      </c>
      <c r="H1118" s="22"/>
    </row>
    <row r="1119" spans="1:8">
      <c r="A1119" s="21"/>
      <c r="B1119" s="28"/>
      <c r="C1119" s="22"/>
      <c r="D1119" s="28"/>
      <c r="E1119" s="23" t="str">
        <f>IF($D1119="","",IFERROR(VLOOKUP($D1119,'ACAS Consumables Tracker'!$A:$H,8,FALSE()),""))</f>
        <v/>
      </c>
      <c r="F1119" s="24"/>
      <c r="G1119" s="25" t="str">
        <f>IF($D1119="","",IFERROR(VLOOKUP($D1119,'ACAS Consumables Tracker'!$A:$D,4,FALSE()),""))</f>
        <v/>
      </c>
      <c r="H1119" s="22"/>
    </row>
    <row r="1120" spans="1:8">
      <c r="A1120" s="21"/>
      <c r="B1120" s="28"/>
      <c r="C1120" s="22"/>
      <c r="D1120" s="28"/>
      <c r="E1120" s="23" t="str">
        <f>IF($D1120="","",IFERROR(VLOOKUP($D1120,'ACAS Consumables Tracker'!$A:$H,8,FALSE()),""))</f>
        <v/>
      </c>
      <c r="F1120" s="24"/>
      <c r="G1120" s="25" t="str">
        <f>IF($D1120="","",IFERROR(VLOOKUP($D1120,'ACAS Consumables Tracker'!$A:$D,4,FALSE()),""))</f>
        <v/>
      </c>
      <c r="H1120" s="22"/>
    </row>
    <row r="1121" spans="1:8">
      <c r="A1121" s="21"/>
      <c r="B1121" s="28"/>
      <c r="C1121" s="22"/>
      <c r="D1121" s="28"/>
      <c r="E1121" s="23" t="str">
        <f>IF($D1121="","",IFERROR(VLOOKUP($D1121,'ACAS Consumables Tracker'!$A:$H,8,FALSE()),""))</f>
        <v/>
      </c>
      <c r="F1121" s="24"/>
      <c r="G1121" s="25" t="str">
        <f>IF($D1121="","",IFERROR(VLOOKUP($D1121,'ACAS Consumables Tracker'!$A:$D,4,FALSE()),""))</f>
        <v/>
      </c>
      <c r="H1121" s="22"/>
    </row>
    <row r="1122" spans="1:8">
      <c r="A1122" s="21"/>
      <c r="B1122" s="28"/>
      <c r="C1122" s="22"/>
      <c r="D1122" s="28"/>
      <c r="E1122" s="23" t="str">
        <f>IF($D1122="","",IFERROR(VLOOKUP($D1122,'ACAS Consumables Tracker'!$A:$H,8,FALSE()),""))</f>
        <v/>
      </c>
      <c r="F1122" s="24"/>
      <c r="G1122" s="25" t="str">
        <f>IF($D1122="","",IFERROR(VLOOKUP($D1122,'ACAS Consumables Tracker'!$A:$D,4,FALSE()),""))</f>
        <v/>
      </c>
      <c r="H1122" s="22"/>
    </row>
    <row r="1123" spans="1:8">
      <c r="A1123" s="21"/>
      <c r="B1123" s="28"/>
      <c r="C1123" s="22"/>
      <c r="D1123" s="28"/>
      <c r="E1123" s="23" t="str">
        <f>IF($D1123="","",IFERROR(VLOOKUP($D1123,'ACAS Consumables Tracker'!$A:$H,8,FALSE()),""))</f>
        <v/>
      </c>
      <c r="F1123" s="24"/>
      <c r="G1123" s="25" t="str">
        <f>IF($D1123="","",IFERROR(VLOOKUP($D1123,'ACAS Consumables Tracker'!$A:$D,4,FALSE()),""))</f>
        <v/>
      </c>
      <c r="H1123" s="22"/>
    </row>
    <row r="1124" spans="1:8">
      <c r="A1124" s="21"/>
      <c r="B1124" s="28"/>
      <c r="C1124" s="22"/>
      <c r="D1124" s="28"/>
      <c r="E1124" s="23" t="str">
        <f>IF($D1124="","",IFERROR(VLOOKUP($D1124,'ACAS Consumables Tracker'!$A:$H,8,FALSE()),""))</f>
        <v/>
      </c>
      <c r="F1124" s="24"/>
      <c r="G1124" s="25" t="str">
        <f>IF($D1124="","",IFERROR(VLOOKUP($D1124,'ACAS Consumables Tracker'!$A:$D,4,FALSE()),""))</f>
        <v/>
      </c>
      <c r="H1124" s="22"/>
    </row>
    <row r="1125" spans="1:8">
      <c r="A1125" s="21"/>
      <c r="B1125" s="28"/>
      <c r="C1125" s="22"/>
      <c r="D1125" s="28"/>
      <c r="E1125" s="23" t="str">
        <f>IF($D1125="","",IFERROR(VLOOKUP($D1125,'ACAS Consumables Tracker'!$A:$H,8,FALSE()),""))</f>
        <v/>
      </c>
      <c r="F1125" s="24"/>
      <c r="G1125" s="25" t="str">
        <f>IF($D1125="","",IFERROR(VLOOKUP($D1125,'ACAS Consumables Tracker'!$A:$D,4,FALSE()),""))</f>
        <v/>
      </c>
      <c r="H1125" s="22"/>
    </row>
    <row r="1126" spans="1:8">
      <c r="A1126" s="21"/>
      <c r="B1126" s="28"/>
      <c r="C1126" s="22"/>
      <c r="D1126" s="28"/>
      <c r="E1126" s="23" t="str">
        <f>IF($D1126="","",IFERROR(VLOOKUP($D1126,'ACAS Consumables Tracker'!$A:$H,8,FALSE()),""))</f>
        <v/>
      </c>
      <c r="F1126" s="24"/>
      <c r="G1126" s="25" t="str">
        <f>IF($D1126="","",IFERROR(VLOOKUP($D1126,'ACAS Consumables Tracker'!$A:$D,4,FALSE()),""))</f>
        <v/>
      </c>
      <c r="H1126" s="22"/>
    </row>
    <row r="1127" spans="1:8">
      <c r="A1127" s="21"/>
      <c r="B1127" s="28"/>
      <c r="C1127" s="22"/>
      <c r="D1127" s="28"/>
      <c r="E1127" s="23" t="str">
        <f>IF($D1127="","",IFERROR(VLOOKUP($D1127,'ACAS Consumables Tracker'!$A:$H,8,FALSE()),""))</f>
        <v/>
      </c>
      <c r="F1127" s="24"/>
      <c r="G1127" s="25" t="str">
        <f>IF($D1127="","",IFERROR(VLOOKUP($D1127,'ACAS Consumables Tracker'!$A:$D,4,FALSE()),""))</f>
        <v/>
      </c>
      <c r="H1127" s="22"/>
    </row>
    <row r="1128" spans="1:8">
      <c r="A1128" s="21"/>
      <c r="B1128" s="28"/>
      <c r="C1128" s="22"/>
      <c r="D1128" s="28"/>
      <c r="E1128" s="23" t="str">
        <f>IF($D1128="","",IFERROR(VLOOKUP($D1128,'ACAS Consumables Tracker'!$A:$H,8,FALSE()),""))</f>
        <v/>
      </c>
      <c r="F1128" s="24"/>
      <c r="G1128" s="25" t="str">
        <f>IF($D1128="","",IFERROR(VLOOKUP($D1128,'ACAS Consumables Tracker'!$A:$D,4,FALSE()),""))</f>
        <v/>
      </c>
      <c r="H1128" s="22"/>
    </row>
    <row r="1129" spans="1:8">
      <c r="A1129" s="21"/>
      <c r="B1129" s="28"/>
      <c r="C1129" s="22"/>
      <c r="D1129" s="28"/>
      <c r="E1129" s="23" t="str">
        <f>IF($D1129="","",IFERROR(VLOOKUP($D1129,'ACAS Consumables Tracker'!$A:$H,8,FALSE()),""))</f>
        <v/>
      </c>
      <c r="F1129" s="24"/>
      <c r="G1129" s="25" t="str">
        <f>IF($D1129="","",IFERROR(VLOOKUP($D1129,'ACAS Consumables Tracker'!$A:$D,4,FALSE()),""))</f>
        <v/>
      </c>
      <c r="H1129" s="22"/>
    </row>
    <row r="1130" spans="1:8">
      <c r="A1130" s="21"/>
      <c r="B1130" s="28"/>
      <c r="C1130" s="22"/>
      <c r="D1130" s="28"/>
      <c r="E1130" s="23" t="str">
        <f>IF($D1130="","",IFERROR(VLOOKUP($D1130,'ACAS Consumables Tracker'!$A:$H,8,FALSE()),""))</f>
        <v/>
      </c>
      <c r="F1130" s="24"/>
      <c r="G1130" s="25" t="str">
        <f>IF($D1130="","",IFERROR(VLOOKUP($D1130,'ACAS Consumables Tracker'!$A:$D,4,FALSE()),""))</f>
        <v/>
      </c>
      <c r="H1130" s="22"/>
    </row>
    <row r="1131" spans="1:8">
      <c r="A1131" s="21"/>
      <c r="B1131" s="28"/>
      <c r="C1131" s="22"/>
      <c r="D1131" s="28"/>
      <c r="E1131" s="23" t="str">
        <f>IF($D1131="","",IFERROR(VLOOKUP($D1131,'ACAS Consumables Tracker'!$A:$H,8,FALSE()),""))</f>
        <v/>
      </c>
      <c r="F1131" s="24"/>
      <c r="G1131" s="25" t="str">
        <f>IF($D1131="","",IFERROR(VLOOKUP($D1131,'ACAS Consumables Tracker'!$A:$D,4,FALSE()),""))</f>
        <v/>
      </c>
      <c r="H1131" s="22"/>
    </row>
    <row r="1132" spans="1:8">
      <c r="A1132" s="21"/>
      <c r="B1132" s="28"/>
      <c r="C1132" s="22"/>
      <c r="D1132" s="28"/>
      <c r="E1132" s="23" t="str">
        <f>IF($D1132="","",IFERROR(VLOOKUP($D1132,'ACAS Consumables Tracker'!$A:$H,8,FALSE()),""))</f>
        <v/>
      </c>
      <c r="F1132" s="24"/>
      <c r="G1132" s="25" t="str">
        <f>IF($D1132="","",IFERROR(VLOOKUP($D1132,'ACAS Consumables Tracker'!$A:$D,4,FALSE()),""))</f>
        <v/>
      </c>
      <c r="H1132" s="22"/>
    </row>
    <row r="1133" spans="1:8">
      <c r="A1133" s="21"/>
      <c r="B1133" s="28"/>
      <c r="C1133" s="22"/>
      <c r="D1133" s="28"/>
      <c r="E1133" s="23" t="str">
        <f>IF($D1133="","",IFERROR(VLOOKUP($D1133,'ACAS Consumables Tracker'!$A:$H,8,FALSE()),""))</f>
        <v/>
      </c>
      <c r="F1133" s="24"/>
      <c r="G1133" s="25" t="str">
        <f>IF($D1133="","",IFERROR(VLOOKUP($D1133,'ACAS Consumables Tracker'!$A:$D,4,FALSE()),""))</f>
        <v/>
      </c>
      <c r="H1133" s="22"/>
    </row>
    <row r="1134" spans="1:8">
      <c r="A1134" s="21"/>
      <c r="B1134" s="28"/>
      <c r="C1134" s="22"/>
      <c r="D1134" s="28"/>
      <c r="E1134" s="23" t="str">
        <f>IF($D1134="","",IFERROR(VLOOKUP($D1134,'ACAS Consumables Tracker'!$A:$H,8,FALSE()),""))</f>
        <v/>
      </c>
      <c r="F1134" s="24"/>
      <c r="G1134" s="25" t="str">
        <f>IF($D1134="","",IFERROR(VLOOKUP($D1134,'ACAS Consumables Tracker'!$A:$D,4,FALSE()),""))</f>
        <v/>
      </c>
      <c r="H1134" s="22"/>
    </row>
    <row r="1135" spans="1:8">
      <c r="A1135" s="21"/>
      <c r="B1135" s="28"/>
      <c r="C1135" s="22"/>
      <c r="D1135" s="28"/>
      <c r="E1135" s="23" t="str">
        <f>IF($D1135="","",IFERROR(VLOOKUP($D1135,'ACAS Consumables Tracker'!$A:$H,8,FALSE()),""))</f>
        <v/>
      </c>
      <c r="F1135" s="24"/>
      <c r="G1135" s="25" t="str">
        <f>IF($D1135="","",IFERROR(VLOOKUP($D1135,'ACAS Consumables Tracker'!$A:$D,4,FALSE()),""))</f>
        <v/>
      </c>
      <c r="H1135" s="22"/>
    </row>
    <row r="1136" spans="1:8">
      <c r="A1136" s="21"/>
      <c r="B1136" s="28"/>
      <c r="C1136" s="22"/>
      <c r="D1136" s="28"/>
      <c r="E1136" s="23" t="str">
        <f>IF($D1136="","",IFERROR(VLOOKUP($D1136,'ACAS Consumables Tracker'!$A:$H,8,FALSE()),""))</f>
        <v/>
      </c>
      <c r="F1136" s="24"/>
      <c r="G1136" s="25" t="str">
        <f>IF($D1136="","",IFERROR(VLOOKUP($D1136,'ACAS Consumables Tracker'!$A:$D,4,FALSE()),""))</f>
        <v/>
      </c>
      <c r="H1136" s="22"/>
    </row>
    <row r="1137" spans="1:8">
      <c r="A1137" s="21"/>
      <c r="B1137" s="28"/>
      <c r="C1137" s="22"/>
      <c r="D1137" s="28"/>
      <c r="E1137" s="23" t="str">
        <f>IF($D1137="","",IFERROR(VLOOKUP($D1137,'ACAS Consumables Tracker'!$A:$H,8,FALSE()),""))</f>
        <v/>
      </c>
      <c r="F1137" s="24"/>
      <c r="G1137" s="25" t="str">
        <f>IF($D1137="","",IFERROR(VLOOKUP($D1137,'ACAS Consumables Tracker'!$A:$D,4,FALSE()),""))</f>
        <v/>
      </c>
      <c r="H1137" s="22"/>
    </row>
    <row r="1138" spans="1:8">
      <c r="A1138" s="21"/>
      <c r="B1138" s="28"/>
      <c r="C1138" s="22"/>
      <c r="D1138" s="28"/>
      <c r="E1138" s="23" t="str">
        <f>IF($D1138="","",IFERROR(VLOOKUP($D1138,'ACAS Consumables Tracker'!$A:$H,8,FALSE()),""))</f>
        <v/>
      </c>
      <c r="F1138" s="24"/>
      <c r="G1138" s="25" t="str">
        <f>IF($D1138="","",IFERROR(VLOOKUP($D1138,'ACAS Consumables Tracker'!$A:$D,4,FALSE()),""))</f>
        <v/>
      </c>
      <c r="H1138" s="22"/>
    </row>
    <row r="1139" spans="1:8">
      <c r="A1139" s="21"/>
      <c r="B1139" s="28"/>
      <c r="C1139" s="22"/>
      <c r="D1139" s="28"/>
      <c r="E1139" s="23" t="str">
        <f>IF($D1139="","",IFERROR(VLOOKUP($D1139,'ACAS Consumables Tracker'!$A:$H,8,FALSE()),""))</f>
        <v/>
      </c>
      <c r="F1139" s="24"/>
      <c r="G1139" s="25" t="str">
        <f>IF($D1139="","",IFERROR(VLOOKUP($D1139,'ACAS Consumables Tracker'!$A:$D,4,FALSE()),""))</f>
        <v/>
      </c>
      <c r="H1139" s="22"/>
    </row>
    <row r="1140" spans="1:8">
      <c r="A1140" s="21"/>
      <c r="B1140" s="28"/>
      <c r="C1140" s="22"/>
      <c r="D1140" s="28"/>
      <c r="E1140" s="23" t="str">
        <f>IF($D1140="","",IFERROR(VLOOKUP($D1140,'ACAS Consumables Tracker'!$A:$H,8,FALSE()),""))</f>
        <v/>
      </c>
      <c r="F1140" s="24"/>
      <c r="G1140" s="25" t="str">
        <f>IF($D1140="","",IFERROR(VLOOKUP($D1140,'ACAS Consumables Tracker'!$A:$D,4,FALSE()),""))</f>
        <v/>
      </c>
      <c r="H1140" s="22"/>
    </row>
    <row r="1141" spans="1:8">
      <c r="A1141" s="21"/>
      <c r="B1141" s="28"/>
      <c r="C1141" s="22"/>
      <c r="D1141" s="28"/>
      <c r="E1141" s="23" t="str">
        <f>IF($D1141="","",IFERROR(VLOOKUP($D1141,'ACAS Consumables Tracker'!$A:$H,8,FALSE()),""))</f>
        <v/>
      </c>
      <c r="F1141" s="24"/>
      <c r="G1141" s="25" t="str">
        <f>IF($D1141="","",IFERROR(VLOOKUP($D1141,'ACAS Consumables Tracker'!$A:$D,4,FALSE()),""))</f>
        <v/>
      </c>
      <c r="H1141" s="22"/>
    </row>
    <row r="1142" spans="1:8">
      <c r="A1142" s="21"/>
      <c r="B1142" s="28"/>
      <c r="C1142" s="22"/>
      <c r="D1142" s="28"/>
      <c r="E1142" s="23" t="str">
        <f>IF($D1142="","",IFERROR(VLOOKUP($D1142,'ACAS Consumables Tracker'!$A:$H,8,FALSE()),""))</f>
        <v/>
      </c>
      <c r="F1142" s="24"/>
      <c r="G1142" s="25" t="str">
        <f>IF($D1142="","",IFERROR(VLOOKUP($D1142,'ACAS Consumables Tracker'!$A:$D,4,FALSE()),""))</f>
        <v/>
      </c>
      <c r="H1142" s="22"/>
    </row>
    <row r="1143" spans="1:8">
      <c r="A1143" s="21"/>
      <c r="B1143" s="28"/>
      <c r="C1143" s="22"/>
      <c r="D1143" s="28"/>
      <c r="E1143" s="23" t="str">
        <f>IF($D1143="","",IFERROR(VLOOKUP($D1143,'ACAS Consumables Tracker'!$A:$H,8,FALSE()),""))</f>
        <v/>
      </c>
      <c r="F1143" s="24"/>
      <c r="G1143" s="25" t="str">
        <f>IF($D1143="","",IFERROR(VLOOKUP($D1143,'ACAS Consumables Tracker'!$A:$D,4,FALSE()),""))</f>
        <v/>
      </c>
      <c r="H1143" s="22"/>
    </row>
    <row r="1144" spans="1:8">
      <c r="A1144" s="21"/>
      <c r="B1144" s="28"/>
      <c r="C1144" s="22"/>
      <c r="D1144" s="28"/>
      <c r="E1144" s="23" t="str">
        <f>IF($D1144="","",IFERROR(VLOOKUP($D1144,'ACAS Consumables Tracker'!$A:$H,8,FALSE()),""))</f>
        <v/>
      </c>
      <c r="F1144" s="24"/>
      <c r="G1144" s="25" t="str">
        <f>IF($D1144="","",IFERROR(VLOOKUP($D1144,'ACAS Consumables Tracker'!$A:$D,4,FALSE()),""))</f>
        <v/>
      </c>
      <c r="H1144" s="22"/>
    </row>
    <row r="1145" spans="1:8">
      <c r="A1145" s="21"/>
      <c r="B1145" s="28"/>
      <c r="C1145" s="22"/>
      <c r="D1145" s="28"/>
      <c r="E1145" s="23" t="str">
        <f>IF($D1145="","",IFERROR(VLOOKUP($D1145,'ACAS Consumables Tracker'!$A:$H,8,FALSE()),""))</f>
        <v/>
      </c>
      <c r="F1145" s="24"/>
      <c r="G1145" s="25" t="str">
        <f>IF($D1145="","",IFERROR(VLOOKUP($D1145,'ACAS Consumables Tracker'!$A:$D,4,FALSE()),""))</f>
        <v/>
      </c>
      <c r="H1145" s="22"/>
    </row>
    <row r="1146" spans="1:8">
      <c r="A1146" s="21"/>
      <c r="B1146" s="28"/>
      <c r="C1146" s="22"/>
      <c r="D1146" s="28"/>
      <c r="E1146" s="23" t="str">
        <f>IF($D1146="","",IFERROR(VLOOKUP($D1146,'ACAS Consumables Tracker'!$A:$H,8,FALSE()),""))</f>
        <v/>
      </c>
      <c r="F1146" s="24"/>
      <c r="G1146" s="25" t="str">
        <f>IF($D1146="","",IFERROR(VLOOKUP($D1146,'ACAS Consumables Tracker'!$A:$D,4,FALSE()),""))</f>
        <v/>
      </c>
      <c r="H1146" s="22"/>
    </row>
    <row r="1147" spans="1:8">
      <c r="A1147" s="21"/>
      <c r="B1147" s="28"/>
      <c r="C1147" s="22"/>
      <c r="D1147" s="28"/>
      <c r="E1147" s="23" t="str">
        <f>IF($D1147="","",IFERROR(VLOOKUP($D1147,'ACAS Consumables Tracker'!$A:$H,8,FALSE()),""))</f>
        <v/>
      </c>
      <c r="F1147" s="24"/>
      <c r="G1147" s="25" t="str">
        <f>IF($D1147="","",IFERROR(VLOOKUP($D1147,'ACAS Consumables Tracker'!$A:$D,4,FALSE()),""))</f>
        <v/>
      </c>
      <c r="H1147" s="22"/>
    </row>
    <row r="1148" spans="1:8">
      <c r="A1148" s="21"/>
      <c r="B1148" s="28"/>
      <c r="C1148" s="22"/>
      <c r="D1148" s="28"/>
      <c r="E1148" s="23" t="str">
        <f>IF($D1148="","",IFERROR(VLOOKUP($D1148,'ACAS Consumables Tracker'!$A:$H,8,FALSE()),""))</f>
        <v/>
      </c>
      <c r="F1148" s="24"/>
      <c r="G1148" s="25" t="str">
        <f>IF($D1148="","",IFERROR(VLOOKUP($D1148,'ACAS Consumables Tracker'!$A:$D,4,FALSE()),""))</f>
        <v/>
      </c>
      <c r="H1148" s="22"/>
    </row>
    <row r="1149" spans="1:8">
      <c r="A1149" s="21"/>
      <c r="B1149" s="28"/>
      <c r="C1149" s="22"/>
      <c r="D1149" s="28"/>
      <c r="E1149" s="23" t="str">
        <f>IF($D1149="","",IFERROR(VLOOKUP($D1149,'ACAS Consumables Tracker'!$A:$H,8,FALSE()),""))</f>
        <v/>
      </c>
      <c r="F1149" s="24"/>
      <c r="G1149" s="25" t="str">
        <f>IF($D1149="","",IFERROR(VLOOKUP($D1149,'ACAS Consumables Tracker'!$A:$D,4,FALSE()),""))</f>
        <v/>
      </c>
      <c r="H1149" s="22"/>
    </row>
    <row r="1150" spans="1:8">
      <c r="A1150" s="21"/>
      <c r="B1150" s="28"/>
      <c r="C1150" s="22"/>
      <c r="D1150" s="28"/>
      <c r="E1150" s="23" t="str">
        <f>IF($D1150="","",IFERROR(VLOOKUP($D1150,'ACAS Consumables Tracker'!$A:$H,8,FALSE()),""))</f>
        <v/>
      </c>
      <c r="F1150" s="24"/>
      <c r="G1150" s="25" t="str">
        <f>IF($D1150="","",IFERROR(VLOOKUP($D1150,'ACAS Consumables Tracker'!$A:$D,4,FALSE()),""))</f>
        <v/>
      </c>
      <c r="H1150" s="22"/>
    </row>
    <row r="1151" spans="1:8">
      <c r="A1151" s="21"/>
      <c r="B1151" s="28"/>
      <c r="C1151" s="22"/>
      <c r="D1151" s="28"/>
      <c r="E1151" s="23" t="str">
        <f>IF($D1151="","",IFERROR(VLOOKUP($D1151,'ACAS Consumables Tracker'!$A:$H,8,FALSE()),""))</f>
        <v/>
      </c>
      <c r="F1151" s="24"/>
      <c r="G1151" s="25" t="str">
        <f>IF($D1151="","",IFERROR(VLOOKUP($D1151,'ACAS Consumables Tracker'!$A:$D,4,FALSE()),""))</f>
        <v/>
      </c>
      <c r="H1151" s="22"/>
    </row>
    <row r="1152" spans="1:8">
      <c r="A1152" s="21"/>
      <c r="B1152" s="28"/>
      <c r="C1152" s="22"/>
      <c r="D1152" s="28"/>
      <c r="E1152" s="23" t="str">
        <f>IF($D1152="","",IFERROR(VLOOKUP($D1152,'ACAS Consumables Tracker'!$A:$H,8,FALSE()),""))</f>
        <v/>
      </c>
      <c r="F1152" s="24"/>
      <c r="G1152" s="25" t="str">
        <f>IF($D1152="","",IFERROR(VLOOKUP($D1152,'ACAS Consumables Tracker'!$A:$D,4,FALSE()),""))</f>
        <v/>
      </c>
      <c r="H1152" s="22"/>
    </row>
    <row r="1153" spans="1:8">
      <c r="A1153" s="21"/>
      <c r="B1153" s="28"/>
      <c r="C1153" s="22"/>
      <c r="D1153" s="28"/>
      <c r="E1153" s="23" t="str">
        <f>IF($D1153="","",IFERROR(VLOOKUP($D1153,'ACAS Consumables Tracker'!$A:$H,8,FALSE()),""))</f>
        <v/>
      </c>
      <c r="F1153" s="24"/>
      <c r="G1153" s="25" t="str">
        <f>IF($D1153="","",IFERROR(VLOOKUP($D1153,'ACAS Consumables Tracker'!$A:$D,4,FALSE()),""))</f>
        <v/>
      </c>
      <c r="H1153" s="22"/>
    </row>
    <row r="1154" spans="1:8">
      <c r="A1154" s="21"/>
      <c r="B1154" s="28"/>
      <c r="C1154" s="22"/>
      <c r="D1154" s="28"/>
      <c r="E1154" s="23" t="str">
        <f>IF($D1154="","",IFERROR(VLOOKUP($D1154,'ACAS Consumables Tracker'!$A:$H,8,FALSE()),""))</f>
        <v/>
      </c>
      <c r="F1154" s="24"/>
      <c r="G1154" s="25" t="str">
        <f>IF($D1154="","",IFERROR(VLOOKUP($D1154,'ACAS Consumables Tracker'!$A:$D,4,FALSE()),""))</f>
        <v/>
      </c>
      <c r="H1154" s="22"/>
    </row>
    <row r="1155" spans="1:8">
      <c r="A1155" s="21"/>
      <c r="B1155" s="28"/>
      <c r="C1155" s="22"/>
      <c r="D1155" s="28"/>
      <c r="E1155" s="23" t="str">
        <f>IF($D1155="","",IFERROR(VLOOKUP($D1155,'ACAS Consumables Tracker'!$A:$H,8,FALSE()),""))</f>
        <v/>
      </c>
      <c r="F1155" s="24"/>
      <c r="G1155" s="25" t="str">
        <f>IF($D1155="","",IFERROR(VLOOKUP($D1155,'ACAS Consumables Tracker'!$A:$D,4,FALSE()),""))</f>
        <v/>
      </c>
      <c r="H1155" s="22"/>
    </row>
    <row r="1156" spans="1:8">
      <c r="A1156" s="21"/>
      <c r="B1156" s="28"/>
      <c r="C1156" s="22"/>
      <c r="D1156" s="28"/>
      <c r="E1156" s="23" t="str">
        <f>IF($D1156="","",IFERROR(VLOOKUP($D1156,'ACAS Consumables Tracker'!$A:$H,8,FALSE()),""))</f>
        <v/>
      </c>
      <c r="F1156" s="24"/>
      <c r="G1156" s="25" t="str">
        <f>IF($D1156="","",IFERROR(VLOOKUP($D1156,'ACAS Consumables Tracker'!$A:$D,4,FALSE()),""))</f>
        <v/>
      </c>
      <c r="H1156" s="22"/>
    </row>
    <row r="1157" spans="1:8">
      <c r="A1157" s="21"/>
      <c r="B1157" s="28"/>
      <c r="C1157" s="22"/>
      <c r="D1157" s="28"/>
      <c r="E1157" s="23" t="str">
        <f>IF($D1157="","",IFERROR(VLOOKUP($D1157,'ACAS Consumables Tracker'!$A:$H,8,FALSE()),""))</f>
        <v/>
      </c>
      <c r="F1157" s="24"/>
      <c r="G1157" s="25" t="str">
        <f>IF($D1157="","",IFERROR(VLOOKUP($D1157,'ACAS Consumables Tracker'!$A:$D,4,FALSE()),""))</f>
        <v/>
      </c>
      <c r="H1157" s="22"/>
    </row>
    <row r="1158" spans="1:8">
      <c r="A1158" s="21"/>
      <c r="B1158" s="28"/>
      <c r="C1158" s="22"/>
      <c r="D1158" s="28"/>
      <c r="E1158" s="23" t="str">
        <f>IF($D1158="","",IFERROR(VLOOKUP($D1158,'ACAS Consumables Tracker'!$A:$H,8,FALSE()),""))</f>
        <v/>
      </c>
      <c r="F1158" s="24"/>
      <c r="G1158" s="25" t="str">
        <f>IF($D1158="","",IFERROR(VLOOKUP($D1158,'ACAS Consumables Tracker'!$A:$D,4,FALSE()),""))</f>
        <v/>
      </c>
      <c r="H1158" s="22"/>
    </row>
    <row r="1159" spans="1:8">
      <c r="A1159" s="21"/>
      <c r="B1159" s="28"/>
      <c r="C1159" s="22"/>
      <c r="D1159" s="28"/>
      <c r="E1159" s="23" t="str">
        <f>IF($D1159="","",IFERROR(VLOOKUP($D1159,'ACAS Consumables Tracker'!$A:$H,8,FALSE()),""))</f>
        <v/>
      </c>
      <c r="F1159" s="24"/>
      <c r="G1159" s="25" t="str">
        <f>IF($D1159="","",IFERROR(VLOOKUP($D1159,'ACAS Consumables Tracker'!$A:$D,4,FALSE()),""))</f>
        <v/>
      </c>
      <c r="H1159" s="22"/>
    </row>
    <row r="1160" spans="1:8">
      <c r="A1160" s="21"/>
      <c r="B1160" s="28"/>
      <c r="C1160" s="22"/>
      <c r="D1160" s="28"/>
      <c r="E1160" s="23" t="str">
        <f>IF($D1160="","",IFERROR(VLOOKUP($D1160,'ACAS Consumables Tracker'!$A:$H,8,FALSE()),""))</f>
        <v/>
      </c>
      <c r="F1160" s="24"/>
      <c r="G1160" s="25" t="str">
        <f>IF($D1160="","",IFERROR(VLOOKUP($D1160,'ACAS Consumables Tracker'!$A:$D,4,FALSE()),""))</f>
        <v/>
      </c>
      <c r="H1160" s="22"/>
    </row>
    <row r="1161" spans="1:8">
      <c r="A1161" s="21"/>
      <c r="B1161" s="28"/>
      <c r="C1161" s="22"/>
      <c r="D1161" s="28"/>
      <c r="E1161" s="23" t="str">
        <f>IF($D1161="","",IFERROR(VLOOKUP($D1161,'ACAS Consumables Tracker'!$A:$H,8,FALSE()),""))</f>
        <v/>
      </c>
      <c r="F1161" s="24"/>
      <c r="G1161" s="25" t="str">
        <f>IF($D1161="","",IFERROR(VLOOKUP($D1161,'ACAS Consumables Tracker'!$A:$D,4,FALSE()),""))</f>
        <v/>
      </c>
      <c r="H1161" s="22"/>
    </row>
    <row r="1162" spans="1:8">
      <c r="A1162" s="21"/>
      <c r="B1162" s="28"/>
      <c r="C1162" s="22"/>
      <c r="D1162" s="28"/>
      <c r="E1162" s="23" t="str">
        <f>IF($D1162="","",IFERROR(VLOOKUP($D1162,'ACAS Consumables Tracker'!$A:$H,8,FALSE()),""))</f>
        <v/>
      </c>
      <c r="F1162" s="24"/>
      <c r="G1162" s="25" t="str">
        <f>IF($D1162="","",IFERROR(VLOOKUP($D1162,'ACAS Consumables Tracker'!$A:$D,4,FALSE()),""))</f>
        <v/>
      </c>
      <c r="H1162" s="22"/>
    </row>
    <row r="1163" spans="1:8">
      <c r="A1163" s="21"/>
      <c r="B1163" s="28"/>
      <c r="C1163" s="22"/>
      <c r="D1163" s="28"/>
      <c r="E1163" s="23" t="str">
        <f>IF($D1163="","",IFERROR(VLOOKUP($D1163,'ACAS Consumables Tracker'!$A:$H,8,FALSE()),""))</f>
        <v/>
      </c>
      <c r="F1163" s="24"/>
      <c r="G1163" s="25" t="str">
        <f>IF($D1163="","",IFERROR(VLOOKUP($D1163,'ACAS Consumables Tracker'!$A:$D,4,FALSE()),""))</f>
        <v/>
      </c>
      <c r="H1163" s="22"/>
    </row>
    <row r="1164" spans="1:8">
      <c r="A1164" s="21"/>
      <c r="B1164" s="28"/>
      <c r="C1164" s="22"/>
      <c r="D1164" s="28"/>
      <c r="E1164" s="23" t="str">
        <f>IF($D1164="","",IFERROR(VLOOKUP($D1164,'ACAS Consumables Tracker'!$A:$H,8,FALSE()),""))</f>
        <v/>
      </c>
      <c r="F1164" s="24"/>
      <c r="G1164" s="25" t="str">
        <f>IF($D1164="","",IFERROR(VLOOKUP($D1164,'ACAS Consumables Tracker'!$A:$D,4,FALSE()),""))</f>
        <v/>
      </c>
      <c r="H1164" s="22"/>
    </row>
    <row r="1165" spans="1:8">
      <c r="A1165" s="21"/>
      <c r="B1165" s="28"/>
      <c r="C1165" s="22"/>
      <c r="D1165" s="28"/>
      <c r="E1165" s="23" t="str">
        <f>IF($D1165="","",IFERROR(VLOOKUP($D1165,'ACAS Consumables Tracker'!$A:$H,8,FALSE()),""))</f>
        <v/>
      </c>
      <c r="F1165" s="24"/>
      <c r="G1165" s="25" t="str">
        <f>IF($D1165="","",IFERROR(VLOOKUP($D1165,'ACAS Consumables Tracker'!$A:$D,4,FALSE()),""))</f>
        <v/>
      </c>
      <c r="H1165" s="22"/>
    </row>
    <row r="1166" spans="1:8">
      <c r="A1166" s="21"/>
      <c r="B1166" s="28"/>
      <c r="C1166" s="22"/>
      <c r="D1166" s="28"/>
      <c r="E1166" s="23" t="str">
        <f>IF($D1166="","",IFERROR(VLOOKUP($D1166,'ACAS Consumables Tracker'!$A:$H,8,FALSE()),""))</f>
        <v/>
      </c>
      <c r="F1166" s="24"/>
      <c r="G1166" s="25" t="str">
        <f>IF($D1166="","",IFERROR(VLOOKUP($D1166,'ACAS Consumables Tracker'!$A:$D,4,FALSE()),""))</f>
        <v/>
      </c>
      <c r="H1166" s="22"/>
    </row>
    <row r="1167" spans="1:8">
      <c r="A1167" s="21"/>
      <c r="B1167" s="28"/>
      <c r="C1167" s="22"/>
      <c r="D1167" s="28"/>
      <c r="E1167" s="23" t="str">
        <f>IF($D1167="","",IFERROR(VLOOKUP($D1167,'ACAS Consumables Tracker'!$A:$H,8,FALSE()),""))</f>
        <v/>
      </c>
      <c r="F1167" s="24"/>
      <c r="G1167" s="25" t="str">
        <f>IF($D1167="","",IFERROR(VLOOKUP($D1167,'ACAS Consumables Tracker'!$A:$D,4,FALSE()),""))</f>
        <v/>
      </c>
      <c r="H1167" s="22"/>
    </row>
    <row r="1168" spans="1:8">
      <c r="A1168" s="21"/>
      <c r="B1168" s="28"/>
      <c r="C1168" s="22"/>
      <c r="D1168" s="28"/>
      <c r="E1168" s="23" t="str">
        <f>IF($D1168="","",IFERROR(VLOOKUP($D1168,'ACAS Consumables Tracker'!$A:$H,8,FALSE()),""))</f>
        <v/>
      </c>
      <c r="F1168" s="24"/>
      <c r="G1168" s="25" t="str">
        <f>IF($D1168="","",IFERROR(VLOOKUP($D1168,'ACAS Consumables Tracker'!$A:$D,4,FALSE()),""))</f>
        <v/>
      </c>
      <c r="H1168" s="22"/>
    </row>
    <row r="1169" spans="1:8">
      <c r="A1169" s="21"/>
      <c r="B1169" s="28"/>
      <c r="C1169" s="22"/>
      <c r="D1169" s="28"/>
      <c r="E1169" s="23" t="str">
        <f>IF($D1169="","",IFERROR(VLOOKUP($D1169,'ACAS Consumables Tracker'!$A:$H,8,FALSE()),""))</f>
        <v/>
      </c>
      <c r="F1169" s="24"/>
      <c r="G1169" s="25" t="str">
        <f>IF($D1169="","",IFERROR(VLOOKUP($D1169,'ACAS Consumables Tracker'!$A:$D,4,FALSE()),""))</f>
        <v/>
      </c>
      <c r="H1169" s="22"/>
    </row>
    <row r="1170" spans="1:8">
      <c r="A1170" s="21"/>
      <c r="B1170" s="28"/>
      <c r="C1170" s="22"/>
      <c r="D1170" s="28"/>
      <c r="E1170" s="23" t="str">
        <f>IF($D1170="","",IFERROR(VLOOKUP($D1170,'ACAS Consumables Tracker'!$A:$H,8,FALSE()),""))</f>
        <v/>
      </c>
      <c r="F1170" s="24"/>
      <c r="G1170" s="25" t="str">
        <f>IF($D1170="","",IFERROR(VLOOKUP($D1170,'ACAS Consumables Tracker'!$A:$D,4,FALSE()),""))</f>
        <v/>
      </c>
      <c r="H1170" s="22"/>
    </row>
    <row r="1171" spans="1:8">
      <c r="A1171" s="21"/>
      <c r="B1171" s="28"/>
      <c r="C1171" s="22"/>
      <c r="D1171" s="28"/>
      <c r="E1171" s="23" t="str">
        <f>IF($D1171="","",IFERROR(VLOOKUP($D1171,'ACAS Consumables Tracker'!$A:$H,8,FALSE()),""))</f>
        <v/>
      </c>
      <c r="F1171" s="24"/>
      <c r="G1171" s="25" t="str">
        <f>IF($D1171="","",IFERROR(VLOOKUP($D1171,'ACAS Consumables Tracker'!$A:$D,4,FALSE()),""))</f>
        <v/>
      </c>
      <c r="H1171" s="22"/>
    </row>
    <row r="1172" spans="1:8">
      <c r="A1172" s="21"/>
      <c r="B1172" s="28"/>
      <c r="C1172" s="22"/>
      <c r="D1172" s="28"/>
      <c r="E1172" s="23" t="str">
        <f>IF($D1172="","",IFERROR(VLOOKUP($D1172,'ACAS Consumables Tracker'!$A:$H,8,FALSE()),""))</f>
        <v/>
      </c>
      <c r="F1172" s="24"/>
      <c r="G1172" s="25" t="str">
        <f>IF($D1172="","",IFERROR(VLOOKUP($D1172,'ACAS Consumables Tracker'!$A:$D,4,FALSE()),""))</f>
        <v/>
      </c>
      <c r="H1172" s="22"/>
    </row>
    <row r="1173" spans="1:8">
      <c r="A1173" s="21"/>
      <c r="B1173" s="28"/>
      <c r="C1173" s="22"/>
      <c r="D1173" s="28"/>
      <c r="E1173" s="23" t="str">
        <f>IF($D1173="","",IFERROR(VLOOKUP($D1173,'ACAS Consumables Tracker'!$A:$H,8,FALSE()),""))</f>
        <v/>
      </c>
      <c r="F1173" s="24"/>
      <c r="G1173" s="25" t="str">
        <f>IF($D1173="","",IFERROR(VLOOKUP($D1173,'ACAS Consumables Tracker'!$A:$D,4,FALSE()),""))</f>
        <v/>
      </c>
      <c r="H1173" s="22"/>
    </row>
    <row r="1174" spans="1:8">
      <c r="A1174" s="21"/>
      <c r="B1174" s="28"/>
      <c r="C1174" s="22"/>
      <c r="D1174" s="28"/>
      <c r="E1174" s="23" t="str">
        <f>IF($D1174="","",IFERROR(VLOOKUP($D1174,'ACAS Consumables Tracker'!$A:$H,8,FALSE()),""))</f>
        <v/>
      </c>
      <c r="F1174" s="24"/>
      <c r="G1174" s="25" t="str">
        <f>IF($D1174="","",IFERROR(VLOOKUP($D1174,'ACAS Consumables Tracker'!$A:$D,4,FALSE()),""))</f>
        <v/>
      </c>
      <c r="H1174" s="22"/>
    </row>
    <row r="1175" spans="1:8">
      <c r="A1175" s="21"/>
      <c r="B1175" s="28"/>
      <c r="C1175" s="22"/>
      <c r="D1175" s="28"/>
      <c r="E1175" s="23" t="str">
        <f>IF($D1175="","",IFERROR(VLOOKUP($D1175,'ACAS Consumables Tracker'!$A:$H,8,FALSE()),""))</f>
        <v/>
      </c>
      <c r="F1175" s="24"/>
      <c r="G1175" s="25" t="str">
        <f>IF($D1175="","",IFERROR(VLOOKUP($D1175,'ACAS Consumables Tracker'!$A:$D,4,FALSE()),""))</f>
        <v/>
      </c>
      <c r="H1175" s="22"/>
    </row>
    <row r="1176" spans="1:8">
      <c r="A1176" s="21"/>
      <c r="B1176" s="28"/>
      <c r="C1176" s="22"/>
      <c r="D1176" s="28"/>
      <c r="E1176" s="23" t="str">
        <f>IF($D1176="","",IFERROR(VLOOKUP($D1176,'ACAS Consumables Tracker'!$A:$H,8,FALSE()),""))</f>
        <v/>
      </c>
      <c r="F1176" s="24"/>
      <c r="G1176" s="25" t="str">
        <f>IF($D1176="","",IFERROR(VLOOKUP($D1176,'ACAS Consumables Tracker'!$A:$D,4,FALSE()),""))</f>
        <v/>
      </c>
      <c r="H1176" s="22"/>
    </row>
    <row r="1177" spans="1:8">
      <c r="A1177" s="21"/>
      <c r="B1177" s="28"/>
      <c r="C1177" s="22"/>
      <c r="D1177" s="28"/>
      <c r="E1177" s="23" t="str">
        <f>IF($D1177="","",IFERROR(VLOOKUP($D1177,'ACAS Consumables Tracker'!$A:$H,8,FALSE()),""))</f>
        <v/>
      </c>
      <c r="F1177" s="24"/>
      <c r="G1177" s="25" t="str">
        <f>IF($D1177="","",IFERROR(VLOOKUP($D1177,'ACAS Consumables Tracker'!$A:$D,4,FALSE()),""))</f>
        <v/>
      </c>
      <c r="H1177" s="22"/>
    </row>
    <row r="1178" spans="1:8">
      <c r="A1178" s="21"/>
      <c r="B1178" s="28"/>
      <c r="C1178" s="22"/>
      <c r="D1178" s="28"/>
      <c r="E1178" s="23" t="str">
        <f>IF($D1178="","",IFERROR(VLOOKUP($D1178,'ACAS Consumables Tracker'!$A:$H,8,FALSE()),""))</f>
        <v/>
      </c>
      <c r="F1178" s="24"/>
      <c r="G1178" s="25" t="str">
        <f>IF($D1178="","",IFERROR(VLOOKUP($D1178,'ACAS Consumables Tracker'!$A:$D,4,FALSE()),""))</f>
        <v/>
      </c>
      <c r="H1178" s="22"/>
    </row>
    <row r="1179" spans="1:8">
      <c r="A1179" s="21"/>
      <c r="B1179" s="28"/>
      <c r="C1179" s="22"/>
      <c r="D1179" s="28"/>
      <c r="E1179" s="23" t="str">
        <f>IF($D1179="","",IFERROR(VLOOKUP($D1179,'ACAS Consumables Tracker'!$A:$H,8,FALSE()),""))</f>
        <v/>
      </c>
      <c r="F1179" s="24"/>
      <c r="G1179" s="25" t="str">
        <f>IF($D1179="","",IFERROR(VLOOKUP($D1179,'ACAS Consumables Tracker'!$A:$D,4,FALSE()),""))</f>
        <v/>
      </c>
      <c r="H1179" s="22"/>
    </row>
    <row r="1180" spans="1:8">
      <c r="A1180" s="21"/>
      <c r="B1180" s="28"/>
      <c r="C1180" s="22"/>
      <c r="D1180" s="28"/>
      <c r="E1180" s="23" t="str">
        <f>IF($D1180="","",IFERROR(VLOOKUP($D1180,'ACAS Consumables Tracker'!$A:$H,8,FALSE()),""))</f>
        <v/>
      </c>
      <c r="F1180" s="24"/>
      <c r="G1180" s="25" t="str">
        <f>IF($D1180="","",IFERROR(VLOOKUP($D1180,'ACAS Consumables Tracker'!$A:$D,4,FALSE()),""))</f>
        <v/>
      </c>
      <c r="H1180" s="22"/>
    </row>
    <row r="1181" spans="1:8">
      <c r="A1181" s="21"/>
      <c r="B1181" s="28"/>
      <c r="C1181" s="22"/>
      <c r="D1181" s="28"/>
      <c r="E1181" s="23" t="str">
        <f>IF($D1181="","",IFERROR(VLOOKUP($D1181,'ACAS Consumables Tracker'!$A:$H,8,FALSE()),""))</f>
        <v/>
      </c>
      <c r="F1181" s="24"/>
      <c r="G1181" s="25" t="str">
        <f>IF($D1181="","",IFERROR(VLOOKUP($D1181,'ACAS Consumables Tracker'!$A:$D,4,FALSE()),""))</f>
        <v/>
      </c>
      <c r="H1181" s="22"/>
    </row>
    <row r="1182" spans="1:8">
      <c r="A1182" s="21"/>
      <c r="B1182" s="28"/>
      <c r="C1182" s="22"/>
      <c r="D1182" s="28"/>
      <c r="E1182" s="23" t="str">
        <f>IF($D1182="","",IFERROR(VLOOKUP($D1182,'ACAS Consumables Tracker'!$A:$H,8,FALSE()),""))</f>
        <v/>
      </c>
      <c r="F1182" s="24"/>
      <c r="G1182" s="25" t="str">
        <f>IF($D1182="","",IFERROR(VLOOKUP($D1182,'ACAS Consumables Tracker'!$A:$D,4,FALSE()),""))</f>
        <v/>
      </c>
      <c r="H1182" s="22"/>
    </row>
    <row r="1183" spans="1:8">
      <c r="A1183" s="21"/>
      <c r="B1183" s="28"/>
      <c r="C1183" s="22"/>
      <c r="D1183" s="28"/>
      <c r="E1183" s="23" t="str">
        <f>IF($D1183="","",IFERROR(VLOOKUP($D1183,'ACAS Consumables Tracker'!$A:$H,8,FALSE()),""))</f>
        <v/>
      </c>
      <c r="F1183" s="24"/>
      <c r="G1183" s="25" t="str">
        <f>IF($D1183="","",IFERROR(VLOOKUP($D1183,'ACAS Consumables Tracker'!$A:$D,4,FALSE()),""))</f>
        <v/>
      </c>
      <c r="H1183" s="22"/>
    </row>
    <row r="1184" spans="1:8">
      <c r="A1184" s="21"/>
      <c r="B1184" s="28"/>
      <c r="C1184" s="22"/>
      <c r="D1184" s="28"/>
      <c r="E1184" s="23" t="str">
        <f>IF($D1184="","",IFERROR(VLOOKUP($D1184,'ACAS Consumables Tracker'!$A:$H,8,FALSE()),""))</f>
        <v/>
      </c>
      <c r="F1184" s="24"/>
      <c r="G1184" s="25" t="str">
        <f>IF($D1184="","",IFERROR(VLOOKUP($D1184,'ACAS Consumables Tracker'!$A:$D,4,FALSE()),""))</f>
        <v/>
      </c>
      <c r="H1184" s="22"/>
    </row>
    <row r="1185" spans="1:8">
      <c r="A1185" s="21"/>
      <c r="B1185" s="28"/>
      <c r="C1185" s="22"/>
      <c r="D1185" s="28"/>
      <c r="E1185" s="23" t="str">
        <f>IF($D1185="","",IFERROR(VLOOKUP($D1185,'ACAS Consumables Tracker'!$A:$H,8,FALSE()),""))</f>
        <v/>
      </c>
      <c r="F1185" s="24"/>
      <c r="G1185" s="25" t="str">
        <f>IF($D1185="","",IFERROR(VLOOKUP($D1185,'ACAS Consumables Tracker'!$A:$D,4,FALSE()),""))</f>
        <v/>
      </c>
      <c r="H1185" s="22"/>
    </row>
    <row r="1186" spans="1:8">
      <c r="A1186" s="21"/>
      <c r="B1186" s="28"/>
      <c r="C1186" s="22"/>
      <c r="D1186" s="28"/>
      <c r="E1186" s="23" t="str">
        <f>IF($D1186="","",IFERROR(VLOOKUP($D1186,'ACAS Consumables Tracker'!$A:$H,8,FALSE()),""))</f>
        <v/>
      </c>
      <c r="F1186" s="24"/>
      <c r="G1186" s="25" t="str">
        <f>IF($D1186="","",IFERROR(VLOOKUP($D1186,'ACAS Consumables Tracker'!$A:$D,4,FALSE()),""))</f>
        <v/>
      </c>
      <c r="H1186" s="22"/>
    </row>
    <row r="1187" spans="1:8">
      <c r="A1187" s="21"/>
      <c r="B1187" s="28"/>
      <c r="C1187" s="22"/>
      <c r="D1187" s="28"/>
      <c r="E1187" s="23" t="str">
        <f>IF($D1187="","",IFERROR(VLOOKUP($D1187,'ACAS Consumables Tracker'!$A:$H,8,FALSE()),""))</f>
        <v/>
      </c>
      <c r="F1187" s="24"/>
      <c r="G1187" s="25" t="str">
        <f>IF($D1187="","",IFERROR(VLOOKUP($D1187,'ACAS Consumables Tracker'!$A:$D,4,FALSE()),""))</f>
        <v/>
      </c>
      <c r="H1187" s="22"/>
    </row>
    <row r="1188" spans="1:8">
      <c r="A1188" s="21"/>
      <c r="B1188" s="28"/>
      <c r="C1188" s="22"/>
      <c r="D1188" s="28"/>
      <c r="E1188" s="23" t="str">
        <f>IF($D1188="","",IFERROR(VLOOKUP($D1188,'ACAS Consumables Tracker'!$A:$H,8,FALSE()),""))</f>
        <v/>
      </c>
      <c r="F1188" s="24"/>
      <c r="G1188" s="25" t="str">
        <f>IF($D1188="","",IFERROR(VLOOKUP($D1188,'ACAS Consumables Tracker'!$A:$D,4,FALSE()),""))</f>
        <v/>
      </c>
      <c r="H1188" s="22"/>
    </row>
    <row r="1189" spans="1:8">
      <c r="A1189" s="21"/>
      <c r="B1189" s="28"/>
      <c r="C1189" s="22"/>
      <c r="D1189" s="28"/>
      <c r="E1189" s="23" t="str">
        <f>IF($D1189="","",IFERROR(VLOOKUP($D1189,'ACAS Consumables Tracker'!$A:$H,8,FALSE()),""))</f>
        <v/>
      </c>
      <c r="F1189" s="24"/>
      <c r="G1189" s="25" t="str">
        <f>IF($D1189="","",IFERROR(VLOOKUP($D1189,'ACAS Consumables Tracker'!$A:$D,4,FALSE()),""))</f>
        <v/>
      </c>
      <c r="H1189" s="22"/>
    </row>
    <row r="1190" spans="1:8">
      <c r="A1190" s="21"/>
      <c r="B1190" s="28"/>
      <c r="C1190" s="22"/>
      <c r="D1190" s="28"/>
      <c r="E1190" s="23" t="str">
        <f>IF($D1190="","",IFERROR(VLOOKUP($D1190,'ACAS Consumables Tracker'!$A:$H,8,FALSE()),""))</f>
        <v/>
      </c>
      <c r="F1190" s="24"/>
      <c r="G1190" s="25" t="str">
        <f>IF($D1190="","",IFERROR(VLOOKUP($D1190,'ACAS Consumables Tracker'!$A:$D,4,FALSE()),""))</f>
        <v/>
      </c>
      <c r="H1190" s="22"/>
    </row>
    <row r="1191" spans="1:8">
      <c r="A1191" s="21"/>
      <c r="B1191" s="28"/>
      <c r="C1191" s="22"/>
      <c r="D1191" s="28"/>
      <c r="E1191" s="23" t="str">
        <f>IF($D1191="","",IFERROR(VLOOKUP($D1191,'ACAS Consumables Tracker'!$A:$H,8,FALSE()),""))</f>
        <v/>
      </c>
      <c r="F1191" s="24"/>
      <c r="G1191" s="25" t="str">
        <f>IF($D1191="","",IFERROR(VLOOKUP($D1191,'ACAS Consumables Tracker'!$A:$D,4,FALSE()),""))</f>
        <v/>
      </c>
      <c r="H1191" s="22"/>
    </row>
    <row r="1192" spans="1:8">
      <c r="A1192" s="21"/>
      <c r="B1192" s="28"/>
      <c r="C1192" s="22"/>
      <c r="D1192" s="28"/>
      <c r="E1192" s="23" t="str">
        <f>IF($D1192="","",IFERROR(VLOOKUP($D1192,'ACAS Consumables Tracker'!$A:$H,8,FALSE()),""))</f>
        <v/>
      </c>
      <c r="F1192" s="24"/>
      <c r="G1192" s="25" t="str">
        <f>IF($D1192="","",IFERROR(VLOOKUP($D1192,'ACAS Consumables Tracker'!$A:$D,4,FALSE()),""))</f>
        <v/>
      </c>
      <c r="H1192" s="22"/>
    </row>
    <row r="1193" spans="1:8">
      <c r="A1193" s="21"/>
      <c r="B1193" s="28"/>
      <c r="C1193" s="22"/>
      <c r="D1193" s="28"/>
      <c r="E1193" s="23" t="str">
        <f>IF($D1193="","",IFERROR(VLOOKUP($D1193,'ACAS Consumables Tracker'!$A:$H,8,FALSE()),""))</f>
        <v/>
      </c>
      <c r="F1193" s="24"/>
      <c r="G1193" s="25" t="str">
        <f>IF($D1193="","",IFERROR(VLOOKUP($D1193,'ACAS Consumables Tracker'!$A:$D,4,FALSE()),""))</f>
        <v/>
      </c>
      <c r="H1193" s="22"/>
    </row>
    <row r="1194" spans="1:8">
      <c r="A1194" s="21"/>
      <c r="B1194" s="28"/>
      <c r="C1194" s="22"/>
      <c r="D1194" s="28"/>
      <c r="E1194" s="23" t="str">
        <f>IF($D1194="","",IFERROR(VLOOKUP($D1194,'ACAS Consumables Tracker'!$A:$H,8,FALSE()),""))</f>
        <v/>
      </c>
      <c r="F1194" s="24"/>
      <c r="G1194" s="25" t="str">
        <f>IF($D1194="","",IFERROR(VLOOKUP($D1194,'ACAS Consumables Tracker'!$A:$D,4,FALSE()),""))</f>
        <v/>
      </c>
      <c r="H1194" s="22"/>
    </row>
    <row r="1195" spans="1:8">
      <c r="A1195" s="21"/>
      <c r="B1195" s="28"/>
      <c r="C1195" s="22"/>
      <c r="D1195" s="28"/>
      <c r="E1195" s="23" t="str">
        <f>IF($D1195="","",IFERROR(VLOOKUP($D1195,'ACAS Consumables Tracker'!$A:$H,8,FALSE()),""))</f>
        <v/>
      </c>
      <c r="F1195" s="24"/>
      <c r="G1195" s="25" t="str">
        <f>IF($D1195="","",IFERROR(VLOOKUP($D1195,'ACAS Consumables Tracker'!$A:$D,4,FALSE()),""))</f>
        <v/>
      </c>
      <c r="H1195" s="22"/>
    </row>
    <row r="1196" spans="1:8">
      <c r="A1196" s="21"/>
      <c r="B1196" s="28"/>
      <c r="C1196" s="22"/>
      <c r="D1196" s="28"/>
      <c r="E1196" s="23" t="str">
        <f>IF($D1196="","",IFERROR(VLOOKUP($D1196,'ACAS Consumables Tracker'!$A:$H,8,FALSE()),""))</f>
        <v/>
      </c>
      <c r="F1196" s="24"/>
      <c r="G1196" s="25" t="str">
        <f>IF($D1196="","",IFERROR(VLOOKUP($D1196,'ACAS Consumables Tracker'!$A:$D,4,FALSE()),""))</f>
        <v/>
      </c>
      <c r="H1196" s="22"/>
    </row>
    <row r="1197" spans="1:8">
      <c r="A1197" s="21"/>
      <c r="B1197" s="28"/>
      <c r="C1197" s="22"/>
      <c r="D1197" s="28"/>
      <c r="E1197" s="23" t="str">
        <f>IF($D1197="","",IFERROR(VLOOKUP($D1197,'ACAS Consumables Tracker'!$A:$H,8,FALSE()),""))</f>
        <v/>
      </c>
      <c r="F1197" s="24"/>
      <c r="G1197" s="25" t="str">
        <f>IF($D1197="","",IFERROR(VLOOKUP($D1197,'ACAS Consumables Tracker'!$A:$D,4,FALSE()),""))</f>
        <v/>
      </c>
      <c r="H1197" s="22"/>
    </row>
    <row r="1198" spans="1:8">
      <c r="A1198" s="21"/>
      <c r="B1198" s="28"/>
      <c r="C1198" s="22"/>
      <c r="D1198" s="28"/>
      <c r="E1198" s="23" t="str">
        <f>IF($D1198="","",IFERROR(VLOOKUP($D1198,'ACAS Consumables Tracker'!$A:$H,8,FALSE()),""))</f>
        <v/>
      </c>
      <c r="F1198" s="24"/>
      <c r="G1198" s="25" t="str">
        <f>IF($D1198="","",IFERROR(VLOOKUP($D1198,'ACAS Consumables Tracker'!$A:$D,4,FALSE()),""))</f>
        <v/>
      </c>
      <c r="H1198" s="22"/>
    </row>
    <row r="1199" spans="1:8">
      <c r="A1199" s="21"/>
      <c r="B1199" s="28"/>
      <c r="C1199" s="22"/>
      <c r="D1199" s="28"/>
      <c r="E1199" s="23" t="str">
        <f>IF($D1199="","",IFERROR(VLOOKUP($D1199,'ACAS Consumables Tracker'!$A:$H,8,FALSE()),""))</f>
        <v/>
      </c>
      <c r="F1199" s="24"/>
      <c r="G1199" s="25" t="str">
        <f>IF($D1199="","",IFERROR(VLOOKUP($D1199,'ACAS Consumables Tracker'!$A:$D,4,FALSE()),""))</f>
        <v/>
      </c>
      <c r="H1199" s="22"/>
    </row>
    <row r="1200" spans="1:8">
      <c r="A1200" s="21"/>
      <c r="B1200" s="28"/>
      <c r="C1200" s="22"/>
      <c r="D1200" s="28"/>
      <c r="E1200" s="23" t="str">
        <f>IF($D1200="","",IFERROR(VLOOKUP($D1200,'ACAS Consumables Tracker'!$A:$H,8,FALSE()),""))</f>
        <v/>
      </c>
      <c r="F1200" s="24"/>
      <c r="G1200" s="25" t="str">
        <f>IF($D1200="","",IFERROR(VLOOKUP($D1200,'ACAS Consumables Tracker'!$A:$D,4,FALSE()),""))</f>
        <v/>
      </c>
      <c r="H1200" s="22"/>
    </row>
    <row r="1201" spans="1:8">
      <c r="A1201" s="21"/>
      <c r="B1201" s="28"/>
      <c r="C1201" s="22"/>
      <c r="D1201" s="28"/>
      <c r="E1201" s="23" t="str">
        <f>IF($D1201="","",IFERROR(VLOOKUP($D1201,'ACAS Consumables Tracker'!$A:$H,8,FALSE()),""))</f>
        <v/>
      </c>
      <c r="F1201" s="24"/>
      <c r="G1201" s="25" t="str">
        <f>IF($D1201="","",IFERROR(VLOOKUP($D1201,'ACAS Consumables Tracker'!$A:$D,4,FALSE()),""))</f>
        <v/>
      </c>
      <c r="H1201" s="22"/>
    </row>
    <row r="1202" spans="1:8">
      <c r="A1202" s="21"/>
      <c r="B1202" s="28"/>
      <c r="C1202" s="22"/>
      <c r="D1202" s="28"/>
      <c r="E1202" s="23" t="str">
        <f>IF($D1202="","",IFERROR(VLOOKUP($D1202,'ACAS Consumables Tracker'!$A:$H,8,FALSE()),""))</f>
        <v/>
      </c>
      <c r="F1202" s="24"/>
      <c r="G1202" s="25" t="str">
        <f>IF($D1202="","",IFERROR(VLOOKUP($D1202,'ACAS Consumables Tracker'!$A:$D,4,FALSE()),""))</f>
        <v/>
      </c>
      <c r="H1202" s="22"/>
    </row>
    <row r="1203" spans="1:8">
      <c r="A1203" s="21"/>
      <c r="B1203" s="28"/>
      <c r="C1203" s="22"/>
      <c r="D1203" s="28"/>
      <c r="E1203" s="23" t="str">
        <f>IF($D1203="","",IFERROR(VLOOKUP($D1203,'ACAS Consumables Tracker'!$A:$H,8,FALSE()),""))</f>
        <v/>
      </c>
      <c r="F1203" s="24"/>
      <c r="G1203" s="25" t="str">
        <f>IF($D1203="","",IFERROR(VLOOKUP($D1203,'ACAS Consumables Tracker'!$A:$D,4,FALSE()),""))</f>
        <v/>
      </c>
      <c r="H1203" s="22"/>
    </row>
    <row r="1204" spans="1:8">
      <c r="A1204" s="21"/>
      <c r="B1204" s="28"/>
      <c r="C1204" s="22"/>
      <c r="D1204" s="28"/>
      <c r="E1204" s="23" t="str">
        <f>IF($D1204="","",IFERROR(VLOOKUP($D1204,'ACAS Consumables Tracker'!$A:$H,8,FALSE()),""))</f>
        <v/>
      </c>
      <c r="F1204" s="24"/>
      <c r="G1204" s="25" t="str">
        <f>IF($D1204="","",IFERROR(VLOOKUP($D1204,'ACAS Consumables Tracker'!$A:$D,4,FALSE()),""))</f>
        <v/>
      </c>
      <c r="H1204" s="22"/>
    </row>
    <row r="1205" spans="1:8">
      <c r="A1205" s="21"/>
      <c r="B1205" s="28"/>
      <c r="C1205" s="22"/>
      <c r="D1205" s="28"/>
      <c r="E1205" s="23" t="str">
        <f>IF($D1205="","",IFERROR(VLOOKUP($D1205,'ACAS Consumables Tracker'!$A:$H,8,FALSE()),""))</f>
        <v/>
      </c>
      <c r="F1205" s="24"/>
      <c r="G1205" s="25" t="str">
        <f>IF($D1205="","",IFERROR(VLOOKUP($D1205,'ACAS Consumables Tracker'!$A:$D,4,FALSE()),""))</f>
        <v/>
      </c>
      <c r="H1205" s="22"/>
    </row>
    <row r="1206" spans="1:8">
      <c r="A1206" s="21"/>
      <c r="B1206" s="28"/>
      <c r="C1206" s="22"/>
      <c r="D1206" s="28"/>
      <c r="E1206" s="23" t="str">
        <f>IF($D1206="","",IFERROR(VLOOKUP($D1206,'ACAS Consumables Tracker'!$A:$H,8,FALSE()),""))</f>
        <v/>
      </c>
      <c r="F1206" s="24"/>
      <c r="G1206" s="25" t="str">
        <f>IF($D1206="","",IFERROR(VLOOKUP($D1206,'ACAS Consumables Tracker'!$A:$D,4,FALSE()),""))</f>
        <v/>
      </c>
      <c r="H1206" s="22"/>
    </row>
    <row r="1207" spans="1:8">
      <c r="A1207" s="21"/>
      <c r="B1207" s="28"/>
      <c r="C1207" s="22"/>
      <c r="D1207" s="28"/>
      <c r="E1207" s="23" t="str">
        <f>IF($D1207="","",IFERROR(VLOOKUP($D1207,'ACAS Consumables Tracker'!$A:$H,8,FALSE()),""))</f>
        <v/>
      </c>
      <c r="F1207" s="24"/>
      <c r="G1207" s="25" t="str">
        <f>IF($D1207="","",IFERROR(VLOOKUP($D1207,'ACAS Consumables Tracker'!$A:$D,4,FALSE()),""))</f>
        <v/>
      </c>
      <c r="H1207" s="22"/>
    </row>
    <row r="1208" spans="1:8">
      <c r="A1208" s="21"/>
      <c r="B1208" s="28"/>
      <c r="C1208" s="22"/>
      <c r="D1208" s="28"/>
      <c r="E1208" s="23" t="str">
        <f>IF($D1208="","",IFERROR(VLOOKUP($D1208,'ACAS Consumables Tracker'!$A:$H,8,FALSE()),""))</f>
        <v/>
      </c>
      <c r="F1208" s="24"/>
      <c r="G1208" s="25" t="str">
        <f>IF($D1208="","",IFERROR(VLOOKUP($D1208,'ACAS Consumables Tracker'!$A:$D,4,FALSE()),""))</f>
        <v/>
      </c>
      <c r="H1208" s="22"/>
    </row>
    <row r="1209" spans="1:8">
      <c r="A1209" s="21"/>
      <c r="B1209" s="28"/>
      <c r="C1209" s="22"/>
      <c r="D1209" s="28"/>
      <c r="E1209" s="23" t="str">
        <f>IF($D1209="","",IFERROR(VLOOKUP($D1209,'ACAS Consumables Tracker'!$A:$H,8,FALSE()),""))</f>
        <v/>
      </c>
      <c r="F1209" s="24"/>
      <c r="G1209" s="25" t="str">
        <f>IF($D1209="","",IFERROR(VLOOKUP($D1209,'ACAS Consumables Tracker'!$A:$D,4,FALSE()),""))</f>
        <v/>
      </c>
      <c r="H1209" s="22"/>
    </row>
    <row r="1210" spans="1:8">
      <c r="A1210" s="21"/>
      <c r="B1210" s="28"/>
      <c r="C1210" s="22"/>
      <c r="D1210" s="28"/>
      <c r="E1210" s="23" t="str">
        <f>IF($D1210="","",IFERROR(VLOOKUP($D1210,'ACAS Consumables Tracker'!$A:$H,8,FALSE()),""))</f>
        <v/>
      </c>
      <c r="F1210" s="24"/>
      <c r="G1210" s="25" t="str">
        <f>IF($D1210="","",IFERROR(VLOOKUP($D1210,'ACAS Consumables Tracker'!$A:$D,4,FALSE()),""))</f>
        <v/>
      </c>
      <c r="H1210" s="22"/>
    </row>
    <row r="1211" spans="1:8">
      <c r="A1211" s="21"/>
      <c r="B1211" s="28"/>
      <c r="C1211" s="22"/>
      <c r="D1211" s="28"/>
      <c r="E1211" s="23" t="str">
        <f>IF($D1211="","",IFERROR(VLOOKUP($D1211,'ACAS Consumables Tracker'!$A:$H,8,FALSE()),""))</f>
        <v/>
      </c>
      <c r="F1211" s="24"/>
      <c r="G1211" s="25" t="str">
        <f>IF($D1211="","",IFERROR(VLOOKUP($D1211,'ACAS Consumables Tracker'!$A:$D,4,FALSE()),""))</f>
        <v/>
      </c>
      <c r="H1211" s="22"/>
    </row>
    <row r="1212" spans="1:8">
      <c r="A1212" s="21"/>
      <c r="B1212" s="28"/>
      <c r="C1212" s="22"/>
      <c r="D1212" s="28"/>
      <c r="E1212" s="23" t="str">
        <f>IF($D1212="","",IFERROR(VLOOKUP($D1212,'ACAS Consumables Tracker'!$A:$H,8,FALSE()),""))</f>
        <v/>
      </c>
      <c r="F1212" s="24"/>
      <c r="G1212" s="25" t="str">
        <f>IF($D1212="","",IFERROR(VLOOKUP($D1212,'ACAS Consumables Tracker'!$A:$D,4,FALSE()),""))</f>
        <v/>
      </c>
      <c r="H1212" s="22"/>
    </row>
    <row r="1213" spans="1:8">
      <c r="A1213" s="21"/>
      <c r="B1213" s="28"/>
      <c r="C1213" s="22"/>
      <c r="D1213" s="28"/>
      <c r="E1213" s="23" t="str">
        <f>IF($D1213="","",IFERROR(VLOOKUP($D1213,'ACAS Consumables Tracker'!$A:$H,8,FALSE()),""))</f>
        <v/>
      </c>
      <c r="F1213" s="24"/>
      <c r="G1213" s="25" t="str">
        <f>IF($D1213="","",IFERROR(VLOOKUP($D1213,'ACAS Consumables Tracker'!$A:$D,4,FALSE()),""))</f>
        <v/>
      </c>
      <c r="H1213" s="22"/>
    </row>
    <row r="1214" spans="1:8">
      <c r="A1214" s="21"/>
      <c r="B1214" s="28"/>
      <c r="C1214" s="22"/>
      <c r="D1214" s="28"/>
      <c r="E1214" s="23" t="str">
        <f>IF($D1214="","",IFERROR(VLOOKUP($D1214,'ACAS Consumables Tracker'!$A:$H,8,FALSE()),""))</f>
        <v/>
      </c>
      <c r="F1214" s="24"/>
      <c r="G1214" s="25" t="str">
        <f>IF($D1214="","",IFERROR(VLOOKUP($D1214,'ACAS Consumables Tracker'!$A:$D,4,FALSE()),""))</f>
        <v/>
      </c>
      <c r="H1214" s="22"/>
    </row>
    <row r="1215" spans="1:8">
      <c r="A1215" s="21"/>
      <c r="B1215" s="28"/>
      <c r="C1215" s="22"/>
      <c r="D1215" s="28"/>
      <c r="E1215" s="23" t="str">
        <f>IF($D1215="","",IFERROR(VLOOKUP($D1215,'ACAS Consumables Tracker'!$A:$H,8,FALSE()),""))</f>
        <v/>
      </c>
      <c r="F1215" s="24"/>
      <c r="G1215" s="25" t="str">
        <f>IF($D1215="","",IFERROR(VLOOKUP($D1215,'ACAS Consumables Tracker'!$A:$D,4,FALSE()),""))</f>
        <v/>
      </c>
      <c r="H1215" s="22"/>
    </row>
    <row r="1216" spans="1:8">
      <c r="A1216" s="21"/>
      <c r="B1216" s="28"/>
      <c r="C1216" s="22"/>
      <c r="D1216" s="28"/>
      <c r="E1216" s="23" t="str">
        <f>IF($D1216="","",IFERROR(VLOOKUP($D1216,'ACAS Consumables Tracker'!$A:$H,8,FALSE()),""))</f>
        <v/>
      </c>
      <c r="F1216" s="24"/>
      <c r="G1216" s="25" t="str">
        <f>IF($D1216="","",IFERROR(VLOOKUP($D1216,'ACAS Consumables Tracker'!$A:$D,4,FALSE()),""))</f>
        <v/>
      </c>
      <c r="H1216" s="22"/>
    </row>
    <row r="1217" spans="1:8">
      <c r="A1217" s="21"/>
      <c r="B1217" s="28"/>
      <c r="C1217" s="22"/>
      <c r="D1217" s="28"/>
      <c r="E1217" s="23" t="str">
        <f>IF($D1217="","",IFERROR(VLOOKUP($D1217,'ACAS Consumables Tracker'!$A:$H,8,FALSE()),""))</f>
        <v/>
      </c>
      <c r="F1217" s="24"/>
      <c r="G1217" s="25" t="str">
        <f>IF($D1217="","",IFERROR(VLOOKUP($D1217,'ACAS Consumables Tracker'!$A:$D,4,FALSE()),""))</f>
        <v/>
      </c>
      <c r="H1217" s="22"/>
    </row>
    <row r="1218" spans="1:8">
      <c r="A1218" s="21"/>
      <c r="B1218" s="28"/>
      <c r="C1218" s="22"/>
      <c r="D1218" s="28"/>
      <c r="E1218" s="23" t="str">
        <f>IF($D1218="","",IFERROR(VLOOKUP($D1218,'ACAS Consumables Tracker'!$A:$H,8,FALSE()),""))</f>
        <v/>
      </c>
      <c r="F1218" s="24"/>
      <c r="G1218" s="25" t="str">
        <f>IF($D1218="","",IFERROR(VLOOKUP($D1218,'ACAS Consumables Tracker'!$A:$D,4,FALSE()),""))</f>
        <v/>
      </c>
      <c r="H1218" s="22"/>
    </row>
    <row r="1219" spans="1:8">
      <c r="A1219" s="21"/>
      <c r="B1219" s="28"/>
      <c r="C1219" s="22"/>
      <c r="D1219" s="28"/>
      <c r="E1219" s="23" t="str">
        <f>IF($D1219="","",IFERROR(VLOOKUP($D1219,'ACAS Consumables Tracker'!$A:$H,8,FALSE()),""))</f>
        <v/>
      </c>
      <c r="F1219" s="24"/>
      <c r="G1219" s="25" t="str">
        <f>IF($D1219="","",IFERROR(VLOOKUP($D1219,'ACAS Consumables Tracker'!$A:$D,4,FALSE()),""))</f>
        <v/>
      </c>
      <c r="H1219" s="22"/>
    </row>
    <row r="1220" spans="1:8">
      <c r="A1220" s="21"/>
      <c r="B1220" s="28"/>
      <c r="C1220" s="22"/>
      <c r="D1220" s="28"/>
      <c r="E1220" s="23" t="str">
        <f>IF($D1220="","",IFERROR(VLOOKUP($D1220,'ACAS Consumables Tracker'!$A:$H,8,FALSE()),""))</f>
        <v/>
      </c>
      <c r="F1220" s="24"/>
      <c r="G1220" s="25" t="str">
        <f>IF($D1220="","",IFERROR(VLOOKUP($D1220,'ACAS Consumables Tracker'!$A:$D,4,FALSE()),""))</f>
        <v/>
      </c>
      <c r="H1220" s="22"/>
    </row>
    <row r="1221" spans="1:8">
      <c r="A1221" s="21"/>
      <c r="B1221" s="28"/>
      <c r="C1221" s="22"/>
      <c r="D1221" s="28"/>
      <c r="E1221" s="23" t="str">
        <f>IF($D1221="","",IFERROR(VLOOKUP($D1221,'ACAS Consumables Tracker'!$A:$H,8,FALSE()),""))</f>
        <v/>
      </c>
      <c r="F1221" s="24"/>
      <c r="G1221" s="25" t="str">
        <f>IF($D1221="","",IFERROR(VLOOKUP($D1221,'ACAS Consumables Tracker'!$A:$D,4,FALSE()),""))</f>
        <v/>
      </c>
      <c r="H1221" s="22"/>
    </row>
    <row r="1222" spans="1:8">
      <c r="A1222" s="21"/>
      <c r="B1222" s="28"/>
      <c r="C1222" s="22"/>
      <c r="D1222" s="28"/>
      <c r="E1222" s="23" t="str">
        <f>IF($D1222="","",IFERROR(VLOOKUP($D1222,'ACAS Consumables Tracker'!$A:$H,8,FALSE()),""))</f>
        <v/>
      </c>
      <c r="F1222" s="24"/>
      <c r="G1222" s="25" t="str">
        <f>IF($D1222="","",IFERROR(VLOOKUP($D1222,'ACAS Consumables Tracker'!$A:$D,4,FALSE()),""))</f>
        <v/>
      </c>
      <c r="H1222" s="22"/>
    </row>
    <row r="1223" spans="1:8">
      <c r="A1223" s="21"/>
      <c r="B1223" s="28"/>
      <c r="C1223" s="22"/>
      <c r="D1223" s="28"/>
      <c r="E1223" s="23" t="str">
        <f>IF($D1223="","",IFERROR(VLOOKUP($D1223,'ACAS Consumables Tracker'!$A:$H,8,FALSE()),""))</f>
        <v/>
      </c>
      <c r="F1223" s="24"/>
      <c r="G1223" s="25" t="str">
        <f>IF($D1223="","",IFERROR(VLOOKUP($D1223,'ACAS Consumables Tracker'!$A:$D,4,FALSE()),""))</f>
        <v/>
      </c>
      <c r="H1223" s="22"/>
    </row>
    <row r="1224" spans="1:8">
      <c r="A1224" s="21"/>
      <c r="B1224" s="28"/>
      <c r="C1224" s="22"/>
      <c r="D1224" s="28"/>
      <c r="E1224" s="23" t="str">
        <f>IF($D1224="","",IFERROR(VLOOKUP($D1224,'ACAS Consumables Tracker'!$A:$H,8,FALSE()),""))</f>
        <v/>
      </c>
      <c r="F1224" s="24"/>
      <c r="G1224" s="25" t="str">
        <f>IF($D1224="","",IFERROR(VLOOKUP($D1224,'ACAS Consumables Tracker'!$A:$D,4,FALSE()),""))</f>
        <v/>
      </c>
      <c r="H1224" s="22"/>
    </row>
    <row r="1225" spans="1:8">
      <c r="A1225" s="21"/>
      <c r="B1225" s="28"/>
      <c r="C1225" s="22"/>
      <c r="D1225" s="28"/>
      <c r="E1225" s="23" t="str">
        <f>IF($D1225="","",IFERROR(VLOOKUP($D1225,'ACAS Consumables Tracker'!$A:$H,8,FALSE()),""))</f>
        <v/>
      </c>
      <c r="F1225" s="24"/>
      <c r="G1225" s="25" t="str">
        <f>IF($D1225="","",IFERROR(VLOOKUP($D1225,'ACAS Consumables Tracker'!$A:$D,4,FALSE()),""))</f>
        <v/>
      </c>
      <c r="H1225" s="22"/>
    </row>
    <row r="1226" spans="1:8">
      <c r="A1226" s="21"/>
      <c r="B1226" s="28"/>
      <c r="C1226" s="22"/>
      <c r="D1226" s="28"/>
      <c r="E1226" s="23" t="str">
        <f>IF($D1226="","",IFERROR(VLOOKUP($D1226,'ACAS Consumables Tracker'!$A:$H,8,FALSE()),""))</f>
        <v/>
      </c>
      <c r="F1226" s="24"/>
      <c r="G1226" s="25" t="str">
        <f>IF($D1226="","",IFERROR(VLOOKUP($D1226,'ACAS Consumables Tracker'!$A:$D,4,FALSE()),""))</f>
        <v/>
      </c>
      <c r="H1226" s="22"/>
    </row>
    <row r="1227" spans="1:8">
      <c r="A1227" s="21"/>
      <c r="B1227" s="28"/>
      <c r="C1227" s="22"/>
      <c r="D1227" s="28"/>
      <c r="E1227" s="23" t="str">
        <f>IF($D1227="","",IFERROR(VLOOKUP($D1227,'ACAS Consumables Tracker'!$A:$H,8,FALSE()),""))</f>
        <v/>
      </c>
      <c r="F1227" s="24"/>
      <c r="G1227" s="25" t="str">
        <f>IF($D1227="","",IFERROR(VLOOKUP($D1227,'ACAS Consumables Tracker'!$A:$D,4,FALSE()),""))</f>
        <v/>
      </c>
      <c r="H1227" s="22"/>
    </row>
    <row r="1228" spans="1:8">
      <c r="A1228" s="21"/>
      <c r="B1228" s="28"/>
      <c r="C1228" s="22"/>
      <c r="D1228" s="28"/>
      <c r="E1228" s="23" t="str">
        <f>IF($D1228="","",IFERROR(VLOOKUP($D1228,'ACAS Consumables Tracker'!$A:$H,8,FALSE()),""))</f>
        <v/>
      </c>
      <c r="F1228" s="24"/>
      <c r="G1228" s="25" t="str">
        <f>IF($D1228="","",IFERROR(VLOOKUP($D1228,'ACAS Consumables Tracker'!$A:$D,4,FALSE()),""))</f>
        <v/>
      </c>
      <c r="H1228" s="22"/>
    </row>
    <row r="1229" spans="1:8">
      <c r="A1229" s="21"/>
      <c r="B1229" s="28"/>
      <c r="C1229" s="22"/>
      <c r="D1229" s="28"/>
      <c r="E1229" s="23" t="str">
        <f>IF($D1229="","",IFERROR(VLOOKUP($D1229,'ACAS Consumables Tracker'!$A:$H,8,FALSE()),""))</f>
        <v/>
      </c>
      <c r="F1229" s="24"/>
      <c r="G1229" s="25" t="str">
        <f>IF($D1229="","",IFERROR(VLOOKUP($D1229,'ACAS Consumables Tracker'!$A:$D,4,FALSE()),""))</f>
        <v/>
      </c>
      <c r="H1229" s="22"/>
    </row>
    <row r="1230" spans="1:8">
      <c r="A1230" s="21"/>
      <c r="B1230" s="28"/>
      <c r="C1230" s="22"/>
      <c r="D1230" s="28"/>
      <c r="E1230" s="23" t="str">
        <f>IF($D1230="","",IFERROR(VLOOKUP($D1230,'ACAS Consumables Tracker'!$A:$H,8,FALSE()),""))</f>
        <v/>
      </c>
      <c r="F1230" s="24"/>
      <c r="G1230" s="25" t="str">
        <f>IF($D1230="","",IFERROR(VLOOKUP($D1230,'ACAS Consumables Tracker'!$A:$D,4,FALSE()),""))</f>
        <v/>
      </c>
      <c r="H1230" s="22"/>
    </row>
    <row r="1231" spans="1:8">
      <c r="A1231" s="21"/>
      <c r="B1231" s="28"/>
      <c r="C1231" s="22"/>
      <c r="D1231" s="28"/>
      <c r="E1231" s="23" t="str">
        <f>IF($D1231="","",IFERROR(VLOOKUP($D1231,'ACAS Consumables Tracker'!$A:$H,8,FALSE()),""))</f>
        <v/>
      </c>
      <c r="F1231" s="24"/>
      <c r="G1231" s="25" t="str">
        <f>IF($D1231="","",IFERROR(VLOOKUP($D1231,'ACAS Consumables Tracker'!$A:$D,4,FALSE()),""))</f>
        <v/>
      </c>
      <c r="H1231" s="22"/>
    </row>
    <row r="1232" spans="1:8">
      <c r="A1232" s="21"/>
      <c r="B1232" s="28"/>
      <c r="C1232" s="22"/>
      <c r="D1232" s="28"/>
      <c r="E1232" s="23" t="str">
        <f>IF($D1232="","",IFERROR(VLOOKUP($D1232,'ACAS Consumables Tracker'!$A:$H,8,FALSE()),""))</f>
        <v/>
      </c>
      <c r="F1232" s="24"/>
      <c r="G1232" s="25" t="str">
        <f>IF($D1232="","",IFERROR(VLOOKUP($D1232,'ACAS Consumables Tracker'!$A:$D,4,FALSE()),""))</f>
        <v/>
      </c>
      <c r="H1232" s="22"/>
    </row>
    <row r="1233" spans="1:8">
      <c r="A1233" s="21"/>
      <c r="B1233" s="28"/>
      <c r="C1233" s="22"/>
      <c r="D1233" s="28"/>
      <c r="E1233" s="23" t="str">
        <f>IF($D1233="","",IFERROR(VLOOKUP($D1233,'ACAS Consumables Tracker'!$A:$H,8,FALSE()),""))</f>
        <v/>
      </c>
      <c r="F1233" s="24"/>
      <c r="G1233" s="25" t="str">
        <f>IF($D1233="","",IFERROR(VLOOKUP($D1233,'ACAS Consumables Tracker'!$A:$D,4,FALSE()),""))</f>
        <v/>
      </c>
      <c r="H1233" s="22"/>
    </row>
    <row r="1234" spans="1:8">
      <c r="A1234" s="21"/>
      <c r="B1234" s="28"/>
      <c r="C1234" s="22"/>
      <c r="D1234" s="28"/>
      <c r="E1234" s="23" t="str">
        <f>IF($D1234="","",IFERROR(VLOOKUP($D1234,'ACAS Consumables Tracker'!$A:$H,8,FALSE()),""))</f>
        <v/>
      </c>
      <c r="F1234" s="24"/>
      <c r="G1234" s="25" t="str">
        <f>IF($D1234="","",IFERROR(VLOOKUP($D1234,'ACAS Consumables Tracker'!$A:$D,4,FALSE()),""))</f>
        <v/>
      </c>
      <c r="H1234" s="22"/>
    </row>
    <row r="1235" spans="1:8">
      <c r="A1235" s="21"/>
      <c r="B1235" s="28"/>
      <c r="C1235" s="22"/>
      <c r="D1235" s="28"/>
      <c r="E1235" s="23" t="str">
        <f>IF($D1235="","",IFERROR(VLOOKUP($D1235,'ACAS Consumables Tracker'!$A:$H,8,FALSE()),""))</f>
        <v/>
      </c>
      <c r="F1235" s="24"/>
      <c r="G1235" s="25" t="str">
        <f>IF($D1235="","",IFERROR(VLOOKUP($D1235,'ACAS Consumables Tracker'!$A:$D,4,FALSE()),""))</f>
        <v/>
      </c>
      <c r="H1235" s="22"/>
    </row>
    <row r="1236" spans="1:8">
      <c r="A1236" s="21"/>
      <c r="B1236" s="28"/>
      <c r="C1236" s="22"/>
      <c r="D1236" s="28"/>
      <c r="E1236" s="23" t="str">
        <f>IF($D1236="","",IFERROR(VLOOKUP($D1236,'ACAS Consumables Tracker'!$A:$H,8,FALSE()),""))</f>
        <v/>
      </c>
      <c r="F1236" s="24"/>
      <c r="G1236" s="25" t="str">
        <f>IF($D1236="","",IFERROR(VLOOKUP($D1236,'ACAS Consumables Tracker'!$A:$D,4,FALSE()),""))</f>
        <v/>
      </c>
      <c r="H1236" s="22"/>
    </row>
    <row r="1237" spans="1:8">
      <c r="A1237" s="21"/>
      <c r="B1237" s="28"/>
      <c r="C1237" s="22"/>
      <c r="D1237" s="28"/>
      <c r="E1237" s="23" t="str">
        <f>IF($D1237="","",IFERROR(VLOOKUP($D1237,'ACAS Consumables Tracker'!$A:$H,8,FALSE()),""))</f>
        <v/>
      </c>
      <c r="F1237" s="24"/>
      <c r="G1237" s="25" t="str">
        <f>IF($D1237="","",IFERROR(VLOOKUP($D1237,'ACAS Consumables Tracker'!$A:$D,4,FALSE()),""))</f>
        <v/>
      </c>
      <c r="H1237" s="22"/>
    </row>
    <row r="1238" spans="1:8">
      <c r="A1238" s="21"/>
      <c r="B1238" s="28"/>
      <c r="C1238" s="22"/>
      <c r="D1238" s="28"/>
      <c r="E1238" s="23" t="str">
        <f>IF($D1238="","",IFERROR(VLOOKUP($D1238,'ACAS Consumables Tracker'!$A:$H,8,FALSE()),""))</f>
        <v/>
      </c>
      <c r="F1238" s="24"/>
      <c r="G1238" s="25" t="str">
        <f>IF($D1238="","",IFERROR(VLOOKUP($D1238,'ACAS Consumables Tracker'!$A:$D,4,FALSE()),""))</f>
        <v/>
      </c>
      <c r="H1238" s="22"/>
    </row>
    <row r="1239" spans="1:8">
      <c r="A1239" s="21"/>
      <c r="B1239" s="28"/>
      <c r="C1239" s="22"/>
      <c r="D1239" s="28"/>
      <c r="E1239" s="23" t="str">
        <f>IF($D1239="","",IFERROR(VLOOKUP($D1239,'ACAS Consumables Tracker'!$A:$H,8,FALSE()),""))</f>
        <v/>
      </c>
      <c r="F1239" s="24"/>
      <c r="G1239" s="25" t="str">
        <f>IF($D1239="","",IFERROR(VLOOKUP($D1239,'ACAS Consumables Tracker'!$A:$D,4,FALSE()),""))</f>
        <v/>
      </c>
      <c r="H1239" s="22"/>
    </row>
    <row r="1240" spans="1:8">
      <c r="A1240" s="21"/>
      <c r="B1240" s="28"/>
      <c r="C1240" s="22"/>
      <c r="D1240" s="28"/>
      <c r="E1240" s="23" t="str">
        <f>IF($D1240="","",IFERROR(VLOOKUP($D1240,'ACAS Consumables Tracker'!$A:$H,8,FALSE()),""))</f>
        <v/>
      </c>
      <c r="F1240" s="24"/>
      <c r="G1240" s="25" t="str">
        <f>IF($D1240="","",IFERROR(VLOOKUP($D1240,'ACAS Consumables Tracker'!$A:$D,4,FALSE()),""))</f>
        <v/>
      </c>
      <c r="H1240" s="22"/>
    </row>
    <row r="1241" spans="1:8">
      <c r="A1241" s="21"/>
      <c r="B1241" s="28"/>
      <c r="C1241" s="22"/>
      <c r="D1241" s="28"/>
      <c r="E1241" s="23" t="str">
        <f>IF($D1241="","",IFERROR(VLOOKUP($D1241,'ACAS Consumables Tracker'!$A:$H,8,FALSE()),""))</f>
        <v/>
      </c>
      <c r="F1241" s="24"/>
      <c r="G1241" s="25" t="str">
        <f>IF($D1241="","",IFERROR(VLOOKUP($D1241,'ACAS Consumables Tracker'!$A:$D,4,FALSE()),""))</f>
        <v/>
      </c>
      <c r="H1241" s="22"/>
    </row>
    <row r="1242" spans="1:8">
      <c r="A1242" s="21"/>
      <c r="B1242" s="28"/>
      <c r="C1242" s="22"/>
      <c r="D1242" s="28"/>
      <c r="E1242" s="23" t="str">
        <f>IF($D1242="","",IFERROR(VLOOKUP($D1242,'ACAS Consumables Tracker'!$A:$H,8,FALSE()),""))</f>
        <v/>
      </c>
      <c r="F1242" s="24"/>
      <c r="G1242" s="25" t="str">
        <f>IF($D1242="","",IFERROR(VLOOKUP($D1242,'ACAS Consumables Tracker'!$A:$D,4,FALSE()),""))</f>
        <v/>
      </c>
      <c r="H1242" s="22"/>
    </row>
    <row r="1243" spans="1:8">
      <c r="A1243" s="21"/>
      <c r="B1243" s="28"/>
      <c r="C1243" s="22"/>
      <c r="D1243" s="28"/>
      <c r="E1243" s="23" t="str">
        <f>IF($D1243="","",IFERROR(VLOOKUP($D1243,'ACAS Consumables Tracker'!$A:$H,8,FALSE()),""))</f>
        <v/>
      </c>
      <c r="F1243" s="24"/>
      <c r="G1243" s="25" t="str">
        <f>IF($D1243="","",IFERROR(VLOOKUP($D1243,'ACAS Consumables Tracker'!$A:$D,4,FALSE()),""))</f>
        <v/>
      </c>
      <c r="H1243" s="22"/>
    </row>
    <row r="1244" spans="1:8">
      <c r="A1244" s="21"/>
      <c r="B1244" s="28"/>
      <c r="C1244" s="22"/>
      <c r="D1244" s="28"/>
      <c r="E1244" s="23" t="str">
        <f>IF($D1244="","",IFERROR(VLOOKUP($D1244,'ACAS Consumables Tracker'!$A:$H,8,FALSE()),""))</f>
        <v/>
      </c>
      <c r="F1244" s="24"/>
      <c r="G1244" s="25" t="str">
        <f>IF($D1244="","",IFERROR(VLOOKUP($D1244,'ACAS Consumables Tracker'!$A:$D,4,FALSE()),""))</f>
        <v/>
      </c>
      <c r="H1244" s="22"/>
    </row>
    <row r="1245" spans="1:8">
      <c r="A1245" s="21"/>
      <c r="B1245" s="28"/>
      <c r="C1245" s="22"/>
      <c r="D1245" s="28"/>
      <c r="E1245" s="23" t="str">
        <f>IF($D1245="","",IFERROR(VLOOKUP($D1245,'ACAS Consumables Tracker'!$A:$H,8,FALSE()),""))</f>
        <v/>
      </c>
      <c r="F1245" s="24"/>
      <c r="G1245" s="25" t="str">
        <f>IF($D1245="","",IFERROR(VLOOKUP($D1245,'ACAS Consumables Tracker'!$A:$D,4,FALSE()),""))</f>
        <v/>
      </c>
      <c r="H1245" s="22"/>
    </row>
    <row r="1246" spans="1:8">
      <c r="A1246" s="21"/>
      <c r="B1246" s="28"/>
      <c r="C1246" s="22"/>
      <c r="D1246" s="28"/>
      <c r="E1246" s="23" t="str">
        <f>IF($D1246="","",IFERROR(VLOOKUP($D1246,'ACAS Consumables Tracker'!$A:$H,8,FALSE()),""))</f>
        <v/>
      </c>
      <c r="F1246" s="24"/>
      <c r="G1246" s="25" t="str">
        <f>IF($D1246="","",IFERROR(VLOOKUP($D1246,'ACAS Consumables Tracker'!$A:$D,4,FALSE()),""))</f>
        <v/>
      </c>
      <c r="H1246" s="22"/>
    </row>
    <row r="1247" spans="1:8">
      <c r="A1247" s="21"/>
      <c r="B1247" s="28"/>
      <c r="C1247" s="22"/>
      <c r="D1247" s="28"/>
      <c r="E1247" s="23" t="str">
        <f>IF($D1247="","",IFERROR(VLOOKUP($D1247,'ACAS Consumables Tracker'!$A:$H,8,FALSE()),""))</f>
        <v/>
      </c>
      <c r="F1247" s="24"/>
      <c r="G1247" s="25" t="str">
        <f>IF($D1247="","",IFERROR(VLOOKUP($D1247,'ACAS Consumables Tracker'!$A:$D,4,FALSE()),""))</f>
        <v/>
      </c>
      <c r="H1247" s="22"/>
    </row>
    <row r="1248" spans="1:8">
      <c r="A1248" s="21"/>
      <c r="B1248" s="28"/>
      <c r="C1248" s="22"/>
      <c r="D1248" s="28"/>
      <c r="E1248" s="23" t="str">
        <f>IF($D1248="","",IFERROR(VLOOKUP($D1248,'ACAS Consumables Tracker'!$A:$H,8,FALSE()),""))</f>
        <v/>
      </c>
      <c r="F1248" s="24"/>
      <c r="G1248" s="25" t="str">
        <f>IF($D1248="","",IFERROR(VLOOKUP($D1248,'ACAS Consumables Tracker'!$A:$D,4,FALSE()),""))</f>
        <v/>
      </c>
      <c r="H1248" s="22"/>
    </row>
    <row r="1249" spans="1:8">
      <c r="A1249" s="21"/>
      <c r="B1249" s="28"/>
      <c r="C1249" s="22"/>
      <c r="D1249" s="28"/>
      <c r="E1249" s="23" t="str">
        <f>IF($D1249="","",IFERROR(VLOOKUP($D1249,'ACAS Consumables Tracker'!$A:$H,8,FALSE()),""))</f>
        <v/>
      </c>
      <c r="F1249" s="24"/>
      <c r="G1249" s="25" t="str">
        <f>IF($D1249="","",IFERROR(VLOOKUP($D1249,'ACAS Consumables Tracker'!$A:$D,4,FALSE()),""))</f>
        <v/>
      </c>
      <c r="H1249" s="22"/>
    </row>
    <row r="1250" spans="1:8">
      <c r="A1250" s="21"/>
      <c r="B1250" s="28"/>
      <c r="C1250" s="22"/>
      <c r="D1250" s="28"/>
      <c r="E1250" s="23" t="str">
        <f>IF($D1250="","",IFERROR(VLOOKUP($D1250,'ACAS Consumables Tracker'!$A:$H,8,FALSE()),""))</f>
        <v/>
      </c>
      <c r="F1250" s="24"/>
      <c r="G1250" s="25" t="str">
        <f>IF($D1250="","",IFERROR(VLOOKUP($D1250,'ACAS Consumables Tracker'!$A:$D,4,FALSE()),""))</f>
        <v/>
      </c>
      <c r="H1250" s="22"/>
    </row>
    <row r="1251" spans="1:8">
      <c r="A1251" s="21"/>
      <c r="B1251" s="28"/>
      <c r="C1251" s="22"/>
      <c r="D1251" s="28"/>
      <c r="E1251" s="23" t="str">
        <f>IF($D1251="","",IFERROR(VLOOKUP($D1251,'ACAS Consumables Tracker'!$A:$H,8,FALSE()),""))</f>
        <v/>
      </c>
      <c r="F1251" s="24"/>
      <c r="G1251" s="25" t="str">
        <f>IF($D1251="","",IFERROR(VLOOKUP($D1251,'ACAS Consumables Tracker'!$A:$D,4,FALSE()),""))</f>
        <v/>
      </c>
      <c r="H1251" s="22"/>
    </row>
    <row r="1252" spans="1:8">
      <c r="A1252" s="21"/>
      <c r="B1252" s="28"/>
      <c r="C1252" s="22"/>
      <c r="D1252" s="28"/>
      <c r="E1252" s="23" t="str">
        <f>IF($D1252="","",IFERROR(VLOOKUP($D1252,'ACAS Consumables Tracker'!$A:$H,8,FALSE()),""))</f>
        <v/>
      </c>
      <c r="F1252" s="24"/>
      <c r="G1252" s="25" t="str">
        <f>IF($D1252="","",IFERROR(VLOOKUP($D1252,'ACAS Consumables Tracker'!$A:$D,4,FALSE()),""))</f>
        <v/>
      </c>
      <c r="H1252" s="22"/>
    </row>
    <row r="1253" spans="1:8">
      <c r="A1253" s="21"/>
      <c r="B1253" s="28"/>
      <c r="C1253" s="22"/>
      <c r="D1253" s="28"/>
      <c r="E1253" s="23" t="str">
        <f>IF($D1253="","",IFERROR(VLOOKUP($D1253,'ACAS Consumables Tracker'!$A:$H,8,FALSE()),""))</f>
        <v/>
      </c>
      <c r="F1253" s="24"/>
      <c r="G1253" s="25" t="str">
        <f>IF($D1253="","",IFERROR(VLOOKUP($D1253,'ACAS Consumables Tracker'!$A:$D,4,FALSE()),""))</f>
        <v/>
      </c>
      <c r="H1253" s="22"/>
    </row>
    <row r="1254" spans="1:8">
      <c r="A1254" s="21"/>
      <c r="B1254" s="28"/>
      <c r="C1254" s="22"/>
      <c r="D1254" s="28"/>
      <c r="E1254" s="23" t="str">
        <f>IF($D1254="","",IFERROR(VLOOKUP($D1254,'ACAS Consumables Tracker'!$A:$H,8,FALSE()),""))</f>
        <v/>
      </c>
      <c r="F1254" s="24"/>
      <c r="G1254" s="25" t="str">
        <f>IF($D1254="","",IFERROR(VLOOKUP($D1254,'ACAS Consumables Tracker'!$A:$D,4,FALSE()),""))</f>
        <v/>
      </c>
      <c r="H1254" s="22"/>
    </row>
    <row r="1255" spans="1:8">
      <c r="A1255" s="21"/>
      <c r="B1255" s="28"/>
      <c r="C1255" s="22"/>
      <c r="D1255" s="28"/>
      <c r="E1255" s="23" t="str">
        <f>IF($D1255="","",IFERROR(VLOOKUP($D1255,'ACAS Consumables Tracker'!$A:$H,8,FALSE()),""))</f>
        <v/>
      </c>
      <c r="F1255" s="24"/>
      <c r="G1255" s="25" t="str">
        <f>IF($D1255="","",IFERROR(VLOOKUP($D1255,'ACAS Consumables Tracker'!$A:$D,4,FALSE()),""))</f>
        <v/>
      </c>
      <c r="H1255" s="22"/>
    </row>
    <row r="1256" spans="1:8">
      <c r="A1256" s="21"/>
      <c r="B1256" s="28"/>
      <c r="C1256" s="22"/>
      <c r="D1256" s="28"/>
      <c r="E1256" s="23" t="str">
        <f>IF($D1256="","",IFERROR(VLOOKUP($D1256,'ACAS Consumables Tracker'!$A:$H,8,FALSE()),""))</f>
        <v/>
      </c>
      <c r="F1256" s="24"/>
      <c r="G1256" s="25" t="str">
        <f>IF($D1256="","",IFERROR(VLOOKUP($D1256,'ACAS Consumables Tracker'!$A:$D,4,FALSE()),""))</f>
        <v/>
      </c>
      <c r="H1256" s="22"/>
    </row>
    <row r="1257" spans="1:8">
      <c r="A1257" s="21"/>
      <c r="B1257" s="28"/>
      <c r="C1257" s="22"/>
      <c r="D1257" s="28"/>
      <c r="E1257" s="23" t="str">
        <f>IF($D1257="","",IFERROR(VLOOKUP($D1257,'ACAS Consumables Tracker'!$A:$H,8,FALSE()),""))</f>
        <v/>
      </c>
      <c r="F1257" s="24"/>
      <c r="G1257" s="25" t="str">
        <f>IF($D1257="","",IFERROR(VLOOKUP($D1257,'ACAS Consumables Tracker'!$A:$D,4,FALSE()),""))</f>
        <v/>
      </c>
      <c r="H1257" s="22"/>
    </row>
    <row r="1258" spans="1:8">
      <c r="A1258" s="21"/>
      <c r="B1258" s="28"/>
      <c r="C1258" s="22"/>
      <c r="D1258" s="28"/>
      <c r="E1258" s="23" t="str">
        <f>IF($D1258="","",IFERROR(VLOOKUP($D1258,'ACAS Consumables Tracker'!$A:$H,8,FALSE()),""))</f>
        <v/>
      </c>
      <c r="F1258" s="24"/>
      <c r="G1258" s="25" t="str">
        <f>IF($D1258="","",IFERROR(VLOOKUP($D1258,'ACAS Consumables Tracker'!$A:$D,4,FALSE()),""))</f>
        <v/>
      </c>
      <c r="H1258" s="22"/>
    </row>
    <row r="1259" spans="1:8">
      <c r="A1259" s="21"/>
      <c r="B1259" s="28"/>
      <c r="C1259" s="22"/>
      <c r="D1259" s="28"/>
      <c r="E1259" s="23" t="str">
        <f>IF($D1259="","",IFERROR(VLOOKUP($D1259,'ACAS Consumables Tracker'!$A:$H,8,FALSE()),""))</f>
        <v/>
      </c>
      <c r="F1259" s="24"/>
      <c r="G1259" s="25" t="str">
        <f>IF($D1259="","",IFERROR(VLOOKUP($D1259,'ACAS Consumables Tracker'!$A:$D,4,FALSE()),""))</f>
        <v/>
      </c>
      <c r="H1259" s="22"/>
    </row>
    <row r="1260" spans="1:8">
      <c r="A1260" s="21"/>
      <c r="B1260" s="28"/>
      <c r="C1260" s="22"/>
      <c r="D1260" s="28"/>
      <c r="E1260" s="23" t="str">
        <f>IF($D1260="","",IFERROR(VLOOKUP($D1260,'ACAS Consumables Tracker'!$A:$H,8,FALSE()),""))</f>
        <v/>
      </c>
      <c r="F1260" s="24"/>
      <c r="G1260" s="25" t="str">
        <f>IF($D1260="","",IFERROR(VLOOKUP($D1260,'ACAS Consumables Tracker'!$A:$D,4,FALSE()),""))</f>
        <v/>
      </c>
      <c r="H1260" s="22"/>
    </row>
    <row r="1261" spans="1:8">
      <c r="A1261" s="21"/>
      <c r="B1261" s="28"/>
      <c r="C1261" s="22"/>
      <c r="D1261" s="28"/>
      <c r="E1261" s="23" t="str">
        <f>IF($D1261="","",IFERROR(VLOOKUP($D1261,'ACAS Consumables Tracker'!$A:$H,8,FALSE()),""))</f>
        <v/>
      </c>
      <c r="F1261" s="24"/>
      <c r="G1261" s="25" t="str">
        <f>IF($D1261="","",IFERROR(VLOOKUP($D1261,'ACAS Consumables Tracker'!$A:$D,4,FALSE()),""))</f>
        <v/>
      </c>
      <c r="H1261" s="22"/>
    </row>
    <row r="1262" spans="1:8">
      <c r="A1262" s="21"/>
      <c r="B1262" s="28"/>
      <c r="C1262" s="22"/>
      <c r="D1262" s="28"/>
      <c r="E1262" s="23" t="str">
        <f>IF($D1262="","",IFERROR(VLOOKUP($D1262,'ACAS Consumables Tracker'!$A:$H,8,FALSE()),""))</f>
        <v/>
      </c>
      <c r="F1262" s="24"/>
      <c r="G1262" s="25" t="str">
        <f>IF($D1262="","",IFERROR(VLOOKUP($D1262,'ACAS Consumables Tracker'!$A:$D,4,FALSE()),""))</f>
        <v/>
      </c>
      <c r="H1262" s="22"/>
    </row>
    <row r="1263" spans="1:8">
      <c r="A1263" s="21"/>
      <c r="B1263" s="28"/>
      <c r="C1263" s="22"/>
      <c r="D1263" s="28"/>
      <c r="E1263" s="23" t="str">
        <f>IF($D1263="","",IFERROR(VLOOKUP($D1263,'ACAS Consumables Tracker'!$A:$H,8,FALSE()),""))</f>
        <v/>
      </c>
      <c r="F1263" s="24"/>
      <c r="G1263" s="25" t="str">
        <f>IF($D1263="","",IFERROR(VLOOKUP($D1263,'ACAS Consumables Tracker'!$A:$D,4,FALSE()),""))</f>
        <v/>
      </c>
      <c r="H1263" s="22"/>
    </row>
    <row r="1264" spans="1:8">
      <c r="A1264" s="21"/>
      <c r="B1264" s="28"/>
      <c r="C1264" s="22"/>
      <c r="D1264" s="28"/>
      <c r="E1264" s="23" t="str">
        <f>IF($D1264="","",IFERROR(VLOOKUP($D1264,'ACAS Consumables Tracker'!$A:$H,8,FALSE()),""))</f>
        <v/>
      </c>
      <c r="F1264" s="24"/>
      <c r="G1264" s="25" t="str">
        <f>IF($D1264="","",IFERROR(VLOOKUP($D1264,'ACAS Consumables Tracker'!$A:$D,4,FALSE()),""))</f>
        <v/>
      </c>
      <c r="H1264" s="22"/>
    </row>
    <row r="1265" spans="1:8">
      <c r="A1265" s="21"/>
      <c r="B1265" s="28"/>
      <c r="C1265" s="22"/>
      <c r="D1265" s="28"/>
      <c r="E1265" s="23" t="str">
        <f>IF($D1265="","",IFERROR(VLOOKUP($D1265,'ACAS Consumables Tracker'!$A:$H,8,FALSE()),""))</f>
        <v/>
      </c>
      <c r="F1265" s="24"/>
      <c r="G1265" s="25" t="str">
        <f>IF($D1265="","",IFERROR(VLOOKUP($D1265,'ACAS Consumables Tracker'!$A:$D,4,FALSE()),""))</f>
        <v/>
      </c>
      <c r="H1265" s="22"/>
    </row>
    <row r="1266" spans="1:8">
      <c r="A1266" s="21"/>
      <c r="B1266" s="28"/>
      <c r="C1266" s="22"/>
      <c r="D1266" s="28"/>
      <c r="E1266" s="23" t="str">
        <f>IF($D1266="","",IFERROR(VLOOKUP($D1266,'ACAS Consumables Tracker'!$A:$H,8,FALSE()),""))</f>
        <v/>
      </c>
      <c r="F1266" s="24"/>
      <c r="G1266" s="25" t="str">
        <f>IF($D1266="","",IFERROR(VLOOKUP($D1266,'ACAS Consumables Tracker'!$A:$D,4,FALSE()),""))</f>
        <v/>
      </c>
      <c r="H1266" s="22"/>
    </row>
    <row r="1267" spans="1:8">
      <c r="A1267" s="21"/>
      <c r="B1267" s="28"/>
      <c r="C1267" s="22"/>
      <c r="D1267" s="28"/>
      <c r="E1267" s="23" t="str">
        <f>IF($D1267="","",IFERROR(VLOOKUP($D1267,'ACAS Consumables Tracker'!$A:$H,8,FALSE()),""))</f>
        <v/>
      </c>
      <c r="F1267" s="24"/>
      <c r="G1267" s="25" t="str">
        <f>IF($D1267="","",IFERROR(VLOOKUP($D1267,'ACAS Consumables Tracker'!$A:$D,4,FALSE()),""))</f>
        <v/>
      </c>
      <c r="H1267" s="22"/>
    </row>
    <row r="1268" spans="1:8">
      <c r="A1268" s="21"/>
      <c r="B1268" s="28"/>
      <c r="C1268" s="22"/>
      <c r="D1268" s="28"/>
      <c r="E1268" s="23" t="str">
        <f>IF($D1268="","",IFERROR(VLOOKUP($D1268,'ACAS Consumables Tracker'!$A:$H,8,FALSE()),""))</f>
        <v/>
      </c>
      <c r="F1268" s="24"/>
      <c r="G1268" s="25" t="str">
        <f>IF($D1268="","",IFERROR(VLOOKUP($D1268,'ACAS Consumables Tracker'!$A:$D,4,FALSE()),""))</f>
        <v/>
      </c>
      <c r="H1268" s="22"/>
    </row>
    <row r="1269" spans="1:8">
      <c r="A1269" s="21"/>
      <c r="B1269" s="28"/>
      <c r="C1269" s="22"/>
      <c r="D1269" s="28"/>
      <c r="E1269" s="23" t="str">
        <f>IF($D1269="","",IFERROR(VLOOKUP($D1269,'ACAS Consumables Tracker'!$A:$H,8,FALSE()),""))</f>
        <v/>
      </c>
      <c r="F1269" s="24"/>
      <c r="G1269" s="25" t="str">
        <f>IF($D1269="","",IFERROR(VLOOKUP($D1269,'ACAS Consumables Tracker'!$A:$D,4,FALSE()),""))</f>
        <v/>
      </c>
      <c r="H1269" s="22"/>
    </row>
    <row r="1270" spans="1:8">
      <c r="A1270" s="21"/>
      <c r="B1270" s="28"/>
      <c r="C1270" s="22"/>
      <c r="D1270" s="28"/>
      <c r="E1270" s="23" t="str">
        <f>IF($D1270="","",IFERROR(VLOOKUP($D1270,'ACAS Consumables Tracker'!$A:$H,8,FALSE()),""))</f>
        <v/>
      </c>
      <c r="F1270" s="24"/>
      <c r="G1270" s="25" t="str">
        <f>IF($D1270="","",IFERROR(VLOOKUP($D1270,'ACAS Consumables Tracker'!$A:$D,4,FALSE()),""))</f>
        <v/>
      </c>
      <c r="H1270" s="22"/>
    </row>
    <row r="1271" spans="1:8">
      <c r="A1271" s="21"/>
      <c r="B1271" s="28"/>
      <c r="C1271" s="22"/>
      <c r="D1271" s="28"/>
      <c r="E1271" s="23" t="str">
        <f>IF($D1271="","",IFERROR(VLOOKUP($D1271,'ACAS Consumables Tracker'!$A:$H,8,FALSE()),""))</f>
        <v/>
      </c>
      <c r="F1271" s="24"/>
      <c r="G1271" s="25" t="str">
        <f>IF($D1271="","",IFERROR(VLOOKUP($D1271,'ACAS Consumables Tracker'!$A:$D,4,FALSE()),""))</f>
        <v/>
      </c>
      <c r="H1271" s="22"/>
    </row>
    <row r="1272" spans="1:8">
      <c r="A1272" s="21"/>
      <c r="B1272" s="28"/>
      <c r="C1272" s="22"/>
      <c r="D1272" s="28"/>
      <c r="E1272" s="23" t="str">
        <f>IF($D1272="","",IFERROR(VLOOKUP($D1272,'ACAS Consumables Tracker'!$A:$H,8,FALSE()),""))</f>
        <v/>
      </c>
      <c r="F1272" s="24"/>
      <c r="G1272" s="25" t="str">
        <f>IF($D1272="","",IFERROR(VLOOKUP($D1272,'ACAS Consumables Tracker'!$A:$D,4,FALSE()),""))</f>
        <v/>
      </c>
      <c r="H1272" s="22"/>
    </row>
    <row r="1273" spans="1:8">
      <c r="A1273" s="21"/>
      <c r="B1273" s="28"/>
      <c r="C1273" s="22"/>
      <c r="D1273" s="28"/>
      <c r="E1273" s="23" t="str">
        <f>IF($D1273="","",IFERROR(VLOOKUP($D1273,'ACAS Consumables Tracker'!$A:$H,8,FALSE()),""))</f>
        <v/>
      </c>
      <c r="F1273" s="24"/>
      <c r="G1273" s="25" t="str">
        <f>IF($D1273="","",IFERROR(VLOOKUP($D1273,'ACAS Consumables Tracker'!$A:$D,4,FALSE()),""))</f>
        <v/>
      </c>
      <c r="H1273" s="22"/>
    </row>
    <row r="1274" spans="1:8">
      <c r="A1274" s="21"/>
      <c r="B1274" s="28"/>
      <c r="C1274" s="22"/>
      <c r="D1274" s="28"/>
      <c r="E1274" s="23" t="str">
        <f>IF($D1274="","",IFERROR(VLOOKUP($D1274,'ACAS Consumables Tracker'!$A:$H,8,FALSE()),""))</f>
        <v/>
      </c>
      <c r="F1274" s="24"/>
      <c r="G1274" s="25" t="str">
        <f>IF($D1274="","",IFERROR(VLOOKUP($D1274,'ACAS Consumables Tracker'!$A:$D,4,FALSE()),""))</f>
        <v/>
      </c>
      <c r="H1274" s="22"/>
    </row>
    <row r="1275" spans="1:8">
      <c r="A1275" s="21"/>
      <c r="B1275" s="28"/>
      <c r="C1275" s="22"/>
      <c r="D1275" s="28"/>
      <c r="E1275" s="23" t="str">
        <f>IF($D1275="","",IFERROR(VLOOKUP($D1275,'ACAS Consumables Tracker'!$A:$H,8,FALSE()),""))</f>
        <v/>
      </c>
      <c r="F1275" s="24"/>
      <c r="G1275" s="25" t="str">
        <f>IF($D1275="","",IFERROR(VLOOKUP($D1275,'ACAS Consumables Tracker'!$A:$D,4,FALSE()),""))</f>
        <v/>
      </c>
      <c r="H1275" s="22"/>
    </row>
    <row r="1276" spans="1:8">
      <c r="A1276" s="21"/>
      <c r="B1276" s="28"/>
      <c r="C1276" s="22"/>
      <c r="D1276" s="28"/>
      <c r="E1276" s="23" t="str">
        <f>IF($D1276="","",IFERROR(VLOOKUP($D1276,'ACAS Consumables Tracker'!$A:$H,8,FALSE()),""))</f>
        <v/>
      </c>
      <c r="F1276" s="24"/>
      <c r="G1276" s="25" t="str">
        <f>IF($D1276="","",IFERROR(VLOOKUP($D1276,'ACAS Consumables Tracker'!$A:$D,4,FALSE()),""))</f>
        <v/>
      </c>
      <c r="H1276" s="22"/>
    </row>
    <row r="1277" spans="1:8">
      <c r="A1277" s="21"/>
      <c r="B1277" s="28"/>
      <c r="C1277" s="22"/>
      <c r="D1277" s="28"/>
      <c r="E1277" s="23" t="str">
        <f>IF($D1277="","",IFERROR(VLOOKUP($D1277,'ACAS Consumables Tracker'!$A:$H,8,FALSE()),""))</f>
        <v/>
      </c>
      <c r="F1277" s="24"/>
      <c r="G1277" s="25" t="str">
        <f>IF($D1277="","",IFERROR(VLOOKUP($D1277,'ACAS Consumables Tracker'!$A:$D,4,FALSE()),""))</f>
        <v/>
      </c>
      <c r="H1277" s="22"/>
    </row>
    <row r="1278" spans="1:8">
      <c r="A1278" s="21"/>
      <c r="B1278" s="28"/>
      <c r="C1278" s="22"/>
      <c r="D1278" s="28"/>
      <c r="E1278" s="23" t="str">
        <f>IF($D1278="","",IFERROR(VLOOKUP($D1278,'ACAS Consumables Tracker'!$A:$H,8,FALSE()),""))</f>
        <v/>
      </c>
      <c r="F1278" s="24"/>
      <c r="G1278" s="25" t="str">
        <f>IF($D1278="","",IFERROR(VLOOKUP($D1278,'ACAS Consumables Tracker'!$A:$D,4,FALSE()),""))</f>
        <v/>
      </c>
      <c r="H1278" s="22"/>
    </row>
    <row r="1279" spans="1:8">
      <c r="A1279" s="21"/>
      <c r="B1279" s="28"/>
      <c r="C1279" s="22"/>
      <c r="D1279" s="28"/>
      <c r="E1279" s="23" t="str">
        <f>IF($D1279="","",IFERROR(VLOOKUP($D1279,'ACAS Consumables Tracker'!$A:$H,8,FALSE()),""))</f>
        <v/>
      </c>
      <c r="F1279" s="24"/>
      <c r="G1279" s="25" t="str">
        <f>IF($D1279="","",IFERROR(VLOOKUP($D1279,'ACAS Consumables Tracker'!$A:$D,4,FALSE()),""))</f>
        <v/>
      </c>
      <c r="H1279" s="22"/>
    </row>
    <row r="1280" spans="1:8">
      <c r="A1280" s="21"/>
      <c r="B1280" s="28"/>
      <c r="C1280" s="22"/>
      <c r="D1280" s="28"/>
      <c r="E1280" s="23" t="str">
        <f>IF($D1280="","",IFERROR(VLOOKUP($D1280,'ACAS Consumables Tracker'!$A:$H,8,FALSE()),""))</f>
        <v/>
      </c>
      <c r="F1280" s="24"/>
      <c r="G1280" s="25" t="str">
        <f>IF($D1280="","",IFERROR(VLOOKUP($D1280,'ACAS Consumables Tracker'!$A:$D,4,FALSE()),""))</f>
        <v/>
      </c>
      <c r="H1280" s="22"/>
    </row>
    <row r="1281" spans="1:8">
      <c r="A1281" s="21"/>
      <c r="B1281" s="28"/>
      <c r="C1281" s="22"/>
      <c r="D1281" s="28"/>
      <c r="E1281" s="23" t="str">
        <f>IF($D1281="","",IFERROR(VLOOKUP($D1281,'ACAS Consumables Tracker'!$A:$H,8,FALSE()),""))</f>
        <v/>
      </c>
      <c r="F1281" s="24"/>
      <c r="G1281" s="25" t="str">
        <f>IF($D1281="","",IFERROR(VLOOKUP($D1281,'ACAS Consumables Tracker'!$A:$D,4,FALSE()),""))</f>
        <v/>
      </c>
      <c r="H1281" s="22"/>
    </row>
    <row r="1282" spans="1:8">
      <c r="A1282" s="21"/>
      <c r="B1282" s="28"/>
      <c r="C1282" s="22"/>
      <c r="D1282" s="28"/>
      <c r="E1282" s="23" t="str">
        <f>IF($D1282="","",IFERROR(VLOOKUP($D1282,'ACAS Consumables Tracker'!$A:$H,8,FALSE()),""))</f>
        <v/>
      </c>
      <c r="F1282" s="24"/>
      <c r="G1282" s="25" t="str">
        <f>IF($D1282="","",IFERROR(VLOOKUP($D1282,'ACAS Consumables Tracker'!$A:$D,4,FALSE()),""))</f>
        <v/>
      </c>
      <c r="H1282" s="22"/>
    </row>
    <row r="1283" spans="1:8">
      <c r="A1283" s="21"/>
      <c r="B1283" s="28"/>
      <c r="C1283" s="22"/>
      <c r="D1283" s="28"/>
      <c r="E1283" s="23" t="str">
        <f>IF($D1283="","",IFERROR(VLOOKUP($D1283,'ACAS Consumables Tracker'!$A:$H,8,FALSE()),""))</f>
        <v/>
      </c>
      <c r="F1283" s="24"/>
      <c r="G1283" s="25" t="str">
        <f>IF($D1283="","",IFERROR(VLOOKUP($D1283,'ACAS Consumables Tracker'!$A:$D,4,FALSE()),""))</f>
        <v/>
      </c>
      <c r="H1283" s="22"/>
    </row>
    <row r="1284" spans="1:8">
      <c r="A1284" s="21"/>
      <c r="B1284" s="28"/>
      <c r="C1284" s="22"/>
      <c r="D1284" s="28"/>
      <c r="E1284" s="23" t="str">
        <f>IF($D1284="","",IFERROR(VLOOKUP($D1284,'ACAS Consumables Tracker'!$A:$H,8,FALSE()),""))</f>
        <v/>
      </c>
      <c r="F1284" s="24"/>
      <c r="G1284" s="25" t="str">
        <f>IF($D1284="","",IFERROR(VLOOKUP($D1284,'ACAS Consumables Tracker'!$A:$D,4,FALSE()),""))</f>
        <v/>
      </c>
      <c r="H1284" s="22"/>
    </row>
    <row r="1285" spans="1:8">
      <c r="A1285" s="21"/>
      <c r="B1285" s="28"/>
      <c r="C1285" s="22"/>
      <c r="D1285" s="28"/>
      <c r="E1285" s="23" t="str">
        <f>IF($D1285="","",IFERROR(VLOOKUP($D1285,'ACAS Consumables Tracker'!$A:$H,8,FALSE()),""))</f>
        <v/>
      </c>
      <c r="F1285" s="24"/>
      <c r="G1285" s="25" t="str">
        <f>IF($D1285="","",IFERROR(VLOOKUP($D1285,'ACAS Consumables Tracker'!$A:$D,4,FALSE()),""))</f>
        <v/>
      </c>
      <c r="H1285" s="22"/>
    </row>
    <row r="1286" spans="1:8">
      <c r="A1286" s="21"/>
      <c r="B1286" s="28"/>
      <c r="C1286" s="22"/>
      <c r="D1286" s="28"/>
      <c r="E1286" s="23" t="str">
        <f>IF($D1286="","",IFERROR(VLOOKUP($D1286,'ACAS Consumables Tracker'!$A:$H,8,FALSE()),""))</f>
        <v/>
      </c>
      <c r="F1286" s="24"/>
      <c r="G1286" s="25" t="str">
        <f>IF($D1286="","",IFERROR(VLOOKUP($D1286,'ACAS Consumables Tracker'!$A:$D,4,FALSE()),""))</f>
        <v/>
      </c>
      <c r="H1286" s="22"/>
    </row>
    <row r="1287" spans="1:8">
      <c r="A1287" s="21"/>
      <c r="B1287" s="28"/>
      <c r="C1287" s="22"/>
      <c r="D1287" s="28"/>
      <c r="E1287" s="23" t="str">
        <f>IF($D1287="","",IFERROR(VLOOKUP($D1287,'ACAS Consumables Tracker'!$A:$H,8,FALSE()),""))</f>
        <v/>
      </c>
      <c r="F1287" s="24"/>
      <c r="G1287" s="25" t="str">
        <f>IF($D1287="","",IFERROR(VLOOKUP($D1287,'ACAS Consumables Tracker'!$A:$D,4,FALSE()),""))</f>
        <v/>
      </c>
      <c r="H1287" s="22"/>
    </row>
    <row r="1288" spans="1:8">
      <c r="A1288" s="21"/>
      <c r="B1288" s="28"/>
      <c r="C1288" s="22"/>
      <c r="D1288" s="28"/>
      <c r="E1288" s="23" t="str">
        <f>IF($D1288="","",IFERROR(VLOOKUP($D1288,'ACAS Consumables Tracker'!$A:$H,8,FALSE()),""))</f>
        <v/>
      </c>
      <c r="F1288" s="24"/>
      <c r="G1288" s="25" t="str">
        <f>IF($D1288="","",IFERROR(VLOOKUP($D1288,'ACAS Consumables Tracker'!$A:$D,4,FALSE()),""))</f>
        <v/>
      </c>
      <c r="H1288" s="22"/>
    </row>
    <row r="1289" spans="1:8">
      <c r="A1289" s="21"/>
      <c r="B1289" s="28"/>
      <c r="C1289" s="22"/>
      <c r="D1289" s="28"/>
      <c r="E1289" s="23" t="str">
        <f>IF($D1289="","",IFERROR(VLOOKUP($D1289,'ACAS Consumables Tracker'!$A:$H,8,FALSE()),""))</f>
        <v/>
      </c>
      <c r="F1289" s="24"/>
      <c r="G1289" s="25" t="str">
        <f>IF($D1289="","",IFERROR(VLOOKUP($D1289,'ACAS Consumables Tracker'!$A:$D,4,FALSE()),""))</f>
        <v/>
      </c>
      <c r="H1289" s="22"/>
    </row>
    <row r="1290" spans="1:8">
      <c r="A1290" s="21"/>
      <c r="B1290" s="28"/>
      <c r="C1290" s="22"/>
      <c r="D1290" s="28"/>
      <c r="E1290" s="23" t="str">
        <f>IF($D1290="","",IFERROR(VLOOKUP($D1290,'ACAS Consumables Tracker'!$A:$H,8,FALSE()),""))</f>
        <v/>
      </c>
      <c r="F1290" s="24"/>
      <c r="G1290" s="25" t="str">
        <f>IF($D1290="","",IFERROR(VLOOKUP($D1290,'ACAS Consumables Tracker'!$A:$D,4,FALSE()),""))</f>
        <v/>
      </c>
      <c r="H1290" s="22"/>
    </row>
    <row r="1291" spans="1:8">
      <c r="A1291" s="21"/>
      <c r="B1291" s="28"/>
      <c r="C1291" s="22"/>
      <c r="D1291" s="28"/>
      <c r="E1291" s="23" t="str">
        <f>IF($D1291="","",IFERROR(VLOOKUP($D1291,'ACAS Consumables Tracker'!$A:$H,8,FALSE()),""))</f>
        <v/>
      </c>
      <c r="F1291" s="24"/>
      <c r="G1291" s="25" t="str">
        <f>IF($D1291="","",IFERROR(VLOOKUP($D1291,'ACAS Consumables Tracker'!$A:$D,4,FALSE()),""))</f>
        <v/>
      </c>
      <c r="H1291" s="22"/>
    </row>
    <row r="1292" spans="1:8">
      <c r="A1292" s="21"/>
      <c r="B1292" s="28"/>
      <c r="C1292" s="22"/>
      <c r="D1292" s="28"/>
      <c r="E1292" s="23" t="str">
        <f>IF($D1292="","",IFERROR(VLOOKUP($D1292,'ACAS Consumables Tracker'!$A:$H,8,FALSE()),""))</f>
        <v/>
      </c>
      <c r="F1292" s="24"/>
      <c r="G1292" s="25" t="str">
        <f>IF($D1292="","",IFERROR(VLOOKUP($D1292,'ACAS Consumables Tracker'!$A:$D,4,FALSE()),""))</f>
        <v/>
      </c>
      <c r="H1292" s="22"/>
    </row>
    <row r="1293" spans="1:8">
      <c r="A1293" s="21"/>
      <c r="B1293" s="28"/>
      <c r="C1293" s="22"/>
      <c r="D1293" s="28"/>
      <c r="E1293" s="23" t="str">
        <f>IF($D1293="","",IFERROR(VLOOKUP($D1293,'ACAS Consumables Tracker'!$A:$H,8,FALSE()),""))</f>
        <v/>
      </c>
      <c r="F1293" s="24"/>
      <c r="G1293" s="25" t="str">
        <f>IF($D1293="","",IFERROR(VLOOKUP($D1293,'ACAS Consumables Tracker'!$A:$D,4,FALSE()),""))</f>
        <v/>
      </c>
      <c r="H1293" s="22"/>
    </row>
    <row r="1294" spans="1:8">
      <c r="A1294" s="21"/>
      <c r="B1294" s="28"/>
      <c r="C1294" s="22"/>
      <c r="D1294" s="28"/>
      <c r="E1294" s="23" t="str">
        <f>IF($D1294="","",IFERROR(VLOOKUP($D1294,'ACAS Consumables Tracker'!$A:$H,8,FALSE()),""))</f>
        <v/>
      </c>
      <c r="F1294" s="24"/>
      <c r="G1294" s="25" t="str">
        <f>IF($D1294="","",IFERROR(VLOOKUP($D1294,'ACAS Consumables Tracker'!$A:$D,4,FALSE()),""))</f>
        <v/>
      </c>
      <c r="H1294" s="22"/>
    </row>
    <row r="1295" spans="1:8">
      <c r="A1295" s="21"/>
      <c r="B1295" s="28"/>
      <c r="C1295" s="22"/>
      <c r="D1295" s="28"/>
      <c r="E1295" s="23" t="str">
        <f>IF($D1295="","",IFERROR(VLOOKUP($D1295,'ACAS Consumables Tracker'!$A:$H,8,FALSE()),""))</f>
        <v/>
      </c>
      <c r="F1295" s="24"/>
      <c r="G1295" s="25" t="str">
        <f>IF($D1295="","",IFERROR(VLOOKUP($D1295,'ACAS Consumables Tracker'!$A:$D,4,FALSE()),""))</f>
        <v/>
      </c>
      <c r="H1295" s="22"/>
    </row>
    <row r="1296" spans="1:8">
      <c r="A1296" s="21"/>
      <c r="B1296" s="28"/>
      <c r="C1296" s="22"/>
      <c r="D1296" s="28"/>
      <c r="E1296" s="23" t="str">
        <f>IF($D1296="","",IFERROR(VLOOKUP($D1296,'ACAS Consumables Tracker'!$A:$H,8,FALSE()),""))</f>
        <v/>
      </c>
      <c r="F1296" s="24"/>
      <c r="G1296" s="25" t="str">
        <f>IF($D1296="","",IFERROR(VLOOKUP($D1296,'ACAS Consumables Tracker'!$A:$D,4,FALSE()),""))</f>
        <v/>
      </c>
      <c r="H1296" s="22"/>
    </row>
    <row r="1297" spans="1:8">
      <c r="A1297" s="21"/>
      <c r="B1297" s="28"/>
      <c r="C1297" s="22"/>
      <c r="D1297" s="28"/>
      <c r="E1297" s="23" t="str">
        <f>IF($D1297="","",IFERROR(VLOOKUP($D1297,'ACAS Consumables Tracker'!$A:$H,8,FALSE()),""))</f>
        <v/>
      </c>
      <c r="F1297" s="24"/>
      <c r="G1297" s="25" t="str">
        <f>IF($D1297="","",IFERROR(VLOOKUP($D1297,'ACAS Consumables Tracker'!$A:$D,4,FALSE()),""))</f>
        <v/>
      </c>
      <c r="H1297" s="22"/>
    </row>
    <row r="1298" spans="1:8">
      <c r="A1298" s="21"/>
      <c r="B1298" s="28"/>
      <c r="C1298" s="22"/>
      <c r="D1298" s="28"/>
      <c r="E1298" s="23" t="str">
        <f>IF($D1298="","",IFERROR(VLOOKUP($D1298,'ACAS Consumables Tracker'!$A:$H,8,FALSE()),""))</f>
        <v/>
      </c>
      <c r="F1298" s="24"/>
      <c r="G1298" s="25" t="str">
        <f>IF($D1298="","",IFERROR(VLOOKUP($D1298,'ACAS Consumables Tracker'!$A:$D,4,FALSE()),""))</f>
        <v/>
      </c>
      <c r="H1298" s="22"/>
    </row>
    <row r="1299" spans="1:8">
      <c r="A1299" s="21"/>
      <c r="B1299" s="28"/>
      <c r="C1299" s="22"/>
      <c r="D1299" s="28"/>
      <c r="E1299" s="23" t="str">
        <f>IF($D1299="","",IFERROR(VLOOKUP($D1299,'ACAS Consumables Tracker'!$A:$H,8,FALSE()),""))</f>
        <v/>
      </c>
      <c r="F1299" s="24"/>
      <c r="G1299" s="25" t="str">
        <f>IF($D1299="","",IFERROR(VLOOKUP($D1299,'ACAS Consumables Tracker'!$A:$D,4,FALSE()),""))</f>
        <v/>
      </c>
      <c r="H1299" s="22"/>
    </row>
    <row r="1300" spans="1:8">
      <c r="A1300" s="21"/>
      <c r="B1300" s="28"/>
      <c r="C1300" s="22"/>
      <c r="D1300" s="28"/>
      <c r="E1300" s="23" t="str">
        <f>IF($D1300="","",IFERROR(VLOOKUP($D1300,'ACAS Consumables Tracker'!$A:$H,8,FALSE()),""))</f>
        <v/>
      </c>
      <c r="F1300" s="24"/>
      <c r="G1300" s="25" t="str">
        <f>IF($D1300="","",IFERROR(VLOOKUP($D1300,'ACAS Consumables Tracker'!$A:$D,4,FALSE()),""))</f>
        <v/>
      </c>
      <c r="H1300" s="22"/>
    </row>
    <row r="1301" spans="1:8">
      <c r="A1301" s="21"/>
      <c r="B1301" s="28"/>
      <c r="C1301" s="22"/>
      <c r="D1301" s="28"/>
      <c r="E1301" s="23" t="str">
        <f>IF($D1301="","",IFERROR(VLOOKUP($D1301,'ACAS Consumables Tracker'!$A:$H,8,FALSE()),""))</f>
        <v/>
      </c>
      <c r="F1301" s="24"/>
      <c r="G1301" s="25" t="str">
        <f>IF($D1301="","",IFERROR(VLOOKUP($D1301,'ACAS Consumables Tracker'!$A:$D,4,FALSE()),""))</f>
        <v/>
      </c>
      <c r="H1301" s="22"/>
    </row>
    <row r="1302" spans="1:8">
      <c r="A1302" s="21"/>
      <c r="B1302" s="28"/>
      <c r="C1302" s="22"/>
      <c r="D1302" s="28"/>
      <c r="E1302" s="23" t="str">
        <f>IF($D1302="","",IFERROR(VLOOKUP($D1302,'ACAS Consumables Tracker'!$A:$H,8,FALSE()),""))</f>
        <v/>
      </c>
      <c r="F1302" s="24"/>
      <c r="G1302" s="25" t="str">
        <f>IF($D1302="","",IFERROR(VLOOKUP($D1302,'ACAS Consumables Tracker'!$A:$D,4,FALSE()),""))</f>
        <v/>
      </c>
      <c r="H1302" s="22"/>
    </row>
    <row r="1303" spans="1:8">
      <c r="A1303" s="21"/>
      <c r="B1303" s="28"/>
      <c r="C1303" s="22"/>
      <c r="D1303" s="28"/>
      <c r="E1303" s="23" t="str">
        <f>IF($D1303="","",IFERROR(VLOOKUP($D1303,'ACAS Consumables Tracker'!$A:$H,8,FALSE()),""))</f>
        <v/>
      </c>
      <c r="F1303" s="24"/>
      <c r="G1303" s="25" t="str">
        <f>IF($D1303="","",IFERROR(VLOOKUP($D1303,'ACAS Consumables Tracker'!$A:$D,4,FALSE()),""))</f>
        <v/>
      </c>
      <c r="H1303" s="22"/>
    </row>
    <row r="1304" spans="1:8">
      <c r="A1304" s="21"/>
      <c r="B1304" s="28"/>
      <c r="C1304" s="22"/>
      <c r="D1304" s="28"/>
      <c r="E1304" s="23" t="str">
        <f>IF($D1304="","",IFERROR(VLOOKUP($D1304,'ACAS Consumables Tracker'!$A:$H,8,FALSE()),""))</f>
        <v/>
      </c>
      <c r="F1304" s="24"/>
      <c r="G1304" s="25" t="str">
        <f>IF($D1304="","",IFERROR(VLOOKUP($D1304,'ACAS Consumables Tracker'!$A:$D,4,FALSE()),""))</f>
        <v/>
      </c>
      <c r="H1304" s="22"/>
    </row>
    <row r="1305" spans="1:8">
      <c r="A1305" s="21"/>
      <c r="B1305" s="28"/>
      <c r="C1305" s="22"/>
      <c r="D1305" s="28"/>
      <c r="E1305" s="23" t="str">
        <f>IF($D1305="","",IFERROR(VLOOKUP($D1305,'ACAS Consumables Tracker'!$A:$H,8,FALSE()),""))</f>
        <v/>
      </c>
      <c r="F1305" s="24"/>
      <c r="G1305" s="25" t="str">
        <f>IF($D1305="","",IFERROR(VLOOKUP($D1305,'ACAS Consumables Tracker'!$A:$D,4,FALSE()),""))</f>
        <v/>
      </c>
      <c r="H1305" s="22"/>
    </row>
    <row r="1306" spans="1:8">
      <c r="A1306" s="21"/>
      <c r="B1306" s="28"/>
      <c r="C1306" s="22"/>
      <c r="D1306" s="28"/>
      <c r="E1306" s="23" t="str">
        <f>IF($D1306="","",IFERROR(VLOOKUP($D1306,'ACAS Consumables Tracker'!$A:$H,8,FALSE()),""))</f>
        <v/>
      </c>
      <c r="F1306" s="24"/>
      <c r="G1306" s="25" t="str">
        <f>IF($D1306="","",IFERROR(VLOOKUP($D1306,'ACAS Consumables Tracker'!$A:$D,4,FALSE()),""))</f>
        <v/>
      </c>
      <c r="H1306" s="22"/>
    </row>
    <row r="1307" spans="1:8">
      <c r="A1307" s="21"/>
      <c r="B1307" s="28"/>
      <c r="C1307" s="22"/>
      <c r="D1307" s="28"/>
      <c r="E1307" s="23" t="str">
        <f>IF($D1307="","",IFERROR(VLOOKUP($D1307,'ACAS Consumables Tracker'!$A:$H,8,FALSE()),""))</f>
        <v/>
      </c>
      <c r="F1307" s="24"/>
      <c r="G1307" s="25" t="str">
        <f>IF($D1307="","",IFERROR(VLOOKUP($D1307,'ACAS Consumables Tracker'!$A:$D,4,FALSE()),""))</f>
        <v/>
      </c>
      <c r="H1307" s="22"/>
    </row>
    <row r="1308" spans="1:8">
      <c r="A1308" s="21"/>
      <c r="B1308" s="28"/>
      <c r="C1308" s="22"/>
      <c r="D1308" s="28"/>
      <c r="E1308" s="23" t="str">
        <f>IF($D1308="","",IFERROR(VLOOKUP($D1308,'ACAS Consumables Tracker'!$A:$H,8,FALSE()),""))</f>
        <v/>
      </c>
      <c r="F1308" s="24"/>
      <c r="G1308" s="25" t="str">
        <f>IF($D1308="","",IFERROR(VLOOKUP($D1308,'ACAS Consumables Tracker'!$A:$D,4,FALSE()),""))</f>
        <v/>
      </c>
      <c r="H1308" s="22"/>
    </row>
    <row r="1309" spans="1:8">
      <c r="A1309" s="21"/>
      <c r="B1309" s="28"/>
      <c r="C1309" s="22"/>
      <c r="D1309" s="28"/>
      <c r="E1309" s="23" t="str">
        <f>IF($D1309="","",IFERROR(VLOOKUP($D1309,'ACAS Consumables Tracker'!$A:$H,8,FALSE()),""))</f>
        <v/>
      </c>
      <c r="F1309" s="24"/>
      <c r="G1309" s="25" t="str">
        <f>IF($D1309="","",IFERROR(VLOOKUP($D1309,'ACAS Consumables Tracker'!$A:$D,4,FALSE()),""))</f>
        <v/>
      </c>
      <c r="H1309" s="22"/>
    </row>
    <row r="1310" spans="1:8">
      <c r="A1310" s="21"/>
      <c r="B1310" s="28"/>
      <c r="C1310" s="22"/>
      <c r="D1310" s="28"/>
      <c r="E1310" s="23" t="str">
        <f>IF($D1310="","",IFERROR(VLOOKUP($D1310,'ACAS Consumables Tracker'!$A:$H,8,FALSE()),""))</f>
        <v/>
      </c>
      <c r="F1310" s="24"/>
      <c r="G1310" s="25" t="str">
        <f>IF($D1310="","",IFERROR(VLOOKUP($D1310,'ACAS Consumables Tracker'!$A:$D,4,FALSE()),""))</f>
        <v/>
      </c>
      <c r="H1310" s="22"/>
    </row>
    <row r="1311" spans="1:8">
      <c r="A1311" s="21"/>
      <c r="B1311" s="28"/>
      <c r="C1311" s="22"/>
      <c r="D1311" s="28"/>
      <c r="E1311" s="23" t="str">
        <f>IF($D1311="","",IFERROR(VLOOKUP($D1311,'ACAS Consumables Tracker'!$A:$H,8,FALSE()),""))</f>
        <v/>
      </c>
      <c r="F1311" s="24"/>
      <c r="G1311" s="25" t="str">
        <f>IF($D1311="","",IFERROR(VLOOKUP($D1311,'ACAS Consumables Tracker'!$A:$D,4,FALSE()),""))</f>
        <v/>
      </c>
      <c r="H1311" s="22"/>
    </row>
    <row r="1312" spans="1:8">
      <c r="A1312" s="21"/>
      <c r="B1312" s="28"/>
      <c r="C1312" s="22"/>
      <c r="D1312" s="28"/>
      <c r="E1312" s="23" t="str">
        <f>IF($D1312="","",IFERROR(VLOOKUP($D1312,'ACAS Consumables Tracker'!$A:$H,8,FALSE()),""))</f>
        <v/>
      </c>
      <c r="F1312" s="24"/>
      <c r="G1312" s="25" t="str">
        <f>IF($D1312="","",IFERROR(VLOOKUP($D1312,'ACAS Consumables Tracker'!$A:$D,4,FALSE()),""))</f>
        <v/>
      </c>
      <c r="H1312" s="22"/>
    </row>
    <row r="1313" spans="1:8">
      <c r="A1313" s="21"/>
      <c r="B1313" s="28"/>
      <c r="C1313" s="22"/>
      <c r="D1313" s="28"/>
      <c r="E1313" s="23" t="str">
        <f>IF($D1313="","",IFERROR(VLOOKUP($D1313,'ACAS Consumables Tracker'!$A:$H,8,FALSE()),""))</f>
        <v/>
      </c>
      <c r="F1313" s="24"/>
      <c r="G1313" s="25" t="str">
        <f>IF($D1313="","",IFERROR(VLOOKUP($D1313,'ACAS Consumables Tracker'!$A:$D,4,FALSE()),""))</f>
        <v/>
      </c>
      <c r="H1313" s="22"/>
    </row>
    <row r="1314" spans="1:8">
      <c r="A1314" s="21"/>
      <c r="B1314" s="28"/>
      <c r="C1314" s="22"/>
      <c r="D1314" s="28"/>
      <c r="E1314" s="23" t="str">
        <f>IF($D1314="","",IFERROR(VLOOKUP($D1314,'ACAS Consumables Tracker'!$A:$H,8,FALSE()),""))</f>
        <v/>
      </c>
      <c r="F1314" s="24"/>
      <c r="G1314" s="25" t="str">
        <f>IF($D1314="","",IFERROR(VLOOKUP($D1314,'ACAS Consumables Tracker'!$A:$D,4,FALSE()),""))</f>
        <v/>
      </c>
      <c r="H1314" s="22"/>
    </row>
    <row r="1315" spans="1:8">
      <c r="A1315" s="21"/>
      <c r="B1315" s="28"/>
      <c r="C1315" s="22"/>
      <c r="D1315" s="28"/>
      <c r="E1315" s="23" t="str">
        <f>IF($D1315="","",IFERROR(VLOOKUP($D1315,'ACAS Consumables Tracker'!$A:$H,8,FALSE()),""))</f>
        <v/>
      </c>
      <c r="F1315" s="24"/>
      <c r="G1315" s="25" t="str">
        <f>IF($D1315="","",IFERROR(VLOOKUP($D1315,'ACAS Consumables Tracker'!$A:$D,4,FALSE()),""))</f>
        <v/>
      </c>
      <c r="H1315" s="22"/>
    </row>
    <row r="1316" spans="1:8">
      <c r="A1316" s="21"/>
      <c r="B1316" s="28"/>
      <c r="C1316" s="22"/>
      <c r="D1316" s="28"/>
      <c r="E1316" s="23" t="str">
        <f>IF($D1316="","",IFERROR(VLOOKUP($D1316,'ACAS Consumables Tracker'!$A:$H,8,FALSE()),""))</f>
        <v/>
      </c>
      <c r="F1316" s="24"/>
      <c r="G1316" s="25" t="str">
        <f>IF($D1316="","",IFERROR(VLOOKUP($D1316,'ACAS Consumables Tracker'!$A:$D,4,FALSE()),""))</f>
        <v/>
      </c>
      <c r="H1316" s="22"/>
    </row>
    <row r="1317" spans="1:8">
      <c r="A1317" s="21"/>
      <c r="B1317" s="28"/>
      <c r="C1317" s="22"/>
      <c r="D1317" s="28"/>
      <c r="E1317" s="23" t="str">
        <f>IF($D1317="","",IFERROR(VLOOKUP($D1317,'ACAS Consumables Tracker'!$A:$H,8,FALSE()),""))</f>
        <v/>
      </c>
      <c r="F1317" s="24"/>
      <c r="G1317" s="25" t="str">
        <f>IF($D1317="","",IFERROR(VLOOKUP($D1317,'ACAS Consumables Tracker'!$A:$D,4,FALSE()),""))</f>
        <v/>
      </c>
      <c r="H1317" s="22"/>
    </row>
    <row r="1318" spans="1:8">
      <c r="A1318" s="21"/>
      <c r="B1318" s="28"/>
      <c r="C1318" s="22"/>
      <c r="D1318" s="28"/>
      <c r="E1318" s="23" t="str">
        <f>IF($D1318="","",IFERROR(VLOOKUP($D1318,'ACAS Consumables Tracker'!$A:$H,8,FALSE()),""))</f>
        <v/>
      </c>
      <c r="F1318" s="24"/>
      <c r="G1318" s="25" t="str">
        <f>IF($D1318="","",IFERROR(VLOOKUP($D1318,'ACAS Consumables Tracker'!$A:$D,4,FALSE()),""))</f>
        <v/>
      </c>
      <c r="H1318" s="22"/>
    </row>
    <row r="1319" spans="1:8">
      <c r="A1319" s="21"/>
      <c r="B1319" s="28"/>
      <c r="C1319" s="22"/>
      <c r="D1319" s="28"/>
      <c r="E1319" s="23" t="str">
        <f>IF($D1319="","",IFERROR(VLOOKUP($D1319,'ACAS Consumables Tracker'!$A:$H,8,FALSE()),""))</f>
        <v/>
      </c>
      <c r="F1319" s="24"/>
      <c r="G1319" s="25" t="str">
        <f>IF($D1319="","",IFERROR(VLOOKUP($D1319,'ACAS Consumables Tracker'!$A:$D,4,FALSE()),""))</f>
        <v/>
      </c>
      <c r="H1319" s="22"/>
    </row>
    <row r="1320" spans="1:8">
      <c r="A1320" s="21"/>
      <c r="B1320" s="28"/>
      <c r="C1320" s="22"/>
      <c r="D1320" s="28"/>
      <c r="E1320" s="23" t="str">
        <f>IF($D1320="","",IFERROR(VLOOKUP($D1320,'ACAS Consumables Tracker'!$A:$H,8,FALSE()),""))</f>
        <v/>
      </c>
      <c r="F1320" s="24"/>
      <c r="G1320" s="25" t="str">
        <f>IF($D1320="","",IFERROR(VLOOKUP($D1320,'ACAS Consumables Tracker'!$A:$D,4,FALSE()),""))</f>
        <v/>
      </c>
      <c r="H1320" s="22"/>
    </row>
    <row r="1321" spans="1:8">
      <c r="A1321" s="21"/>
      <c r="B1321" s="28"/>
      <c r="C1321" s="22"/>
      <c r="D1321" s="28"/>
      <c r="E1321" s="23" t="str">
        <f>IF($D1321="","",IFERROR(VLOOKUP($D1321,'ACAS Consumables Tracker'!$A:$H,8,FALSE()),""))</f>
        <v/>
      </c>
      <c r="F1321" s="24"/>
      <c r="G1321" s="25" t="str">
        <f>IF($D1321="","",IFERROR(VLOOKUP($D1321,'ACAS Consumables Tracker'!$A:$D,4,FALSE()),""))</f>
        <v/>
      </c>
      <c r="H1321" s="22"/>
    </row>
    <row r="1322" spans="1:8">
      <c r="A1322" s="21"/>
      <c r="B1322" s="28"/>
      <c r="C1322" s="22"/>
      <c r="D1322" s="28"/>
      <c r="E1322" s="23" t="str">
        <f>IF($D1322="","",IFERROR(VLOOKUP($D1322,'ACAS Consumables Tracker'!$A:$H,8,FALSE()),""))</f>
        <v/>
      </c>
      <c r="F1322" s="24"/>
      <c r="G1322" s="25" t="str">
        <f>IF($D1322="","",IFERROR(VLOOKUP($D1322,'ACAS Consumables Tracker'!$A:$D,4,FALSE()),""))</f>
        <v/>
      </c>
      <c r="H1322" s="22"/>
    </row>
    <row r="1323" spans="1:8">
      <c r="A1323" s="21"/>
      <c r="B1323" s="28"/>
      <c r="C1323" s="22"/>
      <c r="D1323" s="28"/>
      <c r="E1323" s="23" t="str">
        <f>IF($D1323="","",IFERROR(VLOOKUP($D1323,'ACAS Consumables Tracker'!$A:$H,8,FALSE()),""))</f>
        <v/>
      </c>
      <c r="F1323" s="24"/>
      <c r="G1323" s="25" t="str">
        <f>IF($D1323="","",IFERROR(VLOOKUP($D1323,'ACAS Consumables Tracker'!$A:$D,4,FALSE()),""))</f>
        <v/>
      </c>
      <c r="H1323" s="22"/>
    </row>
    <row r="1324" spans="1:8">
      <c r="A1324" s="21"/>
      <c r="B1324" s="28"/>
      <c r="C1324" s="22"/>
      <c r="D1324" s="28"/>
      <c r="E1324" s="23" t="str">
        <f>IF($D1324="","",IFERROR(VLOOKUP($D1324,'ACAS Consumables Tracker'!$A:$H,8,FALSE()),""))</f>
        <v/>
      </c>
      <c r="F1324" s="24"/>
      <c r="G1324" s="25" t="str">
        <f>IF($D1324="","",IFERROR(VLOOKUP($D1324,'ACAS Consumables Tracker'!$A:$D,4,FALSE()),""))</f>
        <v/>
      </c>
      <c r="H1324" s="22"/>
    </row>
    <row r="1325" spans="1:8">
      <c r="A1325" s="21"/>
      <c r="B1325" s="28"/>
      <c r="C1325" s="22"/>
      <c r="D1325" s="28"/>
      <c r="E1325" s="23" t="str">
        <f>IF($D1325="","",IFERROR(VLOOKUP($D1325,'ACAS Consumables Tracker'!$A:$H,8,FALSE()),""))</f>
        <v/>
      </c>
      <c r="F1325" s="24"/>
      <c r="G1325" s="25" t="str">
        <f>IF($D1325="","",IFERROR(VLOOKUP($D1325,'ACAS Consumables Tracker'!$A:$D,4,FALSE()),""))</f>
        <v/>
      </c>
      <c r="H1325" s="22"/>
    </row>
    <row r="1326" spans="1:8">
      <c r="A1326" s="21"/>
      <c r="B1326" s="28"/>
      <c r="C1326" s="22"/>
      <c r="D1326" s="28"/>
      <c r="E1326" s="23" t="str">
        <f>IF($D1326="","",IFERROR(VLOOKUP($D1326,'ACAS Consumables Tracker'!$A:$H,8,FALSE()),""))</f>
        <v/>
      </c>
      <c r="F1326" s="24"/>
      <c r="G1326" s="25" t="str">
        <f>IF($D1326="","",IFERROR(VLOOKUP($D1326,'ACAS Consumables Tracker'!$A:$D,4,FALSE()),""))</f>
        <v/>
      </c>
      <c r="H1326" s="22"/>
    </row>
    <row r="1327" spans="1:8">
      <c r="A1327" s="21"/>
      <c r="B1327" s="28"/>
      <c r="C1327" s="22"/>
      <c r="D1327" s="28"/>
      <c r="E1327" s="23" t="str">
        <f>IF($D1327="","",IFERROR(VLOOKUP($D1327,'ACAS Consumables Tracker'!$A:$H,8,FALSE()),""))</f>
        <v/>
      </c>
      <c r="F1327" s="24"/>
      <c r="G1327" s="25" t="str">
        <f>IF($D1327="","",IFERROR(VLOOKUP($D1327,'ACAS Consumables Tracker'!$A:$D,4,FALSE()),""))</f>
        <v/>
      </c>
      <c r="H1327" s="22"/>
    </row>
    <row r="1328" spans="1:8">
      <c r="A1328" s="21"/>
      <c r="B1328" s="28"/>
      <c r="C1328" s="22"/>
      <c r="D1328" s="28"/>
      <c r="E1328" s="23" t="str">
        <f>IF($D1328="","",IFERROR(VLOOKUP($D1328,'ACAS Consumables Tracker'!$A:$H,8,FALSE()),""))</f>
        <v/>
      </c>
      <c r="F1328" s="24"/>
      <c r="G1328" s="25" t="str">
        <f>IF($D1328="","",IFERROR(VLOOKUP($D1328,'ACAS Consumables Tracker'!$A:$D,4,FALSE()),""))</f>
        <v/>
      </c>
      <c r="H1328" s="22"/>
    </row>
    <row r="1329" spans="1:8">
      <c r="A1329" s="21"/>
      <c r="B1329" s="28"/>
      <c r="C1329" s="22"/>
      <c r="D1329" s="28"/>
      <c r="E1329" s="23" t="str">
        <f>IF($D1329="","",IFERROR(VLOOKUP($D1329,'ACAS Consumables Tracker'!$A:$H,8,FALSE()),""))</f>
        <v/>
      </c>
      <c r="F1329" s="24"/>
      <c r="G1329" s="25" t="str">
        <f>IF($D1329="","",IFERROR(VLOOKUP($D1329,'ACAS Consumables Tracker'!$A:$D,4,FALSE()),""))</f>
        <v/>
      </c>
      <c r="H1329" s="22"/>
    </row>
    <row r="1330" spans="1:8">
      <c r="A1330" s="21"/>
      <c r="B1330" s="28"/>
      <c r="C1330" s="22"/>
      <c r="D1330" s="28"/>
      <c r="E1330" s="23" t="str">
        <f>IF($D1330="","",IFERROR(VLOOKUP($D1330,'ACAS Consumables Tracker'!$A:$H,8,FALSE()),""))</f>
        <v/>
      </c>
      <c r="F1330" s="24"/>
      <c r="G1330" s="25" t="str">
        <f>IF($D1330="","",IFERROR(VLOOKUP($D1330,'ACAS Consumables Tracker'!$A:$D,4,FALSE()),""))</f>
        <v/>
      </c>
      <c r="H1330" s="22"/>
    </row>
    <row r="1331" spans="1:8">
      <c r="A1331" s="21"/>
      <c r="B1331" s="28"/>
      <c r="C1331" s="22"/>
      <c r="D1331" s="28"/>
      <c r="E1331" s="23" t="str">
        <f>IF($D1331="","",IFERROR(VLOOKUP($D1331,'ACAS Consumables Tracker'!$A:$H,8,FALSE()),""))</f>
        <v/>
      </c>
      <c r="F1331" s="24"/>
      <c r="G1331" s="25" t="str">
        <f>IF($D1331="","",IFERROR(VLOOKUP($D1331,'ACAS Consumables Tracker'!$A:$D,4,FALSE()),""))</f>
        <v/>
      </c>
      <c r="H1331" s="22"/>
    </row>
    <row r="1332" spans="1:8">
      <c r="A1332" s="21"/>
      <c r="B1332" s="28"/>
      <c r="C1332" s="22"/>
      <c r="D1332" s="28"/>
      <c r="E1332" s="23" t="str">
        <f>IF($D1332="","",IFERROR(VLOOKUP($D1332,'ACAS Consumables Tracker'!$A:$H,8,FALSE()),""))</f>
        <v/>
      </c>
      <c r="F1332" s="24"/>
      <c r="G1332" s="25" t="str">
        <f>IF($D1332="","",IFERROR(VLOOKUP($D1332,'ACAS Consumables Tracker'!$A:$D,4,FALSE()),""))</f>
        <v/>
      </c>
      <c r="H1332" s="22"/>
    </row>
    <row r="1333" spans="1:8">
      <c r="A1333" s="21"/>
      <c r="B1333" s="28"/>
      <c r="C1333" s="22"/>
      <c r="D1333" s="28"/>
      <c r="E1333" s="23" t="str">
        <f>IF($D1333="","",IFERROR(VLOOKUP($D1333,'ACAS Consumables Tracker'!$A:$H,8,FALSE()),""))</f>
        <v/>
      </c>
      <c r="F1333" s="24"/>
      <c r="G1333" s="25" t="str">
        <f>IF($D1333="","",IFERROR(VLOOKUP($D1333,'ACAS Consumables Tracker'!$A:$D,4,FALSE()),""))</f>
        <v/>
      </c>
      <c r="H1333" s="22"/>
    </row>
    <row r="1334" spans="1:8">
      <c r="A1334" s="21"/>
      <c r="B1334" s="28"/>
      <c r="C1334" s="22"/>
      <c r="D1334" s="28"/>
      <c r="E1334" s="23" t="str">
        <f>IF($D1334="","",IFERROR(VLOOKUP($D1334,'ACAS Consumables Tracker'!$A:$H,8,FALSE()),""))</f>
        <v/>
      </c>
      <c r="F1334" s="24"/>
      <c r="G1334" s="25" t="str">
        <f>IF($D1334="","",IFERROR(VLOOKUP($D1334,'ACAS Consumables Tracker'!$A:$D,4,FALSE()),""))</f>
        <v/>
      </c>
      <c r="H1334" s="22"/>
    </row>
    <row r="1335" spans="1:8">
      <c r="A1335" s="21"/>
      <c r="B1335" s="28"/>
      <c r="C1335" s="22"/>
      <c r="D1335" s="28"/>
      <c r="E1335" s="23" t="str">
        <f>IF($D1335="","",IFERROR(VLOOKUP($D1335,'ACAS Consumables Tracker'!$A:$H,8,FALSE()),""))</f>
        <v/>
      </c>
      <c r="F1335" s="24"/>
      <c r="G1335" s="25" t="str">
        <f>IF($D1335="","",IFERROR(VLOOKUP($D1335,'ACAS Consumables Tracker'!$A:$D,4,FALSE()),""))</f>
        <v/>
      </c>
      <c r="H1335" s="22"/>
    </row>
    <row r="1336" spans="1:8">
      <c r="A1336" s="21"/>
      <c r="B1336" s="28"/>
      <c r="C1336" s="22"/>
      <c r="D1336" s="28"/>
      <c r="E1336" s="23" t="str">
        <f>IF($D1336="","",IFERROR(VLOOKUP($D1336,'ACAS Consumables Tracker'!$A:$H,8,FALSE()),""))</f>
        <v/>
      </c>
      <c r="F1336" s="24"/>
      <c r="G1336" s="25" t="str">
        <f>IF($D1336="","",IFERROR(VLOOKUP($D1336,'ACAS Consumables Tracker'!$A:$D,4,FALSE()),""))</f>
        <v/>
      </c>
      <c r="H1336" s="22"/>
    </row>
    <row r="1337" spans="1:8">
      <c r="A1337" s="21"/>
      <c r="B1337" s="28"/>
      <c r="C1337" s="22"/>
      <c r="D1337" s="28"/>
      <c r="E1337" s="23" t="str">
        <f>IF($D1337="","",IFERROR(VLOOKUP($D1337,'ACAS Consumables Tracker'!$A:$H,8,FALSE()),""))</f>
        <v/>
      </c>
      <c r="F1337" s="24"/>
      <c r="G1337" s="25" t="str">
        <f>IF($D1337="","",IFERROR(VLOOKUP($D1337,'ACAS Consumables Tracker'!$A:$D,4,FALSE()),""))</f>
        <v/>
      </c>
      <c r="H1337" s="22"/>
    </row>
    <row r="1338" spans="1:8">
      <c r="A1338" s="21"/>
      <c r="B1338" s="28"/>
      <c r="C1338" s="22"/>
      <c r="D1338" s="28"/>
      <c r="E1338" s="23" t="str">
        <f>IF($D1338="","",IFERROR(VLOOKUP($D1338,'ACAS Consumables Tracker'!$A:$H,8,FALSE()),""))</f>
        <v/>
      </c>
      <c r="F1338" s="24"/>
      <c r="G1338" s="25" t="str">
        <f>IF($D1338="","",IFERROR(VLOOKUP($D1338,'ACAS Consumables Tracker'!$A:$D,4,FALSE()),""))</f>
        <v/>
      </c>
      <c r="H1338" s="22"/>
    </row>
    <row r="1339" spans="1:8">
      <c r="A1339" s="21"/>
      <c r="B1339" s="28"/>
      <c r="C1339" s="22"/>
      <c r="D1339" s="28"/>
      <c r="E1339" s="23" t="str">
        <f>IF($D1339="","",IFERROR(VLOOKUP($D1339,'ACAS Consumables Tracker'!$A:$H,8,FALSE()),""))</f>
        <v/>
      </c>
      <c r="F1339" s="24"/>
      <c r="G1339" s="25" t="str">
        <f>IF($D1339="","",IFERROR(VLOOKUP($D1339,'ACAS Consumables Tracker'!$A:$D,4,FALSE()),""))</f>
        <v/>
      </c>
      <c r="H1339" s="22"/>
    </row>
    <row r="1340" spans="1:8">
      <c r="A1340" s="21"/>
      <c r="B1340" s="28"/>
      <c r="C1340" s="22"/>
      <c r="D1340" s="28"/>
      <c r="E1340" s="23" t="str">
        <f>IF($D1340="","",IFERROR(VLOOKUP($D1340,'ACAS Consumables Tracker'!$A:$H,8,FALSE()),""))</f>
        <v/>
      </c>
      <c r="F1340" s="24"/>
      <c r="G1340" s="25" t="str">
        <f>IF($D1340="","",IFERROR(VLOOKUP($D1340,'ACAS Consumables Tracker'!$A:$D,4,FALSE()),""))</f>
        <v/>
      </c>
      <c r="H1340" s="22"/>
    </row>
    <row r="1341" spans="1:8">
      <c r="A1341" s="21"/>
      <c r="B1341" s="28"/>
      <c r="C1341" s="22"/>
      <c r="D1341" s="28"/>
      <c r="E1341" s="23" t="str">
        <f>IF($D1341="","",IFERROR(VLOOKUP($D1341,'ACAS Consumables Tracker'!$A:$H,8,FALSE()),""))</f>
        <v/>
      </c>
      <c r="F1341" s="24"/>
      <c r="G1341" s="25" t="str">
        <f>IF($D1341="","",IFERROR(VLOOKUP($D1341,'ACAS Consumables Tracker'!$A:$D,4,FALSE()),""))</f>
        <v/>
      </c>
      <c r="H1341" s="22"/>
    </row>
    <row r="1342" spans="1:8">
      <c r="A1342" s="21"/>
      <c r="B1342" s="28"/>
      <c r="C1342" s="22"/>
      <c r="D1342" s="28"/>
      <c r="E1342" s="23" t="str">
        <f>IF($D1342="","",IFERROR(VLOOKUP($D1342,'ACAS Consumables Tracker'!$A:$H,8,FALSE()),""))</f>
        <v/>
      </c>
      <c r="F1342" s="24"/>
      <c r="G1342" s="25" t="str">
        <f>IF($D1342="","",IFERROR(VLOOKUP($D1342,'ACAS Consumables Tracker'!$A:$D,4,FALSE()),""))</f>
        <v/>
      </c>
      <c r="H1342" s="22"/>
    </row>
    <row r="1343" spans="1:8">
      <c r="A1343" s="21"/>
      <c r="B1343" s="28"/>
      <c r="C1343" s="22"/>
      <c r="D1343" s="28"/>
      <c r="E1343" s="23" t="str">
        <f>IF($D1343="","",IFERROR(VLOOKUP($D1343,'ACAS Consumables Tracker'!$A:$H,8,FALSE()),""))</f>
        <v/>
      </c>
      <c r="F1343" s="24"/>
      <c r="G1343" s="25" t="str">
        <f>IF($D1343="","",IFERROR(VLOOKUP($D1343,'ACAS Consumables Tracker'!$A:$D,4,FALSE()),""))</f>
        <v/>
      </c>
      <c r="H1343" s="22"/>
    </row>
    <row r="1344" spans="1:8">
      <c r="A1344" s="21"/>
      <c r="B1344" s="28"/>
      <c r="C1344" s="22"/>
      <c r="D1344" s="28"/>
      <c r="E1344" s="23" t="str">
        <f>IF($D1344="","",IFERROR(VLOOKUP($D1344,'ACAS Consumables Tracker'!$A:$H,8,FALSE()),""))</f>
        <v/>
      </c>
      <c r="F1344" s="24"/>
      <c r="G1344" s="25" t="str">
        <f>IF($D1344="","",IFERROR(VLOOKUP($D1344,'ACAS Consumables Tracker'!$A:$D,4,FALSE()),""))</f>
        <v/>
      </c>
      <c r="H1344" s="22"/>
    </row>
    <row r="1345" spans="1:8">
      <c r="A1345" s="21"/>
      <c r="B1345" s="28"/>
      <c r="C1345" s="22"/>
      <c r="D1345" s="28"/>
      <c r="E1345" s="23" t="str">
        <f>IF($D1345="","",IFERROR(VLOOKUP($D1345,'ACAS Consumables Tracker'!$A:$H,8,FALSE()),""))</f>
        <v/>
      </c>
      <c r="F1345" s="24"/>
      <c r="G1345" s="25" t="str">
        <f>IF($D1345="","",IFERROR(VLOOKUP($D1345,'ACAS Consumables Tracker'!$A:$D,4,FALSE()),""))</f>
        <v/>
      </c>
      <c r="H1345" s="22"/>
    </row>
    <row r="1346" spans="1:8">
      <c r="A1346" s="21"/>
      <c r="B1346" s="28"/>
      <c r="C1346" s="22"/>
      <c r="D1346" s="28"/>
      <c r="E1346" s="23" t="str">
        <f>IF($D1346="","",IFERROR(VLOOKUP($D1346,'ACAS Consumables Tracker'!$A:$H,8,FALSE()),""))</f>
        <v/>
      </c>
      <c r="F1346" s="24"/>
      <c r="G1346" s="25" t="str">
        <f>IF($D1346="","",IFERROR(VLOOKUP($D1346,'ACAS Consumables Tracker'!$A:$D,4,FALSE()),""))</f>
        <v/>
      </c>
      <c r="H1346" s="22"/>
    </row>
    <row r="1347" spans="1:8">
      <c r="A1347" s="21"/>
      <c r="B1347" s="28"/>
      <c r="C1347" s="22"/>
      <c r="D1347" s="28"/>
      <c r="E1347" s="23" t="str">
        <f>IF($D1347="","",IFERROR(VLOOKUP($D1347,'ACAS Consumables Tracker'!$A:$H,8,FALSE()),""))</f>
        <v/>
      </c>
      <c r="F1347" s="24"/>
      <c r="G1347" s="25" t="str">
        <f>IF($D1347="","",IFERROR(VLOOKUP($D1347,'ACAS Consumables Tracker'!$A:$D,4,FALSE()),""))</f>
        <v/>
      </c>
      <c r="H1347" s="22"/>
    </row>
    <row r="1348" spans="1:8">
      <c r="A1348" s="21"/>
      <c r="B1348" s="28"/>
      <c r="C1348" s="22"/>
      <c r="D1348" s="28"/>
      <c r="E1348" s="23" t="str">
        <f>IF($D1348="","",IFERROR(VLOOKUP($D1348,'ACAS Consumables Tracker'!$A:$H,8,FALSE()),""))</f>
        <v/>
      </c>
      <c r="F1348" s="24"/>
      <c r="G1348" s="25" t="str">
        <f>IF($D1348="","",IFERROR(VLOOKUP($D1348,'ACAS Consumables Tracker'!$A:$D,4,FALSE()),""))</f>
        <v/>
      </c>
      <c r="H1348" s="22"/>
    </row>
    <row r="1349" spans="1:8">
      <c r="A1349" s="21"/>
      <c r="B1349" s="28"/>
      <c r="C1349" s="22"/>
      <c r="D1349" s="28"/>
      <c r="E1349" s="23" t="str">
        <f>IF($D1349="","",IFERROR(VLOOKUP($D1349,'ACAS Consumables Tracker'!$A:$H,8,FALSE()),""))</f>
        <v/>
      </c>
      <c r="F1349" s="24"/>
      <c r="G1349" s="25" t="str">
        <f>IF($D1349="","",IFERROR(VLOOKUP($D1349,'ACAS Consumables Tracker'!$A:$D,4,FALSE()),""))</f>
        <v/>
      </c>
      <c r="H1349" s="22"/>
    </row>
    <row r="1350" spans="1:8">
      <c r="A1350" s="21"/>
      <c r="B1350" s="28"/>
      <c r="C1350" s="22"/>
      <c r="D1350" s="28"/>
      <c r="E1350" s="23" t="str">
        <f>IF($D1350="","",IFERROR(VLOOKUP($D1350,'ACAS Consumables Tracker'!$A:$H,8,FALSE()),""))</f>
        <v/>
      </c>
      <c r="F1350" s="24"/>
      <c r="G1350" s="25" t="str">
        <f>IF($D1350="","",IFERROR(VLOOKUP($D1350,'ACAS Consumables Tracker'!$A:$D,4,FALSE()),""))</f>
        <v/>
      </c>
      <c r="H1350" s="22"/>
    </row>
    <row r="1351" spans="1:8">
      <c r="A1351" s="21"/>
      <c r="B1351" s="28"/>
      <c r="C1351" s="22"/>
      <c r="D1351" s="28"/>
      <c r="E1351" s="23" t="str">
        <f>IF($D1351="","",IFERROR(VLOOKUP($D1351,'ACAS Consumables Tracker'!$A:$H,8,FALSE()),""))</f>
        <v/>
      </c>
      <c r="F1351" s="24"/>
      <c r="G1351" s="25" t="str">
        <f>IF($D1351="","",IFERROR(VLOOKUP($D1351,'ACAS Consumables Tracker'!$A:$D,4,FALSE()),""))</f>
        <v/>
      </c>
      <c r="H1351" s="22"/>
    </row>
    <row r="1352" spans="1:8">
      <c r="A1352" s="21"/>
      <c r="B1352" s="28"/>
      <c r="C1352" s="22"/>
      <c r="D1352" s="28"/>
      <c r="E1352" s="23" t="str">
        <f>IF($D1352="","",IFERROR(VLOOKUP($D1352,'ACAS Consumables Tracker'!$A:$H,8,FALSE()),""))</f>
        <v/>
      </c>
      <c r="F1352" s="24"/>
      <c r="G1352" s="25" t="str">
        <f>IF($D1352="","",IFERROR(VLOOKUP($D1352,'ACAS Consumables Tracker'!$A:$D,4,FALSE()),""))</f>
        <v/>
      </c>
      <c r="H1352" s="22"/>
    </row>
    <row r="1353" spans="1:8">
      <c r="A1353" s="21"/>
      <c r="B1353" s="28"/>
      <c r="C1353" s="22"/>
      <c r="D1353" s="28"/>
      <c r="E1353" s="23" t="str">
        <f>IF($D1353="","",IFERROR(VLOOKUP($D1353,'ACAS Consumables Tracker'!$A:$H,8,FALSE()),""))</f>
        <v/>
      </c>
      <c r="F1353" s="24"/>
      <c r="G1353" s="25" t="str">
        <f>IF($D1353="","",IFERROR(VLOOKUP($D1353,'ACAS Consumables Tracker'!$A:$D,4,FALSE()),""))</f>
        <v/>
      </c>
      <c r="H1353" s="22"/>
    </row>
    <row r="1354" spans="1:8">
      <c r="A1354" s="21"/>
      <c r="B1354" s="28"/>
      <c r="C1354" s="22"/>
      <c r="D1354" s="28"/>
      <c r="E1354" s="23" t="str">
        <f>IF($D1354="","",IFERROR(VLOOKUP($D1354,'ACAS Consumables Tracker'!$A:$H,8,FALSE()),""))</f>
        <v/>
      </c>
      <c r="F1354" s="24"/>
      <c r="G1354" s="25" t="str">
        <f>IF($D1354="","",IFERROR(VLOOKUP($D1354,'ACAS Consumables Tracker'!$A:$D,4,FALSE()),""))</f>
        <v/>
      </c>
      <c r="H1354" s="22"/>
    </row>
    <row r="1355" spans="1:8">
      <c r="A1355" s="21"/>
      <c r="B1355" s="28"/>
      <c r="C1355" s="22"/>
      <c r="D1355" s="28"/>
      <c r="E1355" s="23" t="str">
        <f>IF($D1355="","",IFERROR(VLOOKUP($D1355,'ACAS Consumables Tracker'!$A:$H,8,FALSE()),""))</f>
        <v/>
      </c>
      <c r="F1355" s="24"/>
      <c r="G1355" s="25" t="str">
        <f>IF($D1355="","",IFERROR(VLOOKUP($D1355,'ACAS Consumables Tracker'!$A:$D,4,FALSE()),""))</f>
        <v/>
      </c>
      <c r="H1355" s="22"/>
    </row>
    <row r="1356" spans="1:8">
      <c r="A1356" s="21"/>
      <c r="B1356" s="28"/>
      <c r="C1356" s="22"/>
      <c r="D1356" s="28"/>
      <c r="E1356" s="23" t="str">
        <f>IF($D1356="","",IFERROR(VLOOKUP($D1356,'ACAS Consumables Tracker'!$A:$H,8,FALSE()),""))</f>
        <v/>
      </c>
      <c r="F1356" s="24"/>
      <c r="G1356" s="25" t="str">
        <f>IF($D1356="","",IFERROR(VLOOKUP($D1356,'ACAS Consumables Tracker'!$A:$D,4,FALSE()),""))</f>
        <v/>
      </c>
      <c r="H1356" s="22"/>
    </row>
    <row r="1357" spans="1:8">
      <c r="A1357" s="21"/>
      <c r="B1357" s="28"/>
      <c r="C1357" s="22"/>
      <c r="D1357" s="28"/>
      <c r="E1357" s="23" t="str">
        <f>IF($D1357="","",IFERROR(VLOOKUP($D1357,'ACAS Consumables Tracker'!$A:$H,8,FALSE()),""))</f>
        <v/>
      </c>
      <c r="F1357" s="24"/>
      <c r="G1357" s="25" t="str">
        <f>IF($D1357="","",IFERROR(VLOOKUP($D1357,'ACAS Consumables Tracker'!$A:$D,4,FALSE()),""))</f>
        <v/>
      </c>
      <c r="H1357" s="22"/>
    </row>
    <row r="1358" spans="1:8">
      <c r="A1358" s="21"/>
      <c r="B1358" s="28"/>
      <c r="C1358" s="22"/>
      <c r="D1358" s="28"/>
      <c r="E1358" s="23" t="str">
        <f>IF($D1358="","",IFERROR(VLOOKUP($D1358,'ACAS Consumables Tracker'!$A:$H,8,FALSE()),""))</f>
        <v/>
      </c>
      <c r="F1358" s="24"/>
      <c r="G1358" s="25" t="str">
        <f>IF($D1358="","",IFERROR(VLOOKUP($D1358,'ACAS Consumables Tracker'!$A:$D,4,FALSE()),""))</f>
        <v/>
      </c>
      <c r="H1358" s="22"/>
    </row>
    <row r="1359" spans="1:8">
      <c r="A1359" s="21"/>
      <c r="B1359" s="28"/>
      <c r="C1359" s="22"/>
      <c r="D1359" s="28"/>
      <c r="E1359" s="23" t="str">
        <f>IF($D1359="","",IFERROR(VLOOKUP($D1359,'ACAS Consumables Tracker'!$A:$H,8,FALSE()),""))</f>
        <v/>
      </c>
      <c r="F1359" s="24"/>
      <c r="G1359" s="25" t="str">
        <f>IF($D1359="","",IFERROR(VLOOKUP($D1359,'ACAS Consumables Tracker'!$A:$D,4,FALSE()),""))</f>
        <v/>
      </c>
      <c r="H1359" s="22"/>
    </row>
    <row r="1360" spans="1:8">
      <c r="A1360" s="21"/>
      <c r="B1360" s="28"/>
      <c r="C1360" s="22"/>
      <c r="D1360" s="28"/>
      <c r="E1360" s="23" t="str">
        <f>IF($D1360="","",IFERROR(VLOOKUP($D1360,'ACAS Consumables Tracker'!$A:$H,8,FALSE()),""))</f>
        <v/>
      </c>
      <c r="F1360" s="24"/>
      <c r="G1360" s="25" t="str">
        <f>IF($D1360="","",IFERROR(VLOOKUP($D1360,'ACAS Consumables Tracker'!$A:$D,4,FALSE()),""))</f>
        <v/>
      </c>
      <c r="H1360" s="22"/>
    </row>
    <row r="1361" spans="1:8">
      <c r="A1361" s="21"/>
      <c r="B1361" s="28"/>
      <c r="C1361" s="22"/>
      <c r="D1361" s="28"/>
      <c r="E1361" s="23" t="str">
        <f>IF($D1361="","",IFERROR(VLOOKUP($D1361,'ACAS Consumables Tracker'!$A:$H,8,FALSE()),""))</f>
        <v/>
      </c>
      <c r="F1361" s="24"/>
      <c r="G1361" s="25" t="str">
        <f>IF($D1361="","",IFERROR(VLOOKUP($D1361,'ACAS Consumables Tracker'!$A:$D,4,FALSE()),""))</f>
        <v/>
      </c>
      <c r="H1361" s="22"/>
    </row>
    <row r="1362" spans="1:8">
      <c r="A1362" s="21"/>
      <c r="B1362" s="28"/>
      <c r="C1362" s="22"/>
      <c r="D1362" s="28"/>
      <c r="E1362" s="23" t="str">
        <f>IF($D1362="","",IFERROR(VLOOKUP($D1362,'ACAS Consumables Tracker'!$A:$H,8,FALSE()),""))</f>
        <v/>
      </c>
      <c r="F1362" s="24"/>
      <c r="G1362" s="25" t="str">
        <f>IF($D1362="","",IFERROR(VLOOKUP($D1362,'ACAS Consumables Tracker'!$A:$D,4,FALSE()),""))</f>
        <v/>
      </c>
      <c r="H1362" s="22"/>
    </row>
    <row r="1363" spans="1:8">
      <c r="A1363" s="21"/>
      <c r="B1363" s="28"/>
      <c r="C1363" s="22"/>
      <c r="D1363" s="28"/>
      <c r="E1363" s="23" t="str">
        <f>IF($D1363="","",IFERROR(VLOOKUP($D1363,'ACAS Consumables Tracker'!$A:$H,8,FALSE()),""))</f>
        <v/>
      </c>
      <c r="F1363" s="24"/>
      <c r="G1363" s="25" t="str">
        <f>IF($D1363="","",IFERROR(VLOOKUP($D1363,'ACAS Consumables Tracker'!$A:$D,4,FALSE()),""))</f>
        <v/>
      </c>
      <c r="H1363" s="22"/>
    </row>
    <row r="1364" spans="1:8">
      <c r="A1364" s="21"/>
      <c r="B1364" s="28"/>
      <c r="C1364" s="22"/>
      <c r="D1364" s="28"/>
      <c r="E1364" s="23" t="str">
        <f>IF($D1364="","",IFERROR(VLOOKUP($D1364,'ACAS Consumables Tracker'!$A:$H,8,FALSE()),""))</f>
        <v/>
      </c>
      <c r="F1364" s="24"/>
      <c r="G1364" s="25" t="str">
        <f>IF($D1364="","",IFERROR(VLOOKUP($D1364,'ACAS Consumables Tracker'!$A:$D,4,FALSE()),""))</f>
        <v/>
      </c>
      <c r="H1364" s="22"/>
    </row>
    <row r="1365" spans="1:8">
      <c r="A1365" s="21"/>
      <c r="B1365" s="28"/>
      <c r="C1365" s="22"/>
      <c r="D1365" s="28"/>
      <c r="E1365" s="23" t="str">
        <f>IF($D1365="","",IFERROR(VLOOKUP($D1365,'ACAS Consumables Tracker'!$A:$H,8,FALSE()),""))</f>
        <v/>
      </c>
      <c r="F1365" s="24"/>
      <c r="G1365" s="25" t="str">
        <f>IF($D1365="","",IFERROR(VLOOKUP($D1365,'ACAS Consumables Tracker'!$A:$D,4,FALSE()),""))</f>
        <v/>
      </c>
      <c r="H1365" s="22"/>
    </row>
    <row r="1366" spans="1:8">
      <c r="A1366" s="21"/>
      <c r="B1366" s="28"/>
      <c r="C1366" s="22"/>
      <c r="D1366" s="28"/>
      <c r="E1366" s="23" t="str">
        <f>IF($D1366="","",IFERROR(VLOOKUP($D1366,'ACAS Consumables Tracker'!$A:$H,8,FALSE()),""))</f>
        <v/>
      </c>
      <c r="F1366" s="24"/>
      <c r="G1366" s="25" t="str">
        <f>IF($D1366="","",IFERROR(VLOOKUP($D1366,'ACAS Consumables Tracker'!$A:$D,4,FALSE()),""))</f>
        <v/>
      </c>
      <c r="H1366" s="22"/>
    </row>
    <row r="1367" spans="1:8">
      <c r="A1367" s="21"/>
      <c r="B1367" s="28"/>
      <c r="C1367" s="22"/>
      <c r="D1367" s="28"/>
      <c r="E1367" s="23" t="str">
        <f>IF($D1367="","",IFERROR(VLOOKUP($D1367,'ACAS Consumables Tracker'!$A:$H,8,FALSE()),""))</f>
        <v/>
      </c>
      <c r="F1367" s="24"/>
      <c r="G1367" s="25" t="str">
        <f>IF($D1367="","",IFERROR(VLOOKUP($D1367,'ACAS Consumables Tracker'!$A:$D,4,FALSE()),""))</f>
        <v/>
      </c>
      <c r="H1367" s="22"/>
    </row>
    <row r="1368" spans="1:8">
      <c r="A1368" s="21"/>
      <c r="B1368" s="28"/>
      <c r="C1368" s="22"/>
      <c r="D1368" s="28"/>
      <c r="E1368" s="23" t="str">
        <f>IF($D1368="","",IFERROR(VLOOKUP($D1368,'ACAS Consumables Tracker'!$A:$H,8,FALSE()),""))</f>
        <v/>
      </c>
      <c r="F1368" s="24"/>
      <c r="G1368" s="25" t="str">
        <f>IF($D1368="","",IFERROR(VLOOKUP($D1368,'ACAS Consumables Tracker'!$A:$D,4,FALSE()),""))</f>
        <v/>
      </c>
      <c r="H1368" s="22"/>
    </row>
    <row r="1369" spans="1:8">
      <c r="A1369" s="21"/>
      <c r="B1369" s="28"/>
      <c r="C1369" s="22"/>
      <c r="D1369" s="28"/>
      <c r="E1369" s="23" t="str">
        <f>IF($D1369="","",IFERROR(VLOOKUP($D1369,'ACAS Consumables Tracker'!$A:$H,8,FALSE()),""))</f>
        <v/>
      </c>
      <c r="F1369" s="24"/>
      <c r="G1369" s="25" t="str">
        <f>IF($D1369="","",IFERROR(VLOOKUP($D1369,'ACAS Consumables Tracker'!$A:$D,4,FALSE()),""))</f>
        <v/>
      </c>
      <c r="H1369" s="22"/>
    </row>
    <row r="1370" spans="1:8">
      <c r="A1370" s="21"/>
      <c r="B1370" s="28"/>
      <c r="C1370" s="22"/>
      <c r="D1370" s="28"/>
      <c r="E1370" s="23" t="str">
        <f>IF($D1370="","",IFERROR(VLOOKUP($D1370,'ACAS Consumables Tracker'!$A:$H,8,FALSE()),""))</f>
        <v/>
      </c>
      <c r="F1370" s="24"/>
      <c r="G1370" s="25" t="str">
        <f>IF($D1370="","",IFERROR(VLOOKUP($D1370,'ACAS Consumables Tracker'!$A:$D,4,FALSE()),""))</f>
        <v/>
      </c>
      <c r="H1370" s="22"/>
    </row>
    <row r="1371" spans="1:8">
      <c r="A1371" s="21"/>
      <c r="B1371" s="28"/>
      <c r="C1371" s="22"/>
      <c r="D1371" s="28"/>
      <c r="E1371" s="23" t="str">
        <f>IF($D1371="","",IFERROR(VLOOKUP($D1371,'ACAS Consumables Tracker'!$A:$H,8,FALSE()),""))</f>
        <v/>
      </c>
      <c r="F1371" s="24"/>
      <c r="G1371" s="25" t="str">
        <f>IF($D1371="","",IFERROR(VLOOKUP($D1371,'ACAS Consumables Tracker'!$A:$D,4,FALSE()),""))</f>
        <v/>
      </c>
      <c r="H1371" s="22"/>
    </row>
    <row r="1372" spans="1:8">
      <c r="A1372" s="21"/>
      <c r="B1372" s="28"/>
      <c r="C1372" s="22"/>
      <c r="D1372" s="28"/>
      <c r="E1372" s="23" t="str">
        <f>IF($D1372="","",IFERROR(VLOOKUP($D1372,'ACAS Consumables Tracker'!$A:$H,8,FALSE()),""))</f>
        <v/>
      </c>
      <c r="F1372" s="24"/>
      <c r="G1372" s="25" t="str">
        <f>IF($D1372="","",IFERROR(VLOOKUP($D1372,'ACAS Consumables Tracker'!$A:$D,4,FALSE()),""))</f>
        <v/>
      </c>
      <c r="H1372" s="22"/>
    </row>
    <row r="1373" spans="1:8">
      <c r="A1373" s="21"/>
      <c r="B1373" s="28"/>
      <c r="C1373" s="22"/>
      <c r="D1373" s="28"/>
      <c r="E1373" s="23" t="str">
        <f>IF($D1373="","",IFERROR(VLOOKUP($D1373,'ACAS Consumables Tracker'!$A:$H,8,FALSE()),""))</f>
        <v/>
      </c>
      <c r="F1373" s="24"/>
      <c r="G1373" s="25" t="str">
        <f>IF($D1373="","",IFERROR(VLOOKUP($D1373,'ACAS Consumables Tracker'!$A:$D,4,FALSE()),""))</f>
        <v/>
      </c>
      <c r="H1373" s="22"/>
    </row>
    <row r="1374" spans="1:8">
      <c r="A1374" s="21"/>
      <c r="B1374" s="28"/>
      <c r="C1374" s="22"/>
      <c r="D1374" s="28"/>
      <c r="E1374" s="23" t="str">
        <f>IF($D1374="","",IFERROR(VLOOKUP($D1374,'ACAS Consumables Tracker'!$A:$H,8,FALSE()),""))</f>
        <v/>
      </c>
      <c r="F1374" s="24"/>
      <c r="G1374" s="25" t="str">
        <f>IF($D1374="","",IFERROR(VLOOKUP($D1374,'ACAS Consumables Tracker'!$A:$D,4,FALSE()),""))</f>
        <v/>
      </c>
      <c r="H1374" s="22"/>
    </row>
    <row r="1375" spans="1:8">
      <c r="A1375" s="21"/>
      <c r="B1375" s="28"/>
      <c r="C1375" s="22"/>
      <c r="D1375" s="28"/>
      <c r="E1375" s="23" t="str">
        <f>IF($D1375="","",IFERROR(VLOOKUP($D1375,'ACAS Consumables Tracker'!$A:$H,8,FALSE()),""))</f>
        <v/>
      </c>
      <c r="F1375" s="24"/>
      <c r="G1375" s="25" t="str">
        <f>IF($D1375="","",IFERROR(VLOOKUP($D1375,'ACAS Consumables Tracker'!$A:$D,4,FALSE()),""))</f>
        <v/>
      </c>
      <c r="H1375" s="22"/>
    </row>
    <row r="1376" spans="1:8">
      <c r="A1376" s="21"/>
      <c r="B1376" s="28"/>
      <c r="C1376" s="22"/>
      <c r="D1376" s="28"/>
      <c r="E1376" s="23" t="str">
        <f>IF($D1376="","",IFERROR(VLOOKUP($D1376,'ACAS Consumables Tracker'!$A:$H,8,FALSE()),""))</f>
        <v/>
      </c>
      <c r="F1376" s="24"/>
      <c r="G1376" s="25" t="str">
        <f>IF($D1376="","",IFERROR(VLOOKUP($D1376,'ACAS Consumables Tracker'!$A:$D,4,FALSE()),""))</f>
        <v/>
      </c>
      <c r="H1376" s="22"/>
    </row>
    <row r="1377" spans="1:8">
      <c r="A1377" s="21"/>
      <c r="B1377" s="28"/>
      <c r="C1377" s="22"/>
      <c r="D1377" s="28"/>
      <c r="E1377" s="23" t="str">
        <f>IF($D1377="","",IFERROR(VLOOKUP($D1377,'ACAS Consumables Tracker'!$A:$H,8,FALSE()),""))</f>
        <v/>
      </c>
      <c r="F1377" s="24"/>
      <c r="G1377" s="25" t="str">
        <f>IF($D1377="","",IFERROR(VLOOKUP($D1377,'ACAS Consumables Tracker'!$A:$D,4,FALSE()),""))</f>
        <v/>
      </c>
      <c r="H1377" s="22"/>
    </row>
    <row r="1378" spans="1:8">
      <c r="A1378" s="21"/>
      <c r="B1378" s="28"/>
      <c r="C1378" s="22"/>
      <c r="D1378" s="28"/>
      <c r="E1378" s="23" t="str">
        <f>IF($D1378="","",IFERROR(VLOOKUP($D1378,'ACAS Consumables Tracker'!$A:$H,8,FALSE()),""))</f>
        <v/>
      </c>
      <c r="F1378" s="24"/>
      <c r="G1378" s="25" t="str">
        <f>IF($D1378="","",IFERROR(VLOOKUP($D1378,'ACAS Consumables Tracker'!$A:$D,4,FALSE()),""))</f>
        <v/>
      </c>
      <c r="H1378" s="22"/>
    </row>
    <row r="1379" spans="1:8">
      <c r="A1379" s="21"/>
      <c r="B1379" s="28"/>
      <c r="C1379" s="22"/>
      <c r="D1379" s="28"/>
      <c r="E1379" s="23" t="str">
        <f>IF($D1379="","",IFERROR(VLOOKUP($D1379,'ACAS Consumables Tracker'!$A:$H,8,FALSE()),""))</f>
        <v/>
      </c>
      <c r="F1379" s="24"/>
      <c r="G1379" s="25" t="str">
        <f>IF($D1379="","",IFERROR(VLOOKUP($D1379,'ACAS Consumables Tracker'!$A:$D,4,FALSE()),""))</f>
        <v/>
      </c>
      <c r="H1379" s="22"/>
    </row>
    <row r="1380" spans="1:8">
      <c r="A1380" s="21"/>
      <c r="B1380" s="28"/>
      <c r="C1380" s="22"/>
      <c r="D1380" s="28"/>
      <c r="E1380" s="23" t="str">
        <f>IF($D1380="","",IFERROR(VLOOKUP($D1380,'ACAS Consumables Tracker'!$A:$H,8,FALSE()),""))</f>
        <v/>
      </c>
      <c r="F1380" s="24"/>
      <c r="G1380" s="25" t="str">
        <f>IF($D1380="","",IFERROR(VLOOKUP($D1380,'ACAS Consumables Tracker'!$A:$D,4,FALSE()),""))</f>
        <v/>
      </c>
      <c r="H1380" s="22"/>
    </row>
    <row r="1381" spans="1:8">
      <c r="A1381" s="21"/>
      <c r="B1381" s="28"/>
      <c r="C1381" s="22"/>
      <c r="D1381" s="28"/>
      <c r="E1381" s="23" t="str">
        <f>IF($D1381="","",IFERROR(VLOOKUP($D1381,'ACAS Consumables Tracker'!$A:$H,8,FALSE()),""))</f>
        <v/>
      </c>
      <c r="F1381" s="24"/>
      <c r="G1381" s="25" t="str">
        <f>IF($D1381="","",IFERROR(VLOOKUP($D1381,'ACAS Consumables Tracker'!$A:$D,4,FALSE()),""))</f>
        <v/>
      </c>
      <c r="H1381" s="22"/>
    </row>
    <row r="1382" spans="1:8">
      <c r="A1382" s="21"/>
      <c r="B1382" s="28"/>
      <c r="C1382" s="22"/>
      <c r="D1382" s="28"/>
      <c r="E1382" s="23" t="str">
        <f>IF($D1382="","",IFERROR(VLOOKUP($D1382,'ACAS Consumables Tracker'!$A:$H,8,FALSE()),""))</f>
        <v/>
      </c>
      <c r="F1382" s="24"/>
      <c r="G1382" s="25" t="str">
        <f>IF($D1382="","",IFERROR(VLOOKUP($D1382,'ACAS Consumables Tracker'!$A:$D,4,FALSE()),""))</f>
        <v/>
      </c>
      <c r="H1382" s="22"/>
    </row>
    <row r="1383" spans="1:8">
      <c r="A1383" s="21"/>
      <c r="B1383" s="28"/>
      <c r="C1383" s="22"/>
      <c r="D1383" s="28"/>
      <c r="E1383" s="23" t="str">
        <f>IF($D1383="","",IFERROR(VLOOKUP($D1383,'ACAS Consumables Tracker'!$A:$H,8,FALSE()),""))</f>
        <v/>
      </c>
      <c r="F1383" s="24"/>
      <c r="G1383" s="25" t="str">
        <f>IF($D1383="","",IFERROR(VLOOKUP($D1383,'ACAS Consumables Tracker'!$A:$D,4,FALSE()),""))</f>
        <v/>
      </c>
      <c r="H1383" s="22"/>
    </row>
    <row r="1384" spans="1:8">
      <c r="A1384" s="21"/>
      <c r="B1384" s="28"/>
      <c r="C1384" s="22"/>
      <c r="D1384" s="28"/>
      <c r="E1384" s="23" t="str">
        <f>IF($D1384="","",IFERROR(VLOOKUP($D1384,'ACAS Consumables Tracker'!$A:$H,8,FALSE()),""))</f>
        <v/>
      </c>
      <c r="F1384" s="24"/>
      <c r="G1384" s="25" t="str">
        <f>IF($D1384="","",IFERROR(VLOOKUP($D1384,'ACAS Consumables Tracker'!$A:$D,4,FALSE()),""))</f>
        <v/>
      </c>
      <c r="H1384" s="22"/>
    </row>
    <row r="1385" spans="1:8">
      <c r="A1385" s="21"/>
      <c r="B1385" s="28"/>
      <c r="C1385" s="22"/>
      <c r="D1385" s="28"/>
      <c r="E1385" s="23" t="str">
        <f>IF($D1385="","",IFERROR(VLOOKUP($D1385,'ACAS Consumables Tracker'!$A:$H,8,FALSE()),""))</f>
        <v/>
      </c>
      <c r="F1385" s="24"/>
      <c r="G1385" s="25" t="str">
        <f>IF($D1385="","",IFERROR(VLOOKUP($D1385,'ACAS Consumables Tracker'!$A:$D,4,FALSE()),""))</f>
        <v/>
      </c>
      <c r="H1385" s="22"/>
    </row>
    <row r="1386" spans="1:8">
      <c r="A1386" s="21"/>
      <c r="B1386" s="28"/>
      <c r="C1386" s="22"/>
      <c r="D1386" s="28"/>
      <c r="E1386" s="23" t="str">
        <f>IF($D1386="","",IFERROR(VLOOKUP($D1386,'ACAS Consumables Tracker'!$A:$H,8,FALSE()),""))</f>
        <v/>
      </c>
      <c r="F1386" s="24"/>
      <c r="G1386" s="25" t="str">
        <f>IF($D1386="","",IFERROR(VLOOKUP($D1386,'ACAS Consumables Tracker'!$A:$D,4,FALSE()),""))</f>
        <v/>
      </c>
      <c r="H1386" s="22"/>
    </row>
    <row r="1387" spans="1:8">
      <c r="A1387" s="21"/>
      <c r="B1387" s="28"/>
      <c r="C1387" s="22"/>
      <c r="D1387" s="28"/>
      <c r="E1387" s="23" t="str">
        <f>IF($D1387="","",IFERROR(VLOOKUP($D1387,'ACAS Consumables Tracker'!$A:$H,8,FALSE()),""))</f>
        <v/>
      </c>
      <c r="F1387" s="24"/>
      <c r="G1387" s="25" t="str">
        <f>IF($D1387="","",IFERROR(VLOOKUP($D1387,'ACAS Consumables Tracker'!$A:$D,4,FALSE()),""))</f>
        <v/>
      </c>
      <c r="H1387" s="22"/>
    </row>
    <row r="1388" spans="1:8">
      <c r="A1388" s="21"/>
      <c r="B1388" s="28"/>
      <c r="C1388" s="22"/>
      <c r="D1388" s="28"/>
      <c r="E1388" s="23" t="str">
        <f>IF($D1388="","",IFERROR(VLOOKUP($D1388,'ACAS Consumables Tracker'!$A:$H,8,FALSE()),""))</f>
        <v/>
      </c>
      <c r="F1388" s="24"/>
      <c r="G1388" s="25" t="str">
        <f>IF($D1388="","",IFERROR(VLOOKUP($D1388,'ACAS Consumables Tracker'!$A:$D,4,FALSE()),""))</f>
        <v/>
      </c>
      <c r="H1388" s="22"/>
    </row>
    <row r="1389" spans="1:8">
      <c r="A1389" s="21"/>
      <c r="B1389" s="28"/>
      <c r="C1389" s="22"/>
      <c r="D1389" s="28"/>
      <c r="E1389" s="23" t="str">
        <f>IF($D1389="","",IFERROR(VLOOKUP($D1389,'ACAS Consumables Tracker'!$A:$H,8,FALSE()),""))</f>
        <v/>
      </c>
      <c r="F1389" s="24"/>
      <c r="G1389" s="25" t="str">
        <f>IF($D1389="","",IFERROR(VLOOKUP($D1389,'ACAS Consumables Tracker'!$A:$D,4,FALSE()),""))</f>
        <v/>
      </c>
      <c r="H1389" s="22"/>
    </row>
    <row r="1390" spans="1:8">
      <c r="A1390" s="21"/>
      <c r="B1390" s="28"/>
      <c r="C1390" s="22"/>
      <c r="D1390" s="28"/>
      <c r="E1390" s="23" t="str">
        <f>IF($D1390="","",IFERROR(VLOOKUP($D1390,'ACAS Consumables Tracker'!$A:$H,8,FALSE()),""))</f>
        <v/>
      </c>
      <c r="F1390" s="24"/>
      <c r="G1390" s="25" t="str">
        <f>IF($D1390="","",IFERROR(VLOOKUP($D1390,'ACAS Consumables Tracker'!$A:$D,4,FALSE()),""))</f>
        <v/>
      </c>
      <c r="H1390" s="22"/>
    </row>
    <row r="1391" spans="1:8">
      <c r="A1391" s="21"/>
      <c r="B1391" s="28"/>
      <c r="C1391" s="22"/>
      <c r="D1391" s="28"/>
      <c r="E1391" s="23" t="str">
        <f>IF($D1391="","",IFERROR(VLOOKUP($D1391,'ACAS Consumables Tracker'!$A:$H,8,FALSE()),""))</f>
        <v/>
      </c>
      <c r="F1391" s="24"/>
      <c r="G1391" s="25" t="str">
        <f>IF($D1391="","",IFERROR(VLOOKUP($D1391,'ACAS Consumables Tracker'!$A:$D,4,FALSE()),""))</f>
        <v/>
      </c>
      <c r="H1391" s="22"/>
    </row>
    <row r="1392" spans="1:8">
      <c r="A1392" s="21"/>
      <c r="B1392" s="28"/>
      <c r="C1392" s="22"/>
      <c r="D1392" s="28"/>
      <c r="E1392" s="23" t="str">
        <f>IF($D1392="","",IFERROR(VLOOKUP($D1392,'ACAS Consumables Tracker'!$A:$H,8,FALSE()),""))</f>
        <v/>
      </c>
      <c r="F1392" s="24"/>
      <c r="G1392" s="25" t="str">
        <f>IF($D1392="","",IFERROR(VLOOKUP($D1392,'ACAS Consumables Tracker'!$A:$D,4,FALSE()),""))</f>
        <v/>
      </c>
      <c r="H1392" s="22"/>
    </row>
    <row r="1393" spans="1:8">
      <c r="A1393" s="21"/>
      <c r="B1393" s="28"/>
      <c r="C1393" s="22"/>
      <c r="D1393" s="28"/>
      <c r="E1393" s="23" t="str">
        <f>IF($D1393="","",IFERROR(VLOOKUP($D1393,'ACAS Consumables Tracker'!$A:$H,8,FALSE()),""))</f>
        <v/>
      </c>
      <c r="F1393" s="24"/>
      <c r="G1393" s="25" t="str">
        <f>IF($D1393="","",IFERROR(VLOOKUP($D1393,'ACAS Consumables Tracker'!$A:$D,4,FALSE()),""))</f>
        <v/>
      </c>
      <c r="H1393" s="22"/>
    </row>
    <row r="1394" spans="1:8">
      <c r="A1394" s="21"/>
      <c r="B1394" s="28"/>
      <c r="C1394" s="22"/>
      <c r="D1394" s="28"/>
      <c r="E1394" s="23" t="str">
        <f>IF($D1394="","",IFERROR(VLOOKUP($D1394,'ACAS Consumables Tracker'!$A:$H,8,FALSE()),""))</f>
        <v/>
      </c>
      <c r="F1394" s="24"/>
      <c r="G1394" s="25" t="str">
        <f>IF($D1394="","",IFERROR(VLOOKUP($D1394,'ACAS Consumables Tracker'!$A:$D,4,FALSE()),""))</f>
        <v/>
      </c>
      <c r="H1394" s="22"/>
    </row>
    <row r="1395" spans="1:8">
      <c r="A1395" s="21"/>
      <c r="B1395" s="28"/>
      <c r="C1395" s="22"/>
      <c r="D1395" s="28"/>
      <c r="E1395" s="23" t="str">
        <f>IF($D1395="","",IFERROR(VLOOKUP($D1395,'ACAS Consumables Tracker'!$A:$H,8,FALSE()),""))</f>
        <v/>
      </c>
      <c r="F1395" s="24"/>
      <c r="G1395" s="25" t="str">
        <f>IF($D1395="","",IFERROR(VLOOKUP($D1395,'ACAS Consumables Tracker'!$A:$D,4,FALSE()),""))</f>
        <v/>
      </c>
      <c r="H1395" s="22"/>
    </row>
    <row r="1396" spans="1:8">
      <c r="A1396" s="21"/>
      <c r="B1396" s="28"/>
      <c r="C1396" s="22"/>
      <c r="D1396" s="28"/>
      <c r="E1396" s="23" t="str">
        <f>IF($D1396="","",IFERROR(VLOOKUP($D1396,'ACAS Consumables Tracker'!$A:$H,8,FALSE()),""))</f>
        <v/>
      </c>
      <c r="F1396" s="24"/>
      <c r="G1396" s="25" t="str">
        <f>IF($D1396="","",IFERROR(VLOOKUP($D1396,'ACAS Consumables Tracker'!$A:$D,4,FALSE()),""))</f>
        <v/>
      </c>
      <c r="H1396" s="22"/>
    </row>
    <row r="1397" spans="1:8">
      <c r="A1397" s="21"/>
      <c r="B1397" s="28"/>
      <c r="C1397" s="22"/>
      <c r="D1397" s="28"/>
      <c r="E1397" s="23" t="str">
        <f>IF($D1397="","",IFERROR(VLOOKUP($D1397,'ACAS Consumables Tracker'!$A:$H,8,FALSE()),""))</f>
        <v/>
      </c>
      <c r="F1397" s="24"/>
      <c r="G1397" s="25" t="str">
        <f>IF($D1397="","",IFERROR(VLOOKUP($D1397,'ACAS Consumables Tracker'!$A:$D,4,FALSE()),""))</f>
        <v/>
      </c>
      <c r="H1397" s="22"/>
    </row>
    <row r="1398" spans="1:8">
      <c r="A1398" s="21"/>
      <c r="B1398" s="28"/>
      <c r="C1398" s="22"/>
      <c r="D1398" s="28"/>
      <c r="E1398" s="23" t="str">
        <f>IF($D1398="","",IFERROR(VLOOKUP($D1398,'ACAS Consumables Tracker'!$A:$H,8,FALSE()),""))</f>
        <v/>
      </c>
      <c r="F1398" s="24"/>
      <c r="G1398" s="25" t="str">
        <f>IF($D1398="","",IFERROR(VLOOKUP($D1398,'ACAS Consumables Tracker'!$A:$D,4,FALSE()),""))</f>
        <v/>
      </c>
      <c r="H1398" s="22"/>
    </row>
    <row r="1399" spans="1:8">
      <c r="A1399" s="21"/>
      <c r="B1399" s="28"/>
      <c r="C1399" s="22"/>
      <c r="D1399" s="28"/>
      <c r="E1399" s="23" t="str">
        <f>IF($D1399="","",IFERROR(VLOOKUP($D1399,'ACAS Consumables Tracker'!$A:$H,8,FALSE()),""))</f>
        <v/>
      </c>
      <c r="F1399" s="24"/>
      <c r="G1399" s="25" t="str">
        <f>IF($D1399="","",IFERROR(VLOOKUP($D1399,'ACAS Consumables Tracker'!$A:$D,4,FALSE()),""))</f>
        <v/>
      </c>
      <c r="H1399" s="22"/>
    </row>
    <row r="1400" spans="1:8">
      <c r="A1400" s="21"/>
      <c r="B1400" s="28"/>
      <c r="C1400" s="22"/>
      <c r="D1400" s="28"/>
      <c r="E1400" s="23" t="str">
        <f>IF($D1400="","",IFERROR(VLOOKUP($D1400,'ACAS Consumables Tracker'!$A:$H,8,FALSE()),""))</f>
        <v/>
      </c>
      <c r="F1400" s="24"/>
      <c r="G1400" s="25" t="str">
        <f>IF($D1400="","",IFERROR(VLOOKUP($D1400,'ACAS Consumables Tracker'!$A:$D,4,FALSE()),""))</f>
        <v/>
      </c>
      <c r="H1400" s="22"/>
    </row>
    <row r="1401" spans="1:8">
      <c r="A1401" s="21"/>
      <c r="B1401" s="28"/>
      <c r="C1401" s="22"/>
      <c r="D1401" s="28"/>
      <c r="E1401" s="23" t="str">
        <f>IF($D1401="","",IFERROR(VLOOKUP($D1401,'ACAS Consumables Tracker'!$A:$H,8,FALSE()),""))</f>
        <v/>
      </c>
      <c r="F1401" s="24"/>
      <c r="G1401" s="25" t="str">
        <f>IF($D1401="","",IFERROR(VLOOKUP($D1401,'ACAS Consumables Tracker'!$A:$D,4,FALSE()),""))</f>
        <v/>
      </c>
      <c r="H1401" s="22"/>
    </row>
    <row r="1402" spans="1:8">
      <c r="A1402" s="21"/>
      <c r="B1402" s="28"/>
      <c r="C1402" s="22"/>
      <c r="D1402" s="28"/>
      <c r="E1402" s="23" t="str">
        <f>IF($D1402="","",IFERROR(VLOOKUP($D1402,'ACAS Consumables Tracker'!$A:$H,8,FALSE()),""))</f>
        <v/>
      </c>
      <c r="F1402" s="24"/>
      <c r="G1402" s="25" t="str">
        <f>IF($D1402="","",IFERROR(VLOOKUP($D1402,'ACAS Consumables Tracker'!$A:$D,4,FALSE()),""))</f>
        <v/>
      </c>
      <c r="H1402" s="22"/>
    </row>
    <row r="1403" spans="1:8">
      <c r="A1403" s="21"/>
      <c r="B1403" s="28"/>
      <c r="C1403" s="22"/>
      <c r="D1403" s="28"/>
      <c r="E1403" s="23" t="str">
        <f>IF($D1403="","",IFERROR(VLOOKUP($D1403,'ACAS Consumables Tracker'!$A:$H,8,FALSE()),""))</f>
        <v/>
      </c>
      <c r="F1403" s="24"/>
      <c r="G1403" s="25" t="str">
        <f>IF($D1403="","",IFERROR(VLOOKUP($D1403,'ACAS Consumables Tracker'!$A:$D,4,FALSE()),""))</f>
        <v/>
      </c>
      <c r="H1403" s="22"/>
    </row>
    <row r="1404" spans="1:8">
      <c r="A1404" s="21"/>
      <c r="B1404" s="28"/>
      <c r="C1404" s="22"/>
      <c r="D1404" s="28"/>
      <c r="E1404" s="23" t="str">
        <f>IF($D1404="","",IFERROR(VLOOKUP($D1404,'ACAS Consumables Tracker'!$A:$H,8,FALSE()),""))</f>
        <v/>
      </c>
      <c r="F1404" s="24"/>
      <c r="G1404" s="25" t="str">
        <f>IF($D1404="","",IFERROR(VLOOKUP($D1404,'ACAS Consumables Tracker'!$A:$D,4,FALSE()),""))</f>
        <v/>
      </c>
      <c r="H1404" s="22"/>
    </row>
    <row r="1405" spans="1:8">
      <c r="A1405" s="21"/>
      <c r="B1405" s="28"/>
      <c r="C1405" s="22"/>
      <c r="D1405" s="28"/>
      <c r="E1405" s="23" t="str">
        <f>IF($D1405="","",IFERROR(VLOOKUP($D1405,'ACAS Consumables Tracker'!$A:$H,8,FALSE()),""))</f>
        <v/>
      </c>
      <c r="F1405" s="24"/>
      <c r="G1405" s="25" t="str">
        <f>IF($D1405="","",IFERROR(VLOOKUP($D1405,'ACAS Consumables Tracker'!$A:$D,4,FALSE()),""))</f>
        <v/>
      </c>
      <c r="H1405" s="22"/>
    </row>
    <row r="1406" spans="1:8">
      <c r="A1406" s="21"/>
      <c r="B1406" s="28"/>
      <c r="C1406" s="22"/>
      <c r="D1406" s="28"/>
      <c r="E1406" s="23" t="str">
        <f>IF($D1406="","",IFERROR(VLOOKUP($D1406,'ACAS Consumables Tracker'!$A:$H,8,FALSE()),""))</f>
        <v/>
      </c>
      <c r="F1406" s="24"/>
      <c r="G1406" s="25" t="str">
        <f>IF($D1406="","",IFERROR(VLOOKUP($D1406,'ACAS Consumables Tracker'!$A:$D,4,FALSE()),""))</f>
        <v/>
      </c>
      <c r="H1406" s="22"/>
    </row>
    <row r="1407" spans="1:8">
      <c r="A1407" s="21"/>
      <c r="B1407" s="28"/>
      <c r="C1407" s="22"/>
      <c r="D1407" s="28"/>
      <c r="E1407" s="23" t="str">
        <f>IF($D1407="","",IFERROR(VLOOKUP($D1407,'ACAS Consumables Tracker'!$A:$H,8,FALSE()),""))</f>
        <v/>
      </c>
      <c r="F1407" s="24"/>
      <c r="G1407" s="25" t="str">
        <f>IF($D1407="","",IFERROR(VLOOKUP($D1407,'ACAS Consumables Tracker'!$A:$D,4,FALSE()),""))</f>
        <v/>
      </c>
      <c r="H1407" s="22"/>
    </row>
    <row r="1408" spans="1:8">
      <c r="A1408" s="21"/>
      <c r="B1408" s="28"/>
      <c r="C1408" s="22"/>
      <c r="D1408" s="28"/>
      <c r="E1408" s="23" t="str">
        <f>IF($D1408="","",IFERROR(VLOOKUP($D1408,'ACAS Consumables Tracker'!$A:$H,8,FALSE()),""))</f>
        <v/>
      </c>
      <c r="F1408" s="24"/>
      <c r="G1408" s="25" t="str">
        <f>IF($D1408="","",IFERROR(VLOOKUP($D1408,'ACAS Consumables Tracker'!$A:$D,4,FALSE()),""))</f>
        <v/>
      </c>
      <c r="H1408" s="22"/>
    </row>
    <row r="1409" spans="1:8">
      <c r="A1409" s="21"/>
      <c r="B1409" s="28"/>
      <c r="C1409" s="22"/>
      <c r="D1409" s="28"/>
      <c r="E1409" s="23" t="str">
        <f>IF($D1409="","",IFERROR(VLOOKUP($D1409,'ACAS Consumables Tracker'!$A:$H,8,FALSE()),""))</f>
        <v/>
      </c>
      <c r="F1409" s="24"/>
      <c r="G1409" s="25" t="str">
        <f>IF($D1409="","",IFERROR(VLOOKUP($D1409,'ACAS Consumables Tracker'!$A:$D,4,FALSE()),""))</f>
        <v/>
      </c>
      <c r="H1409" s="22"/>
    </row>
    <row r="1410" spans="1:8">
      <c r="A1410" s="21"/>
      <c r="B1410" s="28"/>
      <c r="C1410" s="22"/>
      <c r="D1410" s="28"/>
      <c r="E1410" s="23" t="str">
        <f>IF($D1410="","",IFERROR(VLOOKUP($D1410,'ACAS Consumables Tracker'!$A:$H,8,FALSE()),""))</f>
        <v/>
      </c>
      <c r="F1410" s="24"/>
      <c r="G1410" s="25" t="str">
        <f>IF($D1410="","",IFERROR(VLOOKUP($D1410,'ACAS Consumables Tracker'!$A:$D,4,FALSE()),""))</f>
        <v/>
      </c>
      <c r="H1410" s="22"/>
    </row>
    <row r="1411" spans="1:8">
      <c r="A1411" s="21"/>
      <c r="B1411" s="28"/>
      <c r="C1411" s="22"/>
      <c r="D1411" s="28"/>
      <c r="E1411" s="23" t="str">
        <f>IF($D1411="","",IFERROR(VLOOKUP($D1411,'ACAS Consumables Tracker'!$A:$H,8,FALSE()),""))</f>
        <v/>
      </c>
      <c r="F1411" s="24"/>
      <c r="G1411" s="25" t="str">
        <f>IF($D1411="","",IFERROR(VLOOKUP($D1411,'ACAS Consumables Tracker'!$A:$D,4,FALSE()),""))</f>
        <v/>
      </c>
      <c r="H1411" s="22"/>
    </row>
    <row r="1412" spans="1:8">
      <c r="A1412" s="21"/>
      <c r="B1412" s="28"/>
      <c r="C1412" s="22"/>
      <c r="D1412" s="28"/>
      <c r="E1412" s="23" t="str">
        <f>IF($D1412="","",IFERROR(VLOOKUP($D1412,'ACAS Consumables Tracker'!$A:$H,8,FALSE()),""))</f>
        <v/>
      </c>
      <c r="F1412" s="24"/>
      <c r="G1412" s="25" t="str">
        <f>IF($D1412="","",IFERROR(VLOOKUP($D1412,'ACAS Consumables Tracker'!$A:$D,4,FALSE()),""))</f>
        <v/>
      </c>
      <c r="H1412" s="22"/>
    </row>
    <row r="1413" spans="1:8">
      <c r="A1413" s="21"/>
      <c r="B1413" s="28"/>
      <c r="C1413" s="22"/>
      <c r="D1413" s="28"/>
      <c r="E1413" s="23" t="str">
        <f>IF($D1413="","",IFERROR(VLOOKUP($D1413,'ACAS Consumables Tracker'!$A:$H,8,FALSE()),""))</f>
        <v/>
      </c>
      <c r="F1413" s="24"/>
      <c r="G1413" s="25" t="str">
        <f>IF($D1413="","",IFERROR(VLOOKUP($D1413,'ACAS Consumables Tracker'!$A:$D,4,FALSE()),""))</f>
        <v/>
      </c>
      <c r="H1413" s="22"/>
    </row>
    <row r="1414" spans="1:8">
      <c r="A1414" s="21"/>
      <c r="B1414" s="28"/>
      <c r="C1414" s="22"/>
      <c r="D1414" s="28"/>
      <c r="E1414" s="23" t="str">
        <f>IF($D1414="","",IFERROR(VLOOKUP($D1414,'ACAS Consumables Tracker'!$A:$H,8,FALSE()),""))</f>
        <v/>
      </c>
      <c r="F1414" s="24"/>
      <c r="G1414" s="25" t="str">
        <f>IF($D1414="","",IFERROR(VLOOKUP($D1414,'ACAS Consumables Tracker'!$A:$D,4,FALSE()),""))</f>
        <v/>
      </c>
      <c r="H1414" s="22"/>
    </row>
    <row r="1415" spans="1:8">
      <c r="A1415" s="21"/>
      <c r="B1415" s="28"/>
      <c r="C1415" s="22"/>
      <c r="D1415" s="28"/>
      <c r="E1415" s="23" t="str">
        <f>IF($D1415="","",IFERROR(VLOOKUP($D1415,'ACAS Consumables Tracker'!$A:$H,8,FALSE()),""))</f>
        <v/>
      </c>
      <c r="F1415" s="24"/>
      <c r="G1415" s="25" t="str">
        <f>IF($D1415="","",IFERROR(VLOOKUP($D1415,'ACAS Consumables Tracker'!$A:$D,4,FALSE()),""))</f>
        <v/>
      </c>
      <c r="H1415" s="22"/>
    </row>
    <row r="1416" spans="1:8">
      <c r="A1416" s="21"/>
      <c r="B1416" s="28"/>
      <c r="C1416" s="22"/>
      <c r="D1416" s="28"/>
      <c r="E1416" s="23" t="str">
        <f>IF($D1416="","",IFERROR(VLOOKUP($D1416,'ACAS Consumables Tracker'!$A:$H,8,FALSE()),""))</f>
        <v/>
      </c>
      <c r="F1416" s="24"/>
      <c r="G1416" s="25" t="str">
        <f>IF($D1416="","",IFERROR(VLOOKUP($D1416,'ACAS Consumables Tracker'!$A:$D,4,FALSE()),""))</f>
        <v/>
      </c>
      <c r="H1416" s="22"/>
    </row>
    <row r="1417" spans="1:8">
      <c r="A1417" s="21"/>
      <c r="B1417" s="28"/>
      <c r="C1417" s="22"/>
      <c r="D1417" s="28"/>
      <c r="E1417" s="23" t="str">
        <f>IF($D1417="","",IFERROR(VLOOKUP($D1417,'ACAS Consumables Tracker'!$A:$H,8,FALSE()),""))</f>
        <v/>
      </c>
      <c r="F1417" s="24"/>
      <c r="G1417" s="25" t="str">
        <f>IF($D1417="","",IFERROR(VLOOKUP($D1417,'ACAS Consumables Tracker'!$A:$D,4,FALSE()),""))</f>
        <v/>
      </c>
      <c r="H1417" s="22"/>
    </row>
    <row r="1418" spans="1:8">
      <c r="A1418" s="21"/>
      <c r="B1418" s="28"/>
      <c r="C1418" s="22"/>
      <c r="D1418" s="28"/>
      <c r="E1418" s="23" t="str">
        <f>IF($D1418="","",IFERROR(VLOOKUP($D1418,'ACAS Consumables Tracker'!$A:$H,8,FALSE()),""))</f>
        <v/>
      </c>
      <c r="F1418" s="24"/>
      <c r="G1418" s="25" t="str">
        <f>IF($D1418="","",IFERROR(VLOOKUP($D1418,'ACAS Consumables Tracker'!$A:$D,4,FALSE()),""))</f>
        <v/>
      </c>
      <c r="H1418" s="22"/>
    </row>
    <row r="1419" spans="1:8">
      <c r="A1419" s="21"/>
      <c r="B1419" s="28"/>
      <c r="C1419" s="22"/>
      <c r="D1419" s="28"/>
      <c r="E1419" s="23" t="str">
        <f>IF($D1419="","",IFERROR(VLOOKUP($D1419,'ACAS Consumables Tracker'!$A:$H,8,FALSE()),""))</f>
        <v/>
      </c>
      <c r="F1419" s="24"/>
      <c r="G1419" s="25" t="str">
        <f>IF($D1419="","",IFERROR(VLOOKUP($D1419,'ACAS Consumables Tracker'!$A:$D,4,FALSE()),""))</f>
        <v/>
      </c>
      <c r="H1419" s="22"/>
    </row>
    <row r="1420" spans="1:8">
      <c r="A1420" s="21"/>
      <c r="B1420" s="28"/>
      <c r="C1420" s="22"/>
      <c r="D1420" s="28"/>
      <c r="E1420" s="23" t="str">
        <f>IF($D1420="","",IFERROR(VLOOKUP($D1420,'ACAS Consumables Tracker'!$A:$H,8,FALSE()),""))</f>
        <v/>
      </c>
      <c r="F1420" s="24"/>
      <c r="G1420" s="25" t="str">
        <f>IF($D1420="","",IFERROR(VLOOKUP($D1420,'ACAS Consumables Tracker'!$A:$D,4,FALSE()),""))</f>
        <v/>
      </c>
      <c r="H1420" s="22"/>
    </row>
    <row r="1421" spans="1:8">
      <c r="A1421" s="21"/>
      <c r="B1421" s="28"/>
      <c r="C1421" s="22"/>
      <c r="D1421" s="28"/>
      <c r="E1421" s="23" t="str">
        <f>IF($D1421="","",IFERROR(VLOOKUP($D1421,'ACAS Consumables Tracker'!$A:$H,8,FALSE()),""))</f>
        <v/>
      </c>
      <c r="F1421" s="24"/>
      <c r="G1421" s="25" t="str">
        <f>IF($D1421="","",IFERROR(VLOOKUP($D1421,'ACAS Consumables Tracker'!$A:$D,4,FALSE()),""))</f>
        <v/>
      </c>
      <c r="H1421" s="22"/>
    </row>
    <row r="1422" spans="1:8">
      <c r="A1422" s="21"/>
      <c r="B1422" s="28"/>
      <c r="C1422" s="22"/>
      <c r="D1422" s="28"/>
      <c r="E1422" s="23" t="str">
        <f>IF($D1422="","",IFERROR(VLOOKUP($D1422,'ACAS Consumables Tracker'!$A:$H,8,FALSE()),""))</f>
        <v/>
      </c>
      <c r="F1422" s="24"/>
      <c r="G1422" s="25" t="str">
        <f>IF($D1422="","",IFERROR(VLOOKUP($D1422,'ACAS Consumables Tracker'!$A:$D,4,FALSE()),""))</f>
        <v/>
      </c>
      <c r="H1422" s="22"/>
    </row>
    <row r="1423" spans="1:8">
      <c r="A1423" s="21"/>
      <c r="B1423" s="28"/>
      <c r="C1423" s="22"/>
      <c r="D1423" s="28"/>
      <c r="E1423" s="23" t="str">
        <f>IF($D1423="","",IFERROR(VLOOKUP($D1423,'ACAS Consumables Tracker'!$A:$H,8,FALSE()),""))</f>
        <v/>
      </c>
      <c r="F1423" s="24"/>
      <c r="G1423" s="25" t="str">
        <f>IF($D1423="","",IFERROR(VLOOKUP($D1423,'ACAS Consumables Tracker'!$A:$D,4,FALSE()),""))</f>
        <v/>
      </c>
      <c r="H1423" s="22"/>
    </row>
    <row r="1424" spans="1:8">
      <c r="A1424" s="21"/>
      <c r="B1424" s="28"/>
      <c r="C1424" s="22"/>
      <c r="D1424" s="28"/>
      <c r="E1424" s="23" t="str">
        <f>IF($D1424="","",IFERROR(VLOOKUP($D1424,'ACAS Consumables Tracker'!$A:$H,8,FALSE()),""))</f>
        <v/>
      </c>
      <c r="F1424" s="24"/>
      <c r="G1424" s="25" t="str">
        <f>IF($D1424="","",IFERROR(VLOOKUP($D1424,'ACAS Consumables Tracker'!$A:$D,4,FALSE()),""))</f>
        <v/>
      </c>
      <c r="H1424" s="22"/>
    </row>
    <row r="1425" spans="1:8">
      <c r="A1425" s="21"/>
      <c r="B1425" s="28"/>
      <c r="C1425" s="22"/>
      <c r="D1425" s="28"/>
      <c r="E1425" s="23" t="str">
        <f>IF($D1425="","",IFERROR(VLOOKUP($D1425,'ACAS Consumables Tracker'!$A:$H,8,FALSE()),""))</f>
        <v/>
      </c>
      <c r="F1425" s="24"/>
      <c r="G1425" s="25" t="str">
        <f>IF($D1425="","",IFERROR(VLOOKUP($D1425,'ACAS Consumables Tracker'!$A:$D,4,FALSE()),""))</f>
        <v/>
      </c>
      <c r="H1425" s="22"/>
    </row>
    <row r="1426" spans="1:8">
      <c r="A1426" s="21"/>
      <c r="B1426" s="28"/>
      <c r="C1426" s="22"/>
      <c r="D1426" s="28"/>
      <c r="E1426" s="23" t="str">
        <f>IF($D1426="","",IFERROR(VLOOKUP($D1426,'ACAS Consumables Tracker'!$A:$H,8,FALSE()),""))</f>
        <v/>
      </c>
      <c r="F1426" s="24"/>
      <c r="G1426" s="25" t="str">
        <f>IF($D1426="","",IFERROR(VLOOKUP($D1426,'ACAS Consumables Tracker'!$A:$D,4,FALSE()),""))</f>
        <v/>
      </c>
      <c r="H1426" s="22"/>
    </row>
    <row r="1427" spans="1:8">
      <c r="A1427" s="21"/>
      <c r="B1427" s="28"/>
      <c r="C1427" s="22"/>
      <c r="D1427" s="28"/>
      <c r="E1427" s="23" t="str">
        <f>IF($D1427="","",IFERROR(VLOOKUP($D1427,'ACAS Consumables Tracker'!$A:$H,8,FALSE()),""))</f>
        <v/>
      </c>
      <c r="F1427" s="24"/>
      <c r="G1427" s="25" t="str">
        <f>IF($D1427="","",IFERROR(VLOOKUP($D1427,'ACAS Consumables Tracker'!$A:$D,4,FALSE()),""))</f>
        <v/>
      </c>
      <c r="H1427" s="22"/>
    </row>
    <row r="1428" spans="1:8">
      <c r="A1428" s="21"/>
      <c r="B1428" s="28"/>
      <c r="C1428" s="22"/>
      <c r="D1428" s="28"/>
      <c r="E1428" s="23" t="str">
        <f>IF($D1428="","",IFERROR(VLOOKUP($D1428,'ACAS Consumables Tracker'!$A:$H,8,FALSE()),""))</f>
        <v/>
      </c>
      <c r="F1428" s="24"/>
      <c r="G1428" s="25" t="str">
        <f>IF($D1428="","",IFERROR(VLOOKUP($D1428,'ACAS Consumables Tracker'!$A:$D,4,FALSE()),""))</f>
        <v/>
      </c>
      <c r="H1428" s="22"/>
    </row>
    <row r="1429" spans="1:8">
      <c r="A1429" s="21"/>
      <c r="B1429" s="28"/>
      <c r="C1429" s="22"/>
      <c r="D1429" s="28"/>
      <c r="E1429" s="23" t="str">
        <f>IF($D1429="","",IFERROR(VLOOKUP($D1429,'ACAS Consumables Tracker'!$A:$H,8,FALSE()),""))</f>
        <v/>
      </c>
      <c r="F1429" s="24"/>
      <c r="G1429" s="25" t="str">
        <f>IF($D1429="","",IFERROR(VLOOKUP($D1429,'ACAS Consumables Tracker'!$A:$D,4,FALSE()),""))</f>
        <v/>
      </c>
      <c r="H1429" s="22"/>
    </row>
    <row r="1430" spans="1:8">
      <c r="A1430" s="21"/>
      <c r="B1430" s="28"/>
      <c r="C1430" s="22"/>
      <c r="D1430" s="28"/>
      <c r="E1430" s="23" t="str">
        <f>IF($D1430="","",IFERROR(VLOOKUP($D1430,'ACAS Consumables Tracker'!$A:$H,8,FALSE()),""))</f>
        <v/>
      </c>
      <c r="F1430" s="24"/>
      <c r="G1430" s="25" t="str">
        <f>IF($D1430="","",IFERROR(VLOOKUP($D1430,'ACAS Consumables Tracker'!$A:$D,4,FALSE()),""))</f>
        <v/>
      </c>
      <c r="H1430" s="22"/>
    </row>
    <row r="1431" spans="1:8">
      <c r="A1431" s="21"/>
      <c r="B1431" s="28"/>
      <c r="C1431" s="22"/>
      <c r="D1431" s="28"/>
      <c r="E1431" s="23" t="str">
        <f>IF($D1431="","",IFERROR(VLOOKUP($D1431,'ACAS Consumables Tracker'!$A:$H,8,FALSE()),""))</f>
        <v/>
      </c>
      <c r="F1431" s="24"/>
      <c r="G1431" s="25" t="str">
        <f>IF($D1431="","",IFERROR(VLOOKUP($D1431,'ACAS Consumables Tracker'!$A:$D,4,FALSE()),""))</f>
        <v/>
      </c>
      <c r="H1431" s="22"/>
    </row>
    <row r="1432" spans="1:8">
      <c r="A1432" s="21"/>
      <c r="B1432" s="28"/>
      <c r="C1432" s="22"/>
      <c r="D1432" s="28"/>
      <c r="E1432" s="23" t="str">
        <f>IF($D1432="","",IFERROR(VLOOKUP($D1432,'ACAS Consumables Tracker'!$A:$H,8,FALSE()),""))</f>
        <v/>
      </c>
      <c r="F1432" s="24"/>
      <c r="G1432" s="25" t="str">
        <f>IF($D1432="","",IFERROR(VLOOKUP($D1432,'ACAS Consumables Tracker'!$A:$D,4,FALSE()),""))</f>
        <v/>
      </c>
      <c r="H1432" s="22"/>
    </row>
    <row r="1433" spans="1:8">
      <c r="A1433" s="21"/>
      <c r="B1433" s="28"/>
      <c r="C1433" s="22"/>
      <c r="D1433" s="28"/>
      <c r="E1433" s="23" t="str">
        <f>IF($D1433="","",IFERROR(VLOOKUP($D1433,'ACAS Consumables Tracker'!$A:$H,8,FALSE()),""))</f>
        <v/>
      </c>
      <c r="F1433" s="24"/>
      <c r="G1433" s="25" t="str">
        <f>IF($D1433="","",IFERROR(VLOOKUP($D1433,'ACAS Consumables Tracker'!$A:$D,4,FALSE()),""))</f>
        <v/>
      </c>
      <c r="H1433" s="22"/>
    </row>
    <row r="1434" spans="1:8">
      <c r="A1434" s="21"/>
      <c r="B1434" s="28"/>
      <c r="C1434" s="22"/>
      <c r="D1434" s="28"/>
      <c r="E1434" s="23" t="str">
        <f>IF($D1434="","",IFERROR(VLOOKUP($D1434,'ACAS Consumables Tracker'!$A:$H,8,FALSE()),""))</f>
        <v/>
      </c>
      <c r="F1434" s="24"/>
      <c r="G1434" s="25" t="str">
        <f>IF($D1434="","",IFERROR(VLOOKUP($D1434,'ACAS Consumables Tracker'!$A:$D,4,FALSE()),""))</f>
        <v/>
      </c>
      <c r="H1434" s="22"/>
    </row>
    <row r="1435" spans="1:8">
      <c r="A1435" s="21"/>
      <c r="B1435" s="28"/>
      <c r="C1435" s="22"/>
      <c r="D1435" s="28"/>
      <c r="E1435" s="23" t="str">
        <f>IF($D1435="","",IFERROR(VLOOKUP($D1435,'ACAS Consumables Tracker'!$A:$H,8,FALSE()),""))</f>
        <v/>
      </c>
      <c r="F1435" s="24"/>
      <c r="G1435" s="25" t="str">
        <f>IF($D1435="","",IFERROR(VLOOKUP($D1435,'ACAS Consumables Tracker'!$A:$D,4,FALSE()),""))</f>
        <v/>
      </c>
      <c r="H1435" s="22"/>
    </row>
    <row r="1436" spans="1:8">
      <c r="A1436" s="21"/>
      <c r="B1436" s="28"/>
      <c r="C1436" s="22"/>
      <c r="D1436" s="28"/>
      <c r="E1436" s="23" t="str">
        <f>IF($D1436="","",IFERROR(VLOOKUP($D1436,'ACAS Consumables Tracker'!$A:$H,8,FALSE()),""))</f>
        <v/>
      </c>
      <c r="F1436" s="24"/>
      <c r="G1436" s="25" t="str">
        <f>IF($D1436="","",IFERROR(VLOOKUP($D1436,'ACAS Consumables Tracker'!$A:$D,4,FALSE()),""))</f>
        <v/>
      </c>
      <c r="H1436" s="22"/>
    </row>
    <row r="1437" spans="1:8">
      <c r="A1437" s="21"/>
      <c r="B1437" s="28"/>
      <c r="C1437" s="22"/>
      <c r="D1437" s="28"/>
      <c r="E1437" s="23" t="str">
        <f>IF($D1437="","",IFERROR(VLOOKUP($D1437,'ACAS Consumables Tracker'!$A:$H,8,FALSE()),""))</f>
        <v/>
      </c>
      <c r="F1437" s="24"/>
      <c r="G1437" s="25" t="str">
        <f>IF($D1437="","",IFERROR(VLOOKUP($D1437,'ACAS Consumables Tracker'!$A:$D,4,FALSE()),""))</f>
        <v/>
      </c>
      <c r="H1437" s="22"/>
    </row>
    <row r="1438" spans="1:8">
      <c r="A1438" s="21"/>
      <c r="B1438" s="28"/>
      <c r="C1438" s="22"/>
      <c r="D1438" s="28"/>
      <c r="E1438" s="23" t="str">
        <f>IF($D1438="","",IFERROR(VLOOKUP($D1438,'ACAS Consumables Tracker'!$A:$H,8,FALSE()),""))</f>
        <v/>
      </c>
      <c r="F1438" s="24"/>
      <c r="G1438" s="25" t="str">
        <f>IF($D1438="","",IFERROR(VLOOKUP($D1438,'ACAS Consumables Tracker'!$A:$D,4,FALSE()),""))</f>
        <v/>
      </c>
      <c r="H1438" s="22"/>
    </row>
    <row r="1439" spans="1:8">
      <c r="A1439" s="21"/>
      <c r="B1439" s="28"/>
      <c r="C1439" s="22"/>
      <c r="D1439" s="28"/>
      <c r="E1439" s="23" t="str">
        <f>IF($D1439="","",IFERROR(VLOOKUP($D1439,'ACAS Consumables Tracker'!$A:$H,8,FALSE()),""))</f>
        <v/>
      </c>
      <c r="F1439" s="24"/>
      <c r="G1439" s="25" t="str">
        <f>IF($D1439="","",IFERROR(VLOOKUP($D1439,'ACAS Consumables Tracker'!$A:$D,4,FALSE()),""))</f>
        <v/>
      </c>
      <c r="H1439" s="22"/>
    </row>
    <row r="1440" spans="1:8">
      <c r="A1440" s="21"/>
      <c r="B1440" s="28"/>
      <c r="C1440" s="22"/>
      <c r="D1440" s="28"/>
      <c r="E1440" s="23" t="str">
        <f>IF($D1440="","",IFERROR(VLOOKUP($D1440,'ACAS Consumables Tracker'!$A:$H,8,FALSE()),""))</f>
        <v/>
      </c>
      <c r="F1440" s="24"/>
      <c r="G1440" s="25" t="str">
        <f>IF($D1440="","",IFERROR(VLOOKUP($D1440,'ACAS Consumables Tracker'!$A:$D,4,FALSE()),""))</f>
        <v/>
      </c>
      <c r="H1440" s="22"/>
    </row>
    <row r="1441" spans="1:8">
      <c r="A1441" s="21"/>
      <c r="B1441" s="28"/>
      <c r="C1441" s="22"/>
      <c r="D1441" s="28"/>
      <c r="E1441" s="23" t="str">
        <f>IF($D1441="","",IFERROR(VLOOKUP($D1441,'ACAS Consumables Tracker'!$A:$H,8,FALSE()),""))</f>
        <v/>
      </c>
      <c r="F1441" s="24"/>
      <c r="G1441" s="25" t="str">
        <f>IF($D1441="","",IFERROR(VLOOKUP($D1441,'ACAS Consumables Tracker'!$A:$D,4,FALSE()),""))</f>
        <v/>
      </c>
      <c r="H1441" s="22"/>
    </row>
    <row r="1442" spans="1:8">
      <c r="A1442" s="21"/>
      <c r="B1442" s="28"/>
      <c r="C1442" s="22"/>
      <c r="D1442" s="28"/>
      <c r="E1442" s="23" t="str">
        <f>IF($D1442="","",IFERROR(VLOOKUP($D1442,'ACAS Consumables Tracker'!$A:$H,8,FALSE()),""))</f>
        <v/>
      </c>
      <c r="F1442" s="24"/>
      <c r="G1442" s="25" t="str">
        <f>IF($D1442="","",IFERROR(VLOOKUP($D1442,'ACAS Consumables Tracker'!$A:$D,4,FALSE()),""))</f>
        <v/>
      </c>
      <c r="H1442" s="22"/>
    </row>
    <row r="1443" spans="1:8">
      <c r="A1443" s="21"/>
      <c r="B1443" s="28"/>
      <c r="C1443" s="22"/>
      <c r="D1443" s="28"/>
      <c r="E1443" s="23" t="str">
        <f>IF($D1443="","",IFERROR(VLOOKUP($D1443,'ACAS Consumables Tracker'!$A:$H,8,FALSE()),""))</f>
        <v/>
      </c>
      <c r="F1443" s="24"/>
      <c r="G1443" s="25" t="str">
        <f>IF($D1443="","",IFERROR(VLOOKUP($D1443,'ACAS Consumables Tracker'!$A:$D,4,FALSE()),""))</f>
        <v/>
      </c>
      <c r="H1443" s="22"/>
    </row>
    <row r="1444" spans="1:8">
      <c r="A1444" s="21"/>
      <c r="B1444" s="28"/>
      <c r="C1444" s="22"/>
      <c r="D1444" s="28"/>
      <c r="E1444" s="23" t="str">
        <f>IF($D1444="","",IFERROR(VLOOKUP($D1444,'ACAS Consumables Tracker'!$A:$H,8,FALSE()),""))</f>
        <v/>
      </c>
      <c r="F1444" s="24"/>
      <c r="G1444" s="25" t="str">
        <f>IF($D1444="","",IFERROR(VLOOKUP($D1444,'ACAS Consumables Tracker'!$A:$D,4,FALSE()),""))</f>
        <v/>
      </c>
      <c r="H1444" s="22"/>
    </row>
    <row r="1445" spans="1:8">
      <c r="A1445" s="21"/>
      <c r="B1445" s="28"/>
      <c r="C1445" s="22"/>
      <c r="D1445" s="28"/>
      <c r="E1445" s="23" t="str">
        <f>IF($D1445="","",IFERROR(VLOOKUP($D1445,'ACAS Consumables Tracker'!$A:$H,8,FALSE()),""))</f>
        <v/>
      </c>
      <c r="F1445" s="24"/>
      <c r="G1445" s="25" t="str">
        <f>IF($D1445="","",IFERROR(VLOOKUP($D1445,'ACAS Consumables Tracker'!$A:$D,4,FALSE()),""))</f>
        <v/>
      </c>
      <c r="H1445" s="22"/>
    </row>
    <row r="1446" spans="1:8">
      <c r="A1446" s="21"/>
      <c r="B1446" s="28"/>
      <c r="C1446" s="22"/>
      <c r="D1446" s="28"/>
      <c r="E1446" s="23" t="str">
        <f>IF($D1446="","",IFERROR(VLOOKUP($D1446,'ACAS Consumables Tracker'!$A:$H,8,FALSE()),""))</f>
        <v/>
      </c>
      <c r="F1446" s="24"/>
      <c r="G1446" s="25" t="str">
        <f>IF($D1446="","",IFERROR(VLOOKUP($D1446,'ACAS Consumables Tracker'!$A:$D,4,FALSE()),""))</f>
        <v/>
      </c>
      <c r="H1446" s="22"/>
    </row>
    <row r="1447" spans="1:8">
      <c r="A1447" s="21"/>
      <c r="B1447" s="28"/>
      <c r="C1447" s="22"/>
      <c r="D1447" s="28"/>
      <c r="E1447" s="23" t="str">
        <f>IF($D1447="","",IFERROR(VLOOKUP($D1447,'ACAS Consumables Tracker'!$A:$H,8,FALSE()),""))</f>
        <v/>
      </c>
      <c r="F1447" s="24"/>
      <c r="G1447" s="25" t="str">
        <f>IF($D1447="","",IFERROR(VLOOKUP($D1447,'ACAS Consumables Tracker'!$A:$D,4,FALSE()),""))</f>
        <v/>
      </c>
      <c r="H1447" s="22"/>
    </row>
    <row r="1448" spans="1:8">
      <c r="A1448" s="21"/>
      <c r="B1448" s="28"/>
      <c r="C1448" s="22"/>
      <c r="D1448" s="28"/>
      <c r="E1448" s="23" t="str">
        <f>IF($D1448="","",IFERROR(VLOOKUP($D1448,'ACAS Consumables Tracker'!$A:$H,8,FALSE()),""))</f>
        <v/>
      </c>
      <c r="F1448" s="24"/>
      <c r="G1448" s="25" t="str">
        <f>IF($D1448="","",IFERROR(VLOOKUP($D1448,'ACAS Consumables Tracker'!$A:$D,4,FALSE()),""))</f>
        <v/>
      </c>
      <c r="H1448" s="22"/>
    </row>
    <row r="1449" spans="1:8">
      <c r="A1449" s="21"/>
      <c r="B1449" s="28"/>
      <c r="C1449" s="22"/>
      <c r="D1449" s="28"/>
      <c r="E1449" s="23" t="str">
        <f>IF($D1449="","",IFERROR(VLOOKUP($D1449,'ACAS Consumables Tracker'!$A:$H,8,FALSE()),""))</f>
        <v/>
      </c>
      <c r="F1449" s="24"/>
      <c r="G1449" s="25" t="str">
        <f>IF($D1449="","",IFERROR(VLOOKUP($D1449,'ACAS Consumables Tracker'!$A:$D,4,FALSE()),""))</f>
        <v/>
      </c>
      <c r="H1449" s="22"/>
    </row>
    <row r="1450" spans="1:8">
      <c r="A1450" s="21"/>
      <c r="B1450" s="28"/>
      <c r="C1450" s="22"/>
      <c r="D1450" s="28"/>
      <c r="E1450" s="23" t="str">
        <f>IF($D1450="","",IFERROR(VLOOKUP($D1450,'ACAS Consumables Tracker'!$A:$H,8,FALSE()),""))</f>
        <v/>
      </c>
      <c r="F1450" s="24"/>
      <c r="G1450" s="25" t="str">
        <f>IF($D1450="","",IFERROR(VLOOKUP($D1450,'ACAS Consumables Tracker'!$A:$D,4,FALSE()),""))</f>
        <v/>
      </c>
      <c r="H1450" s="22"/>
    </row>
    <row r="1451" spans="1:8">
      <c r="A1451" s="21"/>
      <c r="B1451" s="28"/>
      <c r="C1451" s="22"/>
      <c r="D1451" s="28"/>
      <c r="E1451" s="23" t="str">
        <f>IF($D1451="","",IFERROR(VLOOKUP($D1451,'ACAS Consumables Tracker'!$A:$H,8,FALSE()),""))</f>
        <v/>
      </c>
      <c r="F1451" s="24"/>
      <c r="G1451" s="25" t="str">
        <f>IF($D1451="","",IFERROR(VLOOKUP($D1451,'ACAS Consumables Tracker'!$A:$D,4,FALSE()),""))</f>
        <v/>
      </c>
      <c r="H1451" s="22"/>
    </row>
    <row r="1452" spans="1:8">
      <c r="A1452" s="21"/>
      <c r="B1452" s="28"/>
      <c r="C1452" s="22"/>
      <c r="D1452" s="28"/>
      <c r="E1452" s="23" t="str">
        <f>IF($D1452="","",IFERROR(VLOOKUP($D1452,'ACAS Consumables Tracker'!$A:$H,8,FALSE()),""))</f>
        <v/>
      </c>
      <c r="F1452" s="24"/>
      <c r="G1452" s="25" t="str">
        <f>IF($D1452="","",IFERROR(VLOOKUP($D1452,'ACAS Consumables Tracker'!$A:$D,4,FALSE()),""))</f>
        <v/>
      </c>
      <c r="H1452" s="22"/>
    </row>
    <row r="1453" spans="1:8">
      <c r="A1453" s="21"/>
      <c r="B1453" s="28"/>
      <c r="C1453" s="22"/>
      <c r="D1453" s="28"/>
      <c r="E1453" s="23" t="str">
        <f>IF($D1453="","",IFERROR(VLOOKUP($D1453,'ACAS Consumables Tracker'!$A:$H,8,FALSE()),""))</f>
        <v/>
      </c>
      <c r="F1453" s="24"/>
      <c r="G1453" s="25" t="str">
        <f>IF($D1453="","",IFERROR(VLOOKUP($D1453,'ACAS Consumables Tracker'!$A:$D,4,FALSE()),""))</f>
        <v/>
      </c>
      <c r="H1453" s="22"/>
    </row>
    <row r="1454" spans="1:8">
      <c r="A1454" s="21"/>
      <c r="B1454" s="28"/>
      <c r="C1454" s="22"/>
      <c r="D1454" s="28"/>
      <c r="E1454" s="23" t="str">
        <f>IF($D1454="","",IFERROR(VLOOKUP($D1454,'ACAS Consumables Tracker'!$A:$H,8,FALSE()),""))</f>
        <v/>
      </c>
      <c r="F1454" s="24"/>
      <c r="G1454" s="25" t="str">
        <f>IF($D1454="","",IFERROR(VLOOKUP($D1454,'ACAS Consumables Tracker'!$A:$D,4,FALSE()),""))</f>
        <v/>
      </c>
      <c r="H1454" s="22"/>
    </row>
    <row r="1455" spans="1:8">
      <c r="A1455" s="21"/>
      <c r="B1455" s="28"/>
      <c r="C1455" s="22"/>
      <c r="D1455" s="28"/>
      <c r="E1455" s="23" t="str">
        <f>IF($D1455="","",IFERROR(VLOOKUP($D1455,'ACAS Consumables Tracker'!$A:$H,8,FALSE()),""))</f>
        <v/>
      </c>
      <c r="F1455" s="24"/>
      <c r="G1455" s="25" t="str">
        <f>IF($D1455="","",IFERROR(VLOOKUP($D1455,'ACAS Consumables Tracker'!$A:$D,4,FALSE()),""))</f>
        <v/>
      </c>
      <c r="H1455" s="22"/>
    </row>
    <row r="1456" spans="1:8">
      <c r="A1456" s="21"/>
      <c r="B1456" s="28"/>
      <c r="C1456" s="22"/>
      <c r="D1456" s="28"/>
      <c r="E1456" s="23" t="str">
        <f>IF($D1456="","",IFERROR(VLOOKUP($D1456,'ACAS Consumables Tracker'!$A:$H,8,FALSE()),""))</f>
        <v/>
      </c>
      <c r="F1456" s="24"/>
      <c r="G1456" s="25" t="str">
        <f>IF($D1456="","",IFERROR(VLOOKUP($D1456,'ACAS Consumables Tracker'!$A:$D,4,FALSE()),""))</f>
        <v/>
      </c>
      <c r="H1456" s="22"/>
    </row>
    <row r="1457" spans="1:8">
      <c r="A1457" s="21"/>
      <c r="B1457" s="28"/>
      <c r="C1457" s="22"/>
      <c r="D1457" s="28"/>
      <c r="E1457" s="23" t="str">
        <f>IF($D1457="","",IFERROR(VLOOKUP($D1457,'ACAS Consumables Tracker'!$A:$H,8,FALSE()),""))</f>
        <v/>
      </c>
      <c r="F1457" s="24"/>
      <c r="G1457" s="25" t="str">
        <f>IF($D1457="","",IFERROR(VLOOKUP($D1457,'ACAS Consumables Tracker'!$A:$D,4,FALSE()),""))</f>
        <v/>
      </c>
      <c r="H1457" s="22"/>
    </row>
    <row r="1458" spans="1:8">
      <c r="A1458" s="21"/>
      <c r="B1458" s="28"/>
      <c r="C1458" s="22"/>
      <c r="D1458" s="28"/>
      <c r="E1458" s="23" t="str">
        <f>IF($D1458="","",IFERROR(VLOOKUP($D1458,'ACAS Consumables Tracker'!$A:$H,8,FALSE()),""))</f>
        <v/>
      </c>
      <c r="F1458" s="24"/>
      <c r="G1458" s="25" t="str">
        <f>IF($D1458="","",IFERROR(VLOOKUP($D1458,'ACAS Consumables Tracker'!$A:$D,4,FALSE()),""))</f>
        <v/>
      </c>
      <c r="H1458" s="22"/>
    </row>
    <row r="1459" spans="1:8">
      <c r="A1459" s="21"/>
      <c r="B1459" s="28"/>
      <c r="C1459" s="22"/>
      <c r="D1459" s="28"/>
      <c r="E1459" s="23" t="str">
        <f>IF($D1459="","",IFERROR(VLOOKUP($D1459,'ACAS Consumables Tracker'!$A:$H,8,FALSE()),""))</f>
        <v/>
      </c>
      <c r="F1459" s="24"/>
      <c r="G1459" s="25" t="str">
        <f>IF($D1459="","",IFERROR(VLOOKUP($D1459,'ACAS Consumables Tracker'!$A:$D,4,FALSE()),""))</f>
        <v/>
      </c>
      <c r="H1459" s="22"/>
    </row>
    <row r="1460" spans="1:8">
      <c r="A1460" s="21"/>
      <c r="B1460" s="28"/>
      <c r="C1460" s="22"/>
      <c r="D1460" s="28"/>
      <c r="E1460" s="23" t="str">
        <f>IF($D1460="","",IFERROR(VLOOKUP($D1460,'ACAS Consumables Tracker'!$A:$H,8,FALSE()),""))</f>
        <v/>
      </c>
      <c r="F1460" s="24"/>
      <c r="G1460" s="25" t="str">
        <f>IF($D1460="","",IFERROR(VLOOKUP($D1460,'ACAS Consumables Tracker'!$A:$D,4,FALSE()),""))</f>
        <v/>
      </c>
      <c r="H1460" s="22"/>
    </row>
    <row r="1461" spans="1:8">
      <c r="A1461" s="21"/>
      <c r="B1461" s="28"/>
      <c r="C1461" s="22"/>
      <c r="D1461" s="28"/>
      <c r="E1461" s="23" t="str">
        <f>IF($D1461="","",IFERROR(VLOOKUP($D1461,'ACAS Consumables Tracker'!$A:$H,8,FALSE()),""))</f>
        <v/>
      </c>
      <c r="F1461" s="24"/>
      <c r="G1461" s="25" t="str">
        <f>IF($D1461="","",IFERROR(VLOOKUP($D1461,'ACAS Consumables Tracker'!$A:$D,4,FALSE()),""))</f>
        <v/>
      </c>
      <c r="H1461" s="22"/>
    </row>
    <row r="1462" spans="1:8">
      <c r="A1462" s="21"/>
      <c r="B1462" s="28"/>
      <c r="C1462" s="22"/>
      <c r="D1462" s="28"/>
      <c r="E1462" s="23" t="str">
        <f>IF($D1462="","",IFERROR(VLOOKUP($D1462,'ACAS Consumables Tracker'!$A:$H,8,FALSE()),""))</f>
        <v/>
      </c>
      <c r="F1462" s="24"/>
      <c r="G1462" s="25" t="str">
        <f>IF($D1462="","",IFERROR(VLOOKUP($D1462,'ACAS Consumables Tracker'!$A:$D,4,FALSE()),""))</f>
        <v/>
      </c>
      <c r="H1462" s="22"/>
    </row>
    <row r="1463" spans="1:8">
      <c r="A1463" s="21"/>
      <c r="B1463" s="28"/>
      <c r="C1463" s="22"/>
      <c r="D1463" s="28"/>
      <c r="E1463" s="23" t="str">
        <f>IF($D1463="","",IFERROR(VLOOKUP($D1463,'ACAS Consumables Tracker'!$A:$H,8,FALSE()),""))</f>
        <v/>
      </c>
      <c r="F1463" s="24"/>
      <c r="G1463" s="25" t="str">
        <f>IF($D1463="","",IFERROR(VLOOKUP($D1463,'ACAS Consumables Tracker'!$A:$D,4,FALSE()),""))</f>
        <v/>
      </c>
      <c r="H1463" s="22"/>
    </row>
    <row r="1464" spans="1:8">
      <c r="A1464" s="21"/>
      <c r="B1464" s="28"/>
      <c r="C1464" s="22"/>
      <c r="D1464" s="28"/>
      <c r="E1464" s="23" t="str">
        <f>IF($D1464="","",IFERROR(VLOOKUP($D1464,'ACAS Consumables Tracker'!$A:$H,8,FALSE()),""))</f>
        <v/>
      </c>
      <c r="F1464" s="24"/>
      <c r="G1464" s="25" t="str">
        <f>IF($D1464="","",IFERROR(VLOOKUP($D1464,'ACAS Consumables Tracker'!$A:$D,4,FALSE()),""))</f>
        <v/>
      </c>
      <c r="H1464" s="22"/>
    </row>
    <row r="1465" spans="1:8">
      <c r="A1465" s="21"/>
      <c r="B1465" s="28"/>
      <c r="C1465" s="22"/>
      <c r="D1465" s="28"/>
      <c r="E1465" s="23" t="str">
        <f>IF($D1465="","",IFERROR(VLOOKUP($D1465,'ACAS Consumables Tracker'!$A:$H,8,FALSE()),""))</f>
        <v/>
      </c>
      <c r="F1465" s="24"/>
      <c r="G1465" s="25" t="str">
        <f>IF($D1465="","",IFERROR(VLOOKUP($D1465,'ACAS Consumables Tracker'!$A:$D,4,FALSE()),""))</f>
        <v/>
      </c>
      <c r="H1465" s="22"/>
    </row>
    <row r="1466" spans="1:8">
      <c r="A1466" s="21"/>
      <c r="B1466" s="28"/>
      <c r="C1466" s="22"/>
      <c r="D1466" s="28"/>
      <c r="E1466" s="23" t="str">
        <f>IF($D1466="","",IFERROR(VLOOKUP($D1466,'ACAS Consumables Tracker'!$A:$H,8,FALSE()),""))</f>
        <v/>
      </c>
      <c r="F1466" s="24"/>
      <c r="G1466" s="25" t="str">
        <f>IF($D1466="","",IFERROR(VLOOKUP($D1466,'ACAS Consumables Tracker'!$A:$D,4,FALSE()),""))</f>
        <v/>
      </c>
      <c r="H1466" s="22"/>
    </row>
    <row r="1467" spans="1:8">
      <c r="A1467" s="21"/>
      <c r="B1467" s="28"/>
      <c r="C1467" s="22"/>
      <c r="D1467" s="28"/>
      <c r="E1467" s="23" t="str">
        <f>IF($D1467="","",IFERROR(VLOOKUP($D1467,'ACAS Consumables Tracker'!$A:$H,8,FALSE()),""))</f>
        <v/>
      </c>
      <c r="F1467" s="24"/>
      <c r="G1467" s="25" t="str">
        <f>IF($D1467="","",IFERROR(VLOOKUP($D1467,'ACAS Consumables Tracker'!$A:$D,4,FALSE()),""))</f>
        <v/>
      </c>
      <c r="H1467" s="22"/>
    </row>
    <row r="1468" spans="1:8">
      <c r="A1468" s="21"/>
      <c r="B1468" s="28"/>
      <c r="C1468" s="22"/>
      <c r="D1468" s="28"/>
      <c r="E1468" s="23" t="str">
        <f>IF($D1468="","",IFERROR(VLOOKUP($D1468,'ACAS Consumables Tracker'!$A:$H,8,FALSE()),""))</f>
        <v/>
      </c>
      <c r="F1468" s="24"/>
      <c r="G1468" s="25" t="str">
        <f>IF($D1468="","",IFERROR(VLOOKUP($D1468,'ACAS Consumables Tracker'!$A:$D,4,FALSE()),""))</f>
        <v/>
      </c>
      <c r="H1468" s="22"/>
    </row>
    <row r="1469" spans="1:8">
      <c r="A1469" s="21"/>
      <c r="B1469" s="28"/>
      <c r="C1469" s="22"/>
      <c r="D1469" s="28"/>
      <c r="E1469" s="23" t="str">
        <f>IF($D1469="","",IFERROR(VLOOKUP($D1469,'ACAS Consumables Tracker'!$A:$H,8,FALSE()),""))</f>
        <v/>
      </c>
      <c r="F1469" s="24"/>
      <c r="G1469" s="25" t="str">
        <f>IF($D1469="","",IFERROR(VLOOKUP($D1469,'ACAS Consumables Tracker'!$A:$D,4,FALSE()),""))</f>
        <v/>
      </c>
      <c r="H1469" s="22"/>
    </row>
    <row r="1470" spans="1:8">
      <c r="A1470" s="21"/>
      <c r="B1470" s="28"/>
      <c r="C1470" s="22"/>
      <c r="D1470" s="28"/>
      <c r="E1470" s="23" t="str">
        <f>IF($D1470="","",IFERROR(VLOOKUP($D1470,'ACAS Consumables Tracker'!$A:$H,8,FALSE()),""))</f>
        <v/>
      </c>
      <c r="F1470" s="24"/>
      <c r="G1470" s="25" t="str">
        <f>IF($D1470="","",IFERROR(VLOOKUP($D1470,'ACAS Consumables Tracker'!$A:$D,4,FALSE()),""))</f>
        <v/>
      </c>
      <c r="H1470" s="22"/>
    </row>
    <row r="1471" spans="1:8">
      <c r="A1471" s="21"/>
      <c r="B1471" s="28"/>
      <c r="C1471" s="22"/>
      <c r="D1471" s="28"/>
      <c r="E1471" s="23" t="str">
        <f>IF($D1471="","",IFERROR(VLOOKUP($D1471,'ACAS Consumables Tracker'!$A:$H,8,FALSE()),""))</f>
        <v/>
      </c>
      <c r="F1471" s="24"/>
      <c r="G1471" s="25" t="str">
        <f>IF($D1471="","",IFERROR(VLOOKUP($D1471,'ACAS Consumables Tracker'!$A:$D,4,FALSE()),""))</f>
        <v/>
      </c>
      <c r="H1471" s="22"/>
    </row>
    <row r="1472" spans="1:8">
      <c r="A1472" s="21"/>
      <c r="B1472" s="28"/>
      <c r="C1472" s="22"/>
      <c r="D1472" s="28"/>
      <c r="E1472" s="23" t="str">
        <f>IF($D1472="","",IFERROR(VLOOKUP($D1472,'ACAS Consumables Tracker'!$A:$H,8,FALSE()),""))</f>
        <v/>
      </c>
      <c r="F1472" s="24"/>
      <c r="G1472" s="25" t="str">
        <f>IF($D1472="","",IFERROR(VLOOKUP($D1472,'ACAS Consumables Tracker'!$A:$D,4,FALSE()),""))</f>
        <v/>
      </c>
      <c r="H1472" s="22"/>
    </row>
    <row r="1473" spans="1:8">
      <c r="A1473" s="21"/>
      <c r="B1473" s="28"/>
      <c r="C1473" s="22"/>
      <c r="D1473" s="28"/>
      <c r="E1473" s="23" t="str">
        <f>IF($D1473="","",IFERROR(VLOOKUP($D1473,'ACAS Consumables Tracker'!$A:$H,8,FALSE()),""))</f>
        <v/>
      </c>
      <c r="F1473" s="24"/>
      <c r="G1473" s="25" t="str">
        <f>IF($D1473="","",IFERROR(VLOOKUP($D1473,'ACAS Consumables Tracker'!$A:$D,4,FALSE()),""))</f>
        <v/>
      </c>
      <c r="H1473" s="22"/>
    </row>
    <row r="1474" spans="1:8">
      <c r="A1474" s="21"/>
      <c r="B1474" s="28"/>
      <c r="C1474" s="22"/>
      <c r="D1474" s="28"/>
      <c r="E1474" s="23" t="str">
        <f>IF($D1474="","",IFERROR(VLOOKUP($D1474,'ACAS Consumables Tracker'!$A:$H,8,FALSE()),""))</f>
        <v/>
      </c>
      <c r="F1474" s="24"/>
      <c r="G1474" s="25" t="str">
        <f>IF($D1474="","",IFERROR(VLOOKUP($D1474,'ACAS Consumables Tracker'!$A:$D,4,FALSE()),""))</f>
        <v/>
      </c>
      <c r="H1474" s="22"/>
    </row>
    <row r="1475" spans="1:8">
      <c r="A1475" s="21"/>
      <c r="B1475" s="28"/>
      <c r="C1475" s="22"/>
      <c r="D1475" s="28"/>
      <c r="E1475" s="23" t="str">
        <f>IF($D1475="","",IFERROR(VLOOKUP($D1475,'ACAS Consumables Tracker'!$A:$H,8,FALSE()),""))</f>
        <v/>
      </c>
      <c r="F1475" s="24"/>
      <c r="G1475" s="25" t="str">
        <f>IF($D1475="","",IFERROR(VLOOKUP($D1475,'ACAS Consumables Tracker'!$A:$D,4,FALSE()),""))</f>
        <v/>
      </c>
      <c r="H1475" s="22"/>
    </row>
    <row r="1476" spans="1:8">
      <c r="A1476" s="21"/>
      <c r="B1476" s="28"/>
      <c r="C1476" s="22"/>
      <c r="D1476" s="28"/>
      <c r="E1476" s="23" t="str">
        <f>IF($D1476="","",IFERROR(VLOOKUP($D1476,'ACAS Consumables Tracker'!$A:$H,8,FALSE()),""))</f>
        <v/>
      </c>
      <c r="F1476" s="24"/>
      <c r="G1476" s="25" t="str">
        <f>IF($D1476="","",IFERROR(VLOOKUP($D1476,'ACAS Consumables Tracker'!$A:$D,4,FALSE()),""))</f>
        <v/>
      </c>
      <c r="H1476" s="22"/>
    </row>
    <row r="1477" spans="1:8">
      <c r="A1477" s="21"/>
      <c r="B1477" s="28"/>
      <c r="C1477" s="22"/>
      <c r="D1477" s="28"/>
      <c r="E1477" s="23" t="str">
        <f>IF($D1477="","",IFERROR(VLOOKUP($D1477,'ACAS Consumables Tracker'!$A:$H,8,FALSE()),""))</f>
        <v/>
      </c>
      <c r="F1477" s="24"/>
      <c r="G1477" s="25" t="str">
        <f>IF($D1477="","",IFERROR(VLOOKUP($D1477,'ACAS Consumables Tracker'!$A:$D,4,FALSE()),""))</f>
        <v/>
      </c>
      <c r="H1477" s="22"/>
    </row>
    <row r="1478" spans="1:8">
      <c r="A1478" s="21"/>
      <c r="B1478" s="28"/>
      <c r="C1478" s="22"/>
      <c r="D1478" s="28"/>
      <c r="E1478" s="23" t="str">
        <f>IF($D1478="","",IFERROR(VLOOKUP($D1478,'ACAS Consumables Tracker'!$A:$H,8,FALSE()),""))</f>
        <v/>
      </c>
      <c r="F1478" s="24"/>
      <c r="G1478" s="25" t="str">
        <f>IF($D1478="","",IFERROR(VLOOKUP($D1478,'ACAS Consumables Tracker'!$A:$D,4,FALSE()),""))</f>
        <v/>
      </c>
      <c r="H1478" s="22"/>
    </row>
    <row r="1479" spans="1:8">
      <c r="A1479" s="21"/>
      <c r="B1479" s="28"/>
      <c r="C1479" s="22"/>
      <c r="D1479" s="28"/>
      <c r="E1479" s="23" t="str">
        <f>IF($D1479="","",IFERROR(VLOOKUP($D1479,'ACAS Consumables Tracker'!$A:$H,8,FALSE()),""))</f>
        <v/>
      </c>
      <c r="F1479" s="24"/>
      <c r="G1479" s="25" t="str">
        <f>IF($D1479="","",IFERROR(VLOOKUP($D1479,'ACAS Consumables Tracker'!$A:$D,4,FALSE()),""))</f>
        <v/>
      </c>
      <c r="H1479" s="22"/>
    </row>
    <row r="1480" spans="1:8">
      <c r="A1480" s="21"/>
      <c r="B1480" s="28"/>
      <c r="C1480" s="22"/>
      <c r="D1480" s="28"/>
      <c r="E1480" s="23" t="str">
        <f>IF($D1480="","",IFERROR(VLOOKUP($D1480,'ACAS Consumables Tracker'!$A:$H,8,FALSE()),""))</f>
        <v/>
      </c>
      <c r="F1480" s="24"/>
      <c r="G1480" s="25" t="str">
        <f>IF($D1480="","",IFERROR(VLOOKUP($D1480,'ACAS Consumables Tracker'!$A:$D,4,FALSE()),""))</f>
        <v/>
      </c>
      <c r="H1480" s="22"/>
    </row>
    <row r="1481" spans="1:8">
      <c r="A1481" s="21"/>
      <c r="B1481" s="28"/>
      <c r="C1481" s="22"/>
      <c r="D1481" s="28"/>
      <c r="E1481" s="23" t="str">
        <f>IF($D1481="","",IFERROR(VLOOKUP($D1481,'ACAS Consumables Tracker'!$A:$H,8,FALSE()),""))</f>
        <v/>
      </c>
      <c r="F1481" s="24"/>
      <c r="G1481" s="25" t="str">
        <f>IF($D1481="","",IFERROR(VLOOKUP($D1481,'ACAS Consumables Tracker'!$A:$D,4,FALSE()),""))</f>
        <v/>
      </c>
      <c r="H1481" s="22"/>
    </row>
    <row r="1482" spans="1:8">
      <c r="A1482" s="21"/>
      <c r="B1482" s="28"/>
      <c r="C1482" s="22"/>
      <c r="D1482" s="28"/>
      <c r="E1482" s="23" t="str">
        <f>IF($D1482="","",IFERROR(VLOOKUP($D1482,'ACAS Consumables Tracker'!$A:$H,8,FALSE()),""))</f>
        <v/>
      </c>
      <c r="F1482" s="24"/>
      <c r="G1482" s="25" t="str">
        <f>IF($D1482="","",IFERROR(VLOOKUP($D1482,'ACAS Consumables Tracker'!$A:$D,4,FALSE()),""))</f>
        <v/>
      </c>
      <c r="H1482" s="22"/>
    </row>
    <row r="1483" spans="1:8">
      <c r="A1483" s="21"/>
      <c r="B1483" s="28"/>
      <c r="C1483" s="22"/>
      <c r="D1483" s="28"/>
      <c r="E1483" s="23" t="str">
        <f>IF($D1483="","",IFERROR(VLOOKUP($D1483,'ACAS Consumables Tracker'!$A:$H,8,FALSE()),""))</f>
        <v/>
      </c>
      <c r="F1483" s="24"/>
      <c r="G1483" s="25" t="str">
        <f>IF($D1483="","",IFERROR(VLOOKUP($D1483,'ACAS Consumables Tracker'!$A:$D,4,FALSE()),""))</f>
        <v/>
      </c>
      <c r="H1483" s="22"/>
    </row>
    <row r="1484" spans="1:8">
      <c r="A1484" s="21"/>
      <c r="B1484" s="28"/>
      <c r="C1484" s="22"/>
      <c r="D1484" s="28"/>
      <c r="E1484" s="23" t="str">
        <f>IF($D1484="","",IFERROR(VLOOKUP($D1484,'ACAS Consumables Tracker'!$A:$H,8,FALSE()),""))</f>
        <v/>
      </c>
      <c r="F1484" s="24"/>
      <c r="G1484" s="25" t="str">
        <f>IF($D1484="","",IFERROR(VLOOKUP($D1484,'ACAS Consumables Tracker'!$A:$D,4,FALSE()),""))</f>
        <v/>
      </c>
      <c r="H1484" s="22"/>
    </row>
    <row r="1485" spans="1:8">
      <c r="A1485" s="21"/>
      <c r="B1485" s="28"/>
      <c r="C1485" s="22"/>
      <c r="D1485" s="28"/>
      <c r="E1485" s="23" t="str">
        <f>IF($D1485="","",IFERROR(VLOOKUP($D1485,'ACAS Consumables Tracker'!$A:$H,8,FALSE()),""))</f>
        <v/>
      </c>
      <c r="F1485" s="24"/>
      <c r="G1485" s="25" t="str">
        <f>IF($D1485="","",IFERROR(VLOOKUP($D1485,'ACAS Consumables Tracker'!$A:$D,4,FALSE()),""))</f>
        <v/>
      </c>
      <c r="H1485" s="22"/>
    </row>
    <row r="1486" spans="1:8">
      <c r="A1486" s="21"/>
      <c r="B1486" s="28"/>
      <c r="C1486" s="22"/>
      <c r="D1486" s="28"/>
      <c r="E1486" s="23" t="str">
        <f>IF($D1486="","",IFERROR(VLOOKUP($D1486,'ACAS Consumables Tracker'!$A:$H,8,FALSE()),""))</f>
        <v/>
      </c>
      <c r="F1486" s="24"/>
      <c r="G1486" s="25" t="str">
        <f>IF($D1486="","",IFERROR(VLOOKUP($D1486,'ACAS Consumables Tracker'!$A:$D,4,FALSE()),""))</f>
        <v/>
      </c>
      <c r="H1486" s="22"/>
    </row>
    <row r="1487" spans="1:8">
      <c r="A1487" s="21"/>
      <c r="B1487" s="28"/>
      <c r="C1487" s="22"/>
      <c r="D1487" s="28"/>
      <c r="E1487" s="23" t="str">
        <f>IF($D1487="","",IFERROR(VLOOKUP($D1487,'ACAS Consumables Tracker'!$A:$H,8,FALSE()),""))</f>
        <v/>
      </c>
      <c r="F1487" s="24"/>
      <c r="G1487" s="25" t="str">
        <f>IF($D1487="","",IFERROR(VLOOKUP($D1487,'ACAS Consumables Tracker'!$A:$D,4,FALSE()),""))</f>
        <v/>
      </c>
      <c r="H1487" s="22"/>
    </row>
    <row r="1488" spans="1:8">
      <c r="A1488" s="21"/>
      <c r="B1488" s="28"/>
      <c r="C1488" s="22"/>
      <c r="D1488" s="28"/>
      <c r="E1488" s="23" t="str">
        <f>IF($D1488="","",IFERROR(VLOOKUP($D1488,'ACAS Consumables Tracker'!$A:$H,8,FALSE()),""))</f>
        <v/>
      </c>
      <c r="F1488" s="24"/>
      <c r="G1488" s="25" t="str">
        <f>IF($D1488="","",IFERROR(VLOOKUP($D1488,'ACAS Consumables Tracker'!$A:$D,4,FALSE()),""))</f>
        <v/>
      </c>
      <c r="H1488" s="22"/>
    </row>
    <row r="1489" spans="1:8">
      <c r="A1489" s="21"/>
      <c r="B1489" s="28"/>
      <c r="C1489" s="22"/>
      <c r="D1489" s="28"/>
      <c r="E1489" s="23" t="str">
        <f>IF($D1489="","",IFERROR(VLOOKUP($D1489,'ACAS Consumables Tracker'!$A:$H,8,FALSE()),""))</f>
        <v/>
      </c>
      <c r="F1489" s="24"/>
      <c r="G1489" s="25" t="str">
        <f>IF($D1489="","",IFERROR(VLOOKUP($D1489,'ACAS Consumables Tracker'!$A:$D,4,FALSE()),""))</f>
        <v/>
      </c>
      <c r="H1489" s="22"/>
    </row>
    <row r="1490" spans="1:8">
      <c r="A1490" s="21"/>
      <c r="B1490" s="28"/>
      <c r="C1490" s="22"/>
      <c r="D1490" s="28"/>
      <c r="E1490" s="23" t="str">
        <f>IF($D1490="","",IFERROR(VLOOKUP($D1490,'ACAS Consumables Tracker'!$A:$H,8,FALSE()),""))</f>
        <v/>
      </c>
      <c r="F1490" s="24"/>
      <c r="G1490" s="25" t="str">
        <f>IF($D1490="","",IFERROR(VLOOKUP($D1490,'ACAS Consumables Tracker'!$A:$D,4,FALSE()),""))</f>
        <v/>
      </c>
      <c r="H1490" s="22"/>
    </row>
    <row r="1491" spans="1:8">
      <c r="A1491" s="21"/>
      <c r="B1491" s="28"/>
      <c r="C1491" s="22"/>
      <c r="D1491" s="28"/>
      <c r="E1491" s="23" t="str">
        <f>IF($D1491="","",IFERROR(VLOOKUP($D1491,'ACAS Consumables Tracker'!$A:$H,8,FALSE()),""))</f>
        <v/>
      </c>
      <c r="F1491" s="24"/>
      <c r="G1491" s="25" t="str">
        <f>IF($D1491="","",IFERROR(VLOOKUP($D1491,'ACAS Consumables Tracker'!$A:$D,4,FALSE()),""))</f>
        <v/>
      </c>
      <c r="H1491" s="22"/>
    </row>
    <row r="1492" spans="1:8">
      <c r="A1492" s="21"/>
      <c r="B1492" s="28"/>
      <c r="C1492" s="22"/>
      <c r="D1492" s="28"/>
      <c r="E1492" s="23" t="str">
        <f>IF($D1492="","",IFERROR(VLOOKUP($D1492,'ACAS Consumables Tracker'!$A:$H,8,FALSE()),""))</f>
        <v/>
      </c>
      <c r="F1492" s="24"/>
      <c r="G1492" s="25" t="str">
        <f>IF($D1492="","",IFERROR(VLOOKUP($D1492,'ACAS Consumables Tracker'!$A:$D,4,FALSE()),""))</f>
        <v/>
      </c>
      <c r="H1492" s="22"/>
    </row>
    <row r="1493" spans="1:8">
      <c r="A1493" s="21"/>
      <c r="B1493" s="28"/>
      <c r="C1493" s="22"/>
      <c r="D1493" s="28"/>
      <c r="E1493" s="23" t="str">
        <f>IF($D1493="","",IFERROR(VLOOKUP($D1493,'ACAS Consumables Tracker'!$A:$H,8,FALSE()),""))</f>
        <v/>
      </c>
      <c r="F1493" s="24"/>
      <c r="G1493" s="25" t="str">
        <f>IF($D1493="","",IFERROR(VLOOKUP($D1493,'ACAS Consumables Tracker'!$A:$D,4,FALSE()),""))</f>
        <v/>
      </c>
      <c r="H1493" s="22"/>
    </row>
    <row r="1494" spans="1:8">
      <c r="A1494" s="21"/>
      <c r="B1494" s="28"/>
      <c r="C1494" s="22"/>
      <c r="D1494" s="28"/>
      <c r="E1494" s="23" t="str">
        <f>IF($D1494="","",IFERROR(VLOOKUP($D1494,'ACAS Consumables Tracker'!$A:$H,8,FALSE()),""))</f>
        <v/>
      </c>
      <c r="F1494" s="24"/>
      <c r="G1494" s="25" t="str">
        <f>IF($D1494="","",IFERROR(VLOOKUP($D1494,'ACAS Consumables Tracker'!$A:$D,4,FALSE()),""))</f>
        <v/>
      </c>
      <c r="H1494" s="22"/>
    </row>
    <row r="1495" spans="1:8">
      <c r="A1495" s="21"/>
      <c r="B1495" s="28"/>
      <c r="C1495" s="22"/>
      <c r="D1495" s="28"/>
      <c r="E1495" s="23" t="str">
        <f>IF($D1495="","",IFERROR(VLOOKUP($D1495,'ACAS Consumables Tracker'!$A:$H,8,FALSE()),""))</f>
        <v/>
      </c>
      <c r="F1495" s="24"/>
      <c r="G1495" s="25" t="str">
        <f>IF($D1495="","",IFERROR(VLOOKUP($D1495,'ACAS Consumables Tracker'!$A:$D,4,FALSE()),""))</f>
        <v/>
      </c>
      <c r="H1495" s="22"/>
    </row>
    <row r="1496" spans="1:8">
      <c r="A1496" s="21"/>
      <c r="B1496" s="28"/>
      <c r="C1496" s="22"/>
      <c r="D1496" s="28"/>
      <c r="E1496" s="23" t="str">
        <f>IF($D1496="","",IFERROR(VLOOKUP($D1496,'ACAS Consumables Tracker'!$A:$H,8,FALSE()),""))</f>
        <v/>
      </c>
      <c r="F1496" s="24"/>
      <c r="G1496" s="25" t="str">
        <f>IF($D1496="","",IFERROR(VLOOKUP($D1496,'ACAS Consumables Tracker'!$A:$D,4,FALSE()),""))</f>
        <v/>
      </c>
      <c r="H1496" s="22"/>
    </row>
    <row r="1497" spans="1:8">
      <c r="A1497" s="21"/>
      <c r="B1497" s="28"/>
      <c r="C1497" s="22"/>
      <c r="D1497" s="28"/>
      <c r="E1497" s="23" t="str">
        <f>IF($D1497="","",IFERROR(VLOOKUP($D1497,'ACAS Consumables Tracker'!$A:$H,8,FALSE()),""))</f>
        <v/>
      </c>
      <c r="F1497" s="24"/>
      <c r="G1497" s="25" t="str">
        <f>IF($D1497="","",IFERROR(VLOOKUP($D1497,'ACAS Consumables Tracker'!$A:$D,4,FALSE()),""))</f>
        <v/>
      </c>
      <c r="H1497" s="22"/>
    </row>
    <row r="1498" spans="1:8">
      <c r="A1498" s="21"/>
      <c r="B1498" s="28"/>
      <c r="C1498" s="22"/>
      <c r="D1498" s="28"/>
      <c r="E1498" s="23" t="str">
        <f>IF($D1498="","",IFERROR(VLOOKUP($D1498,'ACAS Consumables Tracker'!$A:$H,8,FALSE()),""))</f>
        <v/>
      </c>
      <c r="F1498" s="24"/>
      <c r="G1498" s="25" t="str">
        <f>IF($D1498="","",IFERROR(VLOOKUP($D1498,'ACAS Consumables Tracker'!$A:$D,4,FALSE()),""))</f>
        <v/>
      </c>
      <c r="H1498" s="22"/>
    </row>
    <row r="1499" spans="1:8">
      <c r="A1499" s="21"/>
      <c r="B1499" s="28"/>
      <c r="C1499" s="22"/>
      <c r="D1499" s="28"/>
      <c r="E1499" s="23" t="str">
        <f>IF($D1499="","",IFERROR(VLOOKUP($D1499,'ACAS Consumables Tracker'!$A:$H,8,FALSE()),""))</f>
        <v/>
      </c>
      <c r="F1499" s="24"/>
      <c r="G1499" s="25" t="str">
        <f>IF($D1499="","",IFERROR(VLOOKUP($D1499,'ACAS Consumables Tracker'!$A:$D,4,FALSE()),""))</f>
        <v/>
      </c>
      <c r="H1499" s="22"/>
    </row>
    <row r="1500" spans="1:8">
      <c r="A1500" s="21"/>
      <c r="B1500" s="28"/>
      <c r="C1500" s="22"/>
      <c r="D1500" s="28"/>
      <c r="E1500" s="23" t="str">
        <f>IF($D1500="","",IFERROR(VLOOKUP($D1500,'ACAS Consumables Tracker'!$A:$H,8,FALSE()),""))</f>
        <v/>
      </c>
      <c r="F1500" s="24"/>
      <c r="G1500" s="25" t="str">
        <f>IF($D1500="","",IFERROR(VLOOKUP($D1500,'ACAS Consumables Tracker'!$A:$D,4,FALSE()),""))</f>
        <v/>
      </c>
      <c r="H1500" s="22"/>
    </row>
    <row r="1501" spans="1:8">
      <c r="A1501" s="21"/>
      <c r="B1501" s="28"/>
      <c r="C1501" s="22"/>
      <c r="D1501" s="28"/>
      <c r="E1501" s="23" t="str">
        <f>IF($D1501="","",IFERROR(VLOOKUP($D1501,'ACAS Consumables Tracker'!$A:$H,8,FALSE()),""))</f>
        <v/>
      </c>
      <c r="F1501" s="24"/>
      <c r="G1501" s="25" t="str">
        <f>IF($D1501="","",IFERROR(VLOOKUP($D1501,'ACAS Consumables Tracker'!$A:$D,4,FALSE()),""))</f>
        <v/>
      </c>
      <c r="H1501" s="22"/>
    </row>
    <row r="1502" spans="1:8">
      <c r="A1502" s="21"/>
      <c r="B1502" s="28"/>
      <c r="C1502" s="22"/>
      <c r="D1502" s="28"/>
      <c r="E1502" s="23" t="str">
        <f>IF($D1502="","",IFERROR(VLOOKUP($D1502,'ACAS Consumables Tracker'!$A:$H,8,FALSE()),""))</f>
        <v/>
      </c>
      <c r="F1502" s="24"/>
      <c r="G1502" s="25" t="str">
        <f>IF($D1502="","",IFERROR(VLOOKUP($D1502,'ACAS Consumables Tracker'!$A:$D,4,FALSE()),""))</f>
        <v/>
      </c>
      <c r="H1502" s="22"/>
    </row>
    <row r="1503" spans="1:8">
      <c r="A1503" s="21"/>
      <c r="B1503" s="28"/>
      <c r="C1503" s="22"/>
      <c r="D1503" s="28"/>
      <c r="E1503" s="23" t="str">
        <f>IF($D1503="","",IFERROR(VLOOKUP($D1503,'ACAS Consumables Tracker'!$A:$H,8,FALSE()),""))</f>
        <v/>
      </c>
      <c r="F1503" s="24"/>
      <c r="G1503" s="25" t="str">
        <f>IF($D1503="","",IFERROR(VLOOKUP($D1503,'ACAS Consumables Tracker'!$A:$D,4,FALSE()),""))</f>
        <v/>
      </c>
      <c r="H1503" s="22"/>
    </row>
    <row r="1504" spans="1:8">
      <c r="A1504" s="21"/>
      <c r="B1504" s="28"/>
      <c r="C1504" s="22"/>
      <c r="D1504" s="28"/>
      <c r="E1504" s="23" t="str">
        <f>IF($D1504="","",IFERROR(VLOOKUP($D1504,'ACAS Consumables Tracker'!$A:$H,8,FALSE()),""))</f>
        <v/>
      </c>
      <c r="F1504" s="24"/>
      <c r="G1504" s="25" t="str">
        <f>IF($D1504="","",IFERROR(VLOOKUP($D1504,'ACAS Consumables Tracker'!$A:$D,4,FALSE()),""))</f>
        <v/>
      </c>
      <c r="H1504" s="22"/>
    </row>
    <row r="1505" spans="1:8">
      <c r="A1505" s="21"/>
      <c r="B1505" s="28"/>
      <c r="C1505" s="22"/>
      <c r="D1505" s="28"/>
      <c r="E1505" s="23" t="str">
        <f>IF($D1505="","",IFERROR(VLOOKUP($D1505,'ACAS Consumables Tracker'!$A:$H,8,FALSE()),""))</f>
        <v/>
      </c>
      <c r="F1505" s="24"/>
      <c r="G1505" s="25" t="str">
        <f>IF($D1505="","",IFERROR(VLOOKUP($D1505,'ACAS Consumables Tracker'!$A:$D,4,FALSE()),""))</f>
        <v/>
      </c>
      <c r="H1505" s="22"/>
    </row>
    <row r="1506" spans="1:8">
      <c r="A1506" s="21"/>
      <c r="B1506" s="28"/>
      <c r="C1506" s="22"/>
      <c r="D1506" s="28"/>
      <c r="E1506" s="23" t="str">
        <f>IF($D1506="","",IFERROR(VLOOKUP($D1506,'ACAS Consumables Tracker'!$A:$H,8,FALSE()),""))</f>
        <v/>
      </c>
      <c r="F1506" s="24"/>
      <c r="G1506" s="25" t="str">
        <f>IF($D1506="","",IFERROR(VLOOKUP($D1506,'ACAS Consumables Tracker'!$A:$D,4,FALSE()),""))</f>
        <v/>
      </c>
      <c r="H1506" s="22"/>
    </row>
    <row r="1507" spans="1:8">
      <c r="A1507" s="21"/>
      <c r="B1507" s="28"/>
      <c r="C1507" s="22"/>
      <c r="D1507" s="28"/>
      <c r="E1507" s="23" t="str">
        <f>IF($D1507="","",IFERROR(VLOOKUP($D1507,'ACAS Consumables Tracker'!$A:$H,8,FALSE()),""))</f>
        <v/>
      </c>
      <c r="F1507" s="24"/>
      <c r="G1507" s="25" t="str">
        <f>IF($D1507="","",IFERROR(VLOOKUP($D1507,'ACAS Consumables Tracker'!$A:$D,4,FALSE()),""))</f>
        <v/>
      </c>
      <c r="H1507" s="22"/>
    </row>
    <row r="1508" spans="1:8">
      <c r="A1508" s="21"/>
      <c r="B1508" s="28"/>
      <c r="C1508" s="22"/>
      <c r="D1508" s="28"/>
      <c r="E1508" s="23" t="str">
        <f>IF($D1508="","",IFERROR(VLOOKUP($D1508,'ACAS Consumables Tracker'!$A:$H,8,FALSE()),""))</f>
        <v/>
      </c>
      <c r="F1508" s="24"/>
      <c r="G1508" s="25" t="str">
        <f>IF($D1508="","",IFERROR(VLOOKUP($D1508,'ACAS Consumables Tracker'!$A:$D,4,FALSE()),""))</f>
        <v/>
      </c>
      <c r="H1508" s="22"/>
    </row>
    <row r="1509" spans="1:8">
      <c r="A1509" s="21"/>
      <c r="B1509" s="28"/>
      <c r="C1509" s="22"/>
      <c r="D1509" s="28"/>
      <c r="E1509" s="23" t="str">
        <f>IF($D1509="","",IFERROR(VLOOKUP($D1509,'ACAS Consumables Tracker'!$A:$H,8,FALSE()),""))</f>
        <v/>
      </c>
      <c r="F1509" s="24"/>
      <c r="G1509" s="25" t="str">
        <f>IF($D1509="","",IFERROR(VLOOKUP($D1509,'ACAS Consumables Tracker'!$A:$D,4,FALSE()),""))</f>
        <v/>
      </c>
      <c r="H1509" s="22"/>
    </row>
    <row r="1510" spans="1:8">
      <c r="A1510" s="21"/>
      <c r="B1510" s="28"/>
      <c r="C1510" s="22"/>
      <c r="D1510" s="28"/>
      <c r="E1510" s="23" t="str">
        <f>IF($D1510="","",IFERROR(VLOOKUP($D1510,'ACAS Consumables Tracker'!$A:$H,8,FALSE()),""))</f>
        <v/>
      </c>
      <c r="F1510" s="24"/>
      <c r="G1510" s="25" t="str">
        <f>IF($D1510="","",IFERROR(VLOOKUP($D1510,'ACAS Consumables Tracker'!$A:$D,4,FALSE()),""))</f>
        <v/>
      </c>
      <c r="H1510" s="22"/>
    </row>
    <row r="1511" spans="1:8">
      <c r="A1511" s="21"/>
      <c r="B1511" s="28"/>
      <c r="C1511" s="22"/>
      <c r="D1511" s="28"/>
      <c r="E1511" s="23" t="str">
        <f>IF($D1511="","",IFERROR(VLOOKUP($D1511,'ACAS Consumables Tracker'!$A:$H,8,FALSE()),""))</f>
        <v/>
      </c>
      <c r="F1511" s="24"/>
      <c r="G1511" s="25" t="str">
        <f>IF($D1511="","",IFERROR(VLOOKUP($D1511,'ACAS Consumables Tracker'!$A:$D,4,FALSE()),""))</f>
        <v/>
      </c>
      <c r="H1511" s="22"/>
    </row>
    <row r="1512" spans="1:8">
      <c r="A1512" s="21"/>
      <c r="B1512" s="28"/>
      <c r="C1512" s="22"/>
      <c r="D1512" s="28"/>
      <c r="E1512" s="23" t="str">
        <f>IF($D1512="","",IFERROR(VLOOKUP($D1512,'ACAS Consumables Tracker'!$A:$H,8,FALSE()),""))</f>
        <v/>
      </c>
      <c r="F1512" s="24"/>
      <c r="G1512" s="25" t="str">
        <f>IF($D1512="","",IFERROR(VLOOKUP($D1512,'ACAS Consumables Tracker'!$A:$D,4,FALSE()),""))</f>
        <v/>
      </c>
      <c r="H1512" s="22"/>
    </row>
    <row r="1513" spans="1:8">
      <c r="A1513" s="21"/>
      <c r="B1513" s="28"/>
      <c r="C1513" s="22"/>
      <c r="D1513" s="28"/>
      <c r="E1513" s="23" t="str">
        <f>IF($D1513="","",IFERROR(VLOOKUP($D1513,'ACAS Consumables Tracker'!$A:$H,8,FALSE()),""))</f>
        <v/>
      </c>
      <c r="F1513" s="24"/>
      <c r="G1513" s="25" t="str">
        <f>IF($D1513="","",IFERROR(VLOOKUP($D1513,'ACAS Consumables Tracker'!$A:$D,4,FALSE()),""))</f>
        <v/>
      </c>
      <c r="H1513" s="22"/>
    </row>
    <row r="1514" spans="1:8">
      <c r="A1514" s="21"/>
      <c r="B1514" s="28"/>
      <c r="C1514" s="22"/>
      <c r="D1514" s="28"/>
      <c r="E1514" s="23" t="str">
        <f>IF($D1514="","",IFERROR(VLOOKUP($D1514,'ACAS Consumables Tracker'!$A:$H,8,FALSE()),""))</f>
        <v/>
      </c>
      <c r="F1514" s="24"/>
      <c r="G1514" s="25" t="str">
        <f>IF($D1514="","",IFERROR(VLOOKUP($D1514,'ACAS Consumables Tracker'!$A:$D,4,FALSE()),""))</f>
        <v/>
      </c>
      <c r="H1514" s="22"/>
    </row>
    <row r="1515" spans="1:8">
      <c r="A1515" s="21"/>
      <c r="B1515" s="28"/>
      <c r="C1515" s="22"/>
      <c r="D1515" s="28"/>
      <c r="E1515" s="23" t="str">
        <f>IF($D1515="","",IFERROR(VLOOKUP($D1515,'ACAS Consumables Tracker'!$A:$H,8,FALSE()),""))</f>
        <v/>
      </c>
      <c r="F1515" s="24"/>
      <c r="G1515" s="25" t="str">
        <f>IF($D1515="","",IFERROR(VLOOKUP($D1515,'ACAS Consumables Tracker'!$A:$D,4,FALSE()),""))</f>
        <v/>
      </c>
      <c r="H1515" s="22"/>
    </row>
    <row r="1516" spans="1:8">
      <c r="A1516" s="21"/>
      <c r="B1516" s="28"/>
      <c r="C1516" s="22"/>
      <c r="D1516" s="28"/>
      <c r="E1516" s="23" t="str">
        <f>IF($D1516="","",IFERROR(VLOOKUP($D1516,'ACAS Consumables Tracker'!$A:$H,8,FALSE()),""))</f>
        <v/>
      </c>
      <c r="F1516" s="24"/>
      <c r="G1516" s="25" t="str">
        <f>IF($D1516="","",IFERROR(VLOOKUP($D1516,'ACAS Consumables Tracker'!$A:$D,4,FALSE()),""))</f>
        <v/>
      </c>
      <c r="H1516" s="22"/>
    </row>
    <row r="1517" spans="1:8">
      <c r="A1517" s="21"/>
      <c r="B1517" s="28"/>
      <c r="C1517" s="22"/>
      <c r="D1517" s="28"/>
      <c r="E1517" s="23" t="str">
        <f>IF($D1517="","",IFERROR(VLOOKUP($D1517,'ACAS Consumables Tracker'!$A:$H,8,FALSE()),""))</f>
        <v/>
      </c>
      <c r="F1517" s="24"/>
      <c r="G1517" s="25" t="str">
        <f>IF($D1517="","",IFERROR(VLOOKUP($D1517,'ACAS Consumables Tracker'!$A:$D,4,FALSE()),""))</f>
        <v/>
      </c>
      <c r="H1517" s="22"/>
    </row>
    <row r="1518" spans="1:8">
      <c r="A1518" s="21"/>
      <c r="B1518" s="28"/>
      <c r="C1518" s="22"/>
      <c r="D1518" s="28"/>
      <c r="E1518" s="23" t="str">
        <f>IF($D1518="","",IFERROR(VLOOKUP($D1518,'ACAS Consumables Tracker'!$A:$H,8,FALSE()),""))</f>
        <v/>
      </c>
      <c r="F1518" s="24"/>
      <c r="G1518" s="25" t="str">
        <f>IF($D1518="","",IFERROR(VLOOKUP($D1518,'ACAS Consumables Tracker'!$A:$D,4,FALSE()),""))</f>
        <v/>
      </c>
      <c r="H1518" s="22"/>
    </row>
    <row r="1519" spans="1:8">
      <c r="A1519" s="21"/>
      <c r="B1519" s="28"/>
      <c r="C1519" s="22"/>
      <c r="D1519" s="28"/>
      <c r="E1519" s="23" t="str">
        <f>IF($D1519="","",IFERROR(VLOOKUP($D1519,'ACAS Consumables Tracker'!$A:$H,8,FALSE()),""))</f>
        <v/>
      </c>
      <c r="F1519" s="24"/>
      <c r="G1519" s="25" t="str">
        <f>IF($D1519="","",IFERROR(VLOOKUP($D1519,'ACAS Consumables Tracker'!$A:$D,4,FALSE()),""))</f>
        <v/>
      </c>
      <c r="H1519" s="22"/>
    </row>
    <row r="1520" spans="1:8">
      <c r="A1520" s="21"/>
      <c r="B1520" s="28"/>
      <c r="C1520" s="22"/>
      <c r="D1520" s="28"/>
      <c r="E1520" s="23" t="str">
        <f>IF($D1520="","",IFERROR(VLOOKUP($D1520,'ACAS Consumables Tracker'!$A:$H,8,FALSE()),""))</f>
        <v/>
      </c>
      <c r="F1520" s="24"/>
      <c r="G1520" s="25" t="str">
        <f>IF($D1520="","",IFERROR(VLOOKUP($D1520,'ACAS Consumables Tracker'!$A:$D,4,FALSE()),""))</f>
        <v/>
      </c>
      <c r="H1520" s="22"/>
    </row>
    <row r="1521" spans="1:8">
      <c r="A1521" s="21"/>
      <c r="B1521" s="28"/>
      <c r="C1521" s="22"/>
      <c r="D1521" s="28"/>
      <c r="E1521" s="23" t="str">
        <f>IF($D1521="","",IFERROR(VLOOKUP($D1521,'ACAS Consumables Tracker'!$A:$H,8,FALSE()),""))</f>
        <v/>
      </c>
      <c r="F1521" s="24"/>
      <c r="G1521" s="25" t="str">
        <f>IF($D1521="","",IFERROR(VLOOKUP($D1521,'ACAS Consumables Tracker'!$A:$D,4,FALSE()),""))</f>
        <v/>
      </c>
      <c r="H1521" s="22"/>
    </row>
    <row r="1522" spans="1:8">
      <c r="A1522" s="21"/>
      <c r="B1522" s="28"/>
      <c r="C1522" s="22"/>
      <c r="D1522" s="28"/>
      <c r="E1522" s="23" t="str">
        <f>IF($D1522="","",IFERROR(VLOOKUP($D1522,'ACAS Consumables Tracker'!$A:$H,8,FALSE()),""))</f>
        <v/>
      </c>
      <c r="F1522" s="24"/>
      <c r="G1522" s="25" t="str">
        <f>IF($D1522="","",IFERROR(VLOOKUP($D1522,'ACAS Consumables Tracker'!$A:$D,4,FALSE()),""))</f>
        <v/>
      </c>
      <c r="H1522" s="22"/>
    </row>
    <row r="1523" spans="1:8">
      <c r="A1523" s="21"/>
      <c r="B1523" s="28"/>
      <c r="C1523" s="22"/>
      <c r="D1523" s="28"/>
      <c r="E1523" s="23" t="str">
        <f>IF($D1523="","",IFERROR(VLOOKUP($D1523,'ACAS Consumables Tracker'!$A:$H,8,FALSE()),""))</f>
        <v/>
      </c>
      <c r="F1523" s="24"/>
      <c r="G1523" s="25" t="str">
        <f>IF($D1523="","",IFERROR(VLOOKUP($D1523,'ACAS Consumables Tracker'!$A:$D,4,FALSE()),""))</f>
        <v/>
      </c>
      <c r="H1523" s="22"/>
    </row>
    <row r="1524" spans="1:8">
      <c r="A1524" s="21"/>
      <c r="B1524" s="28"/>
      <c r="C1524" s="22"/>
      <c r="D1524" s="28"/>
      <c r="E1524" s="23" t="str">
        <f>IF($D1524="","",IFERROR(VLOOKUP($D1524,'ACAS Consumables Tracker'!$A:$H,8,FALSE()),""))</f>
        <v/>
      </c>
      <c r="F1524" s="24"/>
      <c r="G1524" s="25" t="str">
        <f>IF($D1524="","",IFERROR(VLOOKUP($D1524,'ACAS Consumables Tracker'!$A:$D,4,FALSE()),""))</f>
        <v/>
      </c>
      <c r="H1524" s="22"/>
    </row>
    <row r="1525" spans="1:8">
      <c r="A1525" s="21"/>
      <c r="B1525" s="28"/>
      <c r="C1525" s="22"/>
      <c r="D1525" s="28"/>
      <c r="E1525" s="23" t="str">
        <f>IF($D1525="","",IFERROR(VLOOKUP($D1525,'ACAS Consumables Tracker'!$A:$H,8,FALSE()),""))</f>
        <v/>
      </c>
      <c r="F1525" s="24"/>
      <c r="G1525" s="25" t="str">
        <f>IF($D1525="","",IFERROR(VLOOKUP($D1525,'ACAS Consumables Tracker'!$A:$D,4,FALSE()),""))</f>
        <v/>
      </c>
      <c r="H1525" s="22"/>
    </row>
    <row r="1526" spans="1:8">
      <c r="A1526" s="21"/>
      <c r="B1526" s="28"/>
      <c r="C1526" s="22"/>
      <c r="D1526" s="28"/>
      <c r="E1526" s="23" t="str">
        <f>IF($D1526="","",IFERROR(VLOOKUP($D1526,'ACAS Consumables Tracker'!$A:$H,8,FALSE()),""))</f>
        <v/>
      </c>
      <c r="F1526" s="24"/>
      <c r="G1526" s="25" t="str">
        <f>IF($D1526="","",IFERROR(VLOOKUP($D1526,'ACAS Consumables Tracker'!$A:$D,4,FALSE()),""))</f>
        <v/>
      </c>
      <c r="H1526" s="22"/>
    </row>
    <row r="1527" spans="1:8">
      <c r="A1527" s="21"/>
      <c r="B1527" s="28"/>
      <c r="C1527" s="22"/>
      <c r="D1527" s="28"/>
      <c r="E1527" s="23" t="str">
        <f>IF($D1527="","",IFERROR(VLOOKUP($D1527,'ACAS Consumables Tracker'!$A:$H,8,FALSE()),""))</f>
        <v/>
      </c>
      <c r="F1527" s="24"/>
      <c r="G1527" s="25" t="str">
        <f>IF($D1527="","",IFERROR(VLOOKUP($D1527,'ACAS Consumables Tracker'!$A:$D,4,FALSE()),""))</f>
        <v/>
      </c>
      <c r="H1527" s="22"/>
    </row>
    <row r="1528" spans="1:8">
      <c r="A1528" s="21"/>
      <c r="B1528" s="28"/>
      <c r="C1528" s="22"/>
      <c r="D1528" s="28"/>
      <c r="E1528" s="23" t="str">
        <f>IF($D1528="","",IFERROR(VLOOKUP($D1528,'ACAS Consumables Tracker'!$A:$H,8,FALSE()),""))</f>
        <v/>
      </c>
      <c r="F1528" s="24"/>
      <c r="G1528" s="25" t="str">
        <f>IF($D1528="","",IFERROR(VLOOKUP($D1528,'ACAS Consumables Tracker'!$A:$D,4,FALSE()),""))</f>
        <v/>
      </c>
      <c r="H1528" s="22"/>
    </row>
    <row r="1529" spans="1:8">
      <c r="A1529" s="21"/>
      <c r="B1529" s="28"/>
      <c r="C1529" s="22"/>
      <c r="D1529" s="28"/>
      <c r="E1529" s="23" t="str">
        <f>IF($D1529="","",IFERROR(VLOOKUP($D1529,'ACAS Consumables Tracker'!$A:$H,8,FALSE()),""))</f>
        <v/>
      </c>
      <c r="F1529" s="24"/>
      <c r="G1529" s="25" t="str">
        <f>IF($D1529="","",IFERROR(VLOOKUP($D1529,'ACAS Consumables Tracker'!$A:$D,4,FALSE()),""))</f>
        <v/>
      </c>
      <c r="H1529" s="22"/>
    </row>
    <row r="1530" spans="1:8">
      <c r="A1530" s="21"/>
      <c r="B1530" s="28"/>
      <c r="C1530" s="22"/>
      <c r="D1530" s="28"/>
      <c r="E1530" s="23" t="str">
        <f>IF($D1530="","",IFERROR(VLOOKUP($D1530,'ACAS Consumables Tracker'!$A:$H,8,FALSE()),""))</f>
        <v/>
      </c>
      <c r="F1530" s="24"/>
      <c r="G1530" s="25" t="str">
        <f>IF($D1530="","",IFERROR(VLOOKUP($D1530,'ACAS Consumables Tracker'!$A:$D,4,FALSE()),""))</f>
        <v/>
      </c>
      <c r="H1530" s="22"/>
    </row>
    <row r="1531" spans="1:8">
      <c r="A1531" s="21"/>
      <c r="B1531" s="28"/>
      <c r="C1531" s="22"/>
      <c r="D1531" s="28"/>
      <c r="E1531" s="23" t="str">
        <f>IF($D1531="","",IFERROR(VLOOKUP($D1531,'ACAS Consumables Tracker'!$A:$H,8,FALSE()),""))</f>
        <v/>
      </c>
      <c r="F1531" s="24"/>
      <c r="G1531" s="25" t="str">
        <f>IF($D1531="","",IFERROR(VLOOKUP($D1531,'ACAS Consumables Tracker'!$A:$D,4,FALSE()),""))</f>
        <v/>
      </c>
      <c r="H1531" s="22"/>
    </row>
    <row r="1532" spans="1:8">
      <c r="A1532" s="21"/>
      <c r="B1532" s="28"/>
      <c r="C1532" s="22"/>
      <c r="D1532" s="28"/>
      <c r="E1532" s="23" t="str">
        <f>IF($D1532="","",IFERROR(VLOOKUP($D1532,'ACAS Consumables Tracker'!$A:$H,8,FALSE()),""))</f>
        <v/>
      </c>
      <c r="F1532" s="24"/>
      <c r="G1532" s="25" t="str">
        <f>IF($D1532="","",IFERROR(VLOOKUP($D1532,'ACAS Consumables Tracker'!$A:$D,4,FALSE()),""))</f>
        <v/>
      </c>
      <c r="H1532" s="22"/>
    </row>
    <row r="1533" spans="1:8">
      <c r="A1533" s="21"/>
      <c r="B1533" s="28"/>
      <c r="C1533" s="22"/>
      <c r="D1533" s="28"/>
      <c r="E1533" s="23" t="str">
        <f>IF($D1533="","",IFERROR(VLOOKUP($D1533,'ACAS Consumables Tracker'!$A:$H,8,FALSE()),""))</f>
        <v/>
      </c>
      <c r="F1533" s="24"/>
      <c r="G1533" s="25" t="str">
        <f>IF($D1533="","",IFERROR(VLOOKUP($D1533,'ACAS Consumables Tracker'!$A:$D,4,FALSE()),""))</f>
        <v/>
      </c>
      <c r="H1533" s="22"/>
    </row>
    <row r="1534" spans="1:8">
      <c r="A1534" s="21"/>
      <c r="B1534" s="28"/>
      <c r="C1534" s="22"/>
      <c r="D1534" s="28"/>
      <c r="E1534" s="23" t="str">
        <f>IF($D1534="","",IFERROR(VLOOKUP($D1534,'ACAS Consumables Tracker'!$A:$H,8,FALSE()),""))</f>
        <v/>
      </c>
      <c r="F1534" s="24"/>
      <c r="G1534" s="25" t="str">
        <f>IF($D1534="","",IFERROR(VLOOKUP($D1534,'ACAS Consumables Tracker'!$A:$D,4,FALSE()),""))</f>
        <v/>
      </c>
      <c r="H1534" s="22"/>
    </row>
    <row r="1535" spans="1:8">
      <c r="A1535" s="21"/>
      <c r="B1535" s="28"/>
      <c r="C1535" s="22"/>
      <c r="D1535" s="28"/>
      <c r="E1535" s="23" t="str">
        <f>IF($D1535="","",IFERROR(VLOOKUP($D1535,'ACAS Consumables Tracker'!$A:$H,8,FALSE()),""))</f>
        <v/>
      </c>
      <c r="F1535" s="24"/>
      <c r="G1535" s="25" t="str">
        <f>IF($D1535="","",IFERROR(VLOOKUP($D1535,'ACAS Consumables Tracker'!$A:$D,4,FALSE()),""))</f>
        <v/>
      </c>
      <c r="H1535" s="22"/>
    </row>
    <row r="1536" spans="1:8">
      <c r="A1536" s="21"/>
      <c r="B1536" s="28"/>
      <c r="C1536" s="22"/>
      <c r="D1536" s="28"/>
      <c r="E1536" s="23" t="str">
        <f>IF($D1536="","",IFERROR(VLOOKUP($D1536,'ACAS Consumables Tracker'!$A:$H,8,FALSE()),""))</f>
        <v/>
      </c>
      <c r="F1536" s="24"/>
      <c r="G1536" s="25" t="str">
        <f>IF($D1536="","",IFERROR(VLOOKUP($D1536,'ACAS Consumables Tracker'!$A:$D,4,FALSE()),""))</f>
        <v/>
      </c>
      <c r="H1536" s="22"/>
    </row>
    <row r="1537" spans="1:8">
      <c r="A1537" s="21"/>
      <c r="B1537" s="28"/>
      <c r="C1537" s="22"/>
      <c r="D1537" s="28"/>
      <c r="E1537" s="23" t="str">
        <f>IF($D1537="","",IFERROR(VLOOKUP($D1537,'ACAS Consumables Tracker'!$A:$H,8,FALSE()),""))</f>
        <v/>
      </c>
      <c r="F1537" s="24"/>
      <c r="G1537" s="25" t="str">
        <f>IF($D1537="","",IFERROR(VLOOKUP($D1537,'ACAS Consumables Tracker'!$A:$D,4,FALSE()),""))</f>
        <v/>
      </c>
      <c r="H1537" s="22"/>
    </row>
    <row r="1538" spans="1:8">
      <c r="A1538" s="21"/>
      <c r="B1538" s="28"/>
      <c r="C1538" s="22"/>
      <c r="D1538" s="28"/>
      <c r="E1538" s="23" t="str">
        <f>IF($D1538="","",IFERROR(VLOOKUP($D1538,'ACAS Consumables Tracker'!$A:$H,8,FALSE()),""))</f>
        <v/>
      </c>
      <c r="F1538" s="24"/>
      <c r="G1538" s="25" t="str">
        <f>IF($D1538="","",IFERROR(VLOOKUP($D1538,'ACAS Consumables Tracker'!$A:$D,4,FALSE()),""))</f>
        <v/>
      </c>
      <c r="H1538" s="22"/>
    </row>
    <row r="1539" spans="1:8">
      <c r="A1539" s="21"/>
      <c r="B1539" s="28"/>
      <c r="C1539" s="22"/>
      <c r="D1539" s="28"/>
      <c r="E1539" s="23" t="str">
        <f>IF($D1539="","",IFERROR(VLOOKUP($D1539,'ACAS Consumables Tracker'!$A:$H,8,FALSE()),""))</f>
        <v/>
      </c>
      <c r="F1539" s="24"/>
      <c r="G1539" s="25" t="str">
        <f>IF($D1539="","",IFERROR(VLOOKUP($D1539,'ACAS Consumables Tracker'!$A:$D,4,FALSE()),""))</f>
        <v/>
      </c>
      <c r="H1539" s="22"/>
    </row>
    <row r="1540" spans="1:8">
      <c r="A1540" s="21"/>
      <c r="B1540" s="28"/>
      <c r="C1540" s="22"/>
      <c r="D1540" s="28"/>
      <c r="E1540" s="23" t="str">
        <f>IF($D1540="","",IFERROR(VLOOKUP($D1540,'ACAS Consumables Tracker'!$A:$H,8,FALSE()),""))</f>
        <v/>
      </c>
      <c r="F1540" s="24"/>
      <c r="G1540" s="25" t="str">
        <f>IF($D1540="","",IFERROR(VLOOKUP($D1540,'ACAS Consumables Tracker'!$A:$D,4,FALSE()),""))</f>
        <v/>
      </c>
      <c r="H1540" s="22"/>
    </row>
    <row r="1541" spans="1:8">
      <c r="A1541" s="21"/>
      <c r="B1541" s="28"/>
      <c r="C1541" s="22"/>
      <c r="D1541" s="28"/>
      <c r="E1541" s="23" t="str">
        <f>IF($D1541="","",IFERROR(VLOOKUP($D1541,'ACAS Consumables Tracker'!$A:$H,8,FALSE()),""))</f>
        <v/>
      </c>
      <c r="F1541" s="24"/>
      <c r="G1541" s="25" t="str">
        <f>IF($D1541="","",IFERROR(VLOOKUP($D1541,'ACAS Consumables Tracker'!$A:$D,4,FALSE()),""))</f>
        <v/>
      </c>
      <c r="H1541" s="22"/>
    </row>
    <row r="1542" spans="1:8">
      <c r="A1542" s="21"/>
      <c r="B1542" s="28"/>
      <c r="C1542" s="22"/>
      <c r="D1542" s="28"/>
      <c r="E1542" s="23" t="str">
        <f>IF($D1542="","",IFERROR(VLOOKUP($D1542,'ACAS Consumables Tracker'!$A:$H,8,FALSE()),""))</f>
        <v/>
      </c>
      <c r="F1542" s="24"/>
      <c r="G1542" s="25" t="str">
        <f>IF($D1542="","",IFERROR(VLOOKUP($D1542,'ACAS Consumables Tracker'!$A:$D,4,FALSE()),""))</f>
        <v/>
      </c>
      <c r="H1542" s="22"/>
    </row>
    <row r="1543" spans="1:8">
      <c r="A1543" s="21"/>
      <c r="B1543" s="28"/>
      <c r="C1543" s="22"/>
      <c r="D1543" s="28"/>
      <c r="E1543" s="23" t="str">
        <f>IF($D1543="","",IFERROR(VLOOKUP($D1543,'ACAS Consumables Tracker'!$A:$H,8,FALSE()),""))</f>
        <v/>
      </c>
      <c r="F1543" s="24"/>
      <c r="G1543" s="25" t="str">
        <f>IF($D1543="","",IFERROR(VLOOKUP($D1543,'ACAS Consumables Tracker'!$A:$D,4,FALSE()),""))</f>
        <v/>
      </c>
      <c r="H1543" s="22"/>
    </row>
    <row r="1544" spans="1:8">
      <c r="A1544" s="21"/>
      <c r="B1544" s="28"/>
      <c r="C1544" s="22"/>
      <c r="D1544" s="28"/>
      <c r="E1544" s="23" t="str">
        <f>IF($D1544="","",IFERROR(VLOOKUP($D1544,'ACAS Consumables Tracker'!$A:$H,8,FALSE()),""))</f>
        <v/>
      </c>
      <c r="F1544" s="24"/>
      <c r="G1544" s="25" t="str">
        <f>IF($D1544="","",IFERROR(VLOOKUP($D1544,'ACAS Consumables Tracker'!$A:$D,4,FALSE()),""))</f>
        <v/>
      </c>
      <c r="H1544" s="22"/>
    </row>
    <row r="1545" spans="1:8">
      <c r="A1545" s="21"/>
      <c r="B1545" s="28"/>
      <c r="C1545" s="22"/>
      <c r="D1545" s="28"/>
      <c r="E1545" s="23" t="str">
        <f>IF($D1545="","",IFERROR(VLOOKUP($D1545,'ACAS Consumables Tracker'!$A:$H,8,FALSE()),""))</f>
        <v/>
      </c>
      <c r="F1545" s="24"/>
      <c r="G1545" s="25" t="str">
        <f>IF($D1545="","",IFERROR(VLOOKUP($D1545,'ACAS Consumables Tracker'!$A:$D,4,FALSE()),""))</f>
        <v/>
      </c>
      <c r="H1545" s="22"/>
    </row>
    <row r="1546" spans="1:8">
      <c r="A1546" s="21"/>
      <c r="B1546" s="28"/>
      <c r="C1546" s="22"/>
      <c r="D1546" s="28"/>
      <c r="E1546" s="23" t="str">
        <f>IF($D1546="","",IFERROR(VLOOKUP($D1546,'ACAS Consumables Tracker'!$A:$H,8,FALSE()),""))</f>
        <v/>
      </c>
      <c r="F1546" s="24"/>
      <c r="G1546" s="25" t="str">
        <f>IF($D1546="","",IFERROR(VLOOKUP($D1546,'ACAS Consumables Tracker'!$A:$D,4,FALSE()),""))</f>
        <v/>
      </c>
      <c r="H1546" s="22"/>
    </row>
    <row r="1547" spans="1:8">
      <c r="A1547" s="21"/>
      <c r="B1547" s="28"/>
      <c r="C1547" s="22"/>
      <c r="D1547" s="28"/>
      <c r="E1547" s="23" t="str">
        <f>IF($D1547="","",IFERROR(VLOOKUP($D1547,'ACAS Consumables Tracker'!$A:$H,8,FALSE()),""))</f>
        <v/>
      </c>
      <c r="F1547" s="24"/>
      <c r="G1547" s="25" t="str">
        <f>IF($D1547="","",IFERROR(VLOOKUP($D1547,'ACAS Consumables Tracker'!$A:$D,4,FALSE()),""))</f>
        <v/>
      </c>
      <c r="H1547" s="22"/>
    </row>
    <row r="1548" spans="1:8">
      <c r="A1548" s="21"/>
      <c r="B1548" s="28"/>
      <c r="C1548" s="22"/>
      <c r="D1548" s="28"/>
      <c r="E1548" s="23" t="str">
        <f>IF($D1548="","",IFERROR(VLOOKUP($D1548,'ACAS Consumables Tracker'!$A:$H,8,FALSE()),""))</f>
        <v/>
      </c>
      <c r="F1548" s="24"/>
      <c r="G1548" s="25" t="str">
        <f>IF($D1548="","",IFERROR(VLOOKUP($D1548,'ACAS Consumables Tracker'!$A:$D,4,FALSE()),""))</f>
        <v/>
      </c>
      <c r="H1548" s="22"/>
    </row>
    <row r="1549" spans="1:8">
      <c r="A1549" s="21"/>
      <c r="B1549" s="28"/>
      <c r="C1549" s="22"/>
      <c r="D1549" s="28"/>
      <c r="E1549" s="23" t="str">
        <f>IF($D1549="","",IFERROR(VLOOKUP($D1549,'ACAS Consumables Tracker'!$A:$H,8,FALSE()),""))</f>
        <v/>
      </c>
      <c r="F1549" s="24"/>
      <c r="G1549" s="25" t="str">
        <f>IF($D1549="","",IFERROR(VLOOKUP($D1549,'ACAS Consumables Tracker'!$A:$D,4,FALSE()),""))</f>
        <v/>
      </c>
      <c r="H1549" s="22"/>
    </row>
    <row r="1550" spans="1:8">
      <c r="A1550" s="21"/>
      <c r="B1550" s="28"/>
      <c r="C1550" s="22"/>
      <c r="D1550" s="28"/>
      <c r="E1550" s="23" t="str">
        <f>IF($D1550="","",IFERROR(VLOOKUP($D1550,'ACAS Consumables Tracker'!$A:$H,8,FALSE()),""))</f>
        <v/>
      </c>
      <c r="F1550" s="24"/>
      <c r="G1550" s="25" t="str">
        <f>IF($D1550="","",IFERROR(VLOOKUP($D1550,'ACAS Consumables Tracker'!$A:$D,4,FALSE()),""))</f>
        <v/>
      </c>
      <c r="H1550" s="22"/>
    </row>
    <row r="1551" spans="1:8">
      <c r="A1551" s="21"/>
      <c r="B1551" s="28"/>
      <c r="C1551" s="22"/>
      <c r="D1551" s="28"/>
      <c r="E1551" s="23" t="str">
        <f>IF($D1551="","",IFERROR(VLOOKUP($D1551,'ACAS Consumables Tracker'!$A:$H,8,FALSE()),""))</f>
        <v/>
      </c>
      <c r="F1551" s="24"/>
      <c r="G1551" s="25" t="str">
        <f>IF($D1551="","",IFERROR(VLOOKUP($D1551,'ACAS Consumables Tracker'!$A:$D,4,FALSE()),""))</f>
        <v/>
      </c>
      <c r="H1551" s="22"/>
    </row>
    <row r="1552" spans="1:8">
      <c r="A1552" s="21"/>
      <c r="B1552" s="28"/>
      <c r="C1552" s="22"/>
      <c r="D1552" s="28"/>
      <c r="E1552" s="23" t="str">
        <f>IF($D1552="","",IFERROR(VLOOKUP($D1552,'ACAS Consumables Tracker'!$A:$H,8,FALSE()),""))</f>
        <v/>
      </c>
      <c r="F1552" s="24"/>
      <c r="G1552" s="25" t="str">
        <f>IF($D1552="","",IFERROR(VLOOKUP($D1552,'ACAS Consumables Tracker'!$A:$D,4,FALSE()),""))</f>
        <v/>
      </c>
      <c r="H1552" s="22"/>
    </row>
    <row r="1553" spans="1:8">
      <c r="A1553" s="21"/>
      <c r="B1553" s="28"/>
      <c r="C1553" s="22"/>
      <c r="D1553" s="28"/>
      <c r="E1553" s="23" t="str">
        <f>IF($D1553="","",IFERROR(VLOOKUP($D1553,'ACAS Consumables Tracker'!$A:$H,8,FALSE()),""))</f>
        <v/>
      </c>
      <c r="F1553" s="24"/>
      <c r="G1553" s="25" t="str">
        <f>IF($D1553="","",IFERROR(VLOOKUP($D1553,'ACAS Consumables Tracker'!$A:$D,4,FALSE()),""))</f>
        <v/>
      </c>
      <c r="H1553" s="22"/>
    </row>
    <row r="1554" spans="1:8">
      <c r="A1554" s="21"/>
      <c r="B1554" s="28"/>
      <c r="C1554" s="22"/>
      <c r="D1554" s="28"/>
      <c r="E1554" s="23" t="str">
        <f>IF($D1554="","",IFERROR(VLOOKUP($D1554,'ACAS Consumables Tracker'!$A:$H,8,FALSE()),""))</f>
        <v/>
      </c>
      <c r="F1554" s="24"/>
      <c r="G1554" s="25" t="str">
        <f>IF($D1554="","",IFERROR(VLOOKUP($D1554,'ACAS Consumables Tracker'!$A:$D,4,FALSE()),""))</f>
        <v/>
      </c>
      <c r="H1554" s="22"/>
    </row>
    <row r="1555" spans="1:8">
      <c r="A1555" s="21"/>
      <c r="B1555" s="28"/>
      <c r="C1555" s="22"/>
      <c r="D1555" s="28"/>
      <c r="E1555" s="23" t="str">
        <f>IF($D1555="","",IFERROR(VLOOKUP($D1555,'ACAS Consumables Tracker'!$A:$H,8,FALSE()),""))</f>
        <v/>
      </c>
      <c r="F1555" s="24"/>
      <c r="G1555" s="25" t="str">
        <f>IF($D1555="","",IFERROR(VLOOKUP($D1555,'ACAS Consumables Tracker'!$A:$D,4,FALSE()),""))</f>
        <v/>
      </c>
      <c r="H1555" s="22"/>
    </row>
    <row r="1556" spans="1:8">
      <c r="A1556" s="21"/>
      <c r="B1556" s="28"/>
      <c r="C1556" s="22"/>
      <c r="D1556" s="28"/>
      <c r="E1556" s="23" t="str">
        <f>IF($D1556="","",IFERROR(VLOOKUP($D1556,'ACAS Consumables Tracker'!$A:$H,8,FALSE()),""))</f>
        <v/>
      </c>
      <c r="F1556" s="24"/>
      <c r="G1556" s="25" t="str">
        <f>IF($D1556="","",IFERROR(VLOOKUP($D1556,'ACAS Consumables Tracker'!$A:$D,4,FALSE()),""))</f>
        <v/>
      </c>
      <c r="H1556" s="22"/>
    </row>
    <row r="1557" spans="1:8">
      <c r="A1557" s="21"/>
      <c r="B1557" s="28"/>
      <c r="C1557" s="22"/>
      <c r="D1557" s="28"/>
      <c r="E1557" s="23" t="str">
        <f>IF($D1557="","",IFERROR(VLOOKUP($D1557,'ACAS Consumables Tracker'!$A:$H,8,FALSE()),""))</f>
        <v/>
      </c>
      <c r="F1557" s="24"/>
      <c r="G1557" s="25" t="str">
        <f>IF($D1557="","",IFERROR(VLOOKUP($D1557,'ACAS Consumables Tracker'!$A:$D,4,FALSE()),""))</f>
        <v/>
      </c>
      <c r="H1557" s="22"/>
    </row>
    <row r="1558" spans="1:8">
      <c r="A1558" s="21"/>
      <c r="B1558" s="28"/>
      <c r="C1558" s="22"/>
      <c r="D1558" s="28"/>
      <c r="E1558" s="23" t="str">
        <f>IF($D1558="","",IFERROR(VLOOKUP($D1558,'ACAS Consumables Tracker'!$A:$H,8,FALSE()),""))</f>
        <v/>
      </c>
      <c r="F1558" s="24"/>
      <c r="G1558" s="25" t="str">
        <f>IF($D1558="","",IFERROR(VLOOKUP($D1558,'ACAS Consumables Tracker'!$A:$D,4,FALSE()),""))</f>
        <v/>
      </c>
      <c r="H1558" s="22"/>
    </row>
    <row r="1559" spans="1:8">
      <c r="A1559" s="21"/>
      <c r="B1559" s="28"/>
      <c r="C1559" s="22"/>
      <c r="D1559" s="28"/>
      <c r="E1559" s="23" t="str">
        <f>IF($D1559="","",IFERROR(VLOOKUP($D1559,'ACAS Consumables Tracker'!$A:$H,8,FALSE()),""))</f>
        <v/>
      </c>
      <c r="F1559" s="24"/>
      <c r="G1559" s="25" t="str">
        <f>IF($D1559="","",IFERROR(VLOOKUP($D1559,'ACAS Consumables Tracker'!$A:$D,4,FALSE()),""))</f>
        <v/>
      </c>
      <c r="H1559" s="22"/>
    </row>
    <row r="1560" spans="1:8">
      <c r="A1560" s="21"/>
      <c r="B1560" s="28"/>
      <c r="C1560" s="22"/>
      <c r="D1560" s="28"/>
      <c r="E1560" s="23" t="str">
        <f>IF($D1560="","",IFERROR(VLOOKUP($D1560,'ACAS Consumables Tracker'!$A:$H,8,FALSE()),""))</f>
        <v/>
      </c>
      <c r="F1560" s="24"/>
      <c r="G1560" s="25" t="str">
        <f>IF($D1560="","",IFERROR(VLOOKUP($D1560,'ACAS Consumables Tracker'!$A:$D,4,FALSE()),""))</f>
        <v/>
      </c>
      <c r="H1560" s="22"/>
    </row>
    <row r="1561" spans="1:8">
      <c r="A1561" s="21"/>
      <c r="B1561" s="28"/>
      <c r="C1561" s="22"/>
      <c r="D1561" s="28"/>
      <c r="E1561" s="23" t="str">
        <f>IF($D1561="","",IFERROR(VLOOKUP($D1561,'ACAS Consumables Tracker'!$A:$H,8,FALSE()),""))</f>
        <v/>
      </c>
      <c r="F1561" s="24"/>
      <c r="G1561" s="25" t="str">
        <f>IF($D1561="","",IFERROR(VLOOKUP($D1561,'ACAS Consumables Tracker'!$A:$D,4,FALSE()),""))</f>
        <v/>
      </c>
      <c r="H1561" s="22"/>
    </row>
    <row r="1562" spans="1:8">
      <c r="A1562" s="21"/>
      <c r="B1562" s="28"/>
      <c r="C1562" s="22"/>
      <c r="D1562" s="28"/>
      <c r="E1562" s="23" t="str">
        <f>IF($D1562="","",IFERROR(VLOOKUP($D1562,'ACAS Consumables Tracker'!$A:$H,8,FALSE()),""))</f>
        <v/>
      </c>
      <c r="F1562" s="24"/>
      <c r="G1562" s="25" t="str">
        <f>IF($D1562="","",IFERROR(VLOOKUP($D1562,'ACAS Consumables Tracker'!$A:$D,4,FALSE()),""))</f>
        <v/>
      </c>
      <c r="H1562" s="22"/>
    </row>
    <row r="1563" spans="1:8">
      <c r="A1563" s="21"/>
      <c r="B1563" s="28"/>
      <c r="C1563" s="22"/>
      <c r="D1563" s="28"/>
      <c r="E1563" s="23" t="str">
        <f>IF($D1563="","",IFERROR(VLOOKUP($D1563,'ACAS Consumables Tracker'!$A:$H,8,FALSE()),""))</f>
        <v/>
      </c>
      <c r="F1563" s="24"/>
      <c r="G1563" s="25" t="str">
        <f>IF($D1563="","",IFERROR(VLOOKUP($D1563,'ACAS Consumables Tracker'!$A:$D,4,FALSE()),""))</f>
        <v/>
      </c>
      <c r="H1563" s="22"/>
    </row>
    <row r="1564" spans="1:8">
      <c r="A1564" s="21"/>
      <c r="B1564" s="28"/>
      <c r="C1564" s="22"/>
      <c r="D1564" s="28"/>
      <c r="E1564" s="23" t="str">
        <f>IF($D1564="","",IFERROR(VLOOKUP($D1564,'ACAS Consumables Tracker'!$A:$H,8,FALSE()),""))</f>
        <v/>
      </c>
      <c r="F1564" s="24"/>
      <c r="G1564" s="25" t="str">
        <f>IF($D1564="","",IFERROR(VLOOKUP($D1564,'ACAS Consumables Tracker'!$A:$D,4,FALSE()),""))</f>
        <v/>
      </c>
      <c r="H1564" s="22"/>
    </row>
    <row r="1565" spans="1:8">
      <c r="A1565" s="21"/>
      <c r="B1565" s="28"/>
      <c r="C1565" s="22"/>
      <c r="D1565" s="28"/>
      <c r="E1565" s="23" t="str">
        <f>IF($D1565="","",IFERROR(VLOOKUP($D1565,'ACAS Consumables Tracker'!$A:$H,8,FALSE()),""))</f>
        <v/>
      </c>
      <c r="F1565" s="24"/>
      <c r="G1565" s="25" t="str">
        <f>IF($D1565="","",IFERROR(VLOOKUP($D1565,'ACAS Consumables Tracker'!$A:$D,4,FALSE()),""))</f>
        <v/>
      </c>
      <c r="H1565" s="22"/>
    </row>
    <row r="1566" spans="1:8">
      <c r="A1566" s="21"/>
      <c r="B1566" s="28"/>
      <c r="C1566" s="22"/>
      <c r="D1566" s="28"/>
      <c r="E1566" s="23" t="str">
        <f>IF($D1566="","",IFERROR(VLOOKUP($D1566,'ACAS Consumables Tracker'!$A:$H,8,FALSE()),""))</f>
        <v/>
      </c>
      <c r="F1566" s="24"/>
      <c r="G1566" s="25" t="str">
        <f>IF($D1566="","",IFERROR(VLOOKUP($D1566,'ACAS Consumables Tracker'!$A:$D,4,FALSE()),""))</f>
        <v/>
      </c>
      <c r="H1566" s="22"/>
    </row>
    <row r="1567" spans="1:8">
      <c r="A1567" s="21"/>
      <c r="B1567" s="28"/>
      <c r="C1567" s="22"/>
      <c r="D1567" s="28"/>
      <c r="E1567" s="23" t="str">
        <f>IF($D1567="","",IFERROR(VLOOKUP($D1567,'ACAS Consumables Tracker'!$A:$H,8,FALSE()),""))</f>
        <v/>
      </c>
      <c r="F1567" s="24"/>
      <c r="G1567" s="25" t="str">
        <f>IF($D1567="","",IFERROR(VLOOKUP($D1567,'ACAS Consumables Tracker'!$A:$D,4,FALSE()),""))</f>
        <v/>
      </c>
      <c r="H1567" s="22"/>
    </row>
    <row r="1568" spans="1:8">
      <c r="A1568" s="21"/>
      <c r="B1568" s="28"/>
      <c r="C1568" s="22"/>
      <c r="D1568" s="28"/>
      <c r="E1568" s="23" t="str">
        <f>IF($D1568="","",IFERROR(VLOOKUP($D1568,'ACAS Consumables Tracker'!$A:$H,8,FALSE()),""))</f>
        <v/>
      </c>
      <c r="F1568" s="24"/>
      <c r="G1568" s="25" t="str">
        <f>IF($D1568="","",IFERROR(VLOOKUP($D1568,'ACAS Consumables Tracker'!$A:$D,4,FALSE()),""))</f>
        <v/>
      </c>
      <c r="H1568" s="22"/>
    </row>
    <row r="1569" spans="1:8">
      <c r="A1569" s="21"/>
      <c r="B1569" s="28"/>
      <c r="C1569" s="22"/>
      <c r="D1569" s="28"/>
      <c r="E1569" s="23" t="str">
        <f>IF($D1569="","",IFERROR(VLOOKUP($D1569,'ACAS Consumables Tracker'!$A:$H,8,FALSE()),""))</f>
        <v/>
      </c>
      <c r="F1569" s="24"/>
      <c r="G1569" s="25" t="str">
        <f>IF($D1569="","",IFERROR(VLOOKUP($D1569,'ACAS Consumables Tracker'!$A:$D,4,FALSE()),""))</f>
        <v/>
      </c>
      <c r="H1569" s="22"/>
    </row>
    <row r="1570" spans="1:8">
      <c r="A1570" s="21"/>
      <c r="B1570" s="28"/>
      <c r="C1570" s="22"/>
      <c r="D1570" s="28"/>
      <c r="E1570" s="23" t="str">
        <f>IF($D1570="","",IFERROR(VLOOKUP($D1570,'ACAS Consumables Tracker'!$A:$H,8,FALSE()),""))</f>
        <v/>
      </c>
      <c r="F1570" s="24"/>
      <c r="G1570" s="25" t="str">
        <f>IF($D1570="","",IFERROR(VLOOKUP($D1570,'ACAS Consumables Tracker'!$A:$D,4,FALSE()),""))</f>
        <v/>
      </c>
      <c r="H1570" s="22"/>
    </row>
    <row r="1571" spans="1:8">
      <c r="A1571" s="21"/>
      <c r="B1571" s="28"/>
      <c r="C1571" s="22"/>
      <c r="D1571" s="28"/>
      <c r="E1571" s="23" t="str">
        <f>IF($D1571="","",IFERROR(VLOOKUP($D1571,'ACAS Consumables Tracker'!$A:$H,8,FALSE()),""))</f>
        <v/>
      </c>
      <c r="F1571" s="24"/>
      <c r="G1571" s="25" t="str">
        <f>IF($D1571="","",IFERROR(VLOOKUP($D1571,'ACAS Consumables Tracker'!$A:$D,4,FALSE()),""))</f>
        <v/>
      </c>
      <c r="H1571" s="22"/>
    </row>
    <row r="1572" spans="1:8">
      <c r="A1572" s="21"/>
      <c r="B1572" s="28"/>
      <c r="C1572" s="22"/>
      <c r="D1572" s="28"/>
      <c r="E1572" s="23" t="str">
        <f>IF($D1572="","",IFERROR(VLOOKUP($D1572,'ACAS Consumables Tracker'!$A:$H,8,FALSE()),""))</f>
        <v/>
      </c>
      <c r="F1572" s="24"/>
      <c r="G1572" s="25" t="str">
        <f>IF($D1572="","",IFERROR(VLOOKUP($D1572,'ACAS Consumables Tracker'!$A:$D,4,FALSE()),""))</f>
        <v/>
      </c>
      <c r="H1572" s="22"/>
    </row>
    <row r="1573" spans="1:8">
      <c r="A1573" s="21"/>
      <c r="B1573" s="28"/>
      <c r="C1573" s="22"/>
      <c r="D1573" s="28"/>
      <c r="E1573" s="23" t="str">
        <f>IF($D1573="","",IFERROR(VLOOKUP($D1573,'ACAS Consumables Tracker'!$A:$H,8,FALSE()),""))</f>
        <v/>
      </c>
      <c r="F1573" s="24"/>
      <c r="G1573" s="25" t="str">
        <f>IF($D1573="","",IFERROR(VLOOKUP($D1573,'ACAS Consumables Tracker'!$A:$D,4,FALSE()),""))</f>
        <v/>
      </c>
      <c r="H1573" s="22"/>
    </row>
    <row r="1574" spans="1:8">
      <c r="A1574" s="21"/>
      <c r="B1574" s="28"/>
      <c r="C1574" s="22"/>
      <c r="D1574" s="28"/>
      <c r="E1574" s="23" t="str">
        <f>IF($D1574="","",IFERROR(VLOOKUP($D1574,'ACAS Consumables Tracker'!$A:$H,8,FALSE()),""))</f>
        <v/>
      </c>
      <c r="F1574" s="24"/>
      <c r="G1574" s="25" t="str">
        <f>IF($D1574="","",IFERROR(VLOOKUP($D1574,'ACAS Consumables Tracker'!$A:$D,4,FALSE()),""))</f>
        <v/>
      </c>
      <c r="H1574" s="22"/>
    </row>
    <row r="1575" spans="1:8">
      <c r="A1575" s="21"/>
      <c r="B1575" s="28"/>
      <c r="C1575" s="22"/>
      <c r="D1575" s="28"/>
      <c r="E1575" s="23" t="str">
        <f>IF($D1575="","",IFERROR(VLOOKUP($D1575,'ACAS Consumables Tracker'!$A:$H,8,FALSE()),""))</f>
        <v/>
      </c>
      <c r="F1575" s="24"/>
      <c r="G1575" s="25" t="str">
        <f>IF($D1575="","",IFERROR(VLOOKUP($D1575,'ACAS Consumables Tracker'!$A:$D,4,FALSE()),""))</f>
        <v/>
      </c>
      <c r="H1575" s="22"/>
    </row>
    <row r="1576" spans="1:8">
      <c r="A1576" s="21"/>
      <c r="B1576" s="28"/>
      <c r="C1576" s="22"/>
      <c r="D1576" s="28"/>
      <c r="E1576" s="23" t="str">
        <f>IF($D1576="","",IFERROR(VLOOKUP($D1576,'ACAS Consumables Tracker'!$A:$H,8,FALSE()),""))</f>
        <v/>
      </c>
      <c r="F1576" s="24"/>
      <c r="G1576" s="25" t="str">
        <f>IF($D1576="","",IFERROR(VLOOKUP($D1576,'ACAS Consumables Tracker'!$A:$D,4,FALSE()),""))</f>
        <v/>
      </c>
      <c r="H1576" s="22"/>
    </row>
    <row r="1577" spans="1:8">
      <c r="A1577" s="21"/>
      <c r="B1577" s="28"/>
      <c r="C1577" s="22"/>
      <c r="D1577" s="28"/>
      <c r="E1577" s="23" t="str">
        <f>IF($D1577="","",IFERROR(VLOOKUP($D1577,'ACAS Consumables Tracker'!$A:$H,8,FALSE()),""))</f>
        <v/>
      </c>
      <c r="F1577" s="24"/>
      <c r="G1577" s="25" t="str">
        <f>IF($D1577="","",IFERROR(VLOOKUP($D1577,'ACAS Consumables Tracker'!$A:$D,4,FALSE()),""))</f>
        <v/>
      </c>
      <c r="H1577" s="22"/>
    </row>
    <row r="1578" spans="1:8">
      <c r="A1578" s="21"/>
      <c r="B1578" s="28"/>
      <c r="C1578" s="22"/>
      <c r="D1578" s="28"/>
      <c r="E1578" s="23" t="str">
        <f>IF($D1578="","",IFERROR(VLOOKUP($D1578,'ACAS Consumables Tracker'!$A:$H,8,FALSE()),""))</f>
        <v/>
      </c>
      <c r="F1578" s="24"/>
      <c r="G1578" s="25" t="str">
        <f>IF($D1578="","",IFERROR(VLOOKUP($D1578,'ACAS Consumables Tracker'!$A:$D,4,FALSE()),""))</f>
        <v/>
      </c>
      <c r="H1578" s="22"/>
    </row>
    <row r="1579" spans="1:8">
      <c r="A1579" s="21"/>
      <c r="B1579" s="28"/>
      <c r="C1579" s="22"/>
      <c r="D1579" s="28"/>
      <c r="E1579" s="23" t="str">
        <f>IF($D1579="","",IFERROR(VLOOKUP($D1579,'ACAS Consumables Tracker'!$A:$H,8,FALSE()),""))</f>
        <v/>
      </c>
      <c r="F1579" s="24"/>
      <c r="G1579" s="25" t="str">
        <f>IF($D1579="","",IFERROR(VLOOKUP($D1579,'ACAS Consumables Tracker'!$A:$D,4,FALSE()),""))</f>
        <v/>
      </c>
      <c r="H1579" s="22"/>
    </row>
    <row r="1580" spans="1:8">
      <c r="A1580" s="21"/>
      <c r="B1580" s="28"/>
      <c r="C1580" s="22"/>
      <c r="D1580" s="28"/>
      <c r="E1580" s="23" t="str">
        <f>IF($D1580="","",IFERROR(VLOOKUP($D1580,'ACAS Consumables Tracker'!$A:$H,8,FALSE()),""))</f>
        <v/>
      </c>
      <c r="F1580" s="24"/>
      <c r="G1580" s="25" t="str">
        <f>IF($D1580="","",IFERROR(VLOOKUP($D1580,'ACAS Consumables Tracker'!$A:$D,4,FALSE()),""))</f>
        <v/>
      </c>
      <c r="H1580" s="22"/>
    </row>
    <row r="1581" spans="1:8">
      <c r="A1581" s="21"/>
      <c r="B1581" s="28"/>
      <c r="C1581" s="22"/>
      <c r="D1581" s="28"/>
      <c r="E1581" s="23" t="str">
        <f>IF($D1581="","",IFERROR(VLOOKUP($D1581,'ACAS Consumables Tracker'!$A:$H,8,FALSE()),""))</f>
        <v/>
      </c>
      <c r="F1581" s="24"/>
      <c r="G1581" s="25" t="str">
        <f>IF($D1581="","",IFERROR(VLOOKUP($D1581,'ACAS Consumables Tracker'!$A:$D,4,FALSE()),""))</f>
        <v/>
      </c>
      <c r="H1581" s="22"/>
    </row>
    <row r="1582" spans="1:8">
      <c r="A1582" s="21"/>
      <c r="B1582" s="28"/>
      <c r="C1582" s="22"/>
      <c r="D1582" s="28"/>
      <c r="E1582" s="23" t="str">
        <f>IF($D1582="","",IFERROR(VLOOKUP($D1582,'ACAS Consumables Tracker'!$A:$H,8,FALSE()),""))</f>
        <v/>
      </c>
      <c r="F1582" s="24"/>
      <c r="G1582" s="25" t="str">
        <f>IF($D1582="","",IFERROR(VLOOKUP($D1582,'ACAS Consumables Tracker'!$A:$D,4,FALSE()),""))</f>
        <v/>
      </c>
      <c r="H1582" s="22"/>
    </row>
    <row r="1583" spans="1:8">
      <c r="A1583" s="21"/>
      <c r="B1583" s="28"/>
      <c r="C1583" s="22"/>
      <c r="D1583" s="28"/>
      <c r="E1583" s="23" t="str">
        <f>IF($D1583="","",IFERROR(VLOOKUP($D1583,'ACAS Consumables Tracker'!$A:$H,8,FALSE()),""))</f>
        <v/>
      </c>
      <c r="F1583" s="24"/>
      <c r="G1583" s="25" t="str">
        <f>IF($D1583="","",IFERROR(VLOOKUP($D1583,'ACAS Consumables Tracker'!$A:$D,4,FALSE()),""))</f>
        <v/>
      </c>
      <c r="H1583" s="22"/>
    </row>
    <row r="1584" spans="1:8">
      <c r="A1584" s="21"/>
      <c r="B1584" s="28"/>
      <c r="C1584" s="22"/>
      <c r="D1584" s="28"/>
      <c r="E1584" s="23" t="str">
        <f>IF($D1584="","",IFERROR(VLOOKUP($D1584,'ACAS Consumables Tracker'!$A:$H,8,FALSE()),""))</f>
        <v/>
      </c>
      <c r="F1584" s="24"/>
      <c r="G1584" s="25" t="str">
        <f>IF($D1584="","",IFERROR(VLOOKUP($D1584,'ACAS Consumables Tracker'!$A:$D,4,FALSE()),""))</f>
        <v/>
      </c>
      <c r="H1584" s="22"/>
    </row>
    <row r="1585" spans="1:8">
      <c r="A1585" s="21"/>
      <c r="B1585" s="28"/>
      <c r="C1585" s="22"/>
      <c r="D1585" s="28"/>
      <c r="E1585" s="23" t="str">
        <f>IF($D1585="","",IFERROR(VLOOKUP($D1585,'ACAS Consumables Tracker'!$A:$H,8,FALSE()),""))</f>
        <v/>
      </c>
      <c r="F1585" s="24"/>
      <c r="G1585" s="25" t="str">
        <f>IF($D1585="","",IFERROR(VLOOKUP($D1585,'ACAS Consumables Tracker'!$A:$D,4,FALSE()),""))</f>
        <v/>
      </c>
      <c r="H1585" s="22"/>
    </row>
    <row r="1586" spans="1:8">
      <c r="A1586" s="21"/>
      <c r="B1586" s="28"/>
      <c r="C1586" s="22"/>
      <c r="D1586" s="28"/>
      <c r="E1586" s="23" t="str">
        <f>IF($D1586="","",IFERROR(VLOOKUP($D1586,'ACAS Consumables Tracker'!$A:$H,8,FALSE()),""))</f>
        <v/>
      </c>
      <c r="F1586" s="24"/>
      <c r="G1586" s="25" t="str">
        <f>IF($D1586="","",IFERROR(VLOOKUP($D1586,'ACAS Consumables Tracker'!$A:$D,4,FALSE()),""))</f>
        <v/>
      </c>
      <c r="H1586" s="22"/>
    </row>
    <row r="1587" spans="1:8">
      <c r="A1587" s="21"/>
      <c r="B1587" s="28"/>
      <c r="C1587" s="22"/>
      <c r="D1587" s="28"/>
      <c r="E1587" s="23" t="str">
        <f>IF($D1587="","",IFERROR(VLOOKUP($D1587,'ACAS Consumables Tracker'!$A:$H,8,FALSE()),""))</f>
        <v/>
      </c>
      <c r="F1587" s="24"/>
      <c r="G1587" s="25" t="str">
        <f>IF($D1587="","",IFERROR(VLOOKUP($D1587,'ACAS Consumables Tracker'!$A:$D,4,FALSE()),""))</f>
        <v/>
      </c>
      <c r="H1587" s="22"/>
    </row>
    <row r="1588" spans="1:8">
      <c r="A1588" s="21"/>
      <c r="B1588" s="28"/>
      <c r="C1588" s="22"/>
      <c r="D1588" s="28"/>
      <c r="E1588" s="23" t="str">
        <f>IF($D1588="","",IFERROR(VLOOKUP($D1588,'ACAS Consumables Tracker'!$A:$H,8,FALSE()),""))</f>
        <v/>
      </c>
      <c r="F1588" s="24"/>
      <c r="G1588" s="25" t="str">
        <f>IF($D1588="","",IFERROR(VLOOKUP($D1588,'ACAS Consumables Tracker'!$A:$D,4,FALSE()),""))</f>
        <v/>
      </c>
      <c r="H1588" s="22"/>
    </row>
    <row r="1589" spans="1:8">
      <c r="A1589" s="21"/>
      <c r="B1589" s="28"/>
      <c r="C1589" s="22"/>
      <c r="D1589" s="28"/>
      <c r="E1589" s="23" t="str">
        <f>IF($D1589="","",IFERROR(VLOOKUP($D1589,'ACAS Consumables Tracker'!$A:$H,8,FALSE()),""))</f>
        <v/>
      </c>
      <c r="F1589" s="24"/>
      <c r="G1589" s="25" t="str">
        <f>IF($D1589="","",IFERROR(VLOOKUP($D1589,'ACAS Consumables Tracker'!$A:$D,4,FALSE()),""))</f>
        <v/>
      </c>
      <c r="H1589" s="22"/>
    </row>
    <row r="1590" spans="1:8">
      <c r="A1590" s="21"/>
      <c r="B1590" s="28"/>
      <c r="C1590" s="22"/>
      <c r="D1590" s="28"/>
      <c r="E1590" s="23" t="str">
        <f>IF($D1590="","",IFERROR(VLOOKUP($D1590,'ACAS Consumables Tracker'!$A:$H,8,FALSE()),""))</f>
        <v/>
      </c>
      <c r="F1590" s="24"/>
      <c r="G1590" s="25" t="str">
        <f>IF($D1590="","",IFERROR(VLOOKUP($D1590,'ACAS Consumables Tracker'!$A:$D,4,FALSE()),""))</f>
        <v/>
      </c>
      <c r="H1590" s="22"/>
    </row>
    <row r="1591" spans="1:8">
      <c r="A1591" s="21"/>
      <c r="B1591" s="28"/>
      <c r="C1591" s="22"/>
      <c r="D1591" s="28"/>
      <c r="E1591" s="23" t="str">
        <f>IF($D1591="","",IFERROR(VLOOKUP($D1591,'ACAS Consumables Tracker'!$A:$H,8,FALSE()),""))</f>
        <v/>
      </c>
      <c r="F1591" s="24"/>
      <c r="G1591" s="25" t="str">
        <f>IF($D1591="","",IFERROR(VLOOKUP($D1591,'ACAS Consumables Tracker'!$A:$D,4,FALSE()),""))</f>
        <v/>
      </c>
      <c r="H1591" s="22"/>
    </row>
    <row r="1592" spans="1:8">
      <c r="A1592" s="21"/>
      <c r="B1592" s="28"/>
      <c r="C1592" s="22"/>
      <c r="D1592" s="28"/>
      <c r="E1592" s="23" t="str">
        <f>IF($D1592="","",IFERROR(VLOOKUP($D1592,'ACAS Consumables Tracker'!$A:$H,8,FALSE()),""))</f>
        <v/>
      </c>
      <c r="F1592" s="24"/>
      <c r="G1592" s="25" t="str">
        <f>IF($D1592="","",IFERROR(VLOOKUP($D1592,'ACAS Consumables Tracker'!$A:$D,4,FALSE()),""))</f>
        <v/>
      </c>
      <c r="H1592" s="22"/>
    </row>
    <row r="1593" spans="1:8">
      <c r="A1593" s="21"/>
      <c r="B1593" s="28"/>
      <c r="C1593" s="22"/>
      <c r="D1593" s="28"/>
      <c r="E1593" s="23" t="str">
        <f>IF($D1593="","",IFERROR(VLOOKUP($D1593,'ACAS Consumables Tracker'!$A:$H,8,FALSE()),""))</f>
        <v/>
      </c>
      <c r="F1593" s="24"/>
      <c r="G1593" s="25" t="str">
        <f>IF($D1593="","",IFERROR(VLOOKUP($D1593,'ACAS Consumables Tracker'!$A:$D,4,FALSE()),""))</f>
        <v/>
      </c>
      <c r="H1593" s="22"/>
    </row>
    <row r="1594" spans="1:8">
      <c r="A1594" s="21"/>
      <c r="B1594" s="28"/>
      <c r="C1594" s="22"/>
      <c r="D1594" s="28"/>
      <c r="E1594" s="23" t="str">
        <f>IF($D1594="","",IFERROR(VLOOKUP($D1594,'ACAS Consumables Tracker'!$A:$H,8,FALSE()),""))</f>
        <v/>
      </c>
      <c r="F1594" s="24"/>
      <c r="G1594" s="25" t="str">
        <f>IF($D1594="","",IFERROR(VLOOKUP($D1594,'ACAS Consumables Tracker'!$A:$D,4,FALSE()),""))</f>
        <v/>
      </c>
      <c r="H1594" s="22"/>
    </row>
    <row r="1595" spans="1:8">
      <c r="A1595" s="21"/>
      <c r="B1595" s="28"/>
      <c r="C1595" s="22"/>
      <c r="D1595" s="28"/>
      <c r="E1595" s="23" t="str">
        <f>IF($D1595="","",IFERROR(VLOOKUP($D1595,'ACAS Consumables Tracker'!$A:$H,8,FALSE()),""))</f>
        <v/>
      </c>
      <c r="F1595" s="24"/>
      <c r="G1595" s="25" t="str">
        <f>IF($D1595="","",IFERROR(VLOOKUP($D1595,'ACAS Consumables Tracker'!$A:$D,4,FALSE()),""))</f>
        <v/>
      </c>
      <c r="H1595" s="22"/>
    </row>
    <row r="1596" spans="1:8">
      <c r="A1596" s="21"/>
      <c r="B1596" s="28"/>
      <c r="C1596" s="22"/>
      <c r="D1596" s="28"/>
      <c r="E1596" s="23" t="str">
        <f>IF($D1596="","",IFERROR(VLOOKUP($D1596,'ACAS Consumables Tracker'!$A:$H,8,FALSE()),""))</f>
        <v/>
      </c>
      <c r="F1596" s="24"/>
      <c r="G1596" s="25" t="str">
        <f>IF($D1596="","",IFERROR(VLOOKUP($D1596,'ACAS Consumables Tracker'!$A:$D,4,FALSE()),""))</f>
        <v/>
      </c>
      <c r="H1596" s="22"/>
    </row>
    <row r="1597" spans="1:8">
      <c r="A1597" s="21"/>
      <c r="B1597" s="28"/>
      <c r="C1597" s="22"/>
      <c r="D1597" s="28"/>
      <c r="E1597" s="23" t="str">
        <f>IF($D1597="","",IFERROR(VLOOKUP($D1597,'ACAS Consumables Tracker'!$A:$H,8,FALSE()),""))</f>
        <v/>
      </c>
      <c r="F1597" s="24"/>
      <c r="G1597" s="25" t="str">
        <f>IF($D1597="","",IFERROR(VLOOKUP($D1597,'ACAS Consumables Tracker'!$A:$D,4,FALSE()),""))</f>
        <v/>
      </c>
      <c r="H1597" s="22"/>
    </row>
    <row r="1598" spans="1:8">
      <c r="A1598" s="21"/>
      <c r="B1598" s="28"/>
      <c r="C1598" s="22"/>
      <c r="D1598" s="28"/>
      <c r="E1598" s="23" t="str">
        <f>IF($D1598="","",IFERROR(VLOOKUP($D1598,'ACAS Consumables Tracker'!$A:$H,8,FALSE()),""))</f>
        <v/>
      </c>
      <c r="F1598" s="24"/>
      <c r="G1598" s="25" t="str">
        <f>IF($D1598="","",IFERROR(VLOOKUP($D1598,'ACAS Consumables Tracker'!$A:$D,4,FALSE()),""))</f>
        <v/>
      </c>
      <c r="H1598" s="22"/>
    </row>
    <row r="1599" spans="1:8">
      <c r="A1599" s="21"/>
      <c r="B1599" s="28"/>
      <c r="C1599" s="22"/>
      <c r="D1599" s="28"/>
      <c r="E1599" s="23" t="str">
        <f>IF($D1599="","",IFERROR(VLOOKUP($D1599,'ACAS Consumables Tracker'!$A:$H,8,FALSE()),""))</f>
        <v/>
      </c>
      <c r="F1599" s="24"/>
      <c r="G1599" s="25" t="str">
        <f>IF($D1599="","",IFERROR(VLOOKUP($D1599,'ACAS Consumables Tracker'!$A:$D,4,FALSE()),""))</f>
        <v/>
      </c>
      <c r="H1599" s="22"/>
    </row>
    <row r="1600" spans="1:8">
      <c r="A1600" s="21"/>
      <c r="B1600" s="28"/>
      <c r="C1600" s="22"/>
      <c r="D1600" s="28"/>
      <c r="E1600" s="23" t="str">
        <f>IF($D1600="","",IFERROR(VLOOKUP($D1600,'ACAS Consumables Tracker'!$A:$H,8,FALSE()),""))</f>
        <v/>
      </c>
      <c r="F1600" s="24"/>
      <c r="G1600" s="25" t="str">
        <f>IF($D1600="","",IFERROR(VLOOKUP($D1600,'ACAS Consumables Tracker'!$A:$D,4,FALSE()),""))</f>
        <v/>
      </c>
      <c r="H1600" s="22"/>
    </row>
    <row r="1601" spans="1:8">
      <c r="A1601" s="21"/>
      <c r="B1601" s="28"/>
      <c r="C1601" s="22"/>
      <c r="D1601" s="28"/>
      <c r="E1601" s="23" t="str">
        <f>IF($D1601="","",IFERROR(VLOOKUP($D1601,'ACAS Consumables Tracker'!$A:$H,8,FALSE()),""))</f>
        <v/>
      </c>
      <c r="F1601" s="24"/>
      <c r="G1601" s="25" t="str">
        <f>IF($D1601="","",IFERROR(VLOOKUP($D1601,'ACAS Consumables Tracker'!$A:$D,4,FALSE()),""))</f>
        <v/>
      </c>
      <c r="H1601" s="22"/>
    </row>
    <row r="1602" spans="1:8">
      <c r="A1602" s="21"/>
      <c r="B1602" s="28"/>
      <c r="C1602" s="22"/>
      <c r="D1602" s="28"/>
      <c r="E1602" s="23" t="str">
        <f>IF($D1602="","",IFERROR(VLOOKUP($D1602,'ACAS Consumables Tracker'!$A:$H,8,FALSE()),""))</f>
        <v/>
      </c>
      <c r="F1602" s="24"/>
      <c r="G1602" s="25" t="str">
        <f>IF($D1602="","",IFERROR(VLOOKUP($D1602,'ACAS Consumables Tracker'!$A:$D,4,FALSE()),""))</f>
        <v/>
      </c>
      <c r="H1602" s="22"/>
    </row>
    <row r="1603" spans="1:8">
      <c r="A1603" s="21"/>
      <c r="B1603" s="28"/>
      <c r="C1603" s="22"/>
      <c r="D1603" s="28"/>
      <c r="E1603" s="23" t="str">
        <f>IF($D1603="","",IFERROR(VLOOKUP($D1603,'ACAS Consumables Tracker'!$A:$H,8,FALSE()),""))</f>
        <v/>
      </c>
      <c r="F1603" s="24"/>
      <c r="G1603" s="25" t="str">
        <f>IF($D1603="","",IFERROR(VLOOKUP($D1603,'ACAS Consumables Tracker'!$A:$D,4,FALSE()),""))</f>
        <v/>
      </c>
      <c r="H1603" s="22"/>
    </row>
    <row r="1604" spans="1:8">
      <c r="A1604" s="21"/>
      <c r="B1604" s="28"/>
      <c r="C1604" s="22"/>
      <c r="D1604" s="28"/>
      <c r="E1604" s="23" t="str">
        <f>IF($D1604="","",IFERROR(VLOOKUP($D1604,'ACAS Consumables Tracker'!$A:$H,8,FALSE()),""))</f>
        <v/>
      </c>
      <c r="F1604" s="24"/>
      <c r="G1604" s="25" t="str">
        <f>IF($D1604="","",IFERROR(VLOOKUP($D1604,'ACAS Consumables Tracker'!$A:$D,4,FALSE()),""))</f>
        <v/>
      </c>
      <c r="H1604" s="22"/>
    </row>
    <row r="1605" spans="1:8">
      <c r="A1605" s="21"/>
      <c r="B1605" s="28"/>
      <c r="C1605" s="22"/>
      <c r="D1605" s="28"/>
      <c r="E1605" s="23" t="str">
        <f>IF($D1605="","",IFERROR(VLOOKUP($D1605,'ACAS Consumables Tracker'!$A:$H,8,FALSE()),""))</f>
        <v/>
      </c>
      <c r="F1605" s="24"/>
      <c r="G1605" s="25" t="str">
        <f>IF($D1605="","",IFERROR(VLOOKUP($D1605,'ACAS Consumables Tracker'!$A:$D,4,FALSE()),""))</f>
        <v/>
      </c>
      <c r="H1605" s="22"/>
    </row>
    <row r="1606" spans="1:8">
      <c r="A1606" s="21"/>
      <c r="B1606" s="28"/>
      <c r="C1606" s="22"/>
      <c r="D1606" s="28"/>
      <c r="E1606" s="23" t="str">
        <f>IF($D1606="","",IFERROR(VLOOKUP($D1606,'ACAS Consumables Tracker'!$A:$H,8,FALSE()),""))</f>
        <v/>
      </c>
      <c r="F1606" s="24"/>
      <c r="G1606" s="25" t="str">
        <f>IF($D1606="","",IFERROR(VLOOKUP($D1606,'ACAS Consumables Tracker'!$A:$D,4,FALSE()),""))</f>
        <v/>
      </c>
      <c r="H1606" s="22"/>
    </row>
    <row r="1607" spans="1:8">
      <c r="A1607" s="21"/>
      <c r="B1607" s="28"/>
      <c r="C1607" s="22"/>
      <c r="D1607" s="28"/>
      <c r="E1607" s="23" t="str">
        <f>IF($D1607="","",IFERROR(VLOOKUP($D1607,'ACAS Consumables Tracker'!$A:$H,8,FALSE()),""))</f>
        <v/>
      </c>
      <c r="F1607" s="24"/>
      <c r="G1607" s="25" t="str">
        <f>IF($D1607="","",IFERROR(VLOOKUP($D1607,'ACAS Consumables Tracker'!$A:$D,4,FALSE()),""))</f>
        <v/>
      </c>
      <c r="H1607" s="22"/>
    </row>
    <row r="1608" spans="1:8">
      <c r="A1608" s="21"/>
      <c r="B1608" s="28"/>
      <c r="C1608" s="22"/>
      <c r="D1608" s="28"/>
      <c r="E1608" s="23" t="str">
        <f>IF($D1608="","",IFERROR(VLOOKUP($D1608,'ACAS Consumables Tracker'!$A:$H,8,FALSE()),""))</f>
        <v/>
      </c>
      <c r="F1608" s="24"/>
      <c r="G1608" s="25" t="str">
        <f>IF($D1608="","",IFERROR(VLOOKUP($D1608,'ACAS Consumables Tracker'!$A:$D,4,FALSE()),""))</f>
        <v/>
      </c>
      <c r="H1608" s="22"/>
    </row>
    <row r="1609" spans="1:8">
      <c r="A1609" s="21"/>
      <c r="B1609" s="28"/>
      <c r="C1609" s="22"/>
      <c r="D1609" s="28"/>
      <c r="E1609" s="23" t="str">
        <f>IF($D1609="","",IFERROR(VLOOKUP($D1609,'ACAS Consumables Tracker'!$A:$H,8,FALSE()),""))</f>
        <v/>
      </c>
      <c r="F1609" s="24"/>
      <c r="G1609" s="25" t="str">
        <f>IF($D1609="","",IFERROR(VLOOKUP($D1609,'ACAS Consumables Tracker'!$A:$D,4,FALSE()),""))</f>
        <v/>
      </c>
      <c r="H1609" s="22"/>
    </row>
    <row r="1610" spans="1:8">
      <c r="A1610" s="21"/>
      <c r="B1610" s="28"/>
      <c r="C1610" s="22"/>
      <c r="D1610" s="28"/>
      <c r="E1610" s="23" t="str">
        <f>IF($D1610="","",IFERROR(VLOOKUP($D1610,'ACAS Consumables Tracker'!$A:$H,8,FALSE()),""))</f>
        <v/>
      </c>
      <c r="F1610" s="24"/>
      <c r="G1610" s="25" t="str">
        <f>IF($D1610="","",IFERROR(VLOOKUP($D1610,'ACAS Consumables Tracker'!$A:$D,4,FALSE()),""))</f>
        <v/>
      </c>
      <c r="H1610" s="22"/>
    </row>
    <row r="1611" spans="1:8">
      <c r="A1611" s="21"/>
      <c r="B1611" s="28"/>
      <c r="C1611" s="22"/>
      <c r="D1611" s="28"/>
      <c r="E1611" s="23" t="str">
        <f>IF($D1611="","",IFERROR(VLOOKUP($D1611,'ACAS Consumables Tracker'!$A:$H,8,FALSE()),""))</f>
        <v/>
      </c>
      <c r="F1611" s="24"/>
      <c r="G1611" s="25" t="str">
        <f>IF($D1611="","",IFERROR(VLOOKUP($D1611,'ACAS Consumables Tracker'!$A:$D,4,FALSE()),""))</f>
        <v/>
      </c>
      <c r="H1611" s="22"/>
    </row>
    <row r="1612" spans="1:8">
      <c r="A1612" s="21"/>
      <c r="B1612" s="28"/>
      <c r="C1612" s="22"/>
      <c r="D1612" s="28"/>
      <c r="E1612" s="23" t="str">
        <f>IF($D1612="","",IFERROR(VLOOKUP($D1612,'ACAS Consumables Tracker'!$A:$H,8,FALSE()),""))</f>
        <v/>
      </c>
      <c r="F1612" s="24"/>
      <c r="G1612" s="25" t="str">
        <f>IF($D1612="","",IFERROR(VLOOKUP($D1612,'ACAS Consumables Tracker'!$A:$D,4,FALSE()),""))</f>
        <v/>
      </c>
      <c r="H1612" s="22"/>
    </row>
    <row r="1613" spans="1:8">
      <c r="A1613" s="21"/>
      <c r="B1613" s="28"/>
      <c r="C1613" s="22"/>
      <c r="D1613" s="28"/>
      <c r="E1613" s="23" t="str">
        <f>IF($D1613="","",IFERROR(VLOOKUP($D1613,'ACAS Consumables Tracker'!$A:$H,8,FALSE()),""))</f>
        <v/>
      </c>
      <c r="F1613" s="24"/>
      <c r="G1613" s="25" t="str">
        <f>IF($D1613="","",IFERROR(VLOOKUP($D1613,'ACAS Consumables Tracker'!$A:$D,4,FALSE()),""))</f>
        <v/>
      </c>
      <c r="H1613" s="22"/>
    </row>
    <row r="1614" spans="1:8">
      <c r="A1614" s="21"/>
      <c r="B1614" s="28"/>
      <c r="C1614" s="22"/>
      <c r="D1614" s="28"/>
      <c r="E1614" s="23" t="str">
        <f>IF($D1614="","",IFERROR(VLOOKUP($D1614,'ACAS Consumables Tracker'!$A:$H,8,FALSE()),""))</f>
        <v/>
      </c>
      <c r="F1614" s="24"/>
      <c r="G1614" s="25" t="str">
        <f>IF($D1614="","",IFERROR(VLOOKUP($D1614,'ACAS Consumables Tracker'!$A:$D,4,FALSE()),""))</f>
        <v/>
      </c>
      <c r="H1614" s="22"/>
    </row>
    <row r="1615" spans="1:8">
      <c r="A1615" s="21"/>
      <c r="B1615" s="28"/>
      <c r="C1615" s="22"/>
      <c r="D1615" s="28"/>
      <c r="E1615" s="23" t="str">
        <f>IF($D1615="","",IFERROR(VLOOKUP($D1615,'ACAS Consumables Tracker'!$A:$H,8,FALSE()),""))</f>
        <v/>
      </c>
      <c r="F1615" s="24"/>
      <c r="G1615" s="25" t="str">
        <f>IF($D1615="","",IFERROR(VLOOKUP($D1615,'ACAS Consumables Tracker'!$A:$D,4,FALSE()),""))</f>
        <v/>
      </c>
      <c r="H1615" s="22"/>
    </row>
    <row r="1616" spans="1:8">
      <c r="A1616" s="21"/>
      <c r="B1616" s="28"/>
      <c r="C1616" s="22"/>
      <c r="D1616" s="28"/>
      <c r="E1616" s="23" t="str">
        <f>IF($D1616="","",IFERROR(VLOOKUP($D1616,'ACAS Consumables Tracker'!$A:$H,8,FALSE()),""))</f>
        <v/>
      </c>
      <c r="F1616" s="24"/>
      <c r="G1616" s="25" t="str">
        <f>IF($D1616="","",IFERROR(VLOOKUP($D1616,'ACAS Consumables Tracker'!$A:$D,4,FALSE()),""))</f>
        <v/>
      </c>
      <c r="H1616" s="22"/>
    </row>
    <row r="1617" spans="1:8">
      <c r="A1617" s="21"/>
      <c r="B1617" s="28"/>
      <c r="C1617" s="22"/>
      <c r="D1617" s="28"/>
      <c r="E1617" s="23" t="str">
        <f>IF($D1617="","",IFERROR(VLOOKUP($D1617,'ACAS Consumables Tracker'!$A:$H,8,FALSE()),""))</f>
        <v/>
      </c>
      <c r="F1617" s="24"/>
      <c r="G1617" s="25" t="str">
        <f>IF($D1617="","",IFERROR(VLOOKUP($D1617,'ACAS Consumables Tracker'!$A:$D,4,FALSE()),""))</f>
        <v/>
      </c>
      <c r="H1617" s="22"/>
    </row>
    <row r="1618" spans="1:8">
      <c r="A1618" s="21"/>
      <c r="B1618" s="28"/>
      <c r="C1618" s="22"/>
      <c r="D1618" s="28"/>
      <c r="E1618" s="23" t="str">
        <f>IF($D1618="","",IFERROR(VLOOKUP($D1618,'ACAS Consumables Tracker'!$A:$H,8,FALSE()),""))</f>
        <v/>
      </c>
      <c r="F1618" s="24"/>
      <c r="G1618" s="25" t="str">
        <f>IF($D1618="","",IFERROR(VLOOKUP($D1618,'ACAS Consumables Tracker'!$A:$D,4,FALSE()),""))</f>
        <v/>
      </c>
      <c r="H1618" s="22"/>
    </row>
    <row r="1619" spans="1:8">
      <c r="A1619" s="21"/>
      <c r="B1619" s="28"/>
      <c r="C1619" s="22"/>
      <c r="D1619" s="28"/>
      <c r="E1619" s="23" t="str">
        <f>IF($D1619="","",IFERROR(VLOOKUP($D1619,'ACAS Consumables Tracker'!$A:$H,8,FALSE()),""))</f>
        <v/>
      </c>
      <c r="F1619" s="24"/>
      <c r="G1619" s="25" t="str">
        <f>IF($D1619="","",IFERROR(VLOOKUP($D1619,'ACAS Consumables Tracker'!$A:$D,4,FALSE()),""))</f>
        <v/>
      </c>
      <c r="H1619" s="22"/>
    </row>
    <row r="1620" spans="1:8">
      <c r="A1620" s="21"/>
      <c r="B1620" s="28"/>
      <c r="C1620" s="22"/>
      <c r="D1620" s="28"/>
      <c r="E1620" s="23" t="str">
        <f>IF($D1620="","",IFERROR(VLOOKUP($D1620,'ACAS Consumables Tracker'!$A:$H,8,FALSE()),""))</f>
        <v/>
      </c>
      <c r="F1620" s="24"/>
      <c r="G1620" s="25" t="str">
        <f>IF($D1620="","",IFERROR(VLOOKUP($D1620,'ACAS Consumables Tracker'!$A:$D,4,FALSE()),""))</f>
        <v/>
      </c>
      <c r="H1620" s="22"/>
    </row>
    <row r="1621" spans="1:8">
      <c r="A1621" s="21"/>
      <c r="B1621" s="28"/>
      <c r="C1621" s="22"/>
      <c r="D1621" s="28"/>
      <c r="E1621" s="23" t="str">
        <f>IF($D1621="","",IFERROR(VLOOKUP($D1621,'ACAS Consumables Tracker'!$A:$H,8,FALSE()),""))</f>
        <v/>
      </c>
      <c r="F1621" s="24"/>
      <c r="G1621" s="25" t="str">
        <f>IF($D1621="","",IFERROR(VLOOKUP($D1621,'ACAS Consumables Tracker'!$A:$D,4,FALSE()),""))</f>
        <v/>
      </c>
      <c r="H1621" s="22"/>
    </row>
    <row r="1622" spans="1:8">
      <c r="A1622" s="21"/>
      <c r="B1622" s="28"/>
      <c r="C1622" s="22"/>
      <c r="D1622" s="28"/>
      <c r="E1622" s="23" t="str">
        <f>IF($D1622="","",IFERROR(VLOOKUP($D1622,'ACAS Consumables Tracker'!$A:$H,8,FALSE()),""))</f>
        <v/>
      </c>
      <c r="F1622" s="24"/>
      <c r="G1622" s="25" t="str">
        <f>IF($D1622="","",IFERROR(VLOOKUP($D1622,'ACAS Consumables Tracker'!$A:$D,4,FALSE()),""))</f>
        <v/>
      </c>
      <c r="H1622" s="22"/>
    </row>
    <row r="1623" spans="1:8">
      <c r="A1623" s="21"/>
      <c r="B1623" s="28"/>
      <c r="C1623" s="22"/>
      <c r="D1623" s="28"/>
      <c r="E1623" s="23" t="str">
        <f>IF($D1623="","",IFERROR(VLOOKUP($D1623,'ACAS Consumables Tracker'!$A:$H,8,FALSE()),""))</f>
        <v/>
      </c>
      <c r="F1623" s="24"/>
      <c r="G1623" s="25" t="str">
        <f>IF($D1623="","",IFERROR(VLOOKUP($D1623,'ACAS Consumables Tracker'!$A:$D,4,FALSE()),""))</f>
        <v/>
      </c>
      <c r="H1623" s="22"/>
    </row>
    <row r="1624" spans="1:8">
      <c r="A1624" s="21"/>
      <c r="B1624" s="28"/>
      <c r="C1624" s="22"/>
      <c r="D1624" s="28"/>
      <c r="E1624" s="23" t="str">
        <f>IF($D1624="","",IFERROR(VLOOKUP($D1624,'ACAS Consumables Tracker'!$A:$H,8,FALSE()),""))</f>
        <v/>
      </c>
      <c r="F1624" s="24"/>
      <c r="G1624" s="25" t="str">
        <f>IF($D1624="","",IFERROR(VLOOKUP($D1624,'ACAS Consumables Tracker'!$A:$D,4,FALSE()),""))</f>
        <v/>
      </c>
      <c r="H1624" s="22"/>
    </row>
    <row r="1625" spans="1:8">
      <c r="A1625" s="21"/>
      <c r="B1625" s="28"/>
      <c r="C1625" s="22"/>
      <c r="D1625" s="28"/>
      <c r="E1625" s="23" t="str">
        <f>IF($D1625="","",IFERROR(VLOOKUP($D1625,'ACAS Consumables Tracker'!$A:$H,8,FALSE()),""))</f>
        <v/>
      </c>
      <c r="F1625" s="24"/>
      <c r="G1625" s="25" t="str">
        <f>IF($D1625="","",IFERROR(VLOOKUP($D1625,'ACAS Consumables Tracker'!$A:$D,4,FALSE()),""))</f>
        <v/>
      </c>
      <c r="H1625" s="22"/>
    </row>
    <row r="1626" spans="1:8">
      <c r="A1626" s="21"/>
      <c r="B1626" s="28"/>
      <c r="C1626" s="22"/>
      <c r="D1626" s="28"/>
      <c r="E1626" s="23" t="str">
        <f>IF($D1626="","",IFERROR(VLOOKUP($D1626,'ACAS Consumables Tracker'!$A:$H,8,FALSE()),""))</f>
        <v/>
      </c>
      <c r="F1626" s="24"/>
      <c r="G1626" s="25" t="str">
        <f>IF($D1626="","",IFERROR(VLOOKUP($D1626,'ACAS Consumables Tracker'!$A:$D,4,FALSE()),""))</f>
        <v/>
      </c>
      <c r="H1626" s="22"/>
    </row>
    <row r="1627" spans="1:8">
      <c r="A1627" s="21"/>
      <c r="B1627" s="28"/>
      <c r="C1627" s="22"/>
      <c r="D1627" s="28"/>
      <c r="E1627" s="23" t="str">
        <f>IF($D1627="","",IFERROR(VLOOKUP($D1627,'ACAS Consumables Tracker'!$A:$H,8,FALSE()),""))</f>
        <v/>
      </c>
      <c r="F1627" s="24"/>
      <c r="G1627" s="25" t="str">
        <f>IF($D1627="","",IFERROR(VLOOKUP($D1627,'ACAS Consumables Tracker'!$A:$D,4,FALSE()),""))</f>
        <v/>
      </c>
      <c r="H1627" s="22"/>
    </row>
    <row r="1628" spans="1:8">
      <c r="A1628" s="21"/>
      <c r="B1628" s="28"/>
      <c r="C1628" s="22"/>
      <c r="D1628" s="28"/>
      <c r="E1628" s="23" t="str">
        <f>IF($D1628="","",IFERROR(VLOOKUP($D1628,'ACAS Consumables Tracker'!$A:$H,8,FALSE()),""))</f>
        <v/>
      </c>
      <c r="F1628" s="24"/>
      <c r="G1628" s="25" t="str">
        <f>IF($D1628="","",IFERROR(VLOOKUP($D1628,'ACAS Consumables Tracker'!$A:$D,4,FALSE()),""))</f>
        <v/>
      </c>
      <c r="H1628" s="22"/>
    </row>
    <row r="1629" spans="1:8">
      <c r="A1629" s="21"/>
      <c r="B1629" s="28"/>
      <c r="C1629" s="22"/>
      <c r="D1629" s="28"/>
      <c r="E1629" s="23" t="str">
        <f>IF($D1629="","",IFERROR(VLOOKUP($D1629,'ACAS Consumables Tracker'!$A:$H,8,FALSE()),""))</f>
        <v/>
      </c>
      <c r="F1629" s="24"/>
      <c r="G1629" s="25" t="str">
        <f>IF($D1629="","",IFERROR(VLOOKUP($D1629,'ACAS Consumables Tracker'!$A:$D,4,FALSE()),""))</f>
        <v/>
      </c>
      <c r="H1629" s="22"/>
    </row>
    <row r="1630" spans="1:8">
      <c r="A1630" s="21"/>
      <c r="B1630" s="28"/>
      <c r="C1630" s="22"/>
      <c r="D1630" s="28"/>
      <c r="E1630" s="23" t="str">
        <f>IF($D1630="","",IFERROR(VLOOKUP($D1630,'ACAS Consumables Tracker'!$A:$H,8,FALSE()),""))</f>
        <v/>
      </c>
      <c r="F1630" s="24"/>
      <c r="G1630" s="25" t="str">
        <f>IF($D1630="","",IFERROR(VLOOKUP($D1630,'ACAS Consumables Tracker'!$A:$D,4,FALSE()),""))</f>
        <v/>
      </c>
      <c r="H1630" s="22"/>
    </row>
    <row r="1631" spans="1:8">
      <c r="A1631" s="21"/>
      <c r="B1631" s="28"/>
      <c r="C1631" s="22"/>
      <c r="D1631" s="28"/>
      <c r="E1631" s="23" t="str">
        <f>IF($D1631="","",IFERROR(VLOOKUP($D1631,'ACAS Consumables Tracker'!$A:$H,8,FALSE()),""))</f>
        <v/>
      </c>
      <c r="F1631" s="24"/>
      <c r="G1631" s="25" t="str">
        <f>IF($D1631="","",IFERROR(VLOOKUP($D1631,'ACAS Consumables Tracker'!$A:$D,4,FALSE()),""))</f>
        <v/>
      </c>
      <c r="H1631" s="22"/>
    </row>
    <row r="1632" spans="1:8">
      <c r="A1632" s="21"/>
      <c r="B1632" s="28"/>
      <c r="C1632" s="22"/>
      <c r="D1632" s="28"/>
      <c r="E1632" s="23" t="str">
        <f>IF($D1632="","",IFERROR(VLOOKUP($D1632,'ACAS Consumables Tracker'!$A:$H,8,FALSE()),""))</f>
        <v/>
      </c>
      <c r="F1632" s="24"/>
      <c r="G1632" s="25" t="str">
        <f>IF($D1632="","",IFERROR(VLOOKUP($D1632,'ACAS Consumables Tracker'!$A:$D,4,FALSE()),""))</f>
        <v/>
      </c>
      <c r="H1632" s="22"/>
    </row>
    <row r="1633" spans="1:8">
      <c r="A1633" s="21"/>
      <c r="B1633" s="28"/>
      <c r="C1633" s="22"/>
      <c r="D1633" s="28"/>
      <c r="E1633" s="23" t="str">
        <f>IF($D1633="","",IFERROR(VLOOKUP($D1633,'ACAS Consumables Tracker'!$A:$H,8,FALSE()),""))</f>
        <v/>
      </c>
      <c r="F1633" s="24"/>
      <c r="G1633" s="25" t="str">
        <f>IF($D1633="","",IFERROR(VLOOKUP($D1633,'ACAS Consumables Tracker'!$A:$D,4,FALSE()),""))</f>
        <v/>
      </c>
      <c r="H1633" s="22"/>
    </row>
    <row r="1634" spans="1:8">
      <c r="A1634" s="21"/>
      <c r="B1634" s="28"/>
      <c r="C1634" s="22"/>
      <c r="D1634" s="28"/>
      <c r="E1634" s="23" t="str">
        <f>IF($D1634="","",IFERROR(VLOOKUP($D1634,'ACAS Consumables Tracker'!$A:$H,8,FALSE()),""))</f>
        <v/>
      </c>
      <c r="F1634" s="24"/>
      <c r="G1634" s="25" t="str">
        <f>IF($D1634="","",IFERROR(VLOOKUP($D1634,'ACAS Consumables Tracker'!$A:$D,4,FALSE()),""))</f>
        <v/>
      </c>
      <c r="H1634" s="22"/>
    </row>
    <row r="1635" spans="1:8">
      <c r="A1635" s="21"/>
      <c r="B1635" s="28"/>
      <c r="C1635" s="22"/>
      <c r="D1635" s="28"/>
      <c r="E1635" s="23" t="str">
        <f>IF($D1635="","",IFERROR(VLOOKUP($D1635,'ACAS Consumables Tracker'!$A:$H,8,FALSE()),""))</f>
        <v/>
      </c>
      <c r="F1635" s="24"/>
      <c r="G1635" s="25" t="str">
        <f>IF($D1635="","",IFERROR(VLOOKUP($D1635,'ACAS Consumables Tracker'!$A:$D,4,FALSE()),""))</f>
        <v/>
      </c>
      <c r="H1635" s="22"/>
    </row>
    <row r="1636" spans="1:8">
      <c r="A1636" s="21"/>
      <c r="B1636" s="28"/>
      <c r="C1636" s="22"/>
      <c r="D1636" s="28"/>
      <c r="E1636" s="23" t="str">
        <f>IF($D1636="","",IFERROR(VLOOKUP($D1636,'ACAS Consumables Tracker'!$A:$H,8,FALSE()),""))</f>
        <v/>
      </c>
      <c r="F1636" s="24"/>
      <c r="G1636" s="25" t="str">
        <f>IF($D1636="","",IFERROR(VLOOKUP($D1636,'ACAS Consumables Tracker'!$A:$D,4,FALSE()),""))</f>
        <v/>
      </c>
      <c r="H1636" s="22"/>
    </row>
    <row r="1637" spans="1:8">
      <c r="A1637" s="21"/>
      <c r="B1637" s="28"/>
      <c r="C1637" s="22"/>
      <c r="D1637" s="28"/>
      <c r="E1637" s="23" t="str">
        <f>IF($D1637="","",IFERROR(VLOOKUP($D1637,'ACAS Consumables Tracker'!$A:$H,8,FALSE()),""))</f>
        <v/>
      </c>
      <c r="F1637" s="24"/>
      <c r="G1637" s="25" t="str">
        <f>IF($D1637="","",IFERROR(VLOOKUP($D1637,'ACAS Consumables Tracker'!$A:$D,4,FALSE()),""))</f>
        <v/>
      </c>
      <c r="H1637" s="22"/>
    </row>
    <row r="1638" spans="1:8">
      <c r="A1638" s="21"/>
      <c r="B1638" s="28"/>
      <c r="C1638" s="22"/>
      <c r="D1638" s="28"/>
      <c r="E1638" s="23" t="str">
        <f>IF($D1638="","",IFERROR(VLOOKUP($D1638,'ACAS Consumables Tracker'!$A:$H,8,FALSE()),""))</f>
        <v/>
      </c>
      <c r="F1638" s="24"/>
      <c r="G1638" s="25" t="str">
        <f>IF($D1638="","",IFERROR(VLOOKUP($D1638,'ACAS Consumables Tracker'!$A:$D,4,FALSE()),""))</f>
        <v/>
      </c>
      <c r="H1638" s="22"/>
    </row>
    <row r="1639" spans="1:8">
      <c r="A1639" s="21"/>
      <c r="B1639" s="28"/>
      <c r="C1639" s="22"/>
      <c r="D1639" s="28"/>
      <c r="E1639" s="23" t="str">
        <f>IF($D1639="","",IFERROR(VLOOKUP($D1639,'ACAS Consumables Tracker'!$A:$H,8,FALSE()),""))</f>
        <v/>
      </c>
      <c r="F1639" s="24"/>
      <c r="G1639" s="25" t="str">
        <f>IF($D1639="","",IFERROR(VLOOKUP($D1639,'ACAS Consumables Tracker'!$A:$D,4,FALSE()),""))</f>
        <v/>
      </c>
      <c r="H1639" s="22"/>
    </row>
    <row r="1640" spans="1:8">
      <c r="A1640" s="21"/>
      <c r="B1640" s="28"/>
      <c r="C1640" s="22"/>
      <c r="D1640" s="28"/>
      <c r="E1640" s="23" t="str">
        <f>IF($D1640="","",IFERROR(VLOOKUP($D1640,'ACAS Consumables Tracker'!$A:$H,8,FALSE()),""))</f>
        <v/>
      </c>
      <c r="F1640" s="24"/>
      <c r="G1640" s="25" t="str">
        <f>IF($D1640="","",IFERROR(VLOOKUP($D1640,'ACAS Consumables Tracker'!$A:$D,4,FALSE()),""))</f>
        <v/>
      </c>
      <c r="H1640" s="22"/>
    </row>
    <row r="1641" spans="1:8">
      <c r="A1641" s="21"/>
      <c r="B1641" s="28"/>
      <c r="C1641" s="22"/>
      <c r="D1641" s="28"/>
      <c r="E1641" s="23" t="str">
        <f>IF($D1641="","",IFERROR(VLOOKUP($D1641,'ACAS Consumables Tracker'!$A:$H,8,FALSE()),""))</f>
        <v/>
      </c>
      <c r="F1641" s="24"/>
      <c r="G1641" s="25" t="str">
        <f>IF($D1641="","",IFERROR(VLOOKUP($D1641,'ACAS Consumables Tracker'!$A:$D,4,FALSE()),""))</f>
        <v/>
      </c>
      <c r="H1641" s="22"/>
    </row>
    <row r="1642" spans="1:8">
      <c r="A1642" s="21"/>
      <c r="B1642" s="28"/>
      <c r="C1642" s="22"/>
      <c r="D1642" s="28"/>
      <c r="E1642" s="23" t="str">
        <f>IF($D1642="","",IFERROR(VLOOKUP($D1642,'ACAS Consumables Tracker'!$A:$H,8,FALSE()),""))</f>
        <v/>
      </c>
      <c r="F1642" s="24"/>
      <c r="G1642" s="25" t="str">
        <f>IF($D1642="","",IFERROR(VLOOKUP($D1642,'ACAS Consumables Tracker'!$A:$D,4,FALSE()),""))</f>
        <v/>
      </c>
      <c r="H1642" s="22"/>
    </row>
    <row r="1643" spans="1:8">
      <c r="A1643" s="21"/>
      <c r="B1643" s="28"/>
      <c r="C1643" s="22"/>
      <c r="D1643" s="28"/>
      <c r="E1643" s="23" t="str">
        <f>IF($D1643="","",IFERROR(VLOOKUP($D1643,'ACAS Consumables Tracker'!$A:$H,8,FALSE()),""))</f>
        <v/>
      </c>
      <c r="F1643" s="24"/>
      <c r="G1643" s="25" t="str">
        <f>IF($D1643="","",IFERROR(VLOOKUP($D1643,'ACAS Consumables Tracker'!$A:$D,4,FALSE()),""))</f>
        <v/>
      </c>
      <c r="H1643" s="22"/>
    </row>
    <row r="1644" spans="1:8">
      <c r="A1644" s="21"/>
      <c r="B1644" s="28"/>
      <c r="C1644" s="22"/>
      <c r="D1644" s="28"/>
      <c r="E1644" s="23" t="str">
        <f>IF($D1644="","",IFERROR(VLOOKUP($D1644,'ACAS Consumables Tracker'!$A:$H,8,FALSE()),""))</f>
        <v/>
      </c>
      <c r="F1644" s="24"/>
      <c r="G1644" s="25" t="str">
        <f>IF($D1644="","",IFERROR(VLOOKUP($D1644,'ACAS Consumables Tracker'!$A:$D,4,FALSE()),""))</f>
        <v/>
      </c>
      <c r="H1644" s="22"/>
    </row>
    <row r="1645" spans="1:8">
      <c r="A1645" s="21"/>
      <c r="B1645" s="28"/>
      <c r="C1645" s="22"/>
      <c r="D1645" s="28"/>
      <c r="E1645" s="23" t="str">
        <f>IF($D1645="","",IFERROR(VLOOKUP($D1645,'ACAS Consumables Tracker'!$A:$H,8,FALSE()),""))</f>
        <v/>
      </c>
      <c r="F1645" s="24"/>
      <c r="G1645" s="25" t="str">
        <f>IF($D1645="","",IFERROR(VLOOKUP($D1645,'ACAS Consumables Tracker'!$A:$D,4,FALSE()),""))</f>
        <v/>
      </c>
      <c r="H1645" s="22"/>
    </row>
    <row r="1646" spans="1:8">
      <c r="A1646" s="21"/>
      <c r="B1646" s="28"/>
      <c r="C1646" s="22"/>
      <c r="D1646" s="28"/>
      <c r="E1646" s="23" t="str">
        <f>IF($D1646="","",IFERROR(VLOOKUP($D1646,'ACAS Consumables Tracker'!$A:$H,8,FALSE()),""))</f>
        <v/>
      </c>
      <c r="F1646" s="24"/>
      <c r="G1646" s="25" t="str">
        <f>IF($D1646="","",IFERROR(VLOOKUP($D1646,'ACAS Consumables Tracker'!$A:$D,4,FALSE()),""))</f>
        <v/>
      </c>
      <c r="H1646" s="22"/>
    </row>
    <row r="1647" spans="1:8">
      <c r="A1647" s="21"/>
      <c r="B1647" s="28"/>
      <c r="C1647" s="22"/>
      <c r="D1647" s="28"/>
      <c r="E1647" s="23" t="str">
        <f>IF($D1647="","",IFERROR(VLOOKUP($D1647,'ACAS Consumables Tracker'!$A:$H,8,FALSE()),""))</f>
        <v/>
      </c>
      <c r="F1647" s="24"/>
      <c r="G1647" s="25" t="str">
        <f>IF($D1647="","",IFERROR(VLOOKUP($D1647,'ACAS Consumables Tracker'!$A:$D,4,FALSE()),""))</f>
        <v/>
      </c>
      <c r="H1647" s="22"/>
    </row>
    <row r="1648" spans="1:8">
      <c r="A1648" s="21"/>
      <c r="B1648" s="28"/>
      <c r="C1648" s="22"/>
      <c r="D1648" s="28"/>
      <c r="E1648" s="23" t="str">
        <f>IF($D1648="","",IFERROR(VLOOKUP($D1648,'ACAS Consumables Tracker'!$A:$H,8,FALSE()),""))</f>
        <v/>
      </c>
      <c r="F1648" s="24"/>
      <c r="G1648" s="25" t="str">
        <f>IF($D1648="","",IFERROR(VLOOKUP($D1648,'ACAS Consumables Tracker'!$A:$D,4,FALSE()),""))</f>
        <v/>
      </c>
      <c r="H1648" s="22"/>
    </row>
    <row r="1649" spans="1:8">
      <c r="A1649" s="21"/>
      <c r="B1649" s="28"/>
      <c r="C1649" s="22"/>
      <c r="D1649" s="28"/>
      <c r="E1649" s="23" t="str">
        <f>IF($D1649="","",IFERROR(VLOOKUP($D1649,'ACAS Consumables Tracker'!$A:$H,8,FALSE()),""))</f>
        <v/>
      </c>
      <c r="F1649" s="24"/>
      <c r="G1649" s="25" t="str">
        <f>IF($D1649="","",IFERROR(VLOOKUP($D1649,'ACAS Consumables Tracker'!$A:$D,4,FALSE()),""))</f>
        <v/>
      </c>
      <c r="H1649" s="22"/>
    </row>
    <row r="1650" spans="1:8">
      <c r="A1650" s="21"/>
      <c r="B1650" s="28"/>
      <c r="C1650" s="22"/>
      <c r="D1650" s="28"/>
      <c r="E1650" s="23" t="str">
        <f>IF($D1650="","",IFERROR(VLOOKUP($D1650,'ACAS Consumables Tracker'!$A:$H,8,FALSE()),""))</f>
        <v/>
      </c>
      <c r="F1650" s="24"/>
      <c r="G1650" s="25" t="str">
        <f>IF($D1650="","",IFERROR(VLOOKUP($D1650,'ACAS Consumables Tracker'!$A:$D,4,FALSE()),""))</f>
        <v/>
      </c>
      <c r="H1650" s="22"/>
    </row>
    <row r="1651" spans="1:8">
      <c r="A1651" s="21"/>
      <c r="B1651" s="28"/>
      <c r="C1651" s="22"/>
      <c r="D1651" s="28"/>
      <c r="E1651" s="23" t="str">
        <f>IF($D1651="","",IFERROR(VLOOKUP($D1651,'ACAS Consumables Tracker'!$A:$H,8,FALSE()),""))</f>
        <v/>
      </c>
      <c r="F1651" s="24"/>
      <c r="G1651" s="25" t="str">
        <f>IF($D1651="","",IFERROR(VLOOKUP($D1651,'ACAS Consumables Tracker'!$A:$D,4,FALSE()),""))</f>
        <v/>
      </c>
      <c r="H1651" s="22"/>
    </row>
    <row r="1652" spans="1:8">
      <c r="A1652" s="21"/>
      <c r="B1652" s="28"/>
      <c r="C1652" s="22"/>
      <c r="D1652" s="28"/>
      <c r="E1652" s="23" t="str">
        <f>IF($D1652="","",IFERROR(VLOOKUP($D1652,'ACAS Consumables Tracker'!$A:$H,8,FALSE()),""))</f>
        <v/>
      </c>
      <c r="F1652" s="24"/>
      <c r="G1652" s="25" t="str">
        <f>IF($D1652="","",IFERROR(VLOOKUP($D1652,'ACAS Consumables Tracker'!$A:$D,4,FALSE()),""))</f>
        <v/>
      </c>
      <c r="H1652" s="22"/>
    </row>
    <row r="1653" spans="1:8">
      <c r="A1653" s="21"/>
      <c r="B1653" s="28"/>
      <c r="C1653" s="22"/>
      <c r="D1653" s="28"/>
      <c r="E1653" s="23" t="str">
        <f>IF($D1653="","",IFERROR(VLOOKUP($D1653,'ACAS Consumables Tracker'!$A:$H,8,FALSE()),""))</f>
        <v/>
      </c>
      <c r="F1653" s="24"/>
      <c r="G1653" s="25" t="str">
        <f>IF($D1653="","",IFERROR(VLOOKUP($D1653,'ACAS Consumables Tracker'!$A:$D,4,FALSE()),""))</f>
        <v/>
      </c>
      <c r="H1653" s="22"/>
    </row>
    <row r="1654" spans="1:8">
      <c r="A1654" s="21"/>
      <c r="B1654" s="28"/>
      <c r="C1654" s="22"/>
      <c r="D1654" s="28"/>
      <c r="E1654" s="23" t="str">
        <f>IF($D1654="","",IFERROR(VLOOKUP($D1654,'ACAS Consumables Tracker'!$A:$H,8,FALSE()),""))</f>
        <v/>
      </c>
      <c r="F1654" s="24"/>
      <c r="G1654" s="25" t="str">
        <f>IF($D1654="","",IFERROR(VLOOKUP($D1654,'ACAS Consumables Tracker'!$A:$D,4,FALSE()),""))</f>
        <v/>
      </c>
      <c r="H1654" s="22"/>
    </row>
    <row r="1655" spans="1:8">
      <c r="A1655" s="21"/>
      <c r="B1655" s="28"/>
      <c r="C1655" s="22"/>
      <c r="D1655" s="28"/>
      <c r="E1655" s="23" t="str">
        <f>IF($D1655="","",IFERROR(VLOOKUP($D1655,'ACAS Consumables Tracker'!$A:$H,8,FALSE()),""))</f>
        <v/>
      </c>
      <c r="F1655" s="24"/>
      <c r="G1655" s="25" t="str">
        <f>IF($D1655="","",IFERROR(VLOOKUP($D1655,'ACAS Consumables Tracker'!$A:$D,4,FALSE()),""))</f>
        <v/>
      </c>
      <c r="H1655" s="22"/>
    </row>
    <row r="1656" spans="1:8">
      <c r="A1656" s="21"/>
      <c r="B1656" s="28"/>
      <c r="C1656" s="22"/>
      <c r="D1656" s="28"/>
      <c r="E1656" s="23" t="str">
        <f>IF($D1656="","",IFERROR(VLOOKUP($D1656,'ACAS Consumables Tracker'!$A:$H,8,FALSE()),""))</f>
        <v/>
      </c>
      <c r="F1656" s="24"/>
      <c r="G1656" s="25" t="str">
        <f>IF($D1656="","",IFERROR(VLOOKUP($D1656,'ACAS Consumables Tracker'!$A:$D,4,FALSE()),""))</f>
        <v/>
      </c>
      <c r="H1656" s="22"/>
    </row>
    <row r="1657" spans="1:8">
      <c r="A1657" s="21"/>
      <c r="B1657" s="28"/>
      <c r="C1657" s="22"/>
      <c r="D1657" s="28"/>
      <c r="E1657" s="23" t="str">
        <f>IF($D1657="","",IFERROR(VLOOKUP($D1657,'ACAS Consumables Tracker'!$A:$H,8,FALSE()),""))</f>
        <v/>
      </c>
      <c r="F1657" s="24"/>
      <c r="G1657" s="25" t="str">
        <f>IF($D1657="","",IFERROR(VLOOKUP($D1657,'ACAS Consumables Tracker'!$A:$D,4,FALSE()),""))</f>
        <v/>
      </c>
      <c r="H1657" s="22"/>
    </row>
    <row r="1658" spans="1:8">
      <c r="A1658" s="21"/>
      <c r="B1658" s="28"/>
      <c r="C1658" s="22"/>
      <c r="D1658" s="28"/>
      <c r="E1658" s="23" t="str">
        <f>IF($D1658="","",IFERROR(VLOOKUP($D1658,'ACAS Consumables Tracker'!$A:$H,8,FALSE()),""))</f>
        <v/>
      </c>
      <c r="F1658" s="24"/>
      <c r="G1658" s="25" t="str">
        <f>IF($D1658="","",IFERROR(VLOOKUP($D1658,'ACAS Consumables Tracker'!$A:$D,4,FALSE()),""))</f>
        <v/>
      </c>
      <c r="H1658" s="22"/>
    </row>
    <row r="1659" spans="1:8">
      <c r="A1659" s="21"/>
      <c r="B1659" s="28"/>
      <c r="C1659" s="22"/>
      <c r="D1659" s="28"/>
      <c r="E1659" s="23" t="str">
        <f>IF($D1659="","",IFERROR(VLOOKUP($D1659,'ACAS Consumables Tracker'!$A:$H,8,FALSE()),""))</f>
        <v/>
      </c>
      <c r="F1659" s="24"/>
      <c r="G1659" s="25" t="str">
        <f>IF($D1659="","",IFERROR(VLOOKUP($D1659,'ACAS Consumables Tracker'!$A:$D,4,FALSE()),""))</f>
        <v/>
      </c>
      <c r="H1659" s="22"/>
    </row>
    <row r="1660" spans="1:8">
      <c r="A1660" s="21"/>
      <c r="B1660" s="28"/>
      <c r="C1660" s="22"/>
      <c r="D1660" s="28"/>
      <c r="E1660" s="23" t="str">
        <f>IF($D1660="","",IFERROR(VLOOKUP($D1660,'ACAS Consumables Tracker'!$A:$H,8,FALSE()),""))</f>
        <v/>
      </c>
      <c r="F1660" s="24"/>
      <c r="G1660" s="25" t="str">
        <f>IF($D1660="","",IFERROR(VLOOKUP($D1660,'ACAS Consumables Tracker'!$A:$D,4,FALSE()),""))</f>
        <v/>
      </c>
      <c r="H1660" s="22"/>
    </row>
    <row r="1661" spans="1:8">
      <c r="A1661" s="21"/>
      <c r="B1661" s="28"/>
      <c r="C1661" s="22"/>
      <c r="D1661" s="28"/>
      <c r="E1661" s="23" t="str">
        <f>IF($D1661="","",IFERROR(VLOOKUP($D1661,'ACAS Consumables Tracker'!$A:$H,8,FALSE()),""))</f>
        <v/>
      </c>
      <c r="F1661" s="24"/>
      <c r="G1661" s="25" t="str">
        <f>IF($D1661="","",IFERROR(VLOOKUP($D1661,'ACAS Consumables Tracker'!$A:$D,4,FALSE()),""))</f>
        <v/>
      </c>
      <c r="H1661" s="22"/>
    </row>
    <row r="1662" spans="1:8">
      <c r="A1662" s="21"/>
      <c r="B1662" s="28"/>
      <c r="C1662" s="22"/>
      <c r="D1662" s="28"/>
      <c r="E1662" s="23" t="str">
        <f>IF($D1662="","",IFERROR(VLOOKUP($D1662,'ACAS Consumables Tracker'!$A:$H,8,FALSE()),""))</f>
        <v/>
      </c>
      <c r="F1662" s="24"/>
      <c r="G1662" s="25" t="str">
        <f>IF($D1662="","",IFERROR(VLOOKUP($D1662,'ACAS Consumables Tracker'!$A:$D,4,FALSE()),""))</f>
        <v/>
      </c>
      <c r="H1662" s="22"/>
    </row>
    <row r="1663" spans="1:8">
      <c r="A1663" s="21"/>
      <c r="B1663" s="28"/>
      <c r="C1663" s="22"/>
      <c r="D1663" s="28"/>
      <c r="E1663" s="23" t="str">
        <f>IF($D1663="","",IFERROR(VLOOKUP($D1663,'ACAS Consumables Tracker'!$A:$H,8,FALSE()),""))</f>
        <v/>
      </c>
      <c r="F1663" s="24"/>
      <c r="G1663" s="25" t="str">
        <f>IF($D1663="","",IFERROR(VLOOKUP($D1663,'ACAS Consumables Tracker'!$A:$D,4,FALSE()),""))</f>
        <v/>
      </c>
      <c r="H1663" s="22"/>
    </row>
    <row r="1664" spans="1:8">
      <c r="A1664" s="21"/>
      <c r="B1664" s="28"/>
      <c r="C1664" s="22"/>
      <c r="D1664" s="28"/>
      <c r="E1664" s="23" t="str">
        <f>IF($D1664="","",IFERROR(VLOOKUP($D1664,'ACAS Consumables Tracker'!$A:$H,8,FALSE()),""))</f>
        <v/>
      </c>
      <c r="F1664" s="24"/>
      <c r="G1664" s="25" t="str">
        <f>IF($D1664="","",IFERROR(VLOOKUP($D1664,'ACAS Consumables Tracker'!$A:$D,4,FALSE()),""))</f>
        <v/>
      </c>
      <c r="H1664" s="22"/>
    </row>
    <row r="1665" spans="1:8">
      <c r="A1665" s="21"/>
      <c r="B1665" s="28"/>
      <c r="C1665" s="22"/>
      <c r="D1665" s="28"/>
      <c r="E1665" s="23" t="str">
        <f>IF($D1665="","",IFERROR(VLOOKUP($D1665,'ACAS Consumables Tracker'!$A:$H,8,FALSE()),""))</f>
        <v/>
      </c>
      <c r="F1665" s="24"/>
      <c r="G1665" s="25" t="str">
        <f>IF($D1665="","",IFERROR(VLOOKUP($D1665,'ACAS Consumables Tracker'!$A:$D,4,FALSE()),""))</f>
        <v/>
      </c>
      <c r="H1665" s="22"/>
    </row>
    <row r="1666" spans="1:8">
      <c r="A1666" s="21"/>
      <c r="B1666" s="28"/>
      <c r="C1666" s="22"/>
      <c r="D1666" s="28"/>
      <c r="E1666" s="23" t="str">
        <f>IF($D1666="","",IFERROR(VLOOKUP($D1666,'ACAS Consumables Tracker'!$A:$H,8,FALSE()),""))</f>
        <v/>
      </c>
      <c r="F1666" s="24"/>
      <c r="G1666" s="25" t="str">
        <f>IF($D1666="","",IFERROR(VLOOKUP($D1666,'ACAS Consumables Tracker'!$A:$D,4,FALSE()),""))</f>
        <v/>
      </c>
      <c r="H1666" s="22"/>
    </row>
    <row r="1667" spans="1:8">
      <c r="A1667" s="21"/>
      <c r="B1667" s="28"/>
      <c r="C1667" s="22"/>
      <c r="D1667" s="28"/>
      <c r="E1667" s="23" t="str">
        <f>IF($D1667="","",IFERROR(VLOOKUP($D1667,'ACAS Consumables Tracker'!$A:$H,8,FALSE()),""))</f>
        <v/>
      </c>
      <c r="F1667" s="24"/>
      <c r="G1667" s="25" t="str">
        <f>IF($D1667="","",IFERROR(VLOOKUP($D1667,'ACAS Consumables Tracker'!$A:$D,4,FALSE()),""))</f>
        <v/>
      </c>
      <c r="H1667" s="22"/>
    </row>
    <row r="1668" spans="1:8">
      <c r="A1668" s="21"/>
      <c r="B1668" s="28"/>
      <c r="C1668" s="22"/>
      <c r="D1668" s="28"/>
      <c r="E1668" s="23" t="str">
        <f>IF($D1668="","",IFERROR(VLOOKUP($D1668,'ACAS Consumables Tracker'!$A:$H,8,FALSE()),""))</f>
        <v/>
      </c>
      <c r="F1668" s="24"/>
      <c r="G1668" s="25" t="str">
        <f>IF($D1668="","",IFERROR(VLOOKUP($D1668,'ACAS Consumables Tracker'!$A:$D,4,FALSE()),""))</f>
        <v/>
      </c>
      <c r="H1668" s="22"/>
    </row>
    <row r="1669" spans="1:8">
      <c r="A1669" s="21"/>
      <c r="B1669" s="28"/>
      <c r="C1669" s="22"/>
      <c r="D1669" s="28"/>
      <c r="E1669" s="23" t="str">
        <f>IF($D1669="","",IFERROR(VLOOKUP($D1669,'ACAS Consumables Tracker'!$A:$H,8,FALSE()),""))</f>
        <v/>
      </c>
      <c r="F1669" s="24"/>
      <c r="G1669" s="25" t="str">
        <f>IF($D1669="","",IFERROR(VLOOKUP($D1669,'ACAS Consumables Tracker'!$A:$D,4,FALSE()),""))</f>
        <v/>
      </c>
      <c r="H1669" s="22"/>
    </row>
    <row r="1670" spans="1:8">
      <c r="A1670" s="21"/>
      <c r="B1670" s="28"/>
      <c r="C1670" s="22"/>
      <c r="D1670" s="28"/>
      <c r="E1670" s="23" t="str">
        <f>IF($D1670="","",IFERROR(VLOOKUP($D1670,'ACAS Consumables Tracker'!$A:$H,8,FALSE()),""))</f>
        <v/>
      </c>
      <c r="F1670" s="24"/>
      <c r="G1670" s="25" t="str">
        <f>IF($D1670="","",IFERROR(VLOOKUP($D1670,'ACAS Consumables Tracker'!$A:$D,4,FALSE()),""))</f>
        <v/>
      </c>
      <c r="H1670" s="22"/>
    </row>
    <row r="1671" spans="1:8">
      <c r="A1671" s="21"/>
      <c r="B1671" s="28"/>
      <c r="C1671" s="22"/>
      <c r="D1671" s="28"/>
      <c r="E1671" s="23" t="str">
        <f>IF($D1671="","",IFERROR(VLOOKUP($D1671,'ACAS Consumables Tracker'!$A:$H,8,FALSE()),""))</f>
        <v/>
      </c>
      <c r="F1671" s="24"/>
      <c r="G1671" s="25" t="str">
        <f>IF($D1671="","",IFERROR(VLOOKUP($D1671,'ACAS Consumables Tracker'!$A:$D,4,FALSE()),""))</f>
        <v/>
      </c>
      <c r="H1671" s="22"/>
    </row>
    <row r="1672" spans="1:8">
      <c r="A1672" s="21"/>
      <c r="B1672" s="28"/>
      <c r="C1672" s="22"/>
      <c r="D1672" s="28"/>
      <c r="E1672" s="23" t="str">
        <f>IF($D1672="","",IFERROR(VLOOKUP($D1672,'ACAS Consumables Tracker'!$A:$H,8,FALSE()),""))</f>
        <v/>
      </c>
      <c r="F1672" s="24"/>
      <c r="G1672" s="25" t="str">
        <f>IF($D1672="","",IFERROR(VLOOKUP($D1672,'ACAS Consumables Tracker'!$A:$D,4,FALSE()),""))</f>
        <v/>
      </c>
      <c r="H1672" s="22"/>
    </row>
    <row r="1673" spans="1:8">
      <c r="A1673" s="21"/>
      <c r="B1673" s="28"/>
      <c r="C1673" s="22"/>
      <c r="D1673" s="28"/>
      <c r="E1673" s="23" t="str">
        <f>IF($D1673="","",IFERROR(VLOOKUP($D1673,'ACAS Consumables Tracker'!$A:$H,8,FALSE()),""))</f>
        <v/>
      </c>
      <c r="F1673" s="24"/>
      <c r="G1673" s="25" t="str">
        <f>IF($D1673="","",IFERROR(VLOOKUP($D1673,'ACAS Consumables Tracker'!$A:$D,4,FALSE()),""))</f>
        <v/>
      </c>
      <c r="H1673" s="22"/>
    </row>
    <row r="1674" spans="1:8">
      <c r="A1674" s="21"/>
      <c r="B1674" s="28"/>
      <c r="C1674" s="22"/>
      <c r="D1674" s="28"/>
      <c r="E1674" s="23" t="str">
        <f>IF($D1674="","",IFERROR(VLOOKUP($D1674,'ACAS Consumables Tracker'!$A:$H,8,FALSE()),""))</f>
        <v/>
      </c>
      <c r="F1674" s="24"/>
      <c r="G1674" s="25" t="str">
        <f>IF($D1674="","",IFERROR(VLOOKUP($D1674,'ACAS Consumables Tracker'!$A:$D,4,FALSE()),""))</f>
        <v/>
      </c>
      <c r="H1674" s="22"/>
    </row>
    <row r="1675" spans="1:8">
      <c r="A1675" s="21"/>
      <c r="B1675" s="28"/>
      <c r="C1675" s="22"/>
      <c r="D1675" s="28"/>
      <c r="E1675" s="23" t="str">
        <f>IF($D1675="","",IFERROR(VLOOKUP($D1675,'ACAS Consumables Tracker'!$A:$H,8,FALSE()),""))</f>
        <v/>
      </c>
      <c r="F1675" s="24"/>
      <c r="G1675" s="25" t="str">
        <f>IF($D1675="","",IFERROR(VLOOKUP($D1675,'ACAS Consumables Tracker'!$A:$D,4,FALSE()),""))</f>
        <v/>
      </c>
      <c r="H1675" s="22"/>
    </row>
    <row r="1676" spans="1:8">
      <c r="A1676" s="21"/>
      <c r="B1676" s="28"/>
      <c r="C1676" s="22"/>
      <c r="D1676" s="28"/>
      <c r="E1676" s="23" t="str">
        <f>IF($D1676="","",IFERROR(VLOOKUP($D1676,'ACAS Consumables Tracker'!$A:$H,8,FALSE()),""))</f>
        <v/>
      </c>
      <c r="F1676" s="24"/>
      <c r="G1676" s="25" t="str">
        <f>IF($D1676="","",IFERROR(VLOOKUP($D1676,'ACAS Consumables Tracker'!$A:$D,4,FALSE()),""))</f>
        <v/>
      </c>
      <c r="H1676" s="22"/>
    </row>
    <row r="1677" spans="1:8">
      <c r="A1677" s="21"/>
      <c r="B1677" s="28"/>
      <c r="C1677" s="22"/>
      <c r="D1677" s="28"/>
      <c r="E1677" s="23" t="str">
        <f>IF($D1677="","",IFERROR(VLOOKUP($D1677,'ACAS Consumables Tracker'!$A:$H,8,FALSE()),""))</f>
        <v/>
      </c>
      <c r="F1677" s="24"/>
      <c r="G1677" s="25" t="str">
        <f>IF($D1677="","",IFERROR(VLOOKUP($D1677,'ACAS Consumables Tracker'!$A:$D,4,FALSE()),""))</f>
        <v/>
      </c>
      <c r="H1677" s="22"/>
    </row>
    <row r="1678" spans="1:8">
      <c r="A1678" s="21"/>
      <c r="B1678" s="28"/>
      <c r="C1678" s="22"/>
      <c r="D1678" s="28"/>
      <c r="E1678" s="23" t="str">
        <f>IF($D1678="","",IFERROR(VLOOKUP($D1678,'ACAS Consumables Tracker'!$A:$H,8,FALSE()),""))</f>
        <v/>
      </c>
      <c r="F1678" s="24"/>
      <c r="G1678" s="25" t="str">
        <f>IF($D1678="","",IFERROR(VLOOKUP($D1678,'ACAS Consumables Tracker'!$A:$D,4,FALSE()),""))</f>
        <v/>
      </c>
      <c r="H1678" s="22"/>
    </row>
    <row r="1679" spans="1:8">
      <c r="A1679" s="21"/>
      <c r="B1679" s="28"/>
      <c r="C1679" s="22"/>
      <c r="D1679" s="28"/>
      <c r="E1679" s="23" t="str">
        <f>IF($D1679="","",IFERROR(VLOOKUP($D1679,'ACAS Consumables Tracker'!$A:$H,8,FALSE()),""))</f>
        <v/>
      </c>
      <c r="F1679" s="24"/>
      <c r="G1679" s="25" t="str">
        <f>IF($D1679="","",IFERROR(VLOOKUP($D1679,'ACAS Consumables Tracker'!$A:$D,4,FALSE()),""))</f>
        <v/>
      </c>
      <c r="H1679" s="22"/>
    </row>
    <row r="1680" spans="1:8">
      <c r="A1680" s="21"/>
      <c r="B1680" s="28"/>
      <c r="C1680" s="22"/>
      <c r="D1680" s="28"/>
      <c r="E1680" s="23" t="str">
        <f>IF($D1680="","",IFERROR(VLOOKUP($D1680,'ACAS Consumables Tracker'!$A:$H,8,FALSE()),""))</f>
        <v/>
      </c>
      <c r="F1680" s="24"/>
      <c r="G1680" s="25" t="str">
        <f>IF($D1680="","",IFERROR(VLOOKUP($D1680,'ACAS Consumables Tracker'!$A:$D,4,FALSE()),""))</f>
        <v/>
      </c>
      <c r="H1680" s="22"/>
    </row>
    <row r="1681" spans="1:8">
      <c r="A1681" s="21"/>
      <c r="B1681" s="28"/>
      <c r="C1681" s="22"/>
      <c r="D1681" s="28"/>
      <c r="E1681" s="23" t="str">
        <f>IF($D1681="","",IFERROR(VLOOKUP($D1681,'ACAS Consumables Tracker'!$A:$H,8,FALSE()),""))</f>
        <v/>
      </c>
      <c r="F1681" s="24"/>
      <c r="G1681" s="25" t="str">
        <f>IF($D1681="","",IFERROR(VLOOKUP($D1681,'ACAS Consumables Tracker'!$A:$D,4,FALSE()),""))</f>
        <v/>
      </c>
      <c r="H1681" s="22"/>
    </row>
    <row r="1682" spans="1:8">
      <c r="A1682" s="21"/>
      <c r="B1682" s="28"/>
      <c r="C1682" s="22"/>
      <c r="D1682" s="28"/>
      <c r="E1682" s="23" t="str">
        <f>IF($D1682="","",IFERROR(VLOOKUP($D1682,'ACAS Consumables Tracker'!$A:$H,8,FALSE()),""))</f>
        <v/>
      </c>
      <c r="F1682" s="24"/>
      <c r="G1682" s="25" t="str">
        <f>IF($D1682="","",IFERROR(VLOOKUP($D1682,'ACAS Consumables Tracker'!$A:$D,4,FALSE()),""))</f>
        <v/>
      </c>
      <c r="H1682" s="22"/>
    </row>
    <row r="1683" spans="1:8">
      <c r="A1683" s="21"/>
      <c r="B1683" s="28"/>
      <c r="C1683" s="22"/>
      <c r="D1683" s="28"/>
      <c r="E1683" s="23" t="str">
        <f>IF($D1683="","",IFERROR(VLOOKUP($D1683,'ACAS Consumables Tracker'!$A:$H,8,FALSE()),""))</f>
        <v/>
      </c>
      <c r="F1683" s="24"/>
      <c r="G1683" s="25" t="str">
        <f>IF($D1683="","",IFERROR(VLOOKUP($D1683,'ACAS Consumables Tracker'!$A:$D,4,FALSE()),""))</f>
        <v/>
      </c>
      <c r="H1683" s="22"/>
    </row>
    <row r="1684" spans="1:8">
      <c r="A1684" s="21"/>
      <c r="B1684" s="28"/>
      <c r="C1684" s="22"/>
      <c r="D1684" s="28"/>
      <c r="E1684" s="23" t="str">
        <f>IF($D1684="","",IFERROR(VLOOKUP($D1684,'ACAS Consumables Tracker'!$A:$H,8,FALSE()),""))</f>
        <v/>
      </c>
      <c r="F1684" s="24"/>
      <c r="G1684" s="25" t="str">
        <f>IF($D1684="","",IFERROR(VLOOKUP($D1684,'ACAS Consumables Tracker'!$A:$D,4,FALSE()),""))</f>
        <v/>
      </c>
      <c r="H1684" s="22"/>
    </row>
    <row r="1685" spans="1:8">
      <c r="A1685" s="21"/>
      <c r="B1685" s="28"/>
      <c r="C1685" s="22"/>
      <c r="D1685" s="28"/>
      <c r="E1685" s="23" t="str">
        <f>IF($D1685="","",IFERROR(VLOOKUP($D1685,'ACAS Consumables Tracker'!$A:$H,8,FALSE()),""))</f>
        <v/>
      </c>
      <c r="F1685" s="24"/>
      <c r="G1685" s="25" t="str">
        <f>IF($D1685="","",IFERROR(VLOOKUP($D1685,'ACAS Consumables Tracker'!$A:$D,4,FALSE()),""))</f>
        <v/>
      </c>
      <c r="H1685" s="22"/>
    </row>
    <row r="1686" spans="1:8">
      <c r="A1686" s="21"/>
      <c r="B1686" s="28"/>
      <c r="C1686" s="22"/>
      <c r="D1686" s="28"/>
      <c r="E1686" s="23" t="str">
        <f>IF($D1686="","",IFERROR(VLOOKUP($D1686,'ACAS Consumables Tracker'!$A:$H,8,FALSE()),""))</f>
        <v/>
      </c>
      <c r="F1686" s="24"/>
      <c r="G1686" s="25" t="str">
        <f>IF($D1686="","",IFERROR(VLOOKUP($D1686,'ACAS Consumables Tracker'!$A:$D,4,FALSE()),""))</f>
        <v/>
      </c>
      <c r="H1686" s="22"/>
    </row>
    <row r="1687" spans="1:8">
      <c r="A1687" s="21"/>
      <c r="B1687" s="28"/>
      <c r="C1687" s="22"/>
      <c r="D1687" s="28"/>
      <c r="E1687" s="23" t="str">
        <f>IF($D1687="","",IFERROR(VLOOKUP($D1687,'ACAS Consumables Tracker'!$A:$H,8,FALSE()),""))</f>
        <v/>
      </c>
      <c r="F1687" s="24"/>
      <c r="G1687" s="25" t="str">
        <f>IF($D1687="","",IFERROR(VLOOKUP($D1687,'ACAS Consumables Tracker'!$A:$D,4,FALSE()),""))</f>
        <v/>
      </c>
      <c r="H1687" s="22"/>
    </row>
    <row r="1688" spans="1:8">
      <c r="A1688" s="21"/>
      <c r="B1688" s="28"/>
      <c r="C1688" s="22"/>
      <c r="D1688" s="28"/>
      <c r="E1688" s="23" t="str">
        <f>IF($D1688="","",IFERROR(VLOOKUP($D1688,'ACAS Consumables Tracker'!$A:$H,8,FALSE()),""))</f>
        <v/>
      </c>
      <c r="F1688" s="24"/>
      <c r="G1688" s="25" t="str">
        <f>IF($D1688="","",IFERROR(VLOOKUP($D1688,'ACAS Consumables Tracker'!$A:$D,4,FALSE()),""))</f>
        <v/>
      </c>
      <c r="H1688" s="22"/>
    </row>
    <row r="1689" spans="1:8">
      <c r="A1689" s="21"/>
      <c r="B1689" s="28"/>
      <c r="C1689" s="22"/>
      <c r="D1689" s="28"/>
      <c r="E1689" s="23" t="str">
        <f>IF($D1689="","",IFERROR(VLOOKUP($D1689,'ACAS Consumables Tracker'!$A:$H,8,FALSE()),""))</f>
        <v/>
      </c>
      <c r="F1689" s="24"/>
      <c r="G1689" s="25" t="str">
        <f>IF($D1689="","",IFERROR(VLOOKUP($D1689,'ACAS Consumables Tracker'!$A:$D,4,FALSE()),""))</f>
        <v/>
      </c>
      <c r="H1689" s="22"/>
    </row>
    <row r="1690" spans="1:8">
      <c r="A1690" s="21"/>
      <c r="B1690" s="28"/>
      <c r="C1690" s="22"/>
      <c r="D1690" s="28"/>
      <c r="E1690" s="23" t="str">
        <f>IF($D1690="","",IFERROR(VLOOKUP($D1690,'ACAS Consumables Tracker'!$A:$H,8,FALSE()),""))</f>
        <v/>
      </c>
      <c r="F1690" s="24"/>
      <c r="G1690" s="25" t="str">
        <f>IF($D1690="","",IFERROR(VLOOKUP($D1690,'ACAS Consumables Tracker'!$A:$D,4,FALSE()),""))</f>
        <v/>
      </c>
      <c r="H1690" s="22"/>
    </row>
    <row r="1691" spans="1:8">
      <c r="A1691" s="21"/>
      <c r="B1691" s="28"/>
      <c r="C1691" s="22"/>
      <c r="D1691" s="28"/>
      <c r="E1691" s="23" t="str">
        <f>IF($D1691="","",IFERROR(VLOOKUP($D1691,'ACAS Consumables Tracker'!$A:$H,8,FALSE()),""))</f>
        <v/>
      </c>
      <c r="F1691" s="24"/>
      <c r="G1691" s="25" t="str">
        <f>IF($D1691="","",IFERROR(VLOOKUP($D1691,'ACAS Consumables Tracker'!$A:$D,4,FALSE()),""))</f>
        <v/>
      </c>
      <c r="H1691" s="22"/>
    </row>
    <row r="1692" spans="1:8">
      <c r="A1692" s="21"/>
      <c r="B1692" s="28"/>
      <c r="C1692" s="22"/>
      <c r="D1692" s="28"/>
      <c r="E1692" s="23" t="str">
        <f>IF($D1692="","",IFERROR(VLOOKUP($D1692,'ACAS Consumables Tracker'!$A:$H,8,FALSE()),""))</f>
        <v/>
      </c>
      <c r="F1692" s="24"/>
      <c r="G1692" s="25" t="str">
        <f>IF($D1692="","",IFERROR(VLOOKUP($D1692,'ACAS Consumables Tracker'!$A:$D,4,FALSE()),""))</f>
        <v/>
      </c>
      <c r="H1692" s="22"/>
    </row>
    <row r="1693" spans="1:8">
      <c r="A1693" s="21"/>
      <c r="B1693" s="28"/>
      <c r="C1693" s="22"/>
      <c r="D1693" s="28"/>
      <c r="E1693" s="23" t="str">
        <f>IF($D1693="","",IFERROR(VLOOKUP($D1693,'ACAS Consumables Tracker'!$A:$H,8,FALSE()),""))</f>
        <v/>
      </c>
      <c r="F1693" s="24"/>
      <c r="G1693" s="25" t="str">
        <f>IF($D1693="","",IFERROR(VLOOKUP($D1693,'ACAS Consumables Tracker'!$A:$D,4,FALSE()),""))</f>
        <v/>
      </c>
      <c r="H1693" s="22"/>
    </row>
    <row r="1694" spans="1:8">
      <c r="A1694" s="21"/>
      <c r="B1694" s="28"/>
      <c r="C1694" s="22"/>
      <c r="D1694" s="28"/>
      <c r="E1694" s="23" t="str">
        <f>IF($D1694="","",IFERROR(VLOOKUP($D1694,'ACAS Consumables Tracker'!$A:$H,8,FALSE()),""))</f>
        <v/>
      </c>
      <c r="F1694" s="24"/>
      <c r="G1694" s="25" t="str">
        <f>IF($D1694="","",IFERROR(VLOOKUP($D1694,'ACAS Consumables Tracker'!$A:$D,4,FALSE()),""))</f>
        <v/>
      </c>
      <c r="H1694" s="22"/>
    </row>
    <row r="1695" spans="1:8">
      <c r="A1695" s="21"/>
      <c r="B1695" s="28"/>
      <c r="C1695" s="22"/>
      <c r="D1695" s="28"/>
      <c r="E1695" s="23" t="str">
        <f>IF($D1695="","",IFERROR(VLOOKUP($D1695,'ACAS Consumables Tracker'!$A:$H,8,FALSE()),""))</f>
        <v/>
      </c>
      <c r="F1695" s="24"/>
      <c r="G1695" s="25" t="str">
        <f>IF($D1695="","",IFERROR(VLOOKUP($D1695,'ACAS Consumables Tracker'!$A:$D,4,FALSE()),""))</f>
        <v/>
      </c>
      <c r="H1695" s="22"/>
    </row>
    <row r="1696" spans="1:8">
      <c r="A1696" s="21"/>
      <c r="B1696" s="28"/>
      <c r="C1696" s="22"/>
      <c r="D1696" s="28"/>
      <c r="E1696" s="23" t="str">
        <f>IF($D1696="","",IFERROR(VLOOKUP($D1696,'ACAS Consumables Tracker'!$A:$H,8,FALSE()),""))</f>
        <v/>
      </c>
      <c r="F1696" s="24"/>
      <c r="G1696" s="25" t="str">
        <f>IF($D1696="","",IFERROR(VLOOKUP($D1696,'ACAS Consumables Tracker'!$A:$D,4,FALSE()),""))</f>
        <v/>
      </c>
      <c r="H1696" s="22"/>
    </row>
    <row r="1697" spans="1:8">
      <c r="A1697" s="21"/>
      <c r="B1697" s="28"/>
      <c r="C1697" s="22"/>
      <c r="D1697" s="28"/>
      <c r="E1697" s="23" t="str">
        <f>IF($D1697="","",IFERROR(VLOOKUP($D1697,'ACAS Consumables Tracker'!$A:$H,8,FALSE()),""))</f>
        <v/>
      </c>
      <c r="F1697" s="24"/>
      <c r="G1697" s="25" t="str">
        <f>IF($D1697="","",IFERROR(VLOOKUP($D1697,'ACAS Consumables Tracker'!$A:$D,4,FALSE()),""))</f>
        <v/>
      </c>
      <c r="H1697" s="22"/>
    </row>
    <row r="1698" spans="1:8">
      <c r="A1698" s="21"/>
      <c r="B1698" s="28"/>
      <c r="C1698" s="22"/>
      <c r="D1698" s="28"/>
      <c r="E1698" s="23" t="str">
        <f>IF($D1698="","",IFERROR(VLOOKUP($D1698,'ACAS Consumables Tracker'!$A:$H,8,FALSE()),""))</f>
        <v/>
      </c>
      <c r="F1698" s="24"/>
      <c r="G1698" s="25" t="str">
        <f>IF($D1698="","",IFERROR(VLOOKUP($D1698,'ACAS Consumables Tracker'!$A:$D,4,FALSE()),""))</f>
        <v/>
      </c>
      <c r="H1698" s="22"/>
    </row>
    <row r="1699" spans="1:8">
      <c r="A1699" s="21"/>
      <c r="B1699" s="28"/>
      <c r="C1699" s="22"/>
      <c r="D1699" s="28"/>
      <c r="E1699" s="23" t="str">
        <f>IF($D1699="","",IFERROR(VLOOKUP($D1699,'ACAS Consumables Tracker'!$A:$H,8,FALSE()),""))</f>
        <v/>
      </c>
      <c r="F1699" s="24"/>
      <c r="G1699" s="25" t="str">
        <f>IF($D1699="","",IFERROR(VLOOKUP($D1699,'ACAS Consumables Tracker'!$A:$D,4,FALSE()),""))</f>
        <v/>
      </c>
      <c r="H1699" s="22"/>
    </row>
    <row r="1700" spans="1:8">
      <c r="A1700" s="21"/>
      <c r="B1700" s="28"/>
      <c r="C1700" s="22"/>
      <c r="D1700" s="28"/>
      <c r="E1700" s="23" t="str">
        <f>IF($D1700="","",IFERROR(VLOOKUP($D1700,'ACAS Consumables Tracker'!$A:$H,8,FALSE()),""))</f>
        <v/>
      </c>
      <c r="F1700" s="24"/>
      <c r="G1700" s="25" t="str">
        <f>IF($D1700="","",IFERROR(VLOOKUP($D1700,'ACAS Consumables Tracker'!$A:$D,4,FALSE()),""))</f>
        <v/>
      </c>
      <c r="H1700" s="22"/>
    </row>
    <row r="1701" spans="1:8">
      <c r="A1701" s="21"/>
      <c r="B1701" s="28"/>
      <c r="C1701" s="22"/>
      <c r="D1701" s="28"/>
      <c r="E1701" s="23" t="str">
        <f>IF($D1701="","",IFERROR(VLOOKUP($D1701,'ACAS Consumables Tracker'!$A:$H,8,FALSE()),""))</f>
        <v/>
      </c>
      <c r="F1701" s="24"/>
      <c r="G1701" s="25" t="str">
        <f>IF($D1701="","",IFERROR(VLOOKUP($D1701,'ACAS Consumables Tracker'!$A:$D,4,FALSE()),""))</f>
        <v/>
      </c>
      <c r="H1701" s="22"/>
    </row>
    <row r="1702" spans="1:8">
      <c r="A1702" s="21"/>
      <c r="B1702" s="28"/>
      <c r="C1702" s="22"/>
      <c r="D1702" s="28"/>
      <c r="E1702" s="23" t="str">
        <f>IF($D1702="","",IFERROR(VLOOKUP($D1702,'ACAS Consumables Tracker'!$A:$H,8,FALSE()),""))</f>
        <v/>
      </c>
      <c r="F1702" s="24"/>
      <c r="G1702" s="25" t="str">
        <f>IF($D1702="","",IFERROR(VLOOKUP($D1702,'ACAS Consumables Tracker'!$A:$D,4,FALSE()),""))</f>
        <v/>
      </c>
      <c r="H1702" s="22"/>
    </row>
    <row r="1703" spans="1:8">
      <c r="A1703" s="21"/>
      <c r="B1703" s="28"/>
      <c r="C1703" s="22"/>
      <c r="D1703" s="28"/>
      <c r="E1703" s="23" t="str">
        <f>IF($D1703="","",IFERROR(VLOOKUP($D1703,'ACAS Consumables Tracker'!$A:$H,8,FALSE()),""))</f>
        <v/>
      </c>
      <c r="F1703" s="24"/>
      <c r="G1703" s="25" t="str">
        <f>IF($D1703="","",IFERROR(VLOOKUP($D1703,'ACAS Consumables Tracker'!$A:$D,4,FALSE()),""))</f>
        <v/>
      </c>
      <c r="H1703" s="22"/>
    </row>
    <row r="1704" spans="1:8">
      <c r="A1704" s="21"/>
      <c r="B1704" s="28"/>
      <c r="C1704" s="22"/>
      <c r="D1704" s="28"/>
      <c r="E1704" s="23" t="str">
        <f>IF($D1704="","",IFERROR(VLOOKUP($D1704,'ACAS Consumables Tracker'!$A:$H,8,FALSE()),""))</f>
        <v/>
      </c>
      <c r="F1704" s="24"/>
      <c r="G1704" s="25" t="str">
        <f>IF($D1704="","",IFERROR(VLOOKUP($D1704,'ACAS Consumables Tracker'!$A:$D,4,FALSE()),""))</f>
        <v/>
      </c>
      <c r="H1704" s="22"/>
    </row>
    <row r="1705" spans="1:8">
      <c r="A1705" s="21"/>
      <c r="B1705" s="28"/>
      <c r="C1705" s="22"/>
      <c r="D1705" s="28"/>
      <c r="E1705" s="23" t="str">
        <f>IF($D1705="","",IFERROR(VLOOKUP($D1705,'ACAS Consumables Tracker'!$A:$H,8,FALSE()),""))</f>
        <v/>
      </c>
      <c r="F1705" s="24"/>
      <c r="G1705" s="25" t="str">
        <f>IF($D1705="","",IFERROR(VLOOKUP($D1705,'ACAS Consumables Tracker'!$A:$D,4,FALSE()),""))</f>
        <v/>
      </c>
      <c r="H1705" s="22"/>
    </row>
    <row r="1706" spans="1:8">
      <c r="A1706" s="21"/>
      <c r="B1706" s="28"/>
      <c r="C1706" s="22"/>
      <c r="D1706" s="28"/>
      <c r="E1706" s="23" t="str">
        <f>IF($D1706="","",IFERROR(VLOOKUP($D1706,'ACAS Consumables Tracker'!$A:$H,8,FALSE()),""))</f>
        <v/>
      </c>
      <c r="F1706" s="24"/>
      <c r="G1706" s="25" t="str">
        <f>IF($D1706="","",IFERROR(VLOOKUP($D1706,'ACAS Consumables Tracker'!$A:$D,4,FALSE()),""))</f>
        <v/>
      </c>
      <c r="H1706" s="22"/>
    </row>
    <row r="1707" spans="1:8">
      <c r="A1707" s="21"/>
      <c r="B1707" s="28"/>
      <c r="C1707" s="22"/>
      <c r="D1707" s="28"/>
      <c r="E1707" s="23" t="str">
        <f>IF($D1707="","",IFERROR(VLOOKUP($D1707,'ACAS Consumables Tracker'!$A:$H,8,FALSE()),""))</f>
        <v/>
      </c>
      <c r="F1707" s="24"/>
      <c r="G1707" s="25" t="str">
        <f>IF($D1707="","",IFERROR(VLOOKUP($D1707,'ACAS Consumables Tracker'!$A:$D,4,FALSE()),""))</f>
        <v/>
      </c>
      <c r="H1707" s="22"/>
    </row>
    <row r="1708" spans="1:8">
      <c r="A1708" s="21"/>
      <c r="B1708" s="28"/>
      <c r="C1708" s="22"/>
      <c r="D1708" s="28"/>
      <c r="E1708" s="23" t="str">
        <f>IF($D1708="","",IFERROR(VLOOKUP($D1708,'ACAS Consumables Tracker'!$A:$H,8,FALSE()),""))</f>
        <v/>
      </c>
      <c r="F1708" s="24"/>
      <c r="G1708" s="25" t="str">
        <f>IF($D1708="","",IFERROR(VLOOKUP($D1708,'ACAS Consumables Tracker'!$A:$D,4,FALSE()),""))</f>
        <v/>
      </c>
      <c r="H1708" s="22"/>
    </row>
    <row r="1709" spans="1:8">
      <c r="A1709" s="21"/>
      <c r="B1709" s="28"/>
      <c r="C1709" s="22"/>
      <c r="D1709" s="28"/>
      <c r="E1709" s="23" t="str">
        <f>IF($D1709="","",IFERROR(VLOOKUP($D1709,'ACAS Consumables Tracker'!$A:$H,8,FALSE()),""))</f>
        <v/>
      </c>
      <c r="F1709" s="24"/>
      <c r="G1709" s="25" t="str">
        <f>IF($D1709="","",IFERROR(VLOOKUP($D1709,'ACAS Consumables Tracker'!$A:$D,4,FALSE()),""))</f>
        <v/>
      </c>
      <c r="H1709" s="22"/>
    </row>
    <row r="1710" spans="1:8">
      <c r="A1710" s="21"/>
      <c r="B1710" s="28"/>
      <c r="C1710" s="22"/>
      <c r="D1710" s="28"/>
      <c r="E1710" s="23" t="str">
        <f>IF($D1710="","",IFERROR(VLOOKUP($D1710,'ACAS Consumables Tracker'!$A:$H,8,FALSE()),""))</f>
        <v/>
      </c>
      <c r="F1710" s="24"/>
      <c r="G1710" s="25" t="str">
        <f>IF($D1710="","",IFERROR(VLOOKUP($D1710,'ACAS Consumables Tracker'!$A:$D,4,FALSE()),""))</f>
        <v/>
      </c>
      <c r="H1710" s="22"/>
    </row>
    <row r="1711" spans="1:8">
      <c r="A1711" s="21"/>
      <c r="B1711" s="28"/>
      <c r="C1711" s="22"/>
      <c r="D1711" s="28"/>
      <c r="E1711" s="23" t="str">
        <f>IF($D1711="","",IFERROR(VLOOKUP($D1711,'ACAS Consumables Tracker'!$A:$H,8,FALSE()),""))</f>
        <v/>
      </c>
      <c r="F1711" s="24"/>
      <c r="G1711" s="25" t="str">
        <f>IF($D1711="","",IFERROR(VLOOKUP($D1711,'ACAS Consumables Tracker'!$A:$D,4,FALSE()),""))</f>
        <v/>
      </c>
      <c r="H1711" s="22"/>
    </row>
    <row r="1712" spans="1:8">
      <c r="A1712" s="21"/>
      <c r="B1712" s="28"/>
      <c r="C1712" s="22"/>
      <c r="D1712" s="28"/>
      <c r="E1712" s="23" t="str">
        <f>IF($D1712="","",IFERROR(VLOOKUP($D1712,'ACAS Consumables Tracker'!$A:$H,8,FALSE()),""))</f>
        <v/>
      </c>
      <c r="F1712" s="24"/>
      <c r="G1712" s="25" t="str">
        <f>IF($D1712="","",IFERROR(VLOOKUP($D1712,'ACAS Consumables Tracker'!$A:$D,4,FALSE()),""))</f>
        <v/>
      </c>
      <c r="H1712" s="22"/>
    </row>
    <row r="1713" spans="1:8">
      <c r="A1713" s="21"/>
      <c r="B1713" s="28"/>
      <c r="C1713" s="22"/>
      <c r="D1713" s="28"/>
      <c r="E1713" s="23" t="str">
        <f>IF($D1713="","",IFERROR(VLOOKUP($D1713,'ACAS Consumables Tracker'!$A:$H,8,FALSE()),""))</f>
        <v/>
      </c>
      <c r="F1713" s="24"/>
      <c r="G1713" s="25" t="str">
        <f>IF($D1713="","",IFERROR(VLOOKUP($D1713,'ACAS Consumables Tracker'!$A:$D,4,FALSE()),""))</f>
        <v/>
      </c>
      <c r="H1713" s="22"/>
    </row>
    <row r="1714" spans="1:8">
      <c r="A1714" s="21"/>
      <c r="B1714" s="28"/>
      <c r="C1714" s="22"/>
      <c r="D1714" s="28"/>
      <c r="E1714" s="23" t="str">
        <f>IF($D1714="","",IFERROR(VLOOKUP($D1714,'ACAS Consumables Tracker'!$A:$H,8,FALSE()),""))</f>
        <v/>
      </c>
      <c r="F1714" s="24"/>
      <c r="G1714" s="25" t="str">
        <f>IF($D1714="","",IFERROR(VLOOKUP($D1714,'ACAS Consumables Tracker'!$A:$D,4,FALSE()),""))</f>
        <v/>
      </c>
      <c r="H1714" s="22"/>
    </row>
    <row r="1715" spans="1:8">
      <c r="A1715" s="21"/>
      <c r="B1715" s="28"/>
      <c r="C1715" s="22"/>
      <c r="D1715" s="28"/>
      <c r="E1715" s="23" t="str">
        <f>IF($D1715="","",IFERROR(VLOOKUP($D1715,'ACAS Consumables Tracker'!$A:$H,8,FALSE()),""))</f>
        <v/>
      </c>
      <c r="F1715" s="24"/>
      <c r="G1715" s="25" t="str">
        <f>IF($D1715="","",IFERROR(VLOOKUP($D1715,'ACAS Consumables Tracker'!$A:$D,4,FALSE()),""))</f>
        <v/>
      </c>
      <c r="H1715" s="22"/>
    </row>
    <row r="1716" spans="1:8">
      <c r="A1716" s="21"/>
      <c r="B1716" s="28"/>
      <c r="C1716" s="22"/>
      <c r="D1716" s="28"/>
      <c r="E1716" s="23" t="str">
        <f>IF($D1716="","",IFERROR(VLOOKUP($D1716,'ACAS Consumables Tracker'!$A:$H,8,FALSE()),""))</f>
        <v/>
      </c>
      <c r="F1716" s="24"/>
      <c r="G1716" s="25" t="str">
        <f>IF($D1716="","",IFERROR(VLOOKUP($D1716,'ACAS Consumables Tracker'!$A:$D,4,FALSE()),""))</f>
        <v/>
      </c>
      <c r="H1716" s="22"/>
    </row>
    <row r="1717" spans="1:8">
      <c r="A1717" s="21"/>
      <c r="B1717" s="28"/>
      <c r="C1717" s="22"/>
      <c r="D1717" s="28"/>
      <c r="E1717" s="23" t="str">
        <f>IF($D1717="","",IFERROR(VLOOKUP($D1717,'ACAS Consumables Tracker'!$A:$H,8,FALSE()),""))</f>
        <v/>
      </c>
      <c r="F1717" s="24"/>
      <c r="G1717" s="25" t="str">
        <f>IF($D1717="","",IFERROR(VLOOKUP($D1717,'ACAS Consumables Tracker'!$A:$D,4,FALSE()),""))</f>
        <v/>
      </c>
      <c r="H1717" s="22"/>
    </row>
    <row r="1718" spans="1:8">
      <c r="A1718" s="21"/>
      <c r="B1718" s="28"/>
      <c r="C1718" s="22"/>
      <c r="D1718" s="28"/>
      <c r="E1718" s="23" t="str">
        <f>IF($D1718="","",IFERROR(VLOOKUP($D1718,'ACAS Consumables Tracker'!$A:$H,8,FALSE()),""))</f>
        <v/>
      </c>
      <c r="F1718" s="24"/>
      <c r="G1718" s="25" t="str">
        <f>IF($D1718="","",IFERROR(VLOOKUP($D1718,'ACAS Consumables Tracker'!$A:$D,4,FALSE()),""))</f>
        <v/>
      </c>
      <c r="H1718" s="22"/>
    </row>
    <row r="1719" spans="1:8">
      <c r="A1719" s="21"/>
      <c r="B1719" s="28"/>
      <c r="C1719" s="22"/>
      <c r="D1719" s="28"/>
      <c r="E1719" s="23" t="str">
        <f>IF($D1719="","",IFERROR(VLOOKUP($D1719,'ACAS Consumables Tracker'!$A:$H,8,FALSE()),""))</f>
        <v/>
      </c>
      <c r="F1719" s="24"/>
      <c r="G1719" s="25" t="str">
        <f>IF($D1719="","",IFERROR(VLOOKUP($D1719,'ACAS Consumables Tracker'!$A:$D,4,FALSE()),""))</f>
        <v/>
      </c>
      <c r="H1719" s="22"/>
    </row>
    <row r="1720" spans="1:8">
      <c r="A1720" s="21"/>
      <c r="B1720" s="28"/>
      <c r="C1720" s="22"/>
      <c r="D1720" s="28"/>
      <c r="E1720" s="23" t="str">
        <f>IF($D1720="","",IFERROR(VLOOKUP($D1720,'ACAS Consumables Tracker'!$A:$H,8,FALSE()),""))</f>
        <v/>
      </c>
      <c r="F1720" s="24"/>
      <c r="G1720" s="25" t="str">
        <f>IF($D1720="","",IFERROR(VLOOKUP($D1720,'ACAS Consumables Tracker'!$A:$D,4,FALSE()),""))</f>
        <v/>
      </c>
      <c r="H1720" s="22"/>
    </row>
    <row r="1721" spans="1:8">
      <c r="A1721" s="21"/>
      <c r="B1721" s="28"/>
      <c r="C1721" s="22"/>
      <c r="D1721" s="28"/>
      <c r="E1721" s="23" t="str">
        <f>IF($D1721="","",IFERROR(VLOOKUP($D1721,'ACAS Consumables Tracker'!$A:$H,8,FALSE()),""))</f>
        <v/>
      </c>
      <c r="F1721" s="24"/>
      <c r="G1721" s="25" t="str">
        <f>IF($D1721="","",IFERROR(VLOOKUP($D1721,'ACAS Consumables Tracker'!$A:$D,4,FALSE()),""))</f>
        <v/>
      </c>
      <c r="H1721" s="22"/>
    </row>
    <row r="1722" spans="1:8">
      <c r="A1722" s="21"/>
      <c r="B1722" s="28"/>
      <c r="C1722" s="22"/>
      <c r="D1722" s="28"/>
      <c r="E1722" s="23" t="str">
        <f>IF($D1722="","",IFERROR(VLOOKUP($D1722,'ACAS Consumables Tracker'!$A:$H,8,FALSE()),""))</f>
        <v/>
      </c>
      <c r="F1722" s="24"/>
      <c r="G1722" s="25" t="str">
        <f>IF($D1722="","",IFERROR(VLOOKUP($D1722,'ACAS Consumables Tracker'!$A:$D,4,FALSE()),""))</f>
        <v/>
      </c>
      <c r="H1722" s="22"/>
    </row>
    <row r="1723" spans="1:8">
      <c r="A1723" s="21"/>
      <c r="B1723" s="28"/>
      <c r="C1723" s="22"/>
      <c r="D1723" s="28"/>
      <c r="E1723" s="23" t="str">
        <f>IF($D1723="","",IFERROR(VLOOKUP($D1723,'ACAS Consumables Tracker'!$A:$H,8,FALSE()),""))</f>
        <v/>
      </c>
      <c r="F1723" s="24"/>
      <c r="G1723" s="25" t="str">
        <f>IF($D1723="","",IFERROR(VLOOKUP($D1723,'ACAS Consumables Tracker'!$A:$D,4,FALSE()),""))</f>
        <v/>
      </c>
      <c r="H1723" s="22"/>
    </row>
    <row r="1724" spans="1:8">
      <c r="A1724" s="21"/>
      <c r="B1724" s="28"/>
      <c r="C1724" s="22"/>
      <c r="D1724" s="28"/>
      <c r="E1724" s="23" t="str">
        <f>IF($D1724="","",IFERROR(VLOOKUP($D1724,'ACAS Consumables Tracker'!$A:$H,8,FALSE()),""))</f>
        <v/>
      </c>
      <c r="F1724" s="24"/>
      <c r="G1724" s="25" t="str">
        <f>IF($D1724="","",IFERROR(VLOOKUP($D1724,'ACAS Consumables Tracker'!$A:$D,4,FALSE()),""))</f>
        <v/>
      </c>
      <c r="H1724" s="22"/>
    </row>
    <row r="1725" spans="1:8">
      <c r="A1725" s="21"/>
      <c r="B1725" s="28"/>
      <c r="C1725" s="22"/>
      <c r="D1725" s="28"/>
      <c r="E1725" s="23" t="str">
        <f>IF($D1725="","",IFERROR(VLOOKUP($D1725,'ACAS Consumables Tracker'!$A:$H,8,FALSE()),""))</f>
        <v/>
      </c>
      <c r="F1725" s="24"/>
      <c r="G1725" s="25" t="str">
        <f>IF($D1725="","",IFERROR(VLOOKUP($D1725,'ACAS Consumables Tracker'!$A:$D,4,FALSE()),""))</f>
        <v/>
      </c>
      <c r="H1725" s="22"/>
    </row>
    <row r="1726" spans="1:8">
      <c r="A1726" s="21"/>
      <c r="B1726" s="28"/>
      <c r="C1726" s="22"/>
      <c r="D1726" s="28"/>
      <c r="E1726" s="23" t="str">
        <f>IF($D1726="","",IFERROR(VLOOKUP($D1726,'ACAS Consumables Tracker'!$A:$H,8,FALSE()),""))</f>
        <v/>
      </c>
      <c r="F1726" s="24"/>
      <c r="G1726" s="25" t="str">
        <f>IF($D1726="","",IFERROR(VLOOKUP($D1726,'ACAS Consumables Tracker'!$A:$D,4,FALSE()),""))</f>
        <v/>
      </c>
      <c r="H1726" s="22"/>
    </row>
    <row r="1727" spans="1:8">
      <c r="A1727" s="21"/>
      <c r="B1727" s="28"/>
      <c r="C1727" s="22"/>
      <c r="D1727" s="28"/>
      <c r="E1727" s="23" t="str">
        <f>IF($D1727="","",IFERROR(VLOOKUP($D1727,'ACAS Consumables Tracker'!$A:$H,8,FALSE()),""))</f>
        <v/>
      </c>
      <c r="F1727" s="24"/>
      <c r="G1727" s="25" t="str">
        <f>IF($D1727="","",IFERROR(VLOOKUP($D1727,'ACAS Consumables Tracker'!$A:$D,4,FALSE()),""))</f>
        <v/>
      </c>
      <c r="H1727" s="22"/>
    </row>
    <row r="1728" spans="1:8">
      <c r="A1728" s="21"/>
      <c r="B1728" s="28"/>
      <c r="C1728" s="22"/>
      <c r="D1728" s="28"/>
      <c r="E1728" s="23" t="str">
        <f>IF($D1728="","",IFERROR(VLOOKUP($D1728,'ACAS Consumables Tracker'!$A:$H,8,FALSE()),""))</f>
        <v/>
      </c>
      <c r="F1728" s="24"/>
      <c r="G1728" s="25" t="str">
        <f>IF($D1728="","",IFERROR(VLOOKUP($D1728,'ACAS Consumables Tracker'!$A:$D,4,FALSE()),""))</f>
        <v/>
      </c>
      <c r="H1728" s="22"/>
    </row>
    <row r="1729" spans="1:8">
      <c r="A1729" s="21"/>
      <c r="B1729" s="28"/>
      <c r="C1729" s="22"/>
      <c r="D1729" s="28"/>
      <c r="E1729" s="23" t="str">
        <f>IF($D1729="","",IFERROR(VLOOKUP($D1729,'ACAS Consumables Tracker'!$A:$H,8,FALSE()),""))</f>
        <v/>
      </c>
      <c r="F1729" s="24"/>
      <c r="G1729" s="25" t="str">
        <f>IF($D1729="","",IFERROR(VLOOKUP($D1729,'ACAS Consumables Tracker'!$A:$D,4,FALSE()),""))</f>
        <v/>
      </c>
      <c r="H1729" s="22"/>
    </row>
    <row r="1730" spans="1:8">
      <c r="A1730" s="21"/>
      <c r="B1730" s="28"/>
      <c r="C1730" s="22"/>
      <c r="D1730" s="28"/>
      <c r="E1730" s="23" t="str">
        <f>IF($D1730="","",IFERROR(VLOOKUP($D1730,'ACAS Consumables Tracker'!$A:$H,8,FALSE()),""))</f>
        <v/>
      </c>
      <c r="F1730" s="24"/>
      <c r="G1730" s="25" t="str">
        <f>IF($D1730="","",IFERROR(VLOOKUP($D1730,'ACAS Consumables Tracker'!$A:$D,4,FALSE()),""))</f>
        <v/>
      </c>
      <c r="H1730" s="22"/>
    </row>
    <row r="1731" spans="1:8">
      <c r="A1731" s="21"/>
      <c r="B1731" s="28"/>
      <c r="C1731" s="22"/>
      <c r="D1731" s="28"/>
      <c r="E1731" s="23" t="str">
        <f>IF($D1731="","",IFERROR(VLOOKUP($D1731,'ACAS Consumables Tracker'!$A:$H,8,FALSE()),""))</f>
        <v/>
      </c>
      <c r="F1731" s="24"/>
      <c r="G1731" s="25" t="str">
        <f>IF($D1731="","",IFERROR(VLOOKUP($D1731,'ACAS Consumables Tracker'!$A:$D,4,FALSE()),""))</f>
        <v/>
      </c>
      <c r="H1731" s="22"/>
    </row>
    <row r="1732" spans="1:8">
      <c r="A1732" s="21"/>
      <c r="B1732" s="28"/>
      <c r="C1732" s="22"/>
      <c r="D1732" s="28"/>
      <c r="E1732" s="23" t="str">
        <f>IF($D1732="","",IFERROR(VLOOKUP($D1732,'ACAS Consumables Tracker'!$A:$H,8,FALSE()),""))</f>
        <v/>
      </c>
      <c r="F1732" s="24"/>
      <c r="G1732" s="25" t="str">
        <f>IF($D1732="","",IFERROR(VLOOKUP($D1732,'ACAS Consumables Tracker'!$A:$D,4,FALSE()),""))</f>
        <v/>
      </c>
      <c r="H1732" s="22"/>
    </row>
    <row r="1733" spans="1:8">
      <c r="A1733" s="21"/>
      <c r="B1733" s="28"/>
      <c r="C1733" s="22"/>
      <c r="D1733" s="28"/>
      <c r="E1733" s="23" t="str">
        <f>IF($D1733="","",IFERROR(VLOOKUP($D1733,'ACAS Consumables Tracker'!$A:$H,8,FALSE()),""))</f>
        <v/>
      </c>
      <c r="F1733" s="24"/>
      <c r="G1733" s="25" t="str">
        <f>IF($D1733="","",IFERROR(VLOOKUP($D1733,'ACAS Consumables Tracker'!$A:$D,4,FALSE()),""))</f>
        <v/>
      </c>
      <c r="H1733" s="22"/>
    </row>
    <row r="1734" spans="1:8">
      <c r="A1734" s="21"/>
      <c r="B1734" s="28"/>
      <c r="C1734" s="22"/>
      <c r="D1734" s="28"/>
      <c r="E1734" s="23" t="str">
        <f>IF($D1734="","",IFERROR(VLOOKUP($D1734,'ACAS Consumables Tracker'!$A:$H,8,FALSE()),""))</f>
        <v/>
      </c>
      <c r="F1734" s="24"/>
      <c r="G1734" s="25" t="str">
        <f>IF($D1734="","",IFERROR(VLOOKUP($D1734,'ACAS Consumables Tracker'!$A:$D,4,FALSE()),""))</f>
        <v/>
      </c>
      <c r="H1734" s="22"/>
    </row>
    <row r="1735" spans="1:8">
      <c r="A1735" s="21"/>
      <c r="B1735" s="28"/>
      <c r="C1735" s="22"/>
      <c r="D1735" s="28"/>
      <c r="E1735" s="23" t="str">
        <f>IF($D1735="","",IFERROR(VLOOKUP($D1735,'ACAS Consumables Tracker'!$A:$H,8,FALSE()),""))</f>
        <v/>
      </c>
      <c r="F1735" s="24"/>
      <c r="G1735" s="25" t="str">
        <f>IF($D1735="","",IFERROR(VLOOKUP($D1735,'ACAS Consumables Tracker'!$A:$D,4,FALSE()),""))</f>
        <v/>
      </c>
      <c r="H1735" s="22"/>
    </row>
    <row r="1736" spans="1:8">
      <c r="A1736" s="21"/>
      <c r="B1736" s="28"/>
      <c r="C1736" s="22"/>
      <c r="D1736" s="28"/>
      <c r="E1736" s="23" t="str">
        <f>IF($D1736="","",IFERROR(VLOOKUP($D1736,'ACAS Consumables Tracker'!$A:$H,8,FALSE()),""))</f>
        <v/>
      </c>
      <c r="F1736" s="24"/>
      <c r="G1736" s="25" t="str">
        <f>IF($D1736="","",IFERROR(VLOOKUP($D1736,'ACAS Consumables Tracker'!$A:$D,4,FALSE()),""))</f>
        <v/>
      </c>
      <c r="H1736" s="22"/>
    </row>
    <row r="1737" spans="1:8">
      <c r="A1737" s="21"/>
      <c r="B1737" s="28"/>
      <c r="C1737" s="22"/>
      <c r="D1737" s="28"/>
      <c r="E1737" s="23" t="str">
        <f>IF($D1737="","",IFERROR(VLOOKUP($D1737,'ACAS Consumables Tracker'!$A:$H,8,FALSE()),""))</f>
        <v/>
      </c>
      <c r="F1737" s="24"/>
      <c r="G1737" s="25" t="str">
        <f>IF($D1737="","",IFERROR(VLOOKUP($D1737,'ACAS Consumables Tracker'!$A:$D,4,FALSE()),""))</f>
        <v/>
      </c>
      <c r="H1737" s="22"/>
    </row>
    <row r="1738" spans="1:8">
      <c r="A1738" s="21"/>
      <c r="B1738" s="28"/>
      <c r="C1738" s="22"/>
      <c r="D1738" s="28"/>
      <c r="E1738" s="23" t="str">
        <f>IF($D1738="","",IFERROR(VLOOKUP($D1738,'ACAS Consumables Tracker'!$A:$H,8,FALSE()),""))</f>
        <v/>
      </c>
      <c r="F1738" s="24"/>
      <c r="G1738" s="25" t="str">
        <f>IF($D1738="","",IFERROR(VLOOKUP($D1738,'ACAS Consumables Tracker'!$A:$D,4,FALSE()),""))</f>
        <v/>
      </c>
      <c r="H1738" s="22"/>
    </row>
    <row r="1739" spans="1:8">
      <c r="A1739" s="21"/>
      <c r="B1739" s="28"/>
      <c r="C1739" s="22"/>
      <c r="D1739" s="28"/>
      <c r="E1739" s="23" t="str">
        <f>IF($D1739="","",IFERROR(VLOOKUP($D1739,'ACAS Consumables Tracker'!$A:$H,8,FALSE()),""))</f>
        <v/>
      </c>
      <c r="F1739" s="24"/>
      <c r="G1739" s="25" t="str">
        <f>IF($D1739="","",IFERROR(VLOOKUP($D1739,'ACAS Consumables Tracker'!$A:$D,4,FALSE()),""))</f>
        <v/>
      </c>
      <c r="H1739" s="22"/>
    </row>
    <row r="1740" spans="1:8">
      <c r="A1740" s="21"/>
      <c r="B1740" s="28"/>
      <c r="C1740" s="22"/>
      <c r="D1740" s="28"/>
      <c r="E1740" s="23" t="str">
        <f>IF($D1740="","",IFERROR(VLOOKUP($D1740,'ACAS Consumables Tracker'!$A:$H,8,FALSE()),""))</f>
        <v/>
      </c>
      <c r="F1740" s="24"/>
      <c r="G1740" s="25" t="str">
        <f>IF($D1740="","",IFERROR(VLOOKUP($D1740,'ACAS Consumables Tracker'!$A:$D,4,FALSE()),""))</f>
        <v/>
      </c>
      <c r="H1740" s="22"/>
    </row>
    <row r="1741" spans="1:8">
      <c r="A1741" s="21"/>
      <c r="B1741" s="28"/>
      <c r="C1741" s="22"/>
      <c r="D1741" s="28"/>
      <c r="E1741" s="23" t="str">
        <f>IF($D1741="","",IFERROR(VLOOKUP($D1741,'ACAS Consumables Tracker'!$A:$H,8,FALSE()),""))</f>
        <v/>
      </c>
      <c r="F1741" s="24"/>
      <c r="G1741" s="25" t="str">
        <f>IF($D1741="","",IFERROR(VLOOKUP($D1741,'ACAS Consumables Tracker'!$A:$D,4,FALSE()),""))</f>
        <v/>
      </c>
      <c r="H1741" s="22"/>
    </row>
    <row r="1742" spans="1:8">
      <c r="A1742" s="21"/>
      <c r="B1742" s="28"/>
      <c r="C1742" s="22"/>
      <c r="D1742" s="28"/>
      <c r="E1742" s="23" t="str">
        <f>IF($D1742="","",IFERROR(VLOOKUP($D1742,'ACAS Consumables Tracker'!$A:$H,8,FALSE()),""))</f>
        <v/>
      </c>
      <c r="F1742" s="24"/>
      <c r="G1742" s="25" t="str">
        <f>IF($D1742="","",IFERROR(VLOOKUP($D1742,'ACAS Consumables Tracker'!$A:$D,4,FALSE()),""))</f>
        <v/>
      </c>
      <c r="H1742" s="22"/>
    </row>
    <row r="1743" spans="1:8">
      <c r="A1743" s="21"/>
      <c r="B1743" s="28"/>
      <c r="C1743" s="22"/>
      <c r="D1743" s="28"/>
      <c r="E1743" s="23" t="str">
        <f>IF($D1743="","",IFERROR(VLOOKUP($D1743,'ACAS Consumables Tracker'!$A:$H,8,FALSE()),""))</f>
        <v/>
      </c>
      <c r="F1743" s="24"/>
      <c r="G1743" s="25" t="str">
        <f>IF($D1743="","",IFERROR(VLOOKUP($D1743,'ACAS Consumables Tracker'!$A:$D,4,FALSE()),""))</f>
        <v/>
      </c>
      <c r="H1743" s="22"/>
    </row>
    <row r="1744" spans="1:8">
      <c r="A1744" s="21"/>
      <c r="B1744" s="28"/>
      <c r="C1744" s="22"/>
      <c r="D1744" s="28"/>
      <c r="E1744" s="23" t="str">
        <f>IF($D1744="","",IFERROR(VLOOKUP($D1744,'ACAS Consumables Tracker'!$A:$H,8,FALSE()),""))</f>
        <v/>
      </c>
      <c r="F1744" s="24"/>
      <c r="G1744" s="25" t="str">
        <f>IF($D1744="","",IFERROR(VLOOKUP($D1744,'ACAS Consumables Tracker'!$A:$D,4,FALSE()),""))</f>
        <v/>
      </c>
      <c r="H1744" s="22"/>
    </row>
    <row r="1745" spans="1:8">
      <c r="A1745" s="21"/>
      <c r="B1745" s="28"/>
      <c r="C1745" s="22"/>
      <c r="D1745" s="28"/>
      <c r="E1745" s="23" t="str">
        <f>IF($D1745="","",IFERROR(VLOOKUP($D1745,'ACAS Consumables Tracker'!$A:$H,8,FALSE()),""))</f>
        <v/>
      </c>
      <c r="F1745" s="24"/>
      <c r="G1745" s="25" t="str">
        <f>IF($D1745="","",IFERROR(VLOOKUP($D1745,'ACAS Consumables Tracker'!$A:$D,4,FALSE()),""))</f>
        <v/>
      </c>
      <c r="H1745" s="22"/>
    </row>
    <row r="1746" spans="1:8">
      <c r="A1746" s="21"/>
      <c r="B1746" s="28"/>
      <c r="C1746" s="22"/>
      <c r="D1746" s="28"/>
      <c r="E1746" s="23" t="str">
        <f>IF($D1746="","",IFERROR(VLOOKUP($D1746,'ACAS Consumables Tracker'!$A:$H,8,FALSE()),""))</f>
        <v/>
      </c>
      <c r="F1746" s="24"/>
      <c r="G1746" s="25" t="str">
        <f>IF($D1746="","",IFERROR(VLOOKUP($D1746,'ACAS Consumables Tracker'!$A:$D,4,FALSE()),""))</f>
        <v/>
      </c>
      <c r="H1746" s="22"/>
    </row>
    <row r="1747" spans="1:8">
      <c r="A1747" s="21"/>
      <c r="B1747" s="28"/>
      <c r="C1747" s="22"/>
      <c r="D1747" s="28"/>
      <c r="E1747" s="23" t="str">
        <f>IF($D1747="","",IFERROR(VLOOKUP($D1747,'ACAS Consumables Tracker'!$A:$H,8,FALSE()),""))</f>
        <v/>
      </c>
      <c r="F1747" s="24"/>
      <c r="G1747" s="25" t="str">
        <f>IF($D1747="","",IFERROR(VLOOKUP($D1747,'ACAS Consumables Tracker'!$A:$D,4,FALSE()),""))</f>
        <v/>
      </c>
      <c r="H1747" s="22"/>
    </row>
    <row r="1748" spans="1:8">
      <c r="A1748" s="21"/>
      <c r="B1748" s="28"/>
      <c r="C1748" s="22"/>
      <c r="D1748" s="28"/>
      <c r="E1748" s="23" t="str">
        <f>IF($D1748="","",IFERROR(VLOOKUP($D1748,'ACAS Consumables Tracker'!$A:$H,8,FALSE()),""))</f>
        <v/>
      </c>
      <c r="F1748" s="24"/>
      <c r="G1748" s="25" t="str">
        <f>IF($D1748="","",IFERROR(VLOOKUP($D1748,'ACAS Consumables Tracker'!$A:$D,4,FALSE()),""))</f>
        <v/>
      </c>
      <c r="H1748" s="22"/>
    </row>
    <row r="1749" spans="1:8">
      <c r="A1749" s="21"/>
      <c r="B1749" s="28"/>
      <c r="C1749" s="22"/>
      <c r="D1749" s="28"/>
      <c r="E1749" s="23" t="str">
        <f>IF($D1749="","",IFERROR(VLOOKUP($D1749,'ACAS Consumables Tracker'!$A:$H,8,FALSE()),""))</f>
        <v/>
      </c>
      <c r="F1749" s="24"/>
      <c r="G1749" s="25" t="str">
        <f>IF($D1749="","",IFERROR(VLOOKUP($D1749,'ACAS Consumables Tracker'!$A:$D,4,FALSE()),""))</f>
        <v/>
      </c>
      <c r="H1749" s="22"/>
    </row>
    <row r="1750" spans="1:8">
      <c r="A1750" s="21"/>
      <c r="B1750" s="28"/>
      <c r="C1750" s="22"/>
      <c r="D1750" s="28"/>
      <c r="E1750" s="23" t="str">
        <f>IF($D1750="","",IFERROR(VLOOKUP($D1750,'ACAS Consumables Tracker'!$A:$H,8,FALSE()),""))</f>
        <v/>
      </c>
      <c r="F1750" s="24"/>
      <c r="G1750" s="25" t="str">
        <f>IF($D1750="","",IFERROR(VLOOKUP($D1750,'ACAS Consumables Tracker'!$A:$D,4,FALSE()),""))</f>
        <v/>
      </c>
      <c r="H1750" s="22"/>
    </row>
    <row r="1751" spans="1:8">
      <c r="A1751" s="21"/>
      <c r="B1751" s="28"/>
      <c r="C1751" s="22"/>
      <c r="D1751" s="28"/>
      <c r="E1751" s="23" t="str">
        <f>IF($D1751="","",IFERROR(VLOOKUP($D1751,'ACAS Consumables Tracker'!$A:$H,8,FALSE()),""))</f>
        <v/>
      </c>
      <c r="F1751" s="24"/>
      <c r="G1751" s="25" t="str">
        <f>IF($D1751="","",IFERROR(VLOOKUP($D1751,'ACAS Consumables Tracker'!$A:$D,4,FALSE()),""))</f>
        <v/>
      </c>
      <c r="H1751" s="22"/>
    </row>
    <row r="1752" spans="1:8">
      <c r="A1752" s="21"/>
      <c r="B1752" s="28"/>
      <c r="C1752" s="22"/>
      <c r="D1752" s="28"/>
      <c r="E1752" s="23" t="str">
        <f>IF($D1752="","",IFERROR(VLOOKUP($D1752,'ACAS Consumables Tracker'!$A:$H,8,FALSE()),""))</f>
        <v/>
      </c>
      <c r="F1752" s="24"/>
      <c r="G1752" s="25" t="str">
        <f>IF($D1752="","",IFERROR(VLOOKUP($D1752,'ACAS Consumables Tracker'!$A:$D,4,FALSE()),""))</f>
        <v/>
      </c>
      <c r="H1752" s="22"/>
    </row>
    <row r="1753" spans="1:8">
      <c r="A1753" s="21"/>
      <c r="B1753" s="28"/>
      <c r="C1753" s="22"/>
      <c r="D1753" s="28"/>
      <c r="E1753" s="23" t="str">
        <f>IF($D1753="","",IFERROR(VLOOKUP($D1753,'ACAS Consumables Tracker'!$A:$H,8,FALSE()),""))</f>
        <v/>
      </c>
      <c r="F1753" s="24"/>
      <c r="G1753" s="25" t="str">
        <f>IF($D1753="","",IFERROR(VLOOKUP($D1753,'ACAS Consumables Tracker'!$A:$D,4,FALSE()),""))</f>
        <v/>
      </c>
      <c r="H1753" s="22"/>
    </row>
    <row r="1754" spans="1:8">
      <c r="A1754" s="21"/>
      <c r="B1754" s="28"/>
      <c r="C1754" s="22"/>
      <c r="D1754" s="28"/>
      <c r="E1754" s="23" t="str">
        <f>IF($D1754="","",IFERROR(VLOOKUP($D1754,'ACAS Consumables Tracker'!$A:$H,8,FALSE()),""))</f>
        <v/>
      </c>
      <c r="F1754" s="24"/>
      <c r="G1754" s="25" t="str">
        <f>IF($D1754="","",IFERROR(VLOOKUP($D1754,'ACAS Consumables Tracker'!$A:$D,4,FALSE()),""))</f>
        <v/>
      </c>
      <c r="H1754" s="22"/>
    </row>
    <row r="1755" spans="1:8">
      <c r="A1755" s="21"/>
      <c r="B1755" s="28"/>
      <c r="C1755" s="22"/>
      <c r="D1755" s="28"/>
      <c r="E1755" s="23" t="str">
        <f>IF($D1755="","",IFERROR(VLOOKUP($D1755,'ACAS Consumables Tracker'!$A:$H,8,FALSE()),""))</f>
        <v/>
      </c>
      <c r="F1755" s="24"/>
      <c r="G1755" s="25" t="str">
        <f>IF($D1755="","",IFERROR(VLOOKUP($D1755,'ACAS Consumables Tracker'!$A:$D,4,FALSE()),""))</f>
        <v/>
      </c>
      <c r="H1755" s="22"/>
    </row>
    <row r="1756" spans="1:8">
      <c r="A1756" s="21"/>
      <c r="B1756" s="28"/>
      <c r="C1756" s="22"/>
      <c r="D1756" s="28"/>
      <c r="E1756" s="23" t="str">
        <f>IF($D1756="","",IFERROR(VLOOKUP($D1756,'ACAS Consumables Tracker'!$A:$H,8,FALSE()),""))</f>
        <v/>
      </c>
      <c r="F1756" s="24"/>
      <c r="G1756" s="25" t="str">
        <f>IF($D1756="","",IFERROR(VLOOKUP($D1756,'ACAS Consumables Tracker'!$A:$D,4,FALSE()),""))</f>
        <v/>
      </c>
      <c r="H1756" s="22"/>
    </row>
    <row r="1757" spans="1:8">
      <c r="A1757" s="21"/>
      <c r="B1757" s="28"/>
      <c r="C1757" s="22"/>
      <c r="D1757" s="28"/>
      <c r="E1757" s="23" t="str">
        <f>IF($D1757="","",IFERROR(VLOOKUP($D1757,'ACAS Consumables Tracker'!$A:$H,8,FALSE()),""))</f>
        <v/>
      </c>
      <c r="F1757" s="24"/>
      <c r="G1757" s="25" t="str">
        <f>IF($D1757="","",IFERROR(VLOOKUP($D1757,'ACAS Consumables Tracker'!$A:$D,4,FALSE()),""))</f>
        <v/>
      </c>
      <c r="H1757" s="22"/>
    </row>
    <row r="1758" spans="1:8">
      <c r="A1758" s="21"/>
      <c r="B1758" s="28"/>
      <c r="C1758" s="22"/>
      <c r="D1758" s="28"/>
      <c r="E1758" s="23" t="str">
        <f>IF($D1758="","",IFERROR(VLOOKUP($D1758,'ACAS Consumables Tracker'!$A:$H,8,FALSE()),""))</f>
        <v/>
      </c>
      <c r="F1758" s="24"/>
      <c r="G1758" s="25" t="str">
        <f>IF($D1758="","",IFERROR(VLOOKUP($D1758,'ACAS Consumables Tracker'!$A:$D,4,FALSE()),""))</f>
        <v/>
      </c>
      <c r="H1758" s="22"/>
    </row>
    <row r="1759" spans="1:8">
      <c r="A1759" s="21"/>
      <c r="B1759" s="28"/>
      <c r="C1759" s="22"/>
      <c r="D1759" s="28"/>
      <c r="E1759" s="23" t="str">
        <f>IF($D1759="","",IFERROR(VLOOKUP($D1759,'ACAS Consumables Tracker'!$A:$H,8,FALSE()),""))</f>
        <v/>
      </c>
      <c r="F1759" s="24"/>
      <c r="G1759" s="25" t="str">
        <f>IF($D1759="","",IFERROR(VLOOKUP($D1759,'ACAS Consumables Tracker'!$A:$D,4,FALSE()),""))</f>
        <v/>
      </c>
      <c r="H1759" s="22"/>
    </row>
    <row r="1760" spans="1:8">
      <c r="A1760" s="21"/>
      <c r="B1760" s="28"/>
      <c r="C1760" s="22"/>
      <c r="D1760" s="28"/>
      <c r="E1760" s="23" t="str">
        <f>IF($D1760="","",IFERROR(VLOOKUP($D1760,'ACAS Consumables Tracker'!$A:$H,8,FALSE()),""))</f>
        <v/>
      </c>
      <c r="F1760" s="24"/>
      <c r="G1760" s="25" t="str">
        <f>IF($D1760="","",IFERROR(VLOOKUP($D1760,'ACAS Consumables Tracker'!$A:$D,4,FALSE()),""))</f>
        <v/>
      </c>
      <c r="H1760" s="22"/>
    </row>
    <row r="1761" spans="1:8">
      <c r="A1761" s="21"/>
      <c r="B1761" s="28"/>
      <c r="C1761" s="22"/>
      <c r="D1761" s="28"/>
      <c r="E1761" s="23" t="str">
        <f>IF($D1761="","",IFERROR(VLOOKUP($D1761,'ACAS Consumables Tracker'!$A:$H,8,FALSE()),""))</f>
        <v/>
      </c>
      <c r="F1761" s="24"/>
      <c r="G1761" s="25" t="str">
        <f>IF($D1761="","",IFERROR(VLOOKUP($D1761,'ACAS Consumables Tracker'!$A:$D,4,FALSE()),""))</f>
        <v/>
      </c>
      <c r="H1761" s="22"/>
    </row>
    <row r="1762" spans="1:8">
      <c r="A1762" s="21"/>
      <c r="B1762" s="28"/>
      <c r="C1762" s="22"/>
      <c r="D1762" s="28"/>
      <c r="E1762" s="23" t="str">
        <f>IF($D1762="","",IFERROR(VLOOKUP($D1762,'ACAS Consumables Tracker'!$A:$H,8,FALSE()),""))</f>
        <v/>
      </c>
      <c r="F1762" s="24"/>
      <c r="G1762" s="25" t="str">
        <f>IF($D1762="","",IFERROR(VLOOKUP($D1762,'ACAS Consumables Tracker'!$A:$D,4,FALSE()),""))</f>
        <v/>
      </c>
      <c r="H1762" s="22"/>
    </row>
    <row r="1763" spans="1:8">
      <c r="A1763" s="21"/>
      <c r="B1763" s="28"/>
      <c r="C1763" s="22"/>
      <c r="D1763" s="28"/>
      <c r="E1763" s="23" t="str">
        <f>IF($D1763="","",IFERROR(VLOOKUP($D1763,'ACAS Consumables Tracker'!$A:$H,8,FALSE()),""))</f>
        <v/>
      </c>
      <c r="F1763" s="24"/>
      <c r="G1763" s="25" t="str">
        <f>IF($D1763="","",IFERROR(VLOOKUP($D1763,'ACAS Consumables Tracker'!$A:$D,4,FALSE()),""))</f>
        <v/>
      </c>
      <c r="H1763" s="22"/>
    </row>
    <row r="1764" spans="1:8">
      <c r="A1764" s="21"/>
      <c r="B1764" s="28"/>
      <c r="C1764" s="22"/>
      <c r="D1764" s="28"/>
      <c r="E1764" s="23" t="str">
        <f>IF($D1764="","",IFERROR(VLOOKUP($D1764,'ACAS Consumables Tracker'!$A:$H,8,FALSE()),""))</f>
        <v/>
      </c>
      <c r="F1764" s="24"/>
      <c r="G1764" s="25" t="str">
        <f>IF($D1764="","",IFERROR(VLOOKUP($D1764,'ACAS Consumables Tracker'!$A:$D,4,FALSE()),""))</f>
        <v/>
      </c>
      <c r="H1764" s="22"/>
    </row>
    <row r="1765" spans="1:8">
      <c r="A1765" s="21"/>
      <c r="B1765" s="28"/>
      <c r="C1765" s="22"/>
      <c r="D1765" s="28"/>
      <c r="E1765" s="23" t="str">
        <f>IF($D1765="","",IFERROR(VLOOKUP($D1765,'ACAS Consumables Tracker'!$A:$H,8,FALSE()),""))</f>
        <v/>
      </c>
      <c r="F1765" s="24"/>
      <c r="G1765" s="25" t="str">
        <f>IF($D1765="","",IFERROR(VLOOKUP($D1765,'ACAS Consumables Tracker'!$A:$D,4,FALSE()),""))</f>
        <v/>
      </c>
      <c r="H1765" s="22"/>
    </row>
    <row r="1766" spans="1:8">
      <c r="A1766" s="21"/>
      <c r="B1766" s="28"/>
      <c r="C1766" s="22"/>
      <c r="D1766" s="28"/>
      <c r="E1766" s="23" t="str">
        <f>IF($D1766="","",IFERROR(VLOOKUP($D1766,'ACAS Consumables Tracker'!$A:$H,8,FALSE()),""))</f>
        <v/>
      </c>
      <c r="F1766" s="24"/>
      <c r="G1766" s="25" t="str">
        <f>IF($D1766="","",IFERROR(VLOOKUP($D1766,'ACAS Consumables Tracker'!$A:$D,4,FALSE()),""))</f>
        <v/>
      </c>
      <c r="H1766" s="22"/>
    </row>
    <row r="1767" spans="1:8">
      <c r="A1767" s="21"/>
      <c r="B1767" s="28"/>
      <c r="C1767" s="22"/>
      <c r="D1767" s="28"/>
      <c r="E1767" s="23" t="str">
        <f>IF($D1767="","",IFERROR(VLOOKUP($D1767,'ACAS Consumables Tracker'!$A:$H,8,FALSE()),""))</f>
        <v/>
      </c>
      <c r="F1767" s="24"/>
      <c r="G1767" s="25" t="str">
        <f>IF($D1767="","",IFERROR(VLOOKUP($D1767,'ACAS Consumables Tracker'!$A:$D,4,FALSE()),""))</f>
        <v/>
      </c>
      <c r="H1767" s="22"/>
    </row>
    <row r="1768" spans="1:8">
      <c r="A1768" s="21"/>
      <c r="B1768" s="28"/>
      <c r="C1768" s="22"/>
      <c r="D1768" s="28"/>
      <c r="E1768" s="23" t="str">
        <f>IF($D1768="","",IFERROR(VLOOKUP($D1768,'ACAS Consumables Tracker'!$A:$H,8,FALSE()),""))</f>
        <v/>
      </c>
      <c r="F1768" s="24"/>
      <c r="G1768" s="25" t="str">
        <f>IF($D1768="","",IFERROR(VLOOKUP($D1768,'ACAS Consumables Tracker'!$A:$D,4,FALSE()),""))</f>
        <v/>
      </c>
      <c r="H1768" s="22"/>
    </row>
    <row r="1769" spans="1:8">
      <c r="A1769" s="21"/>
      <c r="B1769" s="28"/>
      <c r="C1769" s="22"/>
      <c r="D1769" s="28"/>
      <c r="E1769" s="23" t="str">
        <f>IF($D1769="","",IFERROR(VLOOKUP($D1769,'ACAS Consumables Tracker'!$A:$H,8,FALSE()),""))</f>
        <v/>
      </c>
      <c r="F1769" s="24"/>
      <c r="G1769" s="25" t="str">
        <f>IF($D1769="","",IFERROR(VLOOKUP($D1769,'ACAS Consumables Tracker'!$A:$D,4,FALSE()),""))</f>
        <v/>
      </c>
      <c r="H1769" s="22"/>
    </row>
    <row r="1770" spans="1:8">
      <c r="A1770" s="21"/>
      <c r="B1770" s="28"/>
      <c r="C1770" s="22"/>
      <c r="D1770" s="28"/>
      <c r="E1770" s="23" t="str">
        <f>IF($D1770="","",IFERROR(VLOOKUP($D1770,'ACAS Consumables Tracker'!$A:$H,8,FALSE()),""))</f>
        <v/>
      </c>
      <c r="F1770" s="24"/>
      <c r="G1770" s="25" t="str">
        <f>IF($D1770="","",IFERROR(VLOOKUP($D1770,'ACAS Consumables Tracker'!$A:$D,4,FALSE()),""))</f>
        <v/>
      </c>
      <c r="H1770" s="22"/>
    </row>
    <row r="1771" spans="1:8">
      <c r="A1771" s="21"/>
      <c r="B1771" s="28"/>
      <c r="C1771" s="22"/>
      <c r="D1771" s="28"/>
      <c r="E1771" s="23" t="str">
        <f>IF($D1771="","",IFERROR(VLOOKUP($D1771,'ACAS Consumables Tracker'!$A:$H,8,FALSE()),""))</f>
        <v/>
      </c>
      <c r="F1771" s="24"/>
      <c r="G1771" s="25" t="str">
        <f>IF($D1771="","",IFERROR(VLOOKUP($D1771,'ACAS Consumables Tracker'!$A:$D,4,FALSE()),""))</f>
        <v/>
      </c>
      <c r="H1771" s="22"/>
    </row>
    <row r="1772" spans="1:8">
      <c r="A1772" s="21"/>
      <c r="B1772" s="28"/>
      <c r="C1772" s="22"/>
      <c r="D1772" s="28"/>
      <c r="E1772" s="23" t="str">
        <f>IF($D1772="","",IFERROR(VLOOKUP($D1772,'ACAS Consumables Tracker'!$A:$H,8,FALSE()),""))</f>
        <v/>
      </c>
      <c r="F1772" s="24"/>
      <c r="G1772" s="25" t="str">
        <f>IF($D1772="","",IFERROR(VLOOKUP($D1772,'ACAS Consumables Tracker'!$A:$D,4,FALSE()),""))</f>
        <v/>
      </c>
      <c r="H1772" s="22"/>
    </row>
    <row r="1773" spans="1:8">
      <c r="A1773" s="21"/>
      <c r="B1773" s="28"/>
      <c r="C1773" s="22"/>
      <c r="D1773" s="28"/>
      <c r="E1773" s="23" t="str">
        <f>IF($D1773="","",IFERROR(VLOOKUP($D1773,'ACAS Consumables Tracker'!$A:$H,8,FALSE()),""))</f>
        <v/>
      </c>
      <c r="F1773" s="24"/>
      <c r="G1773" s="25" t="str">
        <f>IF($D1773="","",IFERROR(VLOOKUP($D1773,'ACAS Consumables Tracker'!$A:$D,4,FALSE()),""))</f>
        <v/>
      </c>
      <c r="H1773" s="22"/>
    </row>
    <row r="1774" spans="1:8">
      <c r="A1774" s="21"/>
      <c r="B1774" s="28"/>
      <c r="C1774" s="22"/>
      <c r="D1774" s="28"/>
      <c r="E1774" s="23" t="str">
        <f>IF($D1774="","",IFERROR(VLOOKUP($D1774,'ACAS Consumables Tracker'!$A:$H,8,FALSE()),""))</f>
        <v/>
      </c>
      <c r="F1774" s="24"/>
      <c r="G1774" s="25" t="str">
        <f>IF($D1774="","",IFERROR(VLOOKUP($D1774,'ACAS Consumables Tracker'!$A:$D,4,FALSE()),""))</f>
        <v/>
      </c>
      <c r="H1774" s="22"/>
    </row>
    <row r="1775" spans="1:8">
      <c r="A1775" s="21"/>
      <c r="B1775" s="28"/>
      <c r="C1775" s="22"/>
      <c r="D1775" s="28"/>
      <c r="E1775" s="23" t="str">
        <f>IF($D1775="","",IFERROR(VLOOKUP($D1775,'ACAS Consumables Tracker'!$A:$H,8,FALSE()),""))</f>
        <v/>
      </c>
      <c r="F1775" s="24"/>
      <c r="G1775" s="25" t="str">
        <f>IF($D1775="","",IFERROR(VLOOKUP($D1775,'ACAS Consumables Tracker'!$A:$D,4,FALSE()),""))</f>
        <v/>
      </c>
      <c r="H1775" s="22"/>
    </row>
    <row r="1776" spans="1:8">
      <c r="A1776" s="21"/>
      <c r="B1776" s="28"/>
      <c r="C1776" s="22"/>
      <c r="D1776" s="28"/>
      <c r="E1776" s="23" t="str">
        <f>IF($D1776="","",IFERROR(VLOOKUP($D1776,'ACAS Consumables Tracker'!$A:$H,8,FALSE()),""))</f>
        <v/>
      </c>
      <c r="F1776" s="24"/>
      <c r="G1776" s="25" t="str">
        <f>IF($D1776="","",IFERROR(VLOOKUP($D1776,'ACAS Consumables Tracker'!$A:$D,4,FALSE()),""))</f>
        <v/>
      </c>
      <c r="H1776" s="22"/>
    </row>
    <row r="1777" spans="1:8">
      <c r="A1777" s="21"/>
      <c r="B1777" s="28"/>
      <c r="C1777" s="22"/>
      <c r="D1777" s="28"/>
      <c r="E1777" s="23" t="str">
        <f>IF($D1777="","",IFERROR(VLOOKUP($D1777,'ACAS Consumables Tracker'!$A:$H,8,FALSE()),""))</f>
        <v/>
      </c>
      <c r="F1777" s="24"/>
      <c r="G1777" s="25" t="str">
        <f>IF($D1777="","",IFERROR(VLOOKUP($D1777,'ACAS Consumables Tracker'!$A:$D,4,FALSE()),""))</f>
        <v/>
      </c>
      <c r="H1777" s="22"/>
    </row>
    <row r="1778" spans="1:8">
      <c r="A1778" s="21"/>
      <c r="B1778" s="28"/>
      <c r="C1778" s="22"/>
      <c r="D1778" s="28"/>
      <c r="E1778" s="23" t="str">
        <f>IF($D1778="","",IFERROR(VLOOKUP($D1778,'ACAS Consumables Tracker'!$A:$H,8,FALSE()),""))</f>
        <v/>
      </c>
      <c r="F1778" s="24"/>
      <c r="G1778" s="25" t="str">
        <f>IF($D1778="","",IFERROR(VLOOKUP($D1778,'ACAS Consumables Tracker'!$A:$D,4,FALSE()),""))</f>
        <v/>
      </c>
      <c r="H1778" s="22"/>
    </row>
    <row r="1779" spans="1:8">
      <c r="A1779" s="21"/>
      <c r="B1779" s="28"/>
      <c r="C1779" s="22"/>
      <c r="D1779" s="28"/>
      <c r="E1779" s="23" t="str">
        <f>IF($D1779="","",IFERROR(VLOOKUP($D1779,'ACAS Consumables Tracker'!$A:$H,8,FALSE()),""))</f>
        <v/>
      </c>
      <c r="F1779" s="24"/>
      <c r="G1779" s="25" t="str">
        <f>IF($D1779="","",IFERROR(VLOOKUP($D1779,'ACAS Consumables Tracker'!$A:$D,4,FALSE()),""))</f>
        <v/>
      </c>
      <c r="H1779" s="22"/>
    </row>
    <row r="1780" spans="1:8">
      <c r="A1780" s="21"/>
      <c r="B1780" s="28"/>
      <c r="C1780" s="22"/>
      <c r="D1780" s="28"/>
      <c r="E1780" s="23" t="str">
        <f>IF($D1780="","",IFERROR(VLOOKUP($D1780,'ACAS Consumables Tracker'!$A:$H,8,FALSE()),""))</f>
        <v/>
      </c>
      <c r="F1780" s="24"/>
      <c r="G1780" s="25" t="str">
        <f>IF($D1780="","",IFERROR(VLOOKUP($D1780,'ACAS Consumables Tracker'!$A:$D,4,FALSE()),""))</f>
        <v/>
      </c>
      <c r="H1780" s="22"/>
    </row>
    <row r="1781" spans="1:8">
      <c r="A1781" s="21"/>
      <c r="B1781" s="28"/>
      <c r="C1781" s="22"/>
      <c r="D1781" s="28"/>
      <c r="E1781" s="23" t="str">
        <f>IF($D1781="","",IFERROR(VLOOKUP($D1781,'ACAS Consumables Tracker'!$A:$H,8,FALSE()),""))</f>
        <v/>
      </c>
      <c r="F1781" s="24"/>
      <c r="G1781" s="25" t="str">
        <f>IF($D1781="","",IFERROR(VLOOKUP($D1781,'ACAS Consumables Tracker'!$A:$D,4,FALSE()),""))</f>
        <v/>
      </c>
      <c r="H1781" s="22"/>
    </row>
    <row r="1782" spans="1:8">
      <c r="A1782" s="21"/>
      <c r="B1782" s="28"/>
      <c r="C1782" s="22"/>
      <c r="D1782" s="28"/>
      <c r="E1782" s="23" t="str">
        <f>IF($D1782="","",IFERROR(VLOOKUP($D1782,'ACAS Consumables Tracker'!$A:$H,8,FALSE()),""))</f>
        <v/>
      </c>
      <c r="F1782" s="24"/>
      <c r="G1782" s="25" t="str">
        <f>IF($D1782="","",IFERROR(VLOOKUP($D1782,'ACAS Consumables Tracker'!$A:$D,4,FALSE()),""))</f>
        <v/>
      </c>
      <c r="H1782" s="22"/>
    </row>
    <row r="1783" spans="1:8">
      <c r="A1783" s="21"/>
      <c r="B1783" s="28"/>
      <c r="C1783" s="22"/>
      <c r="D1783" s="28"/>
      <c r="E1783" s="23" t="str">
        <f>IF($D1783="","",IFERROR(VLOOKUP($D1783,'ACAS Consumables Tracker'!$A:$H,8,FALSE()),""))</f>
        <v/>
      </c>
      <c r="F1783" s="24"/>
      <c r="G1783" s="25" t="str">
        <f>IF($D1783="","",IFERROR(VLOOKUP($D1783,'ACAS Consumables Tracker'!$A:$D,4,FALSE()),""))</f>
        <v/>
      </c>
      <c r="H1783" s="22"/>
    </row>
    <row r="1784" spans="1:8">
      <c r="A1784" s="21"/>
      <c r="B1784" s="28"/>
      <c r="C1784" s="22"/>
      <c r="D1784" s="28"/>
      <c r="E1784" s="23" t="str">
        <f>IF($D1784="","",IFERROR(VLOOKUP($D1784,'ACAS Consumables Tracker'!$A:$H,8,FALSE()),""))</f>
        <v/>
      </c>
      <c r="F1784" s="24"/>
      <c r="G1784" s="25" t="str">
        <f>IF($D1784="","",IFERROR(VLOOKUP($D1784,'ACAS Consumables Tracker'!$A:$D,4,FALSE()),""))</f>
        <v/>
      </c>
      <c r="H1784" s="22"/>
    </row>
    <row r="1785" spans="1:8">
      <c r="A1785" s="21"/>
      <c r="B1785" s="28"/>
      <c r="C1785" s="22"/>
      <c r="D1785" s="28"/>
      <c r="E1785" s="23" t="str">
        <f>IF($D1785="","",IFERROR(VLOOKUP($D1785,'ACAS Consumables Tracker'!$A:$H,8,FALSE()),""))</f>
        <v/>
      </c>
      <c r="F1785" s="24"/>
      <c r="G1785" s="25" t="str">
        <f>IF($D1785="","",IFERROR(VLOOKUP($D1785,'ACAS Consumables Tracker'!$A:$D,4,FALSE()),""))</f>
        <v/>
      </c>
      <c r="H1785" s="22"/>
    </row>
    <row r="1786" spans="1:8">
      <c r="A1786" s="21"/>
      <c r="B1786" s="28"/>
      <c r="C1786" s="22"/>
      <c r="D1786" s="28"/>
      <c r="E1786" s="23" t="str">
        <f>IF($D1786="","",IFERROR(VLOOKUP($D1786,'ACAS Consumables Tracker'!$A:$H,8,FALSE()),""))</f>
        <v/>
      </c>
      <c r="F1786" s="24"/>
      <c r="G1786" s="25" t="str">
        <f>IF($D1786="","",IFERROR(VLOOKUP($D1786,'ACAS Consumables Tracker'!$A:$D,4,FALSE()),""))</f>
        <v/>
      </c>
      <c r="H1786" s="22"/>
    </row>
    <row r="1787" spans="1:8">
      <c r="A1787" s="21"/>
      <c r="B1787" s="28"/>
      <c r="C1787" s="22"/>
      <c r="D1787" s="28"/>
      <c r="E1787" s="23" t="str">
        <f>IF($D1787="","",IFERROR(VLOOKUP($D1787,'ACAS Consumables Tracker'!$A:$H,8,FALSE()),""))</f>
        <v/>
      </c>
      <c r="F1787" s="24"/>
      <c r="G1787" s="25" t="str">
        <f>IF($D1787="","",IFERROR(VLOOKUP($D1787,'ACAS Consumables Tracker'!$A:$D,4,FALSE()),""))</f>
        <v/>
      </c>
      <c r="H1787" s="22"/>
    </row>
    <row r="1788" spans="1:8">
      <c r="A1788" s="21"/>
      <c r="B1788" s="28"/>
      <c r="C1788" s="22"/>
      <c r="D1788" s="28"/>
      <c r="E1788" s="23" t="str">
        <f>IF($D1788="","",IFERROR(VLOOKUP($D1788,'ACAS Consumables Tracker'!$A:$H,8,FALSE()),""))</f>
        <v/>
      </c>
      <c r="F1788" s="24"/>
      <c r="G1788" s="25" t="str">
        <f>IF($D1788="","",IFERROR(VLOOKUP($D1788,'ACAS Consumables Tracker'!$A:$D,4,FALSE()),""))</f>
        <v/>
      </c>
      <c r="H1788" s="22"/>
    </row>
    <row r="1789" spans="1:8">
      <c r="A1789" s="21"/>
      <c r="B1789" s="28"/>
      <c r="C1789" s="22"/>
      <c r="D1789" s="28"/>
      <c r="E1789" s="23" t="str">
        <f>IF($D1789="","",IFERROR(VLOOKUP($D1789,'ACAS Consumables Tracker'!$A:$H,8,FALSE()),""))</f>
        <v/>
      </c>
      <c r="F1789" s="24"/>
      <c r="G1789" s="25" t="str">
        <f>IF($D1789="","",IFERROR(VLOOKUP($D1789,'ACAS Consumables Tracker'!$A:$D,4,FALSE()),""))</f>
        <v/>
      </c>
      <c r="H1789" s="22"/>
    </row>
    <row r="1790" spans="1:8">
      <c r="A1790" s="21"/>
      <c r="B1790" s="28"/>
      <c r="C1790" s="22"/>
      <c r="D1790" s="28"/>
      <c r="E1790" s="23" t="str">
        <f>IF($D1790="","",IFERROR(VLOOKUP($D1790,'ACAS Consumables Tracker'!$A:$H,8,FALSE()),""))</f>
        <v/>
      </c>
      <c r="F1790" s="24"/>
      <c r="G1790" s="25" t="str">
        <f>IF($D1790="","",IFERROR(VLOOKUP($D1790,'ACAS Consumables Tracker'!$A:$D,4,FALSE()),""))</f>
        <v/>
      </c>
      <c r="H1790" s="22"/>
    </row>
    <row r="1791" spans="1:8">
      <c r="A1791" s="21"/>
      <c r="B1791" s="28"/>
      <c r="C1791" s="22"/>
      <c r="D1791" s="28"/>
      <c r="E1791" s="23" t="str">
        <f>IF($D1791="","",IFERROR(VLOOKUP($D1791,'ACAS Consumables Tracker'!$A:$H,8,FALSE()),""))</f>
        <v/>
      </c>
      <c r="F1791" s="24"/>
      <c r="G1791" s="25" t="str">
        <f>IF($D1791="","",IFERROR(VLOOKUP($D1791,'ACAS Consumables Tracker'!$A:$D,4,FALSE()),""))</f>
        <v/>
      </c>
      <c r="H1791" s="22"/>
    </row>
    <row r="1792" spans="1:8">
      <c r="A1792" s="21"/>
      <c r="B1792" s="28"/>
      <c r="C1792" s="22"/>
      <c r="D1792" s="28"/>
      <c r="E1792" s="23" t="str">
        <f>IF($D1792="","",IFERROR(VLOOKUP($D1792,'ACAS Consumables Tracker'!$A:$H,8,FALSE()),""))</f>
        <v/>
      </c>
      <c r="F1792" s="24"/>
      <c r="G1792" s="25" t="str">
        <f>IF($D1792="","",IFERROR(VLOOKUP($D1792,'ACAS Consumables Tracker'!$A:$D,4,FALSE()),""))</f>
        <v/>
      </c>
      <c r="H1792" s="22"/>
    </row>
    <row r="1793" spans="1:8">
      <c r="A1793" s="21"/>
      <c r="B1793" s="28"/>
      <c r="C1793" s="22"/>
      <c r="D1793" s="28"/>
      <c r="E1793" s="23" t="str">
        <f>IF($D1793="","",IFERROR(VLOOKUP($D1793,'ACAS Consumables Tracker'!$A:$H,8,FALSE()),""))</f>
        <v/>
      </c>
      <c r="F1793" s="24"/>
      <c r="G1793" s="25" t="str">
        <f>IF($D1793="","",IFERROR(VLOOKUP($D1793,'ACAS Consumables Tracker'!$A:$D,4,FALSE()),""))</f>
        <v/>
      </c>
      <c r="H1793" s="22"/>
    </row>
    <row r="1794" spans="1:8">
      <c r="A1794" s="21"/>
      <c r="B1794" s="28"/>
      <c r="C1794" s="22"/>
      <c r="D1794" s="28"/>
      <c r="E1794" s="23" t="str">
        <f>IF($D1794="","",IFERROR(VLOOKUP($D1794,'ACAS Consumables Tracker'!$A:$H,8,FALSE()),""))</f>
        <v/>
      </c>
      <c r="F1794" s="24"/>
      <c r="G1794" s="25" t="str">
        <f>IF($D1794="","",IFERROR(VLOOKUP($D1794,'ACAS Consumables Tracker'!$A:$D,4,FALSE()),""))</f>
        <v/>
      </c>
      <c r="H1794" s="22"/>
    </row>
    <row r="1795" spans="1:8">
      <c r="A1795" s="21"/>
      <c r="B1795" s="28"/>
      <c r="C1795" s="22"/>
      <c r="D1795" s="28"/>
      <c r="E1795" s="23" t="str">
        <f>IF($D1795="","",IFERROR(VLOOKUP($D1795,'ACAS Consumables Tracker'!$A:$H,8,FALSE()),""))</f>
        <v/>
      </c>
      <c r="F1795" s="24"/>
      <c r="G1795" s="25" t="str">
        <f>IF($D1795="","",IFERROR(VLOOKUP($D1795,'ACAS Consumables Tracker'!$A:$D,4,FALSE()),""))</f>
        <v/>
      </c>
      <c r="H1795" s="22"/>
    </row>
    <row r="1796" spans="1:8">
      <c r="A1796" s="21"/>
      <c r="B1796" s="28"/>
      <c r="C1796" s="22"/>
      <c r="D1796" s="28"/>
      <c r="E1796" s="23" t="str">
        <f>IF($D1796="","",IFERROR(VLOOKUP($D1796,'ACAS Consumables Tracker'!$A:$H,8,FALSE()),""))</f>
        <v/>
      </c>
      <c r="F1796" s="24"/>
      <c r="G1796" s="25" t="str">
        <f>IF($D1796="","",IFERROR(VLOOKUP($D1796,'ACAS Consumables Tracker'!$A:$D,4,FALSE()),""))</f>
        <v/>
      </c>
      <c r="H1796" s="22"/>
    </row>
    <row r="1797" spans="1:8">
      <c r="A1797" s="21"/>
      <c r="B1797" s="28"/>
      <c r="C1797" s="22"/>
      <c r="D1797" s="28"/>
      <c r="E1797" s="23" t="str">
        <f>IF($D1797="","",IFERROR(VLOOKUP($D1797,'ACAS Consumables Tracker'!$A:$H,8,FALSE()),""))</f>
        <v/>
      </c>
      <c r="F1797" s="24"/>
      <c r="G1797" s="25" t="str">
        <f>IF($D1797="","",IFERROR(VLOOKUP($D1797,'ACAS Consumables Tracker'!$A:$D,4,FALSE()),""))</f>
        <v/>
      </c>
      <c r="H1797" s="22"/>
    </row>
    <row r="1798" spans="1:8">
      <c r="A1798" s="21"/>
      <c r="B1798" s="28"/>
      <c r="C1798" s="22"/>
      <c r="D1798" s="28"/>
      <c r="E1798" s="23" t="str">
        <f>IF($D1798="","",IFERROR(VLOOKUP($D1798,'ACAS Consumables Tracker'!$A:$H,8,FALSE()),""))</f>
        <v/>
      </c>
      <c r="F1798" s="24"/>
      <c r="G1798" s="25" t="str">
        <f>IF($D1798="","",IFERROR(VLOOKUP($D1798,'ACAS Consumables Tracker'!$A:$D,4,FALSE()),""))</f>
        <v/>
      </c>
      <c r="H1798" s="22"/>
    </row>
    <row r="1799" spans="1:8">
      <c r="A1799" s="21"/>
      <c r="B1799" s="28"/>
      <c r="C1799" s="22"/>
      <c r="D1799" s="28"/>
      <c r="E1799" s="23" t="str">
        <f>IF($D1799="","",IFERROR(VLOOKUP($D1799,'ACAS Consumables Tracker'!$A:$H,8,FALSE()),""))</f>
        <v/>
      </c>
      <c r="F1799" s="24"/>
      <c r="G1799" s="25" t="str">
        <f>IF($D1799="","",IFERROR(VLOOKUP($D1799,'ACAS Consumables Tracker'!$A:$D,4,FALSE()),""))</f>
        <v/>
      </c>
      <c r="H1799" s="22"/>
    </row>
    <row r="1800" spans="1:8">
      <c r="A1800" s="21"/>
      <c r="B1800" s="28"/>
      <c r="C1800" s="22"/>
      <c r="D1800" s="28"/>
      <c r="E1800" s="23" t="str">
        <f>IF($D1800="","",IFERROR(VLOOKUP($D1800,'ACAS Consumables Tracker'!$A:$H,8,FALSE()),""))</f>
        <v/>
      </c>
      <c r="F1800" s="24"/>
      <c r="G1800" s="25" t="str">
        <f>IF($D1800="","",IFERROR(VLOOKUP($D1800,'ACAS Consumables Tracker'!$A:$D,4,FALSE()),""))</f>
        <v/>
      </c>
      <c r="H1800" s="22"/>
    </row>
    <row r="1801" spans="1:8">
      <c r="A1801" s="21"/>
      <c r="B1801" s="28"/>
      <c r="C1801" s="22"/>
      <c r="D1801" s="28"/>
      <c r="E1801" s="23" t="str">
        <f>IF($D1801="","",IFERROR(VLOOKUP($D1801,'ACAS Consumables Tracker'!$A:$H,8,FALSE()),""))</f>
        <v/>
      </c>
      <c r="F1801" s="24"/>
      <c r="G1801" s="25" t="str">
        <f>IF($D1801="","",IFERROR(VLOOKUP($D1801,'ACAS Consumables Tracker'!$A:$D,4,FALSE()),""))</f>
        <v/>
      </c>
      <c r="H1801" s="22"/>
    </row>
    <row r="1802" spans="1:8">
      <c r="A1802" s="21"/>
      <c r="B1802" s="28"/>
      <c r="C1802" s="22"/>
      <c r="D1802" s="28"/>
      <c r="E1802" s="23" t="str">
        <f>IF($D1802="","",IFERROR(VLOOKUP($D1802,'ACAS Consumables Tracker'!$A:$H,8,FALSE()),""))</f>
        <v/>
      </c>
      <c r="F1802" s="24"/>
      <c r="G1802" s="25" t="str">
        <f>IF($D1802="","",IFERROR(VLOOKUP($D1802,'ACAS Consumables Tracker'!$A:$D,4,FALSE()),""))</f>
        <v/>
      </c>
      <c r="H1802" s="22"/>
    </row>
    <row r="1803" spans="1:8">
      <c r="A1803" s="21"/>
      <c r="B1803" s="28"/>
      <c r="C1803" s="22"/>
      <c r="D1803" s="28"/>
      <c r="E1803" s="23" t="str">
        <f>IF($D1803="","",IFERROR(VLOOKUP($D1803,'ACAS Consumables Tracker'!$A:$H,8,FALSE()),""))</f>
        <v/>
      </c>
      <c r="F1803" s="24"/>
      <c r="G1803" s="25" t="str">
        <f>IF($D1803="","",IFERROR(VLOOKUP($D1803,'ACAS Consumables Tracker'!$A:$D,4,FALSE()),""))</f>
        <v/>
      </c>
      <c r="H1803" s="22"/>
    </row>
    <row r="1804" spans="1:8">
      <c r="A1804" s="21"/>
      <c r="B1804" s="28"/>
      <c r="C1804" s="22"/>
      <c r="D1804" s="28"/>
      <c r="E1804" s="23" t="str">
        <f>IF($D1804="","",IFERROR(VLOOKUP($D1804,'ACAS Consumables Tracker'!$A:$H,8,FALSE()),""))</f>
        <v/>
      </c>
      <c r="F1804" s="24"/>
      <c r="G1804" s="25" t="str">
        <f>IF($D1804="","",IFERROR(VLOOKUP($D1804,'ACAS Consumables Tracker'!$A:$D,4,FALSE()),""))</f>
        <v/>
      </c>
      <c r="H1804" s="22"/>
    </row>
    <row r="1805" spans="1:8">
      <c r="A1805" s="21"/>
      <c r="B1805" s="28"/>
      <c r="C1805" s="22"/>
      <c r="D1805" s="28"/>
      <c r="E1805" s="23" t="str">
        <f>IF($D1805="","",IFERROR(VLOOKUP($D1805,'ACAS Consumables Tracker'!$A:$H,8,FALSE()),""))</f>
        <v/>
      </c>
      <c r="F1805" s="24"/>
      <c r="G1805" s="25" t="str">
        <f>IF($D1805="","",IFERROR(VLOOKUP($D1805,'ACAS Consumables Tracker'!$A:$D,4,FALSE()),""))</f>
        <v/>
      </c>
      <c r="H1805" s="22"/>
    </row>
    <row r="1806" spans="1:8">
      <c r="A1806" s="21"/>
      <c r="B1806" s="28"/>
      <c r="C1806" s="22"/>
      <c r="D1806" s="28"/>
      <c r="E1806" s="23" t="str">
        <f>IF($D1806="","",IFERROR(VLOOKUP($D1806,'ACAS Consumables Tracker'!$A:$H,8,FALSE()),""))</f>
        <v/>
      </c>
      <c r="F1806" s="24"/>
      <c r="G1806" s="25" t="str">
        <f>IF($D1806="","",IFERROR(VLOOKUP($D1806,'ACAS Consumables Tracker'!$A:$D,4,FALSE()),""))</f>
        <v/>
      </c>
      <c r="H1806" s="22"/>
    </row>
    <row r="1807" spans="1:8">
      <c r="A1807" s="21"/>
      <c r="B1807" s="28"/>
      <c r="C1807" s="22"/>
      <c r="D1807" s="28"/>
      <c r="E1807" s="23" t="str">
        <f>IF($D1807="","",IFERROR(VLOOKUP($D1807,'ACAS Consumables Tracker'!$A:$H,8,FALSE()),""))</f>
        <v/>
      </c>
      <c r="F1807" s="24"/>
      <c r="G1807" s="25" t="str">
        <f>IF($D1807="","",IFERROR(VLOOKUP($D1807,'ACAS Consumables Tracker'!$A:$D,4,FALSE()),""))</f>
        <v/>
      </c>
      <c r="H1807" s="22"/>
    </row>
    <row r="1808" spans="1:8">
      <c r="A1808" s="21"/>
      <c r="B1808" s="28"/>
      <c r="C1808" s="22"/>
      <c r="D1808" s="28"/>
      <c r="E1808" s="23" t="str">
        <f>IF($D1808="","",IFERROR(VLOOKUP($D1808,'ACAS Consumables Tracker'!$A:$H,8,FALSE()),""))</f>
        <v/>
      </c>
      <c r="F1808" s="24"/>
      <c r="G1808" s="25" t="str">
        <f>IF($D1808="","",IFERROR(VLOOKUP($D1808,'ACAS Consumables Tracker'!$A:$D,4,FALSE()),""))</f>
        <v/>
      </c>
      <c r="H1808" s="22"/>
    </row>
    <row r="1809" spans="1:8">
      <c r="A1809" s="21"/>
      <c r="B1809" s="28"/>
      <c r="C1809" s="22"/>
      <c r="D1809" s="28"/>
      <c r="E1809" s="23" t="str">
        <f>IF($D1809="","",IFERROR(VLOOKUP($D1809,'ACAS Consumables Tracker'!$A:$H,8,FALSE()),""))</f>
        <v/>
      </c>
      <c r="F1809" s="24"/>
      <c r="G1809" s="25" t="str">
        <f>IF($D1809="","",IFERROR(VLOOKUP($D1809,'ACAS Consumables Tracker'!$A:$D,4,FALSE()),""))</f>
        <v/>
      </c>
      <c r="H1809" s="22"/>
    </row>
    <row r="1810" spans="1:8">
      <c r="A1810" s="21"/>
      <c r="B1810" s="28"/>
      <c r="C1810" s="22"/>
      <c r="D1810" s="28"/>
      <c r="E1810" s="23" t="str">
        <f>IF($D1810="","",IFERROR(VLOOKUP($D1810,'ACAS Consumables Tracker'!$A:$H,8,FALSE()),""))</f>
        <v/>
      </c>
      <c r="F1810" s="24"/>
      <c r="G1810" s="25" t="str">
        <f>IF($D1810="","",IFERROR(VLOOKUP($D1810,'ACAS Consumables Tracker'!$A:$D,4,FALSE()),""))</f>
        <v/>
      </c>
      <c r="H1810" s="22"/>
    </row>
    <row r="1811" spans="1:8">
      <c r="A1811" s="21"/>
      <c r="B1811" s="28"/>
      <c r="C1811" s="22"/>
      <c r="D1811" s="28"/>
      <c r="E1811" s="23" t="str">
        <f>IF($D1811="","",IFERROR(VLOOKUP($D1811,'ACAS Consumables Tracker'!$A:$H,8,FALSE()),""))</f>
        <v/>
      </c>
      <c r="F1811" s="24"/>
      <c r="G1811" s="25" t="str">
        <f>IF($D1811="","",IFERROR(VLOOKUP($D1811,'ACAS Consumables Tracker'!$A:$D,4,FALSE()),""))</f>
        <v/>
      </c>
      <c r="H1811" s="22"/>
    </row>
    <row r="1812" spans="1:8">
      <c r="A1812" s="21"/>
      <c r="B1812" s="28"/>
      <c r="C1812" s="22"/>
      <c r="D1812" s="28"/>
      <c r="E1812" s="23" t="str">
        <f>IF($D1812="","",IFERROR(VLOOKUP($D1812,'ACAS Consumables Tracker'!$A:$H,8,FALSE()),""))</f>
        <v/>
      </c>
      <c r="F1812" s="24"/>
      <c r="G1812" s="25" t="str">
        <f>IF($D1812="","",IFERROR(VLOOKUP($D1812,'ACAS Consumables Tracker'!$A:$D,4,FALSE()),""))</f>
        <v/>
      </c>
      <c r="H1812" s="22"/>
    </row>
    <row r="1813" spans="1:8">
      <c r="A1813" s="21"/>
      <c r="B1813" s="28"/>
      <c r="C1813" s="22"/>
      <c r="D1813" s="28"/>
      <c r="E1813" s="23" t="str">
        <f>IF($D1813="","",IFERROR(VLOOKUP($D1813,'ACAS Consumables Tracker'!$A:$H,8,FALSE()),""))</f>
        <v/>
      </c>
      <c r="F1813" s="24"/>
      <c r="G1813" s="25" t="str">
        <f>IF($D1813="","",IFERROR(VLOOKUP($D1813,'ACAS Consumables Tracker'!$A:$D,4,FALSE()),""))</f>
        <v/>
      </c>
      <c r="H1813" s="22"/>
    </row>
    <row r="1814" spans="1:8">
      <c r="A1814" s="21"/>
      <c r="B1814" s="28"/>
      <c r="C1814" s="22"/>
      <c r="D1814" s="28"/>
      <c r="E1814" s="23" t="str">
        <f>IF($D1814="","",IFERROR(VLOOKUP($D1814,'ACAS Consumables Tracker'!$A:$H,8,FALSE()),""))</f>
        <v/>
      </c>
      <c r="F1814" s="24"/>
      <c r="G1814" s="25" t="str">
        <f>IF($D1814="","",IFERROR(VLOOKUP($D1814,'ACAS Consumables Tracker'!$A:$D,4,FALSE()),""))</f>
        <v/>
      </c>
      <c r="H1814" s="22"/>
    </row>
    <row r="1815" spans="1:8">
      <c r="A1815" s="21"/>
      <c r="B1815" s="28"/>
      <c r="C1815" s="22"/>
      <c r="D1815" s="28"/>
      <c r="E1815" s="23" t="str">
        <f>IF($D1815="","",IFERROR(VLOOKUP($D1815,'ACAS Consumables Tracker'!$A:$H,8,FALSE()),""))</f>
        <v/>
      </c>
      <c r="F1815" s="24"/>
      <c r="G1815" s="25" t="str">
        <f>IF($D1815="","",IFERROR(VLOOKUP($D1815,'ACAS Consumables Tracker'!$A:$D,4,FALSE()),""))</f>
        <v/>
      </c>
      <c r="H1815" s="22"/>
    </row>
    <row r="1816" spans="1:8">
      <c r="A1816" s="21"/>
      <c r="B1816" s="28"/>
      <c r="C1816" s="22"/>
      <c r="D1816" s="28"/>
      <c r="E1816" s="23" t="str">
        <f>IF($D1816="","",IFERROR(VLOOKUP($D1816,'ACAS Consumables Tracker'!$A:$H,8,FALSE()),""))</f>
        <v/>
      </c>
      <c r="F1816" s="24"/>
      <c r="G1816" s="25" t="str">
        <f>IF($D1816="","",IFERROR(VLOOKUP($D1816,'ACAS Consumables Tracker'!$A:$D,4,FALSE()),""))</f>
        <v/>
      </c>
      <c r="H1816" s="22"/>
    </row>
    <row r="1817" spans="1:8">
      <c r="A1817" s="21"/>
      <c r="B1817" s="28"/>
      <c r="C1817" s="22"/>
      <c r="D1817" s="28"/>
      <c r="E1817" s="23" t="str">
        <f>IF($D1817="","",IFERROR(VLOOKUP($D1817,'ACAS Consumables Tracker'!$A:$H,8,FALSE()),""))</f>
        <v/>
      </c>
      <c r="F1817" s="24"/>
      <c r="G1817" s="25" t="str">
        <f>IF($D1817="","",IFERROR(VLOOKUP($D1817,'ACAS Consumables Tracker'!$A:$D,4,FALSE()),""))</f>
        <v/>
      </c>
      <c r="H1817" s="22"/>
    </row>
    <row r="1818" spans="1:8">
      <c r="A1818" s="21"/>
      <c r="B1818" s="28"/>
      <c r="C1818" s="22"/>
      <c r="D1818" s="28"/>
      <c r="E1818" s="23" t="str">
        <f>IF($D1818="","",IFERROR(VLOOKUP($D1818,'ACAS Consumables Tracker'!$A:$H,8,FALSE()),""))</f>
        <v/>
      </c>
      <c r="F1818" s="24"/>
      <c r="G1818" s="25" t="str">
        <f>IF($D1818="","",IFERROR(VLOOKUP($D1818,'ACAS Consumables Tracker'!$A:$D,4,FALSE()),""))</f>
        <v/>
      </c>
      <c r="H1818" s="22"/>
    </row>
    <row r="1819" spans="1:8">
      <c r="A1819" s="21"/>
      <c r="B1819" s="28"/>
      <c r="C1819" s="22"/>
      <c r="D1819" s="28"/>
      <c r="E1819" s="23" t="str">
        <f>IF($D1819="","",IFERROR(VLOOKUP($D1819,'ACAS Consumables Tracker'!$A:$H,8,FALSE()),""))</f>
        <v/>
      </c>
      <c r="F1819" s="24"/>
      <c r="G1819" s="25" t="str">
        <f>IF($D1819="","",IFERROR(VLOOKUP($D1819,'ACAS Consumables Tracker'!$A:$D,4,FALSE()),""))</f>
        <v/>
      </c>
      <c r="H1819" s="22"/>
    </row>
    <row r="1820" spans="1:8">
      <c r="A1820" s="21"/>
      <c r="B1820" s="28"/>
      <c r="C1820" s="22"/>
      <c r="D1820" s="28"/>
      <c r="E1820" s="23" t="str">
        <f>IF($D1820="","",IFERROR(VLOOKUP($D1820,'ACAS Consumables Tracker'!$A:$H,8,FALSE()),""))</f>
        <v/>
      </c>
      <c r="F1820" s="24"/>
      <c r="G1820" s="25" t="str">
        <f>IF($D1820="","",IFERROR(VLOOKUP($D1820,'ACAS Consumables Tracker'!$A:$D,4,FALSE()),""))</f>
        <v/>
      </c>
      <c r="H1820" s="22"/>
    </row>
    <row r="1821" spans="1:8">
      <c r="A1821" s="21"/>
      <c r="B1821" s="28"/>
      <c r="C1821" s="22"/>
      <c r="D1821" s="28"/>
      <c r="E1821" s="23" t="str">
        <f>IF($D1821="","",IFERROR(VLOOKUP($D1821,'ACAS Consumables Tracker'!$A:$H,8,FALSE()),""))</f>
        <v/>
      </c>
      <c r="F1821" s="24"/>
      <c r="G1821" s="25" t="str">
        <f>IF($D1821="","",IFERROR(VLOOKUP($D1821,'ACAS Consumables Tracker'!$A:$D,4,FALSE()),""))</f>
        <v/>
      </c>
      <c r="H1821" s="22"/>
    </row>
    <row r="1822" spans="1:8">
      <c r="A1822" s="21"/>
      <c r="B1822" s="28"/>
      <c r="C1822" s="22"/>
      <c r="D1822" s="28"/>
      <c r="E1822" s="23" t="str">
        <f>IF($D1822="","",IFERROR(VLOOKUP($D1822,'ACAS Consumables Tracker'!$A:$H,8,FALSE()),""))</f>
        <v/>
      </c>
      <c r="F1822" s="24"/>
      <c r="G1822" s="25" t="str">
        <f>IF($D1822="","",IFERROR(VLOOKUP($D1822,'ACAS Consumables Tracker'!$A:$D,4,FALSE()),""))</f>
        <v/>
      </c>
      <c r="H1822" s="22"/>
    </row>
    <row r="1823" spans="1:8">
      <c r="A1823" s="21"/>
      <c r="B1823" s="28"/>
      <c r="C1823" s="22"/>
      <c r="D1823" s="28"/>
      <c r="E1823" s="23" t="str">
        <f>IF($D1823="","",IFERROR(VLOOKUP($D1823,'ACAS Consumables Tracker'!$A:$H,8,FALSE()),""))</f>
        <v/>
      </c>
      <c r="F1823" s="24"/>
      <c r="G1823" s="25" t="str">
        <f>IF($D1823="","",IFERROR(VLOOKUP($D1823,'ACAS Consumables Tracker'!$A:$D,4,FALSE()),""))</f>
        <v/>
      </c>
      <c r="H1823" s="22"/>
    </row>
    <row r="1824" spans="1:8">
      <c r="A1824" s="21"/>
      <c r="B1824" s="28"/>
      <c r="C1824" s="22"/>
      <c r="D1824" s="28"/>
      <c r="E1824" s="23" t="str">
        <f>IF($D1824="","",IFERROR(VLOOKUP($D1824,'ACAS Consumables Tracker'!$A:$H,8,FALSE()),""))</f>
        <v/>
      </c>
      <c r="F1824" s="24"/>
      <c r="G1824" s="25" t="str">
        <f>IF($D1824="","",IFERROR(VLOOKUP($D1824,'ACAS Consumables Tracker'!$A:$D,4,FALSE()),""))</f>
        <v/>
      </c>
      <c r="H1824" s="22"/>
    </row>
    <row r="1825" spans="1:8">
      <c r="A1825" s="21"/>
      <c r="B1825" s="28"/>
      <c r="C1825" s="22"/>
      <c r="D1825" s="28"/>
      <c r="E1825" s="23" t="str">
        <f>IF($D1825="","",IFERROR(VLOOKUP($D1825,'ACAS Consumables Tracker'!$A:$H,8,FALSE()),""))</f>
        <v/>
      </c>
      <c r="F1825" s="24"/>
      <c r="G1825" s="25" t="str">
        <f>IF($D1825="","",IFERROR(VLOOKUP($D1825,'ACAS Consumables Tracker'!$A:$D,4,FALSE()),""))</f>
        <v/>
      </c>
      <c r="H1825" s="22"/>
    </row>
    <row r="1826" spans="1:8">
      <c r="A1826" s="21"/>
      <c r="B1826" s="28"/>
      <c r="C1826" s="22"/>
      <c r="D1826" s="28"/>
      <c r="E1826" s="23" t="str">
        <f>IF($D1826="","",IFERROR(VLOOKUP($D1826,'ACAS Consumables Tracker'!$A:$H,8,FALSE()),""))</f>
        <v/>
      </c>
      <c r="F1826" s="24"/>
      <c r="G1826" s="25" t="str">
        <f>IF($D1826="","",IFERROR(VLOOKUP($D1826,'ACAS Consumables Tracker'!$A:$D,4,FALSE()),""))</f>
        <v/>
      </c>
      <c r="H1826" s="22"/>
    </row>
    <row r="1827" spans="1:8">
      <c r="A1827" s="21"/>
      <c r="B1827" s="28"/>
      <c r="C1827" s="22"/>
      <c r="D1827" s="28"/>
      <c r="E1827" s="23" t="str">
        <f>IF($D1827="","",IFERROR(VLOOKUP($D1827,'ACAS Consumables Tracker'!$A:$H,8,FALSE()),""))</f>
        <v/>
      </c>
      <c r="F1827" s="24"/>
      <c r="G1827" s="25" t="str">
        <f>IF($D1827="","",IFERROR(VLOOKUP($D1827,'ACAS Consumables Tracker'!$A:$D,4,FALSE()),""))</f>
        <v/>
      </c>
      <c r="H1827" s="22"/>
    </row>
    <row r="1828" spans="1:8">
      <c r="A1828" s="21"/>
      <c r="B1828" s="28"/>
      <c r="C1828" s="22"/>
      <c r="D1828" s="28"/>
      <c r="E1828" s="23" t="str">
        <f>IF($D1828="","",IFERROR(VLOOKUP($D1828,'ACAS Consumables Tracker'!$A:$H,8,FALSE()),""))</f>
        <v/>
      </c>
      <c r="F1828" s="24"/>
      <c r="G1828" s="25" t="str">
        <f>IF($D1828="","",IFERROR(VLOOKUP($D1828,'ACAS Consumables Tracker'!$A:$D,4,FALSE()),""))</f>
        <v/>
      </c>
      <c r="H1828" s="22"/>
    </row>
    <row r="1829" spans="1:8">
      <c r="A1829" s="21"/>
      <c r="B1829" s="28"/>
      <c r="C1829" s="22"/>
      <c r="D1829" s="28"/>
      <c r="E1829" s="23" t="str">
        <f>IF($D1829="","",IFERROR(VLOOKUP($D1829,'ACAS Consumables Tracker'!$A:$H,8,FALSE()),""))</f>
        <v/>
      </c>
      <c r="F1829" s="24"/>
      <c r="G1829" s="25" t="str">
        <f>IF($D1829="","",IFERROR(VLOOKUP($D1829,'ACAS Consumables Tracker'!$A:$D,4,FALSE()),""))</f>
        <v/>
      </c>
      <c r="H1829" s="22"/>
    </row>
    <row r="1830" spans="1:8">
      <c r="A1830" s="21"/>
      <c r="B1830" s="28"/>
      <c r="C1830" s="22"/>
      <c r="D1830" s="28"/>
      <c r="E1830" s="23" t="str">
        <f>IF($D1830="","",IFERROR(VLOOKUP($D1830,'ACAS Consumables Tracker'!$A:$H,8,FALSE()),""))</f>
        <v/>
      </c>
      <c r="F1830" s="24"/>
      <c r="G1830" s="25" t="str">
        <f>IF($D1830="","",IFERROR(VLOOKUP($D1830,'ACAS Consumables Tracker'!$A:$D,4,FALSE()),""))</f>
        <v/>
      </c>
      <c r="H1830" s="22"/>
    </row>
    <row r="1831" spans="1:8">
      <c r="A1831" s="21"/>
      <c r="B1831" s="28"/>
      <c r="C1831" s="22"/>
      <c r="D1831" s="28"/>
      <c r="E1831" s="23" t="str">
        <f>IF($D1831="","",IFERROR(VLOOKUP($D1831,'ACAS Consumables Tracker'!$A:$H,8,FALSE()),""))</f>
        <v/>
      </c>
      <c r="F1831" s="24"/>
      <c r="G1831" s="25" t="str">
        <f>IF($D1831="","",IFERROR(VLOOKUP($D1831,'ACAS Consumables Tracker'!$A:$D,4,FALSE()),""))</f>
        <v/>
      </c>
      <c r="H1831" s="22"/>
    </row>
    <row r="1832" spans="1:8">
      <c r="A1832" s="21"/>
      <c r="B1832" s="28"/>
      <c r="C1832" s="22"/>
      <c r="D1832" s="28"/>
      <c r="E1832" s="23" t="str">
        <f>IF($D1832="","",IFERROR(VLOOKUP($D1832,'ACAS Consumables Tracker'!$A:$H,8,FALSE()),""))</f>
        <v/>
      </c>
      <c r="F1832" s="24"/>
      <c r="G1832" s="25" t="str">
        <f>IF($D1832="","",IFERROR(VLOOKUP($D1832,'ACAS Consumables Tracker'!$A:$D,4,FALSE()),""))</f>
        <v/>
      </c>
      <c r="H1832" s="22"/>
    </row>
    <row r="1833" spans="1:8">
      <c r="A1833" s="21"/>
      <c r="B1833" s="28"/>
      <c r="C1833" s="22"/>
      <c r="D1833" s="28"/>
      <c r="E1833" s="23" t="str">
        <f>IF($D1833="","",IFERROR(VLOOKUP($D1833,'ACAS Consumables Tracker'!$A:$H,8,FALSE()),""))</f>
        <v/>
      </c>
      <c r="F1833" s="24"/>
      <c r="G1833" s="25" t="str">
        <f>IF($D1833="","",IFERROR(VLOOKUP($D1833,'ACAS Consumables Tracker'!$A:$D,4,FALSE()),""))</f>
        <v/>
      </c>
      <c r="H1833" s="22"/>
    </row>
    <row r="1834" spans="1:8">
      <c r="A1834" s="21"/>
      <c r="B1834" s="28"/>
      <c r="C1834" s="22"/>
      <c r="D1834" s="28"/>
      <c r="E1834" s="23" t="str">
        <f>IF($D1834="","",IFERROR(VLOOKUP($D1834,'ACAS Consumables Tracker'!$A:$H,8,FALSE()),""))</f>
        <v/>
      </c>
      <c r="F1834" s="24"/>
      <c r="G1834" s="25" t="str">
        <f>IF($D1834="","",IFERROR(VLOOKUP($D1834,'ACAS Consumables Tracker'!$A:$D,4,FALSE()),""))</f>
        <v/>
      </c>
      <c r="H1834" s="22"/>
    </row>
    <row r="1835" spans="1:8">
      <c r="A1835" s="21"/>
      <c r="B1835" s="28"/>
      <c r="C1835" s="22"/>
      <c r="D1835" s="28"/>
      <c r="E1835" s="23" t="str">
        <f>IF($D1835="","",IFERROR(VLOOKUP($D1835,'ACAS Consumables Tracker'!$A:$H,8,FALSE()),""))</f>
        <v/>
      </c>
      <c r="F1835" s="24"/>
      <c r="G1835" s="25" t="str">
        <f>IF($D1835="","",IFERROR(VLOOKUP($D1835,'ACAS Consumables Tracker'!$A:$D,4,FALSE()),""))</f>
        <v/>
      </c>
      <c r="H1835" s="22"/>
    </row>
    <row r="1836" spans="1:8">
      <c r="A1836" s="21"/>
      <c r="B1836" s="28"/>
      <c r="C1836" s="22"/>
      <c r="D1836" s="28"/>
      <c r="E1836" s="23" t="str">
        <f>IF($D1836="","",IFERROR(VLOOKUP($D1836,'ACAS Consumables Tracker'!$A:$H,8,FALSE()),""))</f>
        <v/>
      </c>
      <c r="F1836" s="24"/>
      <c r="G1836" s="25" t="str">
        <f>IF($D1836="","",IFERROR(VLOOKUP($D1836,'ACAS Consumables Tracker'!$A:$D,4,FALSE()),""))</f>
        <v/>
      </c>
      <c r="H1836" s="22"/>
    </row>
    <row r="1837" spans="1:8">
      <c r="A1837" s="21"/>
      <c r="B1837" s="28"/>
      <c r="C1837" s="22"/>
      <c r="D1837" s="28"/>
      <c r="E1837" s="23" t="str">
        <f>IF($D1837="","",IFERROR(VLOOKUP($D1837,'ACAS Consumables Tracker'!$A:$H,8,FALSE()),""))</f>
        <v/>
      </c>
      <c r="F1837" s="24"/>
      <c r="G1837" s="25" t="str">
        <f>IF($D1837="","",IFERROR(VLOOKUP($D1837,'ACAS Consumables Tracker'!$A:$D,4,FALSE()),""))</f>
        <v/>
      </c>
      <c r="H1837" s="22"/>
    </row>
    <row r="1838" spans="1:8">
      <c r="A1838" s="21"/>
      <c r="B1838" s="28"/>
      <c r="C1838" s="22"/>
      <c r="D1838" s="28"/>
      <c r="E1838" s="23" t="str">
        <f>IF($D1838="","",IFERROR(VLOOKUP($D1838,'ACAS Consumables Tracker'!$A:$H,8,FALSE()),""))</f>
        <v/>
      </c>
      <c r="F1838" s="24"/>
      <c r="G1838" s="25" t="str">
        <f>IF($D1838="","",IFERROR(VLOOKUP($D1838,'ACAS Consumables Tracker'!$A:$D,4,FALSE()),""))</f>
        <v/>
      </c>
      <c r="H1838" s="22"/>
    </row>
    <row r="1839" spans="1:8">
      <c r="A1839" s="21"/>
      <c r="B1839" s="28"/>
      <c r="C1839" s="22"/>
      <c r="D1839" s="28"/>
      <c r="E1839" s="23" t="str">
        <f>IF($D1839="","",IFERROR(VLOOKUP($D1839,'ACAS Consumables Tracker'!$A:$H,8,FALSE()),""))</f>
        <v/>
      </c>
      <c r="F1839" s="24"/>
      <c r="G1839" s="25" t="str">
        <f>IF($D1839="","",IFERROR(VLOOKUP($D1839,'ACAS Consumables Tracker'!$A:$D,4,FALSE()),""))</f>
        <v/>
      </c>
      <c r="H1839" s="22"/>
    </row>
    <row r="1840" spans="1:8">
      <c r="A1840" s="21"/>
      <c r="B1840" s="28"/>
      <c r="C1840" s="22"/>
      <c r="D1840" s="28"/>
      <c r="E1840" s="23" t="str">
        <f>IF($D1840="","",IFERROR(VLOOKUP($D1840,'ACAS Consumables Tracker'!$A:$H,8,FALSE()),""))</f>
        <v/>
      </c>
      <c r="F1840" s="24"/>
      <c r="G1840" s="25" t="str">
        <f>IF($D1840="","",IFERROR(VLOOKUP($D1840,'ACAS Consumables Tracker'!$A:$D,4,FALSE()),""))</f>
        <v/>
      </c>
      <c r="H1840" s="22"/>
    </row>
    <row r="1841" spans="1:8">
      <c r="A1841" s="21"/>
      <c r="B1841" s="28"/>
      <c r="C1841" s="22"/>
      <c r="D1841" s="28"/>
      <c r="E1841" s="23" t="str">
        <f>IF($D1841="","",IFERROR(VLOOKUP($D1841,'ACAS Consumables Tracker'!$A:$H,8,FALSE()),""))</f>
        <v/>
      </c>
      <c r="F1841" s="24"/>
      <c r="G1841" s="25" t="str">
        <f>IF($D1841="","",IFERROR(VLOOKUP($D1841,'ACAS Consumables Tracker'!$A:$D,4,FALSE()),""))</f>
        <v/>
      </c>
      <c r="H1841" s="22"/>
    </row>
    <row r="1842" spans="1:8">
      <c r="A1842" s="21"/>
      <c r="B1842" s="28"/>
      <c r="C1842" s="22"/>
      <c r="D1842" s="28"/>
      <c r="E1842" s="23" t="str">
        <f>IF($D1842="","",IFERROR(VLOOKUP($D1842,'ACAS Consumables Tracker'!$A:$H,8,FALSE()),""))</f>
        <v/>
      </c>
      <c r="F1842" s="24"/>
      <c r="G1842" s="25" t="str">
        <f>IF($D1842="","",IFERROR(VLOOKUP($D1842,'ACAS Consumables Tracker'!$A:$D,4,FALSE()),""))</f>
        <v/>
      </c>
      <c r="H1842" s="22"/>
    </row>
    <row r="1843" spans="1:8">
      <c r="A1843" s="21"/>
      <c r="B1843" s="28"/>
      <c r="C1843" s="22"/>
      <c r="D1843" s="28"/>
      <c r="E1843" s="23" t="str">
        <f>IF($D1843="","",IFERROR(VLOOKUP($D1843,'ACAS Consumables Tracker'!$A:$H,8,FALSE()),""))</f>
        <v/>
      </c>
      <c r="F1843" s="24"/>
      <c r="G1843" s="25" t="str">
        <f>IF($D1843="","",IFERROR(VLOOKUP($D1843,'ACAS Consumables Tracker'!$A:$D,4,FALSE()),""))</f>
        <v/>
      </c>
      <c r="H1843" s="22"/>
    </row>
    <row r="1844" spans="1:8">
      <c r="A1844" s="21"/>
      <c r="B1844" s="28"/>
      <c r="C1844" s="22"/>
      <c r="D1844" s="28"/>
      <c r="E1844" s="23" t="str">
        <f>IF($D1844="","",IFERROR(VLOOKUP($D1844,'ACAS Consumables Tracker'!$A:$H,8,FALSE()),""))</f>
        <v/>
      </c>
      <c r="F1844" s="24"/>
      <c r="G1844" s="25" t="str">
        <f>IF($D1844="","",IFERROR(VLOOKUP($D1844,'ACAS Consumables Tracker'!$A:$D,4,FALSE()),""))</f>
        <v/>
      </c>
      <c r="H1844" s="22"/>
    </row>
    <row r="1845" spans="1:8">
      <c r="A1845" s="21"/>
      <c r="B1845" s="28"/>
      <c r="C1845" s="22"/>
      <c r="D1845" s="28"/>
      <c r="E1845" s="23" t="str">
        <f>IF($D1845="","",IFERROR(VLOOKUP($D1845,'ACAS Consumables Tracker'!$A:$H,8,FALSE()),""))</f>
        <v/>
      </c>
      <c r="F1845" s="24"/>
      <c r="G1845" s="25" t="str">
        <f>IF($D1845="","",IFERROR(VLOOKUP($D1845,'ACAS Consumables Tracker'!$A:$D,4,FALSE()),""))</f>
        <v/>
      </c>
      <c r="H1845" s="22"/>
    </row>
    <row r="1846" spans="1:8">
      <c r="A1846" s="21"/>
      <c r="B1846" s="28"/>
      <c r="C1846" s="22"/>
      <c r="D1846" s="28"/>
      <c r="E1846" s="23" t="str">
        <f>IF($D1846="","",IFERROR(VLOOKUP($D1846,'ACAS Consumables Tracker'!$A:$H,8,FALSE()),""))</f>
        <v/>
      </c>
      <c r="F1846" s="24"/>
      <c r="G1846" s="25" t="str">
        <f>IF($D1846="","",IFERROR(VLOOKUP($D1846,'ACAS Consumables Tracker'!$A:$D,4,FALSE()),""))</f>
        <v/>
      </c>
      <c r="H1846" s="22"/>
    </row>
    <row r="1847" spans="1:8">
      <c r="A1847" s="21"/>
      <c r="B1847" s="28"/>
      <c r="C1847" s="22"/>
      <c r="D1847" s="28"/>
      <c r="E1847" s="23" t="str">
        <f>IF($D1847="","",IFERROR(VLOOKUP($D1847,'ACAS Consumables Tracker'!$A:$H,8,FALSE()),""))</f>
        <v/>
      </c>
      <c r="F1847" s="24"/>
      <c r="G1847" s="25" t="str">
        <f>IF($D1847="","",IFERROR(VLOOKUP($D1847,'ACAS Consumables Tracker'!$A:$D,4,FALSE()),""))</f>
        <v/>
      </c>
      <c r="H1847" s="22"/>
    </row>
    <row r="1848" spans="1:8">
      <c r="A1848" s="21"/>
      <c r="B1848" s="28"/>
      <c r="C1848" s="22"/>
      <c r="D1848" s="28"/>
      <c r="E1848" s="23" t="str">
        <f>IF($D1848="","",IFERROR(VLOOKUP($D1848,'ACAS Consumables Tracker'!$A:$H,8,FALSE()),""))</f>
        <v/>
      </c>
      <c r="F1848" s="24"/>
      <c r="G1848" s="25" t="str">
        <f>IF($D1848="","",IFERROR(VLOOKUP($D1848,'ACAS Consumables Tracker'!$A:$D,4,FALSE()),""))</f>
        <v/>
      </c>
      <c r="H1848" s="22"/>
    </row>
    <row r="1849" spans="1:8">
      <c r="A1849" s="21"/>
      <c r="B1849" s="28"/>
      <c r="C1849" s="22"/>
      <c r="D1849" s="28"/>
      <c r="E1849" s="23" t="str">
        <f>IF($D1849="","",IFERROR(VLOOKUP($D1849,'ACAS Consumables Tracker'!$A:$H,8,FALSE()),""))</f>
        <v/>
      </c>
      <c r="F1849" s="24"/>
      <c r="G1849" s="25" t="str">
        <f>IF($D1849="","",IFERROR(VLOOKUP($D1849,'ACAS Consumables Tracker'!$A:$D,4,FALSE()),""))</f>
        <v/>
      </c>
      <c r="H1849" s="22"/>
    </row>
    <row r="1850" spans="1:8">
      <c r="A1850" s="21"/>
      <c r="B1850" s="28"/>
      <c r="C1850" s="22"/>
      <c r="D1850" s="28"/>
      <c r="E1850" s="23" t="str">
        <f>IF($D1850="","",IFERROR(VLOOKUP($D1850,'ACAS Consumables Tracker'!$A:$H,8,FALSE()),""))</f>
        <v/>
      </c>
      <c r="F1850" s="24"/>
      <c r="G1850" s="25" t="str">
        <f>IF($D1850="","",IFERROR(VLOOKUP($D1850,'ACAS Consumables Tracker'!$A:$D,4,FALSE()),""))</f>
        <v/>
      </c>
      <c r="H1850" s="22"/>
    </row>
    <row r="1851" spans="1:8">
      <c r="A1851" s="21"/>
      <c r="B1851" s="28"/>
      <c r="C1851" s="22"/>
      <c r="D1851" s="28"/>
      <c r="E1851" s="23" t="str">
        <f>IF($D1851="","",IFERROR(VLOOKUP($D1851,'ACAS Consumables Tracker'!$A:$H,8,FALSE()),""))</f>
        <v/>
      </c>
      <c r="F1851" s="24"/>
      <c r="G1851" s="25" t="str">
        <f>IF($D1851="","",IFERROR(VLOOKUP($D1851,'ACAS Consumables Tracker'!$A:$D,4,FALSE()),""))</f>
        <v/>
      </c>
      <c r="H1851" s="22"/>
    </row>
    <row r="1852" spans="1:8">
      <c r="A1852" s="21"/>
      <c r="B1852" s="28"/>
      <c r="C1852" s="22"/>
      <c r="D1852" s="28"/>
      <c r="E1852" s="23" t="str">
        <f>IF($D1852="","",IFERROR(VLOOKUP($D1852,'ACAS Consumables Tracker'!$A:$H,8,FALSE()),""))</f>
        <v/>
      </c>
      <c r="F1852" s="24"/>
      <c r="G1852" s="25" t="str">
        <f>IF($D1852="","",IFERROR(VLOOKUP($D1852,'ACAS Consumables Tracker'!$A:$D,4,FALSE()),""))</f>
        <v/>
      </c>
      <c r="H1852" s="22"/>
    </row>
    <row r="1853" spans="1:8">
      <c r="A1853" s="21"/>
      <c r="B1853" s="28"/>
      <c r="C1853" s="22"/>
      <c r="D1853" s="28"/>
      <c r="E1853" s="23" t="str">
        <f>IF($D1853="","",IFERROR(VLOOKUP($D1853,'ACAS Consumables Tracker'!$A:$H,8,FALSE()),""))</f>
        <v/>
      </c>
      <c r="F1853" s="24"/>
      <c r="G1853" s="25" t="str">
        <f>IF($D1853="","",IFERROR(VLOOKUP($D1853,'ACAS Consumables Tracker'!$A:$D,4,FALSE()),""))</f>
        <v/>
      </c>
      <c r="H1853" s="22"/>
    </row>
    <row r="1854" spans="1:8">
      <c r="A1854" s="21"/>
      <c r="B1854" s="28"/>
      <c r="C1854" s="22"/>
      <c r="D1854" s="28"/>
      <c r="E1854" s="23" t="str">
        <f>IF($D1854="","",IFERROR(VLOOKUP($D1854,'ACAS Consumables Tracker'!$A:$H,8,FALSE()),""))</f>
        <v/>
      </c>
      <c r="F1854" s="24"/>
      <c r="G1854" s="25" t="str">
        <f>IF($D1854="","",IFERROR(VLOOKUP($D1854,'ACAS Consumables Tracker'!$A:$D,4,FALSE()),""))</f>
        <v/>
      </c>
      <c r="H1854" s="22"/>
    </row>
    <row r="1855" spans="1:8">
      <c r="A1855" s="21"/>
      <c r="B1855" s="28"/>
      <c r="C1855" s="22"/>
      <c r="D1855" s="28"/>
      <c r="E1855" s="23" t="str">
        <f>IF($D1855="","",IFERROR(VLOOKUP($D1855,'ACAS Consumables Tracker'!$A:$H,8,FALSE()),""))</f>
        <v/>
      </c>
      <c r="F1855" s="24"/>
      <c r="G1855" s="25" t="str">
        <f>IF($D1855="","",IFERROR(VLOOKUP($D1855,'ACAS Consumables Tracker'!$A:$D,4,FALSE()),""))</f>
        <v/>
      </c>
      <c r="H1855" s="22"/>
    </row>
    <row r="1856" spans="1:8">
      <c r="A1856" s="21"/>
      <c r="B1856" s="28"/>
      <c r="C1856" s="22"/>
      <c r="D1856" s="28"/>
      <c r="E1856" s="23" t="str">
        <f>IF($D1856="","",IFERROR(VLOOKUP($D1856,'ACAS Consumables Tracker'!$A:$H,8,FALSE()),""))</f>
        <v/>
      </c>
      <c r="F1856" s="24"/>
      <c r="G1856" s="25" t="str">
        <f>IF($D1856="","",IFERROR(VLOOKUP($D1856,'ACAS Consumables Tracker'!$A:$D,4,FALSE()),""))</f>
        <v/>
      </c>
      <c r="H1856" s="22"/>
    </row>
    <row r="1857" spans="1:8">
      <c r="A1857" s="21"/>
      <c r="B1857" s="28"/>
      <c r="C1857" s="22"/>
      <c r="D1857" s="28"/>
      <c r="E1857" s="23" t="str">
        <f>IF($D1857="","",IFERROR(VLOOKUP($D1857,'ACAS Consumables Tracker'!$A:$H,8,FALSE()),""))</f>
        <v/>
      </c>
      <c r="F1857" s="24"/>
      <c r="G1857" s="25" t="str">
        <f>IF($D1857="","",IFERROR(VLOOKUP($D1857,'ACAS Consumables Tracker'!$A:$D,4,FALSE()),""))</f>
        <v/>
      </c>
      <c r="H1857" s="22"/>
    </row>
    <row r="1858" spans="1:8">
      <c r="A1858" s="21"/>
      <c r="B1858" s="28"/>
      <c r="C1858" s="22"/>
      <c r="D1858" s="28"/>
      <c r="E1858" s="23" t="str">
        <f>IF($D1858="","",IFERROR(VLOOKUP($D1858,'ACAS Consumables Tracker'!$A:$H,8,FALSE()),""))</f>
        <v/>
      </c>
      <c r="F1858" s="24"/>
      <c r="G1858" s="25" t="str">
        <f>IF($D1858="","",IFERROR(VLOOKUP($D1858,'ACAS Consumables Tracker'!$A:$D,4,FALSE()),""))</f>
        <v/>
      </c>
      <c r="H1858" s="22"/>
    </row>
    <row r="1859" spans="1:8">
      <c r="A1859" s="21"/>
      <c r="B1859" s="28"/>
      <c r="C1859" s="22"/>
      <c r="D1859" s="28"/>
      <c r="E1859" s="23" t="str">
        <f>IF($D1859="","",IFERROR(VLOOKUP($D1859,'ACAS Consumables Tracker'!$A:$H,8,FALSE()),""))</f>
        <v/>
      </c>
      <c r="F1859" s="24"/>
      <c r="G1859" s="25" t="str">
        <f>IF($D1859="","",IFERROR(VLOOKUP($D1859,'ACAS Consumables Tracker'!$A:$D,4,FALSE()),""))</f>
        <v/>
      </c>
      <c r="H1859" s="22"/>
    </row>
    <row r="1860" spans="1:8">
      <c r="A1860" s="21"/>
      <c r="B1860" s="28"/>
      <c r="C1860" s="22"/>
      <c r="D1860" s="28"/>
      <c r="E1860" s="23" t="str">
        <f>IF($D1860="","",IFERROR(VLOOKUP($D1860,'ACAS Consumables Tracker'!$A:$H,8,FALSE()),""))</f>
        <v/>
      </c>
      <c r="F1860" s="24"/>
      <c r="G1860" s="25" t="str">
        <f>IF($D1860="","",IFERROR(VLOOKUP($D1860,'ACAS Consumables Tracker'!$A:$D,4,FALSE()),""))</f>
        <v/>
      </c>
      <c r="H1860" s="22"/>
    </row>
    <row r="1861" spans="1:8">
      <c r="A1861" s="21"/>
      <c r="B1861" s="28"/>
      <c r="C1861" s="22"/>
      <c r="D1861" s="28"/>
      <c r="E1861" s="23" t="str">
        <f>IF($D1861="","",IFERROR(VLOOKUP($D1861,'ACAS Consumables Tracker'!$A:$H,8,FALSE()),""))</f>
        <v/>
      </c>
      <c r="F1861" s="24"/>
      <c r="G1861" s="25" t="str">
        <f>IF($D1861="","",IFERROR(VLOOKUP($D1861,'ACAS Consumables Tracker'!$A:$D,4,FALSE()),""))</f>
        <v/>
      </c>
      <c r="H1861" s="22"/>
    </row>
    <row r="1862" spans="1:8">
      <c r="A1862" s="21"/>
      <c r="B1862" s="28"/>
      <c r="C1862" s="22"/>
      <c r="D1862" s="28"/>
      <c r="E1862" s="23" t="str">
        <f>IF($D1862="","",IFERROR(VLOOKUP($D1862,'ACAS Consumables Tracker'!$A:$H,8,FALSE()),""))</f>
        <v/>
      </c>
      <c r="F1862" s="24"/>
      <c r="G1862" s="25" t="str">
        <f>IF($D1862="","",IFERROR(VLOOKUP($D1862,'ACAS Consumables Tracker'!$A:$D,4,FALSE()),""))</f>
        <v/>
      </c>
      <c r="H1862" s="22"/>
    </row>
    <row r="1863" spans="1:8">
      <c r="A1863" s="21"/>
      <c r="B1863" s="28"/>
      <c r="C1863" s="22"/>
      <c r="D1863" s="28"/>
      <c r="E1863" s="23" t="str">
        <f>IF($D1863="","",IFERROR(VLOOKUP($D1863,'ACAS Consumables Tracker'!$A:$H,8,FALSE()),""))</f>
        <v/>
      </c>
      <c r="F1863" s="24"/>
      <c r="G1863" s="25" t="str">
        <f>IF($D1863="","",IFERROR(VLOOKUP($D1863,'ACAS Consumables Tracker'!$A:$D,4,FALSE()),""))</f>
        <v/>
      </c>
      <c r="H1863" s="22"/>
    </row>
    <row r="1864" spans="1:8">
      <c r="A1864" s="21"/>
      <c r="B1864" s="28"/>
      <c r="C1864" s="22"/>
      <c r="D1864" s="28"/>
      <c r="E1864" s="23" t="str">
        <f>IF($D1864="","",IFERROR(VLOOKUP($D1864,'ACAS Consumables Tracker'!$A:$H,8,FALSE()),""))</f>
        <v/>
      </c>
      <c r="F1864" s="24"/>
      <c r="G1864" s="25" t="str">
        <f>IF($D1864="","",IFERROR(VLOOKUP($D1864,'ACAS Consumables Tracker'!$A:$D,4,FALSE()),""))</f>
        <v/>
      </c>
      <c r="H1864" s="22"/>
    </row>
    <row r="1865" spans="1:8">
      <c r="A1865" s="21"/>
      <c r="B1865" s="28"/>
      <c r="C1865" s="22"/>
      <c r="D1865" s="28"/>
      <c r="E1865" s="23" t="str">
        <f>IF($D1865="","",IFERROR(VLOOKUP($D1865,'ACAS Consumables Tracker'!$A:$H,8,FALSE()),""))</f>
        <v/>
      </c>
      <c r="F1865" s="24"/>
      <c r="G1865" s="25" t="str">
        <f>IF($D1865="","",IFERROR(VLOOKUP($D1865,'ACAS Consumables Tracker'!$A:$D,4,FALSE()),""))</f>
        <v/>
      </c>
      <c r="H1865" s="22"/>
    </row>
    <row r="1866" spans="1:8">
      <c r="A1866" s="21"/>
      <c r="B1866" s="28"/>
      <c r="C1866" s="22"/>
      <c r="D1866" s="28"/>
      <c r="E1866" s="23" t="str">
        <f>IF($D1866="","",IFERROR(VLOOKUP($D1866,'ACAS Consumables Tracker'!$A:$H,8,FALSE()),""))</f>
        <v/>
      </c>
      <c r="F1866" s="24"/>
      <c r="G1866" s="25" t="str">
        <f>IF($D1866="","",IFERROR(VLOOKUP($D1866,'ACAS Consumables Tracker'!$A:$D,4,FALSE()),""))</f>
        <v/>
      </c>
      <c r="H1866" s="22"/>
    </row>
    <row r="1867" spans="1:8">
      <c r="A1867" s="21"/>
      <c r="B1867" s="28"/>
      <c r="C1867" s="22"/>
      <c r="D1867" s="28"/>
      <c r="E1867" s="23" t="str">
        <f>IF($D1867="","",IFERROR(VLOOKUP($D1867,'ACAS Consumables Tracker'!$A:$H,8,FALSE()),""))</f>
        <v/>
      </c>
      <c r="F1867" s="24"/>
      <c r="G1867" s="25" t="str">
        <f>IF($D1867="","",IFERROR(VLOOKUP($D1867,'ACAS Consumables Tracker'!$A:$D,4,FALSE()),""))</f>
        <v/>
      </c>
      <c r="H1867" s="22"/>
    </row>
    <row r="1868" spans="1:8">
      <c r="A1868" s="21"/>
      <c r="B1868" s="28"/>
      <c r="C1868" s="22"/>
      <c r="D1868" s="28"/>
      <c r="E1868" s="23" t="str">
        <f>IF($D1868="","",IFERROR(VLOOKUP($D1868,'ACAS Consumables Tracker'!$A:$H,8,FALSE()),""))</f>
        <v/>
      </c>
      <c r="F1868" s="24"/>
      <c r="G1868" s="25" t="str">
        <f>IF($D1868="","",IFERROR(VLOOKUP($D1868,'ACAS Consumables Tracker'!$A:$D,4,FALSE()),""))</f>
        <v/>
      </c>
      <c r="H1868" s="22"/>
    </row>
    <row r="1869" spans="1:8">
      <c r="A1869" s="21"/>
      <c r="B1869" s="28"/>
      <c r="C1869" s="22"/>
      <c r="D1869" s="28"/>
      <c r="E1869" s="23" t="str">
        <f>IF($D1869="","",IFERROR(VLOOKUP($D1869,'ACAS Consumables Tracker'!$A:$H,8,FALSE()),""))</f>
        <v/>
      </c>
      <c r="F1869" s="24"/>
      <c r="G1869" s="25" t="str">
        <f>IF($D1869="","",IFERROR(VLOOKUP($D1869,'ACAS Consumables Tracker'!$A:$D,4,FALSE()),""))</f>
        <v/>
      </c>
      <c r="H1869" s="22"/>
    </row>
    <row r="1870" spans="1:8">
      <c r="A1870" s="21"/>
      <c r="B1870" s="28"/>
      <c r="C1870" s="22"/>
      <c r="D1870" s="28"/>
      <c r="E1870" s="23" t="str">
        <f>IF($D1870="","",IFERROR(VLOOKUP($D1870,'ACAS Consumables Tracker'!$A:$H,8,FALSE()),""))</f>
        <v/>
      </c>
      <c r="F1870" s="24"/>
      <c r="G1870" s="25" t="str">
        <f>IF($D1870="","",IFERROR(VLOOKUP($D1870,'ACAS Consumables Tracker'!$A:$D,4,FALSE()),""))</f>
        <v/>
      </c>
      <c r="H1870" s="22"/>
    </row>
    <row r="1871" spans="1:8">
      <c r="A1871" s="21"/>
      <c r="B1871" s="28"/>
      <c r="C1871" s="22"/>
      <c r="D1871" s="28"/>
      <c r="E1871" s="23" t="str">
        <f>IF($D1871="","",IFERROR(VLOOKUP($D1871,'ACAS Consumables Tracker'!$A:$H,8,FALSE()),""))</f>
        <v/>
      </c>
      <c r="F1871" s="24"/>
      <c r="G1871" s="25" t="str">
        <f>IF($D1871="","",IFERROR(VLOOKUP($D1871,'ACAS Consumables Tracker'!$A:$D,4,FALSE()),""))</f>
        <v/>
      </c>
      <c r="H1871" s="22"/>
    </row>
    <row r="1872" spans="1:8">
      <c r="A1872" s="21"/>
      <c r="B1872" s="28"/>
      <c r="C1872" s="22"/>
      <c r="D1872" s="28"/>
      <c r="E1872" s="23" t="str">
        <f>IF($D1872="","",IFERROR(VLOOKUP($D1872,'ACAS Consumables Tracker'!$A:$H,8,FALSE()),""))</f>
        <v/>
      </c>
      <c r="F1872" s="24"/>
      <c r="G1872" s="25" t="str">
        <f>IF($D1872="","",IFERROR(VLOOKUP($D1872,'ACAS Consumables Tracker'!$A:$D,4,FALSE()),""))</f>
        <v/>
      </c>
      <c r="H1872" s="22"/>
    </row>
    <row r="1873" spans="1:8">
      <c r="A1873" s="21"/>
      <c r="B1873" s="28"/>
      <c r="C1873" s="22"/>
      <c r="D1873" s="28"/>
      <c r="E1873" s="23" t="str">
        <f>IF($D1873="","",IFERROR(VLOOKUP($D1873,'ACAS Consumables Tracker'!$A:$H,8,FALSE()),""))</f>
        <v/>
      </c>
      <c r="F1873" s="24"/>
      <c r="G1873" s="25" t="str">
        <f>IF($D1873="","",IFERROR(VLOOKUP($D1873,'ACAS Consumables Tracker'!$A:$D,4,FALSE()),""))</f>
        <v/>
      </c>
      <c r="H1873" s="22"/>
    </row>
    <row r="1874" spans="1:8">
      <c r="A1874" s="21"/>
      <c r="B1874" s="28"/>
      <c r="C1874" s="22"/>
      <c r="D1874" s="28"/>
      <c r="E1874" s="23" t="str">
        <f>IF($D1874="","",IFERROR(VLOOKUP($D1874,'ACAS Consumables Tracker'!$A:$H,8,FALSE()),""))</f>
        <v/>
      </c>
      <c r="F1874" s="24"/>
      <c r="G1874" s="25" t="str">
        <f>IF($D1874="","",IFERROR(VLOOKUP($D1874,'ACAS Consumables Tracker'!$A:$D,4,FALSE()),""))</f>
        <v/>
      </c>
      <c r="H1874" s="22"/>
    </row>
    <row r="1875" spans="1:8">
      <c r="A1875" s="21"/>
      <c r="B1875" s="28"/>
      <c r="C1875" s="22"/>
      <c r="D1875" s="28"/>
      <c r="E1875" s="23" t="str">
        <f>IF($D1875="","",IFERROR(VLOOKUP($D1875,'ACAS Consumables Tracker'!$A:$H,8,FALSE()),""))</f>
        <v/>
      </c>
      <c r="F1875" s="24"/>
      <c r="G1875" s="25" t="str">
        <f>IF($D1875="","",IFERROR(VLOOKUP($D1875,'ACAS Consumables Tracker'!$A:$D,4,FALSE()),""))</f>
        <v/>
      </c>
      <c r="H1875" s="22"/>
    </row>
    <row r="1876" spans="1:8">
      <c r="A1876" s="21"/>
      <c r="B1876" s="28"/>
      <c r="C1876" s="22"/>
      <c r="D1876" s="28"/>
      <c r="E1876" s="23" t="str">
        <f>IF($D1876="","",IFERROR(VLOOKUP($D1876,'ACAS Consumables Tracker'!$A:$H,8,FALSE()),""))</f>
        <v/>
      </c>
      <c r="F1876" s="24"/>
      <c r="G1876" s="25" t="str">
        <f>IF($D1876="","",IFERROR(VLOOKUP($D1876,'ACAS Consumables Tracker'!$A:$D,4,FALSE()),""))</f>
        <v/>
      </c>
      <c r="H1876" s="22"/>
    </row>
    <row r="1877" spans="1:8">
      <c r="A1877" s="21"/>
      <c r="B1877" s="28"/>
      <c r="C1877" s="22"/>
      <c r="D1877" s="28"/>
      <c r="E1877" s="23" t="str">
        <f>IF($D1877="","",IFERROR(VLOOKUP($D1877,'ACAS Consumables Tracker'!$A:$H,8,FALSE()),""))</f>
        <v/>
      </c>
      <c r="F1877" s="24"/>
      <c r="G1877" s="25" t="str">
        <f>IF($D1877="","",IFERROR(VLOOKUP($D1877,'ACAS Consumables Tracker'!$A:$D,4,FALSE()),""))</f>
        <v/>
      </c>
      <c r="H1877" s="22"/>
    </row>
    <row r="1878" spans="1:8">
      <c r="A1878" s="21"/>
      <c r="B1878" s="28"/>
      <c r="C1878" s="22"/>
      <c r="D1878" s="28"/>
      <c r="E1878" s="23" t="str">
        <f>IF($D1878="","",IFERROR(VLOOKUP($D1878,'ACAS Consumables Tracker'!$A:$H,8,FALSE()),""))</f>
        <v/>
      </c>
      <c r="F1878" s="24"/>
      <c r="G1878" s="25" t="str">
        <f>IF($D1878="","",IFERROR(VLOOKUP($D1878,'ACAS Consumables Tracker'!$A:$D,4,FALSE()),""))</f>
        <v/>
      </c>
      <c r="H1878" s="22"/>
    </row>
    <row r="1879" spans="1:8">
      <c r="A1879" s="21"/>
      <c r="B1879" s="28"/>
      <c r="C1879" s="22"/>
      <c r="D1879" s="28"/>
      <c r="E1879" s="23" t="str">
        <f>IF($D1879="","",IFERROR(VLOOKUP($D1879,'ACAS Consumables Tracker'!$A:$H,8,FALSE()),""))</f>
        <v/>
      </c>
      <c r="F1879" s="24"/>
      <c r="G1879" s="25" t="str">
        <f>IF($D1879="","",IFERROR(VLOOKUP($D1879,'ACAS Consumables Tracker'!$A:$D,4,FALSE()),""))</f>
        <v/>
      </c>
      <c r="H1879" s="22"/>
    </row>
    <row r="1880" spans="1:8">
      <c r="A1880" s="21"/>
      <c r="B1880" s="28"/>
      <c r="C1880" s="22"/>
      <c r="D1880" s="28"/>
      <c r="E1880" s="23" t="str">
        <f>IF($D1880="","",IFERROR(VLOOKUP($D1880,'ACAS Consumables Tracker'!$A:$H,8,FALSE()),""))</f>
        <v/>
      </c>
      <c r="F1880" s="24"/>
      <c r="G1880" s="25" t="str">
        <f>IF($D1880="","",IFERROR(VLOOKUP($D1880,'ACAS Consumables Tracker'!$A:$D,4,FALSE()),""))</f>
        <v/>
      </c>
      <c r="H1880" s="22"/>
    </row>
    <row r="1881" spans="1:8">
      <c r="A1881" s="21"/>
      <c r="B1881" s="28"/>
      <c r="C1881" s="22"/>
      <c r="D1881" s="28"/>
      <c r="E1881" s="23" t="str">
        <f>IF($D1881="","",IFERROR(VLOOKUP($D1881,'ACAS Consumables Tracker'!$A:$H,8,FALSE()),""))</f>
        <v/>
      </c>
      <c r="F1881" s="24"/>
      <c r="G1881" s="25" t="str">
        <f>IF($D1881="","",IFERROR(VLOOKUP($D1881,'ACAS Consumables Tracker'!$A:$D,4,FALSE()),""))</f>
        <v/>
      </c>
      <c r="H1881" s="22"/>
    </row>
    <row r="1882" spans="1:8">
      <c r="A1882" s="21"/>
      <c r="B1882" s="28"/>
      <c r="C1882" s="22"/>
      <c r="D1882" s="28"/>
      <c r="E1882" s="23" t="str">
        <f>IF($D1882="","",IFERROR(VLOOKUP($D1882,'ACAS Consumables Tracker'!$A:$H,8,FALSE()),""))</f>
        <v/>
      </c>
      <c r="F1882" s="24"/>
      <c r="G1882" s="25" t="str">
        <f>IF($D1882="","",IFERROR(VLOOKUP($D1882,'ACAS Consumables Tracker'!$A:$D,4,FALSE()),""))</f>
        <v/>
      </c>
      <c r="H1882" s="22"/>
    </row>
    <row r="1883" spans="1:8">
      <c r="A1883" s="21"/>
      <c r="B1883" s="28"/>
      <c r="C1883" s="22"/>
      <c r="D1883" s="28"/>
      <c r="E1883" s="23" t="str">
        <f>IF($D1883="","",IFERROR(VLOOKUP($D1883,'ACAS Consumables Tracker'!$A:$H,8,FALSE()),""))</f>
        <v/>
      </c>
      <c r="F1883" s="24"/>
      <c r="G1883" s="25" t="str">
        <f>IF($D1883="","",IFERROR(VLOOKUP($D1883,'ACAS Consumables Tracker'!$A:$D,4,FALSE()),""))</f>
        <v/>
      </c>
      <c r="H1883" s="22"/>
    </row>
    <row r="1884" spans="1:8">
      <c r="A1884" s="21"/>
      <c r="B1884" s="28"/>
      <c r="C1884" s="22"/>
      <c r="D1884" s="28"/>
      <c r="E1884" s="23" t="str">
        <f>IF($D1884="","",IFERROR(VLOOKUP($D1884,'ACAS Consumables Tracker'!$A:$H,8,FALSE()),""))</f>
        <v/>
      </c>
      <c r="F1884" s="24"/>
      <c r="G1884" s="25" t="str">
        <f>IF($D1884="","",IFERROR(VLOOKUP($D1884,'ACAS Consumables Tracker'!$A:$D,4,FALSE()),""))</f>
        <v/>
      </c>
      <c r="H1884" s="22"/>
    </row>
    <row r="1885" spans="1:8">
      <c r="A1885" s="21"/>
      <c r="B1885" s="28"/>
      <c r="C1885" s="22"/>
      <c r="D1885" s="28"/>
      <c r="E1885" s="23" t="str">
        <f>IF($D1885="","",IFERROR(VLOOKUP($D1885,'ACAS Consumables Tracker'!$A:$H,8,FALSE()),""))</f>
        <v/>
      </c>
      <c r="F1885" s="24"/>
      <c r="G1885" s="25" t="str">
        <f>IF($D1885="","",IFERROR(VLOOKUP($D1885,'ACAS Consumables Tracker'!$A:$D,4,FALSE()),""))</f>
        <v/>
      </c>
      <c r="H1885" s="22"/>
    </row>
    <row r="1886" spans="1:8">
      <c r="A1886" s="21"/>
      <c r="B1886" s="28"/>
      <c r="C1886" s="22"/>
      <c r="D1886" s="28"/>
      <c r="E1886" s="23" t="str">
        <f>IF($D1886="","",IFERROR(VLOOKUP($D1886,'ACAS Consumables Tracker'!$A:$H,8,FALSE()),""))</f>
        <v/>
      </c>
      <c r="F1886" s="24"/>
      <c r="G1886" s="25" t="str">
        <f>IF($D1886="","",IFERROR(VLOOKUP($D1886,'ACAS Consumables Tracker'!$A:$D,4,FALSE()),""))</f>
        <v/>
      </c>
      <c r="H1886" s="22"/>
    </row>
    <row r="1887" spans="1:8">
      <c r="A1887" s="21"/>
      <c r="B1887" s="28"/>
      <c r="C1887" s="22"/>
      <c r="D1887" s="28"/>
      <c r="E1887" s="23" t="str">
        <f>IF($D1887="","",IFERROR(VLOOKUP($D1887,'ACAS Consumables Tracker'!$A:$H,8,FALSE()),""))</f>
        <v/>
      </c>
      <c r="F1887" s="24"/>
      <c r="G1887" s="25" t="str">
        <f>IF($D1887="","",IFERROR(VLOOKUP($D1887,'ACAS Consumables Tracker'!$A:$D,4,FALSE()),""))</f>
        <v/>
      </c>
      <c r="H1887" s="22"/>
    </row>
    <row r="1888" spans="1:8">
      <c r="A1888" s="21"/>
      <c r="B1888" s="28"/>
      <c r="C1888" s="22"/>
      <c r="D1888" s="28"/>
      <c r="E1888" s="23" t="str">
        <f>IF($D1888="","",IFERROR(VLOOKUP($D1888,'ACAS Consumables Tracker'!$A:$H,8,FALSE()),""))</f>
        <v/>
      </c>
      <c r="F1888" s="24"/>
      <c r="G1888" s="25" t="str">
        <f>IF($D1888="","",IFERROR(VLOOKUP($D1888,'ACAS Consumables Tracker'!$A:$D,4,FALSE()),""))</f>
        <v/>
      </c>
      <c r="H1888" s="22"/>
    </row>
    <row r="1889" spans="1:8">
      <c r="A1889" s="21"/>
      <c r="B1889" s="28"/>
      <c r="C1889" s="22"/>
      <c r="D1889" s="28"/>
      <c r="E1889" s="23" t="str">
        <f>IF($D1889="","",IFERROR(VLOOKUP($D1889,'ACAS Consumables Tracker'!$A:$H,8,FALSE()),""))</f>
        <v/>
      </c>
      <c r="F1889" s="24"/>
      <c r="G1889" s="25" t="str">
        <f>IF($D1889="","",IFERROR(VLOOKUP($D1889,'ACAS Consumables Tracker'!$A:$D,4,FALSE()),""))</f>
        <v/>
      </c>
      <c r="H1889" s="22"/>
    </row>
    <row r="1890" spans="1:8">
      <c r="A1890" s="21"/>
      <c r="B1890" s="28"/>
      <c r="C1890" s="22"/>
      <c r="D1890" s="28"/>
      <c r="E1890" s="23" t="str">
        <f>IF($D1890="","",IFERROR(VLOOKUP($D1890,'ACAS Consumables Tracker'!$A:$H,8,FALSE()),""))</f>
        <v/>
      </c>
      <c r="F1890" s="24"/>
      <c r="G1890" s="25" t="str">
        <f>IF($D1890="","",IFERROR(VLOOKUP($D1890,'ACAS Consumables Tracker'!$A:$D,4,FALSE()),""))</f>
        <v/>
      </c>
      <c r="H1890" s="22"/>
    </row>
    <row r="1891" spans="1:8">
      <c r="A1891" s="21"/>
      <c r="B1891" s="28"/>
      <c r="C1891" s="22"/>
      <c r="D1891" s="28"/>
      <c r="E1891" s="23" t="str">
        <f>IF($D1891="","",IFERROR(VLOOKUP($D1891,'ACAS Consumables Tracker'!$A:$H,8,FALSE()),""))</f>
        <v/>
      </c>
      <c r="F1891" s="24"/>
      <c r="G1891" s="25" t="str">
        <f>IF($D1891="","",IFERROR(VLOOKUP($D1891,'ACAS Consumables Tracker'!$A:$D,4,FALSE()),""))</f>
        <v/>
      </c>
      <c r="H1891" s="22"/>
    </row>
    <row r="1892" spans="1:8">
      <c r="A1892" s="21"/>
      <c r="B1892" s="28"/>
      <c r="C1892" s="22"/>
      <c r="D1892" s="28"/>
      <c r="E1892" s="23" t="str">
        <f>IF($D1892="","",IFERROR(VLOOKUP($D1892,'ACAS Consumables Tracker'!$A:$H,8,FALSE()),""))</f>
        <v/>
      </c>
      <c r="F1892" s="24"/>
      <c r="G1892" s="25" t="str">
        <f>IF($D1892="","",IFERROR(VLOOKUP($D1892,'ACAS Consumables Tracker'!$A:$D,4,FALSE()),""))</f>
        <v/>
      </c>
      <c r="H1892" s="22"/>
    </row>
    <row r="1893" spans="1:8">
      <c r="A1893" s="21"/>
      <c r="B1893" s="28"/>
      <c r="C1893" s="22"/>
      <c r="D1893" s="28"/>
      <c r="E1893" s="23" t="str">
        <f>IF($D1893="","",IFERROR(VLOOKUP($D1893,'ACAS Consumables Tracker'!$A:$H,8,FALSE()),""))</f>
        <v/>
      </c>
      <c r="F1893" s="24"/>
      <c r="G1893" s="25" t="str">
        <f>IF($D1893="","",IFERROR(VLOOKUP($D1893,'ACAS Consumables Tracker'!$A:$D,4,FALSE()),""))</f>
        <v/>
      </c>
      <c r="H1893" s="22"/>
    </row>
    <row r="1894" spans="1:8">
      <c r="A1894" s="21"/>
      <c r="B1894" s="28"/>
      <c r="C1894" s="22"/>
      <c r="D1894" s="28"/>
      <c r="E1894" s="23" t="str">
        <f>IF($D1894="","",IFERROR(VLOOKUP($D1894,'ACAS Consumables Tracker'!$A:$H,8,FALSE()),""))</f>
        <v/>
      </c>
      <c r="F1894" s="24"/>
      <c r="G1894" s="25" t="str">
        <f>IF($D1894="","",IFERROR(VLOOKUP($D1894,'ACAS Consumables Tracker'!$A:$D,4,FALSE()),""))</f>
        <v/>
      </c>
      <c r="H1894" s="22"/>
    </row>
    <row r="1895" spans="1:8">
      <c r="A1895" s="21"/>
      <c r="B1895" s="28"/>
      <c r="C1895" s="22"/>
      <c r="D1895" s="28"/>
      <c r="E1895" s="23" t="str">
        <f>IF($D1895="","",IFERROR(VLOOKUP($D1895,'ACAS Consumables Tracker'!$A:$H,8,FALSE()),""))</f>
        <v/>
      </c>
      <c r="F1895" s="24"/>
      <c r="G1895" s="25" t="str">
        <f>IF($D1895="","",IFERROR(VLOOKUP($D1895,'ACAS Consumables Tracker'!$A:$D,4,FALSE()),""))</f>
        <v/>
      </c>
      <c r="H1895" s="22"/>
    </row>
    <row r="1896" spans="1:8">
      <c r="A1896" s="21"/>
      <c r="B1896" s="28"/>
      <c r="C1896" s="22"/>
      <c r="D1896" s="28"/>
      <c r="E1896" s="23" t="str">
        <f>IF($D1896="","",IFERROR(VLOOKUP($D1896,'ACAS Consumables Tracker'!$A:$H,8,FALSE()),""))</f>
        <v/>
      </c>
      <c r="F1896" s="24"/>
      <c r="G1896" s="25" t="str">
        <f>IF($D1896="","",IFERROR(VLOOKUP($D1896,'ACAS Consumables Tracker'!$A:$D,4,FALSE()),""))</f>
        <v/>
      </c>
      <c r="H1896" s="22"/>
    </row>
    <row r="1897" spans="1:8">
      <c r="A1897" s="21"/>
      <c r="B1897" s="28"/>
      <c r="C1897" s="22"/>
      <c r="D1897" s="28"/>
      <c r="E1897" s="23" t="str">
        <f>IF($D1897="","",IFERROR(VLOOKUP($D1897,'ACAS Consumables Tracker'!$A:$H,8,FALSE()),""))</f>
        <v/>
      </c>
      <c r="F1897" s="24"/>
      <c r="G1897" s="25" t="str">
        <f>IF($D1897="","",IFERROR(VLOOKUP($D1897,'ACAS Consumables Tracker'!$A:$D,4,FALSE()),""))</f>
        <v/>
      </c>
      <c r="H1897" s="22"/>
    </row>
    <row r="1898" spans="1:8">
      <c r="A1898" s="21"/>
      <c r="B1898" s="28"/>
      <c r="C1898" s="22"/>
      <c r="D1898" s="28"/>
      <c r="E1898" s="23" t="str">
        <f>IF($D1898="","",IFERROR(VLOOKUP($D1898,'ACAS Consumables Tracker'!$A:$H,8,FALSE()),""))</f>
        <v/>
      </c>
      <c r="F1898" s="24"/>
      <c r="G1898" s="25" t="str">
        <f>IF($D1898="","",IFERROR(VLOOKUP($D1898,'ACAS Consumables Tracker'!$A:$D,4,FALSE()),""))</f>
        <v/>
      </c>
      <c r="H1898" s="22"/>
    </row>
    <row r="1899" spans="1:8">
      <c r="A1899" s="21"/>
      <c r="B1899" s="28"/>
      <c r="C1899" s="22"/>
      <c r="D1899" s="28"/>
      <c r="E1899" s="23" t="str">
        <f>IF($D1899="","",IFERROR(VLOOKUP($D1899,'ACAS Consumables Tracker'!$A:$H,8,FALSE()),""))</f>
        <v/>
      </c>
      <c r="F1899" s="24"/>
      <c r="G1899" s="25" t="str">
        <f>IF($D1899="","",IFERROR(VLOOKUP($D1899,'ACAS Consumables Tracker'!$A:$D,4,FALSE()),""))</f>
        <v/>
      </c>
      <c r="H1899" s="22"/>
    </row>
    <row r="1900" spans="1:8">
      <c r="A1900" s="21"/>
      <c r="B1900" s="28"/>
      <c r="C1900" s="22"/>
      <c r="D1900" s="28"/>
      <c r="E1900" s="23" t="str">
        <f>IF($D1900="","",IFERROR(VLOOKUP($D1900,'ACAS Consumables Tracker'!$A:$H,8,FALSE()),""))</f>
        <v/>
      </c>
      <c r="F1900" s="24"/>
      <c r="G1900" s="25" t="str">
        <f>IF($D1900="","",IFERROR(VLOOKUP($D1900,'ACAS Consumables Tracker'!$A:$D,4,FALSE()),""))</f>
        <v/>
      </c>
      <c r="H1900" s="22"/>
    </row>
    <row r="1901" spans="1:8">
      <c r="A1901" s="21"/>
      <c r="B1901" s="28"/>
      <c r="C1901" s="22"/>
      <c r="D1901" s="28"/>
      <c r="E1901" s="23" t="str">
        <f>IF($D1901="","",IFERROR(VLOOKUP($D1901,'ACAS Consumables Tracker'!$A:$H,8,FALSE()),""))</f>
        <v/>
      </c>
      <c r="F1901" s="24"/>
      <c r="G1901" s="25" t="str">
        <f>IF($D1901="","",IFERROR(VLOOKUP($D1901,'ACAS Consumables Tracker'!$A:$D,4,FALSE()),""))</f>
        <v/>
      </c>
      <c r="H1901" s="22"/>
    </row>
    <row r="1902" spans="1:8">
      <c r="A1902" s="21"/>
      <c r="B1902" s="28"/>
      <c r="C1902" s="22"/>
      <c r="D1902" s="28"/>
      <c r="E1902" s="23" t="str">
        <f>IF($D1902="","",IFERROR(VLOOKUP($D1902,'ACAS Consumables Tracker'!$A:$H,8,FALSE()),""))</f>
        <v/>
      </c>
      <c r="F1902" s="24"/>
      <c r="G1902" s="25" t="str">
        <f>IF($D1902="","",IFERROR(VLOOKUP($D1902,'ACAS Consumables Tracker'!$A:$D,4,FALSE()),""))</f>
        <v/>
      </c>
      <c r="H1902" s="22"/>
    </row>
    <row r="1903" spans="1:8">
      <c r="A1903" s="21"/>
      <c r="B1903" s="28"/>
      <c r="C1903" s="22"/>
      <c r="D1903" s="28"/>
      <c r="E1903" s="23" t="str">
        <f>IF($D1903="","",IFERROR(VLOOKUP($D1903,'ACAS Consumables Tracker'!$A:$H,8,FALSE()),""))</f>
        <v/>
      </c>
      <c r="F1903" s="24"/>
      <c r="G1903" s="25" t="str">
        <f>IF($D1903="","",IFERROR(VLOOKUP($D1903,'ACAS Consumables Tracker'!$A:$D,4,FALSE()),""))</f>
        <v/>
      </c>
      <c r="H1903" s="22"/>
    </row>
    <row r="1904" spans="1:8">
      <c r="A1904" s="21"/>
      <c r="B1904" s="28"/>
      <c r="C1904" s="22"/>
      <c r="D1904" s="28"/>
      <c r="E1904" s="23" t="str">
        <f>IF($D1904="","",IFERROR(VLOOKUP($D1904,'ACAS Consumables Tracker'!$A:$H,8,FALSE()),""))</f>
        <v/>
      </c>
      <c r="F1904" s="24"/>
      <c r="G1904" s="25" t="str">
        <f>IF($D1904="","",IFERROR(VLOOKUP($D1904,'ACAS Consumables Tracker'!$A:$D,4,FALSE()),""))</f>
        <v/>
      </c>
      <c r="H1904" s="22"/>
    </row>
    <row r="1905" spans="1:8">
      <c r="A1905" s="21"/>
      <c r="B1905" s="28"/>
      <c r="C1905" s="22"/>
      <c r="D1905" s="28"/>
      <c r="E1905" s="23" t="str">
        <f>IF($D1905="","",IFERROR(VLOOKUP($D1905,'ACAS Consumables Tracker'!$A:$H,8,FALSE()),""))</f>
        <v/>
      </c>
      <c r="F1905" s="24"/>
      <c r="G1905" s="25" t="str">
        <f>IF($D1905="","",IFERROR(VLOOKUP($D1905,'ACAS Consumables Tracker'!$A:$D,4,FALSE()),""))</f>
        <v/>
      </c>
      <c r="H1905" s="22"/>
    </row>
    <row r="1906" spans="1:8">
      <c r="A1906" s="21"/>
      <c r="B1906" s="28"/>
      <c r="C1906" s="22"/>
      <c r="D1906" s="28"/>
      <c r="E1906" s="23" t="str">
        <f>IF($D1906="","",IFERROR(VLOOKUP($D1906,'ACAS Consumables Tracker'!$A:$H,8,FALSE()),""))</f>
        <v/>
      </c>
      <c r="F1906" s="24"/>
      <c r="G1906" s="25" t="str">
        <f>IF($D1906="","",IFERROR(VLOOKUP($D1906,'ACAS Consumables Tracker'!$A:$D,4,FALSE()),""))</f>
        <v/>
      </c>
      <c r="H1906" s="22"/>
    </row>
    <row r="1907" spans="1:8">
      <c r="A1907" s="21"/>
      <c r="B1907" s="28"/>
      <c r="C1907" s="22"/>
      <c r="D1907" s="28"/>
      <c r="E1907" s="23" t="str">
        <f>IF($D1907="","",IFERROR(VLOOKUP($D1907,'ACAS Consumables Tracker'!$A:$H,8,FALSE()),""))</f>
        <v/>
      </c>
      <c r="F1907" s="24"/>
      <c r="G1907" s="25" t="str">
        <f>IF($D1907="","",IFERROR(VLOOKUP($D1907,'ACAS Consumables Tracker'!$A:$D,4,FALSE()),""))</f>
        <v/>
      </c>
      <c r="H1907" s="22"/>
    </row>
    <row r="1908" spans="1:8">
      <c r="A1908" s="21"/>
      <c r="B1908" s="28"/>
      <c r="C1908" s="22"/>
      <c r="D1908" s="28"/>
      <c r="E1908" s="23" t="str">
        <f>IF($D1908="","",IFERROR(VLOOKUP($D1908,'ACAS Consumables Tracker'!$A:$H,8,FALSE()),""))</f>
        <v/>
      </c>
      <c r="F1908" s="24"/>
      <c r="G1908" s="25" t="str">
        <f>IF($D1908="","",IFERROR(VLOOKUP($D1908,'ACAS Consumables Tracker'!$A:$D,4,FALSE()),""))</f>
        <v/>
      </c>
      <c r="H1908" s="22"/>
    </row>
    <row r="1909" spans="1:8">
      <c r="A1909" s="21"/>
      <c r="B1909" s="28"/>
      <c r="C1909" s="22"/>
      <c r="D1909" s="28"/>
      <c r="E1909" s="23" t="str">
        <f>IF($D1909="","",IFERROR(VLOOKUP($D1909,'ACAS Consumables Tracker'!$A:$H,8,FALSE()),""))</f>
        <v/>
      </c>
      <c r="F1909" s="24"/>
      <c r="G1909" s="25" t="str">
        <f>IF($D1909="","",IFERROR(VLOOKUP($D1909,'ACAS Consumables Tracker'!$A:$D,4,FALSE()),""))</f>
        <v/>
      </c>
      <c r="H1909" s="22"/>
    </row>
    <row r="1910" spans="1:8">
      <c r="A1910" s="21"/>
      <c r="B1910" s="28"/>
      <c r="C1910" s="22"/>
      <c r="D1910" s="28"/>
      <c r="E1910" s="23" t="str">
        <f>IF($D1910="","",IFERROR(VLOOKUP($D1910,'ACAS Consumables Tracker'!$A:$H,8,FALSE()),""))</f>
        <v/>
      </c>
      <c r="F1910" s="24"/>
      <c r="G1910" s="25" t="str">
        <f>IF($D1910="","",IFERROR(VLOOKUP($D1910,'ACAS Consumables Tracker'!$A:$D,4,FALSE()),""))</f>
        <v/>
      </c>
      <c r="H1910" s="22"/>
    </row>
    <row r="1911" spans="1:8">
      <c r="A1911" s="21"/>
      <c r="B1911" s="28"/>
      <c r="C1911" s="22"/>
      <c r="D1911" s="28"/>
      <c r="E1911" s="23" t="str">
        <f>IF($D1911="","",IFERROR(VLOOKUP($D1911,'ACAS Consumables Tracker'!$A:$H,8,FALSE()),""))</f>
        <v/>
      </c>
      <c r="F1911" s="24"/>
      <c r="G1911" s="25" t="str">
        <f>IF($D1911="","",IFERROR(VLOOKUP($D1911,'ACAS Consumables Tracker'!$A:$D,4,FALSE()),""))</f>
        <v/>
      </c>
      <c r="H1911" s="22"/>
    </row>
    <row r="1912" spans="1:8">
      <c r="A1912" s="21"/>
      <c r="B1912" s="28"/>
      <c r="C1912" s="22"/>
      <c r="D1912" s="28"/>
      <c r="E1912" s="23" t="str">
        <f>IF($D1912="","",IFERROR(VLOOKUP($D1912,'ACAS Consumables Tracker'!$A:$H,8,FALSE()),""))</f>
        <v/>
      </c>
      <c r="F1912" s="24"/>
      <c r="G1912" s="25" t="str">
        <f>IF($D1912="","",IFERROR(VLOOKUP($D1912,'ACAS Consumables Tracker'!$A:$D,4,FALSE()),""))</f>
        <v/>
      </c>
      <c r="H1912" s="22"/>
    </row>
    <row r="1913" spans="1:8">
      <c r="A1913" s="21"/>
      <c r="B1913" s="28"/>
      <c r="C1913" s="22"/>
      <c r="D1913" s="28"/>
      <c r="E1913" s="23" t="str">
        <f>IF($D1913="","",IFERROR(VLOOKUP($D1913,'ACAS Consumables Tracker'!$A:$H,8,FALSE()),""))</f>
        <v/>
      </c>
      <c r="F1913" s="24"/>
      <c r="G1913" s="25" t="str">
        <f>IF($D1913="","",IFERROR(VLOOKUP($D1913,'ACAS Consumables Tracker'!$A:$D,4,FALSE()),""))</f>
        <v/>
      </c>
      <c r="H1913" s="22"/>
    </row>
    <row r="1914" spans="1:8">
      <c r="A1914" s="21"/>
      <c r="B1914" s="28"/>
      <c r="C1914" s="22"/>
      <c r="D1914" s="28"/>
      <c r="E1914" s="23" t="str">
        <f>IF($D1914="","",IFERROR(VLOOKUP($D1914,'ACAS Consumables Tracker'!$A:$H,8,FALSE()),""))</f>
        <v/>
      </c>
      <c r="F1914" s="24"/>
      <c r="G1914" s="25" t="str">
        <f>IF($D1914="","",IFERROR(VLOOKUP($D1914,'ACAS Consumables Tracker'!$A:$D,4,FALSE()),""))</f>
        <v/>
      </c>
      <c r="H1914" s="22"/>
    </row>
    <row r="1915" spans="1:8">
      <c r="A1915" s="21"/>
      <c r="B1915" s="28"/>
      <c r="C1915" s="22"/>
      <c r="D1915" s="28"/>
      <c r="E1915" s="23" t="str">
        <f>IF($D1915="","",IFERROR(VLOOKUP($D1915,'ACAS Consumables Tracker'!$A:$H,8,FALSE()),""))</f>
        <v/>
      </c>
      <c r="F1915" s="24"/>
      <c r="G1915" s="25" t="str">
        <f>IF($D1915="","",IFERROR(VLOOKUP($D1915,'ACAS Consumables Tracker'!$A:$D,4,FALSE()),""))</f>
        <v/>
      </c>
      <c r="H1915" s="22"/>
    </row>
    <row r="1916" spans="1:8">
      <c r="A1916" s="21"/>
      <c r="B1916" s="28"/>
      <c r="C1916" s="22"/>
      <c r="D1916" s="28"/>
      <c r="E1916" s="23" t="str">
        <f>IF($D1916="","",IFERROR(VLOOKUP($D1916,'ACAS Consumables Tracker'!$A:$H,8,FALSE()),""))</f>
        <v/>
      </c>
      <c r="F1916" s="24"/>
      <c r="G1916" s="25" t="str">
        <f>IF($D1916="","",IFERROR(VLOOKUP($D1916,'ACAS Consumables Tracker'!$A:$D,4,FALSE()),""))</f>
        <v/>
      </c>
      <c r="H1916" s="22"/>
    </row>
    <row r="1917" spans="1:8">
      <c r="A1917" s="21"/>
      <c r="B1917" s="28"/>
      <c r="C1917" s="22"/>
      <c r="D1917" s="28"/>
      <c r="E1917" s="23" t="str">
        <f>IF($D1917="","",IFERROR(VLOOKUP($D1917,'ACAS Consumables Tracker'!$A:$H,8,FALSE()),""))</f>
        <v/>
      </c>
      <c r="F1917" s="24"/>
      <c r="G1917" s="25" t="str">
        <f>IF($D1917="","",IFERROR(VLOOKUP($D1917,'ACAS Consumables Tracker'!$A:$D,4,FALSE()),""))</f>
        <v/>
      </c>
      <c r="H1917" s="22"/>
    </row>
    <row r="1918" spans="1:8">
      <c r="A1918" s="21"/>
      <c r="B1918" s="28"/>
      <c r="C1918" s="22"/>
      <c r="D1918" s="28"/>
      <c r="E1918" s="23" t="str">
        <f>IF($D1918="","",IFERROR(VLOOKUP($D1918,'ACAS Consumables Tracker'!$A:$H,8,FALSE()),""))</f>
        <v/>
      </c>
      <c r="F1918" s="24"/>
      <c r="G1918" s="25" t="str">
        <f>IF($D1918="","",IFERROR(VLOOKUP($D1918,'ACAS Consumables Tracker'!$A:$D,4,FALSE()),""))</f>
        <v/>
      </c>
      <c r="H1918" s="22"/>
    </row>
    <row r="1919" spans="1:8">
      <c r="A1919" s="21"/>
      <c r="B1919" s="28"/>
      <c r="C1919" s="22"/>
      <c r="D1919" s="28"/>
      <c r="E1919" s="23" t="str">
        <f>IF($D1919="","",IFERROR(VLOOKUP($D1919,'ACAS Consumables Tracker'!$A:$H,8,FALSE()),""))</f>
        <v/>
      </c>
      <c r="F1919" s="24"/>
      <c r="G1919" s="25" t="str">
        <f>IF($D1919="","",IFERROR(VLOOKUP($D1919,'ACAS Consumables Tracker'!$A:$D,4,FALSE()),""))</f>
        <v/>
      </c>
      <c r="H1919" s="22"/>
    </row>
    <row r="1920" spans="1:8">
      <c r="A1920" s="21"/>
      <c r="B1920" s="28"/>
      <c r="C1920" s="22"/>
      <c r="D1920" s="28"/>
      <c r="E1920" s="23" t="str">
        <f>IF($D1920="","",IFERROR(VLOOKUP($D1920,'ACAS Consumables Tracker'!$A:$H,8,FALSE()),""))</f>
        <v/>
      </c>
      <c r="F1920" s="24"/>
      <c r="G1920" s="25" t="str">
        <f>IF($D1920="","",IFERROR(VLOOKUP($D1920,'ACAS Consumables Tracker'!$A:$D,4,FALSE()),""))</f>
        <v/>
      </c>
      <c r="H1920" s="22"/>
    </row>
    <row r="1921" spans="1:8">
      <c r="A1921" s="21"/>
      <c r="B1921" s="28"/>
      <c r="C1921" s="22"/>
      <c r="D1921" s="28"/>
      <c r="E1921" s="23" t="str">
        <f>IF($D1921="","",IFERROR(VLOOKUP($D1921,'ACAS Consumables Tracker'!$A:$H,8,FALSE()),""))</f>
        <v/>
      </c>
      <c r="F1921" s="24"/>
      <c r="G1921" s="25" t="str">
        <f>IF($D1921="","",IFERROR(VLOOKUP($D1921,'ACAS Consumables Tracker'!$A:$D,4,FALSE()),""))</f>
        <v/>
      </c>
      <c r="H1921" s="22"/>
    </row>
    <row r="1922" spans="1:8">
      <c r="A1922" s="21"/>
      <c r="B1922" s="28"/>
      <c r="C1922" s="22"/>
      <c r="D1922" s="28"/>
      <c r="E1922" s="23" t="str">
        <f>IF($D1922="","",IFERROR(VLOOKUP($D1922,'ACAS Consumables Tracker'!$A:$H,8,FALSE()),""))</f>
        <v/>
      </c>
      <c r="F1922" s="24"/>
      <c r="G1922" s="25" t="str">
        <f>IF($D1922="","",IFERROR(VLOOKUP($D1922,'ACAS Consumables Tracker'!$A:$D,4,FALSE()),""))</f>
        <v/>
      </c>
      <c r="H1922" s="22"/>
    </row>
    <row r="1923" spans="1:8">
      <c r="A1923" s="21"/>
      <c r="B1923" s="28"/>
      <c r="C1923" s="22"/>
      <c r="D1923" s="28"/>
      <c r="E1923" s="23" t="str">
        <f>IF($D1923="","",IFERROR(VLOOKUP($D1923,'ACAS Consumables Tracker'!$A:$H,8,FALSE()),""))</f>
        <v/>
      </c>
      <c r="F1923" s="24"/>
      <c r="G1923" s="25" t="str">
        <f>IF($D1923="","",IFERROR(VLOOKUP($D1923,'ACAS Consumables Tracker'!$A:$D,4,FALSE()),""))</f>
        <v/>
      </c>
      <c r="H1923" s="22"/>
    </row>
    <row r="1924" spans="1:8">
      <c r="A1924" s="21"/>
      <c r="B1924" s="28"/>
      <c r="C1924" s="22"/>
      <c r="D1924" s="28"/>
      <c r="E1924" s="23" t="str">
        <f>IF($D1924="","",IFERROR(VLOOKUP($D1924,'ACAS Consumables Tracker'!$A:$H,8,FALSE()),""))</f>
        <v/>
      </c>
      <c r="F1924" s="24"/>
      <c r="G1924" s="25" t="str">
        <f>IF($D1924="","",IFERROR(VLOOKUP($D1924,'ACAS Consumables Tracker'!$A:$D,4,FALSE()),""))</f>
        <v/>
      </c>
      <c r="H1924" s="22"/>
    </row>
    <row r="1925" spans="1:8">
      <c r="A1925" s="21"/>
      <c r="B1925" s="28"/>
      <c r="C1925" s="22"/>
      <c r="D1925" s="28"/>
      <c r="E1925" s="23" t="str">
        <f>IF($D1925="","",IFERROR(VLOOKUP($D1925,'ACAS Consumables Tracker'!$A:$H,8,FALSE()),""))</f>
        <v/>
      </c>
      <c r="F1925" s="24"/>
      <c r="G1925" s="25" t="str">
        <f>IF($D1925="","",IFERROR(VLOOKUP($D1925,'ACAS Consumables Tracker'!$A:$D,4,FALSE()),""))</f>
        <v/>
      </c>
      <c r="H1925" s="22"/>
    </row>
    <row r="1926" spans="1:8">
      <c r="A1926" s="21"/>
      <c r="B1926" s="28"/>
      <c r="C1926" s="22"/>
      <c r="D1926" s="28"/>
      <c r="E1926" s="23" t="str">
        <f>IF($D1926="","",IFERROR(VLOOKUP($D1926,'ACAS Consumables Tracker'!$A:$H,8,FALSE()),""))</f>
        <v/>
      </c>
      <c r="F1926" s="24"/>
      <c r="G1926" s="25" t="str">
        <f>IF($D1926="","",IFERROR(VLOOKUP($D1926,'ACAS Consumables Tracker'!$A:$D,4,FALSE()),""))</f>
        <v/>
      </c>
      <c r="H1926" s="22"/>
    </row>
    <row r="1927" spans="1:8">
      <c r="A1927" s="21"/>
      <c r="B1927" s="28"/>
      <c r="C1927" s="22"/>
      <c r="D1927" s="28"/>
      <c r="E1927" s="23" t="str">
        <f>IF($D1927="","",IFERROR(VLOOKUP($D1927,'ACAS Consumables Tracker'!$A:$H,8,FALSE()),""))</f>
        <v/>
      </c>
      <c r="F1927" s="24"/>
      <c r="G1927" s="25" t="str">
        <f>IF($D1927="","",IFERROR(VLOOKUP($D1927,'ACAS Consumables Tracker'!$A:$D,4,FALSE()),""))</f>
        <v/>
      </c>
      <c r="H1927" s="22"/>
    </row>
    <row r="1928" spans="1:8">
      <c r="A1928" s="21"/>
      <c r="B1928" s="28"/>
      <c r="C1928" s="22"/>
      <c r="D1928" s="28"/>
      <c r="E1928" s="23" t="str">
        <f>IF($D1928="","",IFERROR(VLOOKUP($D1928,'ACAS Consumables Tracker'!$A:$H,8,FALSE()),""))</f>
        <v/>
      </c>
      <c r="F1928" s="24"/>
      <c r="G1928" s="25" t="str">
        <f>IF($D1928="","",IFERROR(VLOOKUP($D1928,'ACAS Consumables Tracker'!$A:$D,4,FALSE()),""))</f>
        <v/>
      </c>
      <c r="H1928" s="22"/>
    </row>
    <row r="1929" spans="1:8">
      <c r="A1929" s="21"/>
      <c r="B1929" s="28"/>
      <c r="C1929" s="22"/>
      <c r="D1929" s="28"/>
      <c r="E1929" s="23" t="str">
        <f>IF($D1929="","",IFERROR(VLOOKUP($D1929,'ACAS Consumables Tracker'!$A:$H,8,FALSE()),""))</f>
        <v/>
      </c>
      <c r="F1929" s="24"/>
      <c r="G1929" s="25" t="str">
        <f>IF($D1929="","",IFERROR(VLOOKUP($D1929,'ACAS Consumables Tracker'!$A:$D,4,FALSE()),""))</f>
        <v/>
      </c>
      <c r="H1929" s="22"/>
    </row>
    <row r="1930" spans="1:8">
      <c r="A1930" s="21"/>
      <c r="B1930" s="28"/>
      <c r="C1930" s="22"/>
      <c r="D1930" s="28"/>
      <c r="E1930" s="23" t="str">
        <f>IF($D1930="","",IFERROR(VLOOKUP($D1930,'ACAS Consumables Tracker'!$A:$H,8,FALSE()),""))</f>
        <v/>
      </c>
      <c r="F1930" s="24"/>
      <c r="G1930" s="25" t="str">
        <f>IF($D1930="","",IFERROR(VLOOKUP($D1930,'ACAS Consumables Tracker'!$A:$D,4,FALSE()),""))</f>
        <v/>
      </c>
      <c r="H1930" s="22"/>
    </row>
    <row r="1931" spans="1:8">
      <c r="A1931" s="21"/>
      <c r="B1931" s="28"/>
      <c r="C1931" s="22"/>
      <c r="D1931" s="28"/>
      <c r="E1931" s="23" t="str">
        <f>IF($D1931="","",IFERROR(VLOOKUP($D1931,'ACAS Consumables Tracker'!$A:$H,8,FALSE()),""))</f>
        <v/>
      </c>
      <c r="F1931" s="24"/>
      <c r="G1931" s="25" t="str">
        <f>IF($D1931="","",IFERROR(VLOOKUP($D1931,'ACAS Consumables Tracker'!$A:$D,4,FALSE()),""))</f>
        <v/>
      </c>
      <c r="H1931" s="22"/>
    </row>
    <row r="1932" spans="1:8">
      <c r="A1932" s="21"/>
      <c r="B1932" s="28"/>
      <c r="C1932" s="22"/>
      <c r="D1932" s="28"/>
      <c r="E1932" s="23" t="str">
        <f>IF($D1932="","",IFERROR(VLOOKUP($D1932,'ACAS Consumables Tracker'!$A:$H,8,FALSE()),""))</f>
        <v/>
      </c>
      <c r="F1932" s="24"/>
      <c r="G1932" s="25" t="str">
        <f>IF($D1932="","",IFERROR(VLOOKUP($D1932,'ACAS Consumables Tracker'!$A:$D,4,FALSE()),""))</f>
        <v/>
      </c>
      <c r="H1932" s="22"/>
    </row>
    <row r="1933" spans="1:8">
      <c r="A1933" s="21"/>
      <c r="B1933" s="28"/>
      <c r="C1933" s="22"/>
      <c r="D1933" s="28"/>
      <c r="E1933" s="23" t="str">
        <f>IF($D1933="","",IFERROR(VLOOKUP($D1933,'ACAS Consumables Tracker'!$A:$H,8,FALSE()),""))</f>
        <v/>
      </c>
      <c r="F1933" s="24"/>
      <c r="G1933" s="25" t="str">
        <f>IF($D1933="","",IFERROR(VLOOKUP($D1933,'ACAS Consumables Tracker'!$A:$D,4,FALSE()),""))</f>
        <v/>
      </c>
      <c r="H1933" s="22"/>
    </row>
    <row r="1934" spans="1:8">
      <c r="A1934" s="21"/>
      <c r="B1934" s="28"/>
      <c r="C1934" s="22"/>
      <c r="D1934" s="28"/>
      <c r="E1934" s="23" t="str">
        <f>IF($D1934="","",IFERROR(VLOOKUP($D1934,'ACAS Consumables Tracker'!$A:$H,8,FALSE()),""))</f>
        <v/>
      </c>
      <c r="F1934" s="24"/>
      <c r="G1934" s="25" t="str">
        <f>IF($D1934="","",IFERROR(VLOOKUP($D1934,'ACAS Consumables Tracker'!$A:$D,4,FALSE()),""))</f>
        <v/>
      </c>
      <c r="H1934" s="22"/>
    </row>
    <row r="1935" spans="1:8">
      <c r="A1935" s="21"/>
      <c r="B1935" s="28"/>
      <c r="C1935" s="22"/>
      <c r="D1935" s="28"/>
      <c r="E1935" s="23" t="str">
        <f>IF($D1935="","",IFERROR(VLOOKUP($D1935,'ACAS Consumables Tracker'!$A:$H,8,FALSE()),""))</f>
        <v/>
      </c>
      <c r="F1935" s="24"/>
      <c r="G1935" s="25" t="str">
        <f>IF($D1935="","",IFERROR(VLOOKUP($D1935,'ACAS Consumables Tracker'!$A:$D,4,FALSE()),""))</f>
        <v/>
      </c>
      <c r="H1935" s="22"/>
    </row>
    <row r="1936" spans="1:8">
      <c r="A1936" s="21"/>
      <c r="B1936" s="28"/>
      <c r="C1936" s="22"/>
      <c r="D1936" s="28"/>
      <c r="E1936" s="23" t="str">
        <f>IF($D1936="","",IFERROR(VLOOKUP($D1936,'ACAS Consumables Tracker'!$A:$H,8,FALSE()),""))</f>
        <v/>
      </c>
      <c r="F1936" s="24"/>
      <c r="G1936" s="25" t="str">
        <f>IF($D1936="","",IFERROR(VLOOKUP($D1936,'ACAS Consumables Tracker'!$A:$D,4,FALSE()),""))</f>
        <v/>
      </c>
      <c r="H1936" s="22"/>
    </row>
    <row r="1937" spans="1:8">
      <c r="A1937" s="21"/>
      <c r="B1937" s="28"/>
      <c r="C1937" s="22"/>
      <c r="D1937" s="28"/>
      <c r="E1937" s="23" t="str">
        <f>IF($D1937="","",IFERROR(VLOOKUP($D1937,'ACAS Consumables Tracker'!$A:$H,8,FALSE()),""))</f>
        <v/>
      </c>
      <c r="F1937" s="24"/>
      <c r="G1937" s="25" t="str">
        <f>IF($D1937="","",IFERROR(VLOOKUP($D1937,'ACAS Consumables Tracker'!$A:$D,4,FALSE()),""))</f>
        <v/>
      </c>
      <c r="H1937" s="22"/>
    </row>
    <row r="1938" spans="1:8">
      <c r="A1938" s="21"/>
      <c r="B1938" s="28"/>
      <c r="C1938" s="22"/>
      <c r="D1938" s="28"/>
      <c r="E1938" s="23" t="str">
        <f>IF($D1938="","",IFERROR(VLOOKUP($D1938,'ACAS Consumables Tracker'!$A:$H,8,FALSE()),""))</f>
        <v/>
      </c>
      <c r="F1938" s="24"/>
      <c r="G1938" s="25" t="str">
        <f>IF($D1938="","",IFERROR(VLOOKUP($D1938,'ACAS Consumables Tracker'!$A:$D,4,FALSE()),""))</f>
        <v/>
      </c>
      <c r="H1938" s="22"/>
    </row>
    <row r="1939" spans="1:8">
      <c r="A1939" s="21"/>
      <c r="B1939" s="28"/>
      <c r="C1939" s="22"/>
      <c r="D1939" s="28"/>
      <c r="E1939" s="23" t="str">
        <f>IF($D1939="","",IFERROR(VLOOKUP($D1939,'ACAS Consumables Tracker'!$A:$H,8,FALSE()),""))</f>
        <v/>
      </c>
      <c r="F1939" s="24"/>
      <c r="G1939" s="25" t="str">
        <f>IF($D1939="","",IFERROR(VLOOKUP($D1939,'ACAS Consumables Tracker'!$A:$D,4,FALSE()),""))</f>
        <v/>
      </c>
      <c r="H1939" s="22"/>
    </row>
    <row r="1940" spans="1:8">
      <c r="A1940" s="21"/>
      <c r="B1940" s="28"/>
      <c r="C1940" s="22"/>
      <c r="D1940" s="28"/>
      <c r="E1940" s="23" t="str">
        <f>IF($D1940="","",IFERROR(VLOOKUP($D1940,'ACAS Consumables Tracker'!$A:$H,8,FALSE()),""))</f>
        <v/>
      </c>
      <c r="F1940" s="24"/>
      <c r="G1940" s="25" t="str">
        <f>IF($D1940="","",IFERROR(VLOOKUP($D1940,'ACAS Consumables Tracker'!$A:$D,4,FALSE()),""))</f>
        <v/>
      </c>
      <c r="H1940" s="22"/>
    </row>
    <row r="1941" spans="1:8">
      <c r="A1941" s="21"/>
      <c r="B1941" s="28"/>
      <c r="C1941" s="22"/>
      <c r="D1941" s="28"/>
      <c r="E1941" s="23" t="str">
        <f>IF($D1941="","",IFERROR(VLOOKUP($D1941,'ACAS Consumables Tracker'!$A:$H,8,FALSE()),""))</f>
        <v/>
      </c>
      <c r="F1941" s="24"/>
      <c r="G1941" s="25" t="str">
        <f>IF($D1941="","",IFERROR(VLOOKUP($D1941,'ACAS Consumables Tracker'!$A:$D,4,FALSE()),""))</f>
        <v/>
      </c>
      <c r="H1941" s="22"/>
    </row>
    <row r="1942" spans="1:8">
      <c r="A1942" s="21"/>
      <c r="B1942" s="28"/>
      <c r="C1942" s="22"/>
      <c r="D1942" s="28"/>
      <c r="E1942" s="23" t="str">
        <f>IF($D1942="","",IFERROR(VLOOKUP($D1942,'ACAS Consumables Tracker'!$A:$H,8,FALSE()),""))</f>
        <v/>
      </c>
      <c r="F1942" s="24"/>
      <c r="G1942" s="25" t="str">
        <f>IF($D1942="","",IFERROR(VLOOKUP($D1942,'ACAS Consumables Tracker'!$A:$D,4,FALSE()),""))</f>
        <v/>
      </c>
      <c r="H1942" s="22"/>
    </row>
    <row r="1943" spans="1:8">
      <c r="A1943" s="21"/>
      <c r="B1943" s="28"/>
      <c r="C1943" s="22"/>
      <c r="D1943" s="28"/>
      <c r="E1943" s="23" t="str">
        <f>IF($D1943="","",IFERROR(VLOOKUP($D1943,'ACAS Consumables Tracker'!$A:$H,8,FALSE()),""))</f>
        <v/>
      </c>
      <c r="F1943" s="24"/>
      <c r="G1943" s="25" t="str">
        <f>IF($D1943="","",IFERROR(VLOOKUP($D1943,'ACAS Consumables Tracker'!$A:$D,4,FALSE()),""))</f>
        <v/>
      </c>
      <c r="H1943" s="22"/>
    </row>
    <row r="1944" spans="1:8">
      <c r="A1944" s="21"/>
      <c r="B1944" s="28"/>
      <c r="C1944" s="22"/>
      <c r="D1944" s="28"/>
      <c r="E1944" s="23" t="str">
        <f>IF($D1944="","",IFERROR(VLOOKUP($D1944,'ACAS Consumables Tracker'!$A:$H,8,FALSE()),""))</f>
        <v/>
      </c>
      <c r="F1944" s="24"/>
      <c r="G1944" s="25" t="str">
        <f>IF($D1944="","",IFERROR(VLOOKUP($D1944,'ACAS Consumables Tracker'!$A:$D,4,FALSE()),""))</f>
        <v/>
      </c>
      <c r="H1944" s="22"/>
    </row>
    <row r="1945" spans="1:8">
      <c r="A1945" s="21"/>
      <c r="B1945" s="28"/>
      <c r="C1945" s="22"/>
      <c r="D1945" s="28"/>
      <c r="E1945" s="23" t="str">
        <f>IF($D1945="","",IFERROR(VLOOKUP($D1945,'ACAS Consumables Tracker'!$A:$H,8,FALSE()),""))</f>
        <v/>
      </c>
      <c r="F1945" s="24"/>
      <c r="G1945" s="25" t="str">
        <f>IF($D1945="","",IFERROR(VLOOKUP($D1945,'ACAS Consumables Tracker'!$A:$D,4,FALSE()),""))</f>
        <v/>
      </c>
      <c r="H1945" s="22"/>
    </row>
    <row r="1946" spans="1:8">
      <c r="A1946" s="21"/>
      <c r="B1946" s="28"/>
      <c r="C1946" s="22"/>
      <c r="D1946" s="28"/>
      <c r="E1946" s="23" t="str">
        <f>IF($D1946="","",IFERROR(VLOOKUP($D1946,'ACAS Consumables Tracker'!$A:$H,8,FALSE()),""))</f>
        <v/>
      </c>
      <c r="F1946" s="24"/>
      <c r="G1946" s="25" t="str">
        <f>IF($D1946="","",IFERROR(VLOOKUP($D1946,'ACAS Consumables Tracker'!$A:$D,4,FALSE()),""))</f>
        <v/>
      </c>
      <c r="H1946" s="22"/>
    </row>
    <row r="1947" spans="1:8">
      <c r="A1947" s="21"/>
      <c r="B1947" s="28"/>
      <c r="C1947" s="22"/>
      <c r="D1947" s="28"/>
      <c r="E1947" s="23" t="str">
        <f>IF($D1947="","",IFERROR(VLOOKUP($D1947,'ACAS Consumables Tracker'!$A:$H,8,FALSE()),""))</f>
        <v/>
      </c>
      <c r="F1947" s="24"/>
      <c r="G1947" s="25" t="str">
        <f>IF($D1947="","",IFERROR(VLOOKUP($D1947,'ACAS Consumables Tracker'!$A:$D,4,FALSE()),""))</f>
        <v/>
      </c>
      <c r="H1947" s="22"/>
    </row>
    <row r="1948" spans="1:8">
      <c r="A1948" s="21"/>
      <c r="B1948" s="28"/>
      <c r="C1948" s="22"/>
      <c r="D1948" s="28"/>
      <c r="E1948" s="23" t="str">
        <f>IF($D1948="","",IFERROR(VLOOKUP($D1948,'ACAS Consumables Tracker'!$A:$H,8,FALSE()),""))</f>
        <v/>
      </c>
      <c r="F1948" s="24"/>
      <c r="G1948" s="25" t="str">
        <f>IF($D1948="","",IFERROR(VLOOKUP($D1948,'ACAS Consumables Tracker'!$A:$D,4,FALSE()),""))</f>
        <v/>
      </c>
      <c r="H1948" s="22"/>
    </row>
    <row r="1949" spans="1:8">
      <c r="A1949" s="21"/>
      <c r="B1949" s="28"/>
      <c r="C1949" s="22"/>
      <c r="D1949" s="28"/>
      <c r="E1949" s="23" t="str">
        <f>IF($D1949="","",IFERROR(VLOOKUP($D1949,'ACAS Consumables Tracker'!$A:$H,8,FALSE()),""))</f>
        <v/>
      </c>
      <c r="F1949" s="24"/>
      <c r="G1949" s="25" t="str">
        <f>IF($D1949="","",IFERROR(VLOOKUP($D1949,'ACAS Consumables Tracker'!$A:$D,4,FALSE()),""))</f>
        <v/>
      </c>
      <c r="H1949" s="22"/>
    </row>
    <row r="1950" spans="1:8">
      <c r="A1950" s="21"/>
      <c r="B1950" s="28"/>
      <c r="C1950" s="22"/>
      <c r="D1950" s="28"/>
      <c r="E1950" s="23" t="str">
        <f>IF($D1950="","",IFERROR(VLOOKUP($D1950,'ACAS Consumables Tracker'!$A:$H,8,FALSE()),""))</f>
        <v/>
      </c>
      <c r="F1950" s="24"/>
      <c r="G1950" s="25" t="str">
        <f>IF($D1950="","",IFERROR(VLOOKUP($D1950,'ACAS Consumables Tracker'!$A:$D,4,FALSE()),""))</f>
        <v/>
      </c>
      <c r="H1950" s="22"/>
    </row>
    <row r="1951" spans="1:8">
      <c r="A1951" s="21"/>
      <c r="B1951" s="28"/>
      <c r="C1951" s="22"/>
      <c r="D1951" s="28"/>
      <c r="E1951" s="23" t="str">
        <f>IF($D1951="","",IFERROR(VLOOKUP($D1951,'ACAS Consumables Tracker'!$A:$H,8,FALSE()),""))</f>
        <v/>
      </c>
      <c r="F1951" s="24"/>
      <c r="G1951" s="25" t="str">
        <f>IF($D1951="","",IFERROR(VLOOKUP($D1951,'ACAS Consumables Tracker'!$A:$D,4,FALSE()),""))</f>
        <v/>
      </c>
      <c r="H1951" s="22"/>
    </row>
    <row r="1952" spans="1:8">
      <c r="A1952" s="21"/>
      <c r="B1952" s="28"/>
      <c r="C1952" s="22"/>
      <c r="D1952" s="28"/>
      <c r="E1952" s="23" t="str">
        <f>IF($D1952="","",IFERROR(VLOOKUP($D1952,'ACAS Consumables Tracker'!$A:$H,8,FALSE()),""))</f>
        <v/>
      </c>
      <c r="F1952" s="24"/>
      <c r="G1952" s="25" t="str">
        <f>IF($D1952="","",IFERROR(VLOOKUP($D1952,'ACAS Consumables Tracker'!$A:$D,4,FALSE()),""))</f>
        <v/>
      </c>
      <c r="H1952" s="22"/>
    </row>
    <row r="1953" spans="1:8">
      <c r="A1953" s="21"/>
      <c r="B1953" s="28"/>
      <c r="C1953" s="22"/>
      <c r="D1953" s="28"/>
      <c r="E1953" s="23" t="str">
        <f>IF($D1953="","",IFERROR(VLOOKUP($D1953,'ACAS Consumables Tracker'!$A:$H,8,FALSE()),""))</f>
        <v/>
      </c>
      <c r="F1953" s="24"/>
      <c r="G1953" s="25" t="str">
        <f>IF($D1953="","",IFERROR(VLOOKUP($D1953,'ACAS Consumables Tracker'!$A:$D,4,FALSE()),""))</f>
        <v/>
      </c>
      <c r="H1953" s="22"/>
    </row>
    <row r="1954" spans="1:8">
      <c r="A1954" s="21"/>
      <c r="B1954" s="28"/>
      <c r="C1954" s="22"/>
      <c r="D1954" s="28"/>
      <c r="E1954" s="23" t="str">
        <f>IF($D1954="","",IFERROR(VLOOKUP($D1954,'ACAS Consumables Tracker'!$A:$H,8,FALSE()),""))</f>
        <v/>
      </c>
      <c r="F1954" s="24"/>
      <c r="G1954" s="25" t="str">
        <f>IF($D1954="","",IFERROR(VLOOKUP($D1954,'ACAS Consumables Tracker'!$A:$D,4,FALSE()),""))</f>
        <v/>
      </c>
      <c r="H1954" s="22"/>
    </row>
    <row r="1955" spans="1:8">
      <c r="A1955" s="21"/>
      <c r="B1955" s="28"/>
      <c r="C1955" s="22"/>
      <c r="D1955" s="28"/>
      <c r="E1955" s="23" t="str">
        <f>IF($D1955="","",IFERROR(VLOOKUP($D1955,'ACAS Consumables Tracker'!$A:$H,8,FALSE()),""))</f>
        <v/>
      </c>
      <c r="F1955" s="24"/>
      <c r="G1955" s="25" t="str">
        <f>IF($D1955="","",IFERROR(VLOOKUP($D1955,'ACAS Consumables Tracker'!$A:$D,4,FALSE()),""))</f>
        <v/>
      </c>
      <c r="H1955" s="22"/>
    </row>
    <row r="1956" spans="1:8">
      <c r="A1956" s="21"/>
      <c r="B1956" s="28"/>
      <c r="C1956" s="22"/>
      <c r="D1956" s="28"/>
      <c r="E1956" s="23" t="str">
        <f>IF($D1956="","",IFERROR(VLOOKUP($D1956,'ACAS Consumables Tracker'!$A:$H,8,FALSE()),""))</f>
        <v/>
      </c>
      <c r="F1956" s="24"/>
      <c r="G1956" s="25" t="str">
        <f>IF($D1956="","",IFERROR(VLOOKUP($D1956,'ACAS Consumables Tracker'!$A:$D,4,FALSE()),""))</f>
        <v/>
      </c>
      <c r="H1956" s="22"/>
    </row>
    <row r="1957" spans="1:8">
      <c r="A1957" s="21"/>
      <c r="B1957" s="28"/>
      <c r="C1957" s="22"/>
      <c r="D1957" s="28"/>
      <c r="E1957" s="23" t="str">
        <f>IF($D1957="","",IFERROR(VLOOKUP($D1957,'ACAS Consumables Tracker'!$A:$H,8,FALSE()),""))</f>
        <v/>
      </c>
      <c r="F1957" s="24"/>
      <c r="G1957" s="25" t="str">
        <f>IF($D1957="","",IFERROR(VLOOKUP($D1957,'ACAS Consumables Tracker'!$A:$D,4,FALSE()),""))</f>
        <v/>
      </c>
      <c r="H1957" s="22"/>
    </row>
    <row r="1958" spans="1:8">
      <c r="A1958" s="21"/>
      <c r="B1958" s="28"/>
      <c r="C1958" s="22"/>
      <c r="D1958" s="28"/>
      <c r="E1958" s="23" t="str">
        <f>IF($D1958="","",IFERROR(VLOOKUP($D1958,'ACAS Consumables Tracker'!$A:$H,8,FALSE()),""))</f>
        <v/>
      </c>
      <c r="F1958" s="24"/>
      <c r="G1958" s="25" t="str">
        <f>IF($D1958="","",IFERROR(VLOOKUP($D1958,'ACAS Consumables Tracker'!$A:$D,4,FALSE()),""))</f>
        <v/>
      </c>
      <c r="H1958" s="22"/>
    </row>
    <row r="1959" spans="1:8">
      <c r="A1959" s="21"/>
      <c r="B1959" s="28"/>
      <c r="C1959" s="22"/>
      <c r="D1959" s="28"/>
      <c r="E1959" s="23" t="str">
        <f>IF($D1959="","",IFERROR(VLOOKUP($D1959,'ACAS Consumables Tracker'!$A:$H,8,FALSE()),""))</f>
        <v/>
      </c>
      <c r="F1959" s="24"/>
      <c r="G1959" s="25" t="str">
        <f>IF($D1959="","",IFERROR(VLOOKUP($D1959,'ACAS Consumables Tracker'!$A:$D,4,FALSE()),""))</f>
        <v/>
      </c>
      <c r="H1959" s="22"/>
    </row>
    <row r="1960" spans="1:8">
      <c r="A1960" s="21"/>
      <c r="B1960" s="28"/>
      <c r="C1960" s="22"/>
      <c r="D1960" s="28"/>
      <c r="E1960" s="23" t="str">
        <f>IF($D1960="","",IFERROR(VLOOKUP($D1960,'ACAS Consumables Tracker'!$A:$H,8,FALSE()),""))</f>
        <v/>
      </c>
      <c r="F1960" s="24"/>
      <c r="G1960" s="25" t="str">
        <f>IF($D1960="","",IFERROR(VLOOKUP($D1960,'ACAS Consumables Tracker'!$A:$D,4,FALSE()),""))</f>
        <v/>
      </c>
      <c r="H1960" s="22"/>
    </row>
    <row r="1961" spans="1:8">
      <c r="A1961" s="21"/>
      <c r="B1961" s="28"/>
      <c r="C1961" s="22"/>
      <c r="D1961" s="28"/>
      <c r="E1961" s="23" t="str">
        <f>IF($D1961="","",IFERROR(VLOOKUP($D1961,'ACAS Consumables Tracker'!$A:$H,8,FALSE()),""))</f>
        <v/>
      </c>
      <c r="F1961" s="24"/>
      <c r="G1961" s="25" t="str">
        <f>IF($D1961="","",IFERROR(VLOOKUP($D1961,'ACAS Consumables Tracker'!$A:$D,4,FALSE()),""))</f>
        <v/>
      </c>
      <c r="H1961" s="22"/>
    </row>
    <row r="1962" spans="1:8">
      <c r="A1962" s="21"/>
      <c r="B1962" s="28"/>
      <c r="C1962" s="22"/>
      <c r="D1962" s="28"/>
      <c r="E1962" s="23" t="str">
        <f>IF($D1962="","",IFERROR(VLOOKUP($D1962,'ACAS Consumables Tracker'!$A:$H,8,FALSE()),""))</f>
        <v/>
      </c>
      <c r="F1962" s="24"/>
      <c r="G1962" s="25" t="str">
        <f>IF($D1962="","",IFERROR(VLOOKUP($D1962,'ACAS Consumables Tracker'!$A:$D,4,FALSE()),""))</f>
        <v/>
      </c>
      <c r="H1962" s="22"/>
    </row>
    <row r="1963" spans="1:8">
      <c r="A1963" s="21"/>
      <c r="B1963" s="28"/>
      <c r="C1963" s="22"/>
      <c r="D1963" s="28"/>
      <c r="E1963" s="23" t="str">
        <f>IF($D1963="","",IFERROR(VLOOKUP($D1963,'ACAS Consumables Tracker'!$A:$H,8,FALSE()),""))</f>
        <v/>
      </c>
      <c r="F1963" s="24"/>
      <c r="G1963" s="25" t="str">
        <f>IF($D1963="","",IFERROR(VLOOKUP($D1963,'ACAS Consumables Tracker'!$A:$D,4,FALSE()),""))</f>
        <v/>
      </c>
      <c r="H1963" s="22"/>
    </row>
    <row r="1964" spans="1:8">
      <c r="A1964" s="21"/>
      <c r="B1964" s="28"/>
      <c r="C1964" s="22"/>
      <c r="D1964" s="28"/>
      <c r="E1964" s="23" t="str">
        <f>IF($D1964="","",IFERROR(VLOOKUP($D1964,'ACAS Consumables Tracker'!$A:$H,8,FALSE()),""))</f>
        <v/>
      </c>
      <c r="F1964" s="24"/>
      <c r="G1964" s="25" t="str">
        <f>IF($D1964="","",IFERROR(VLOOKUP($D1964,'ACAS Consumables Tracker'!$A:$D,4,FALSE()),""))</f>
        <v/>
      </c>
      <c r="H1964" s="22"/>
    </row>
    <row r="1965" spans="1:8">
      <c r="A1965" s="21"/>
      <c r="B1965" s="28"/>
      <c r="C1965" s="22"/>
      <c r="D1965" s="28"/>
      <c r="E1965" s="23" t="str">
        <f>IF($D1965="","",IFERROR(VLOOKUP($D1965,'ACAS Consumables Tracker'!$A:$H,8,FALSE()),""))</f>
        <v/>
      </c>
      <c r="F1965" s="24"/>
      <c r="G1965" s="25" t="str">
        <f>IF($D1965="","",IFERROR(VLOOKUP($D1965,'ACAS Consumables Tracker'!$A:$D,4,FALSE()),""))</f>
        <v/>
      </c>
      <c r="H1965" s="22"/>
    </row>
    <row r="1966" spans="1:8">
      <c r="A1966" s="21"/>
      <c r="B1966" s="28"/>
      <c r="C1966" s="22"/>
      <c r="D1966" s="28"/>
      <c r="E1966" s="23" t="str">
        <f>IF($D1966="","",IFERROR(VLOOKUP($D1966,'ACAS Consumables Tracker'!$A:$H,8,FALSE()),""))</f>
        <v/>
      </c>
      <c r="F1966" s="24"/>
      <c r="G1966" s="25" t="str">
        <f>IF($D1966="","",IFERROR(VLOOKUP($D1966,'ACAS Consumables Tracker'!$A:$D,4,FALSE()),""))</f>
        <v/>
      </c>
      <c r="H1966" s="22"/>
    </row>
    <row r="1967" spans="1:8">
      <c r="A1967" s="21"/>
      <c r="B1967" s="28"/>
      <c r="C1967" s="22"/>
      <c r="D1967" s="28"/>
      <c r="E1967" s="23" t="str">
        <f>IF($D1967="","",IFERROR(VLOOKUP($D1967,'ACAS Consumables Tracker'!$A:$H,8,FALSE()),""))</f>
        <v/>
      </c>
      <c r="F1967" s="24"/>
      <c r="G1967" s="25" t="str">
        <f>IF($D1967="","",IFERROR(VLOOKUP($D1967,'ACAS Consumables Tracker'!$A:$D,4,FALSE()),""))</f>
        <v/>
      </c>
      <c r="H1967" s="22"/>
    </row>
    <row r="1968" spans="1:8">
      <c r="A1968" s="21"/>
      <c r="B1968" s="28"/>
      <c r="C1968" s="22"/>
      <c r="D1968" s="28"/>
      <c r="E1968" s="23" t="str">
        <f>IF($D1968="","",IFERROR(VLOOKUP($D1968,'ACAS Consumables Tracker'!$A:$H,8,FALSE()),""))</f>
        <v/>
      </c>
      <c r="F1968" s="24"/>
      <c r="G1968" s="25" t="str">
        <f>IF($D1968="","",IFERROR(VLOOKUP($D1968,'ACAS Consumables Tracker'!$A:$D,4,FALSE()),""))</f>
        <v/>
      </c>
      <c r="H1968" s="22"/>
    </row>
    <row r="1969" spans="1:8">
      <c r="A1969" s="21"/>
      <c r="B1969" s="28"/>
      <c r="C1969" s="22"/>
      <c r="D1969" s="28"/>
      <c r="E1969" s="23" t="str">
        <f>IF($D1969="","",IFERROR(VLOOKUP($D1969,'ACAS Consumables Tracker'!$A:$H,8,FALSE()),""))</f>
        <v/>
      </c>
      <c r="F1969" s="24"/>
      <c r="G1969" s="25" t="str">
        <f>IF($D1969="","",IFERROR(VLOOKUP($D1969,'ACAS Consumables Tracker'!$A:$D,4,FALSE()),""))</f>
        <v/>
      </c>
      <c r="H1969" s="22"/>
    </row>
    <row r="1970" spans="1:8">
      <c r="A1970" s="21"/>
      <c r="B1970" s="28"/>
      <c r="C1970" s="22"/>
      <c r="D1970" s="28"/>
      <c r="E1970" s="23" t="str">
        <f>IF($D1970="","",IFERROR(VLOOKUP($D1970,'ACAS Consumables Tracker'!$A:$H,8,FALSE()),""))</f>
        <v/>
      </c>
      <c r="F1970" s="24"/>
      <c r="G1970" s="25" t="str">
        <f>IF($D1970="","",IFERROR(VLOOKUP($D1970,'ACAS Consumables Tracker'!$A:$D,4,FALSE()),""))</f>
        <v/>
      </c>
      <c r="H1970" s="22"/>
    </row>
    <row r="1971" spans="1:8">
      <c r="A1971" s="21"/>
      <c r="B1971" s="28"/>
      <c r="C1971" s="22"/>
      <c r="D1971" s="28"/>
      <c r="E1971" s="23" t="str">
        <f>IF($D1971="","",IFERROR(VLOOKUP($D1971,'ACAS Consumables Tracker'!$A:$H,8,FALSE()),""))</f>
        <v/>
      </c>
      <c r="F1971" s="24"/>
      <c r="G1971" s="25" t="str">
        <f>IF($D1971="","",IFERROR(VLOOKUP($D1971,'ACAS Consumables Tracker'!$A:$D,4,FALSE()),""))</f>
        <v/>
      </c>
      <c r="H1971" s="22"/>
    </row>
    <row r="1972" spans="1:8">
      <c r="A1972" s="21"/>
      <c r="B1972" s="28"/>
      <c r="C1972" s="22"/>
      <c r="D1972" s="28"/>
      <c r="E1972" s="23" t="str">
        <f>IF($D1972="","",IFERROR(VLOOKUP($D1972,'ACAS Consumables Tracker'!$A:$H,8,FALSE()),""))</f>
        <v/>
      </c>
      <c r="F1972" s="24"/>
      <c r="G1972" s="25" t="str">
        <f>IF($D1972="","",IFERROR(VLOOKUP($D1972,'ACAS Consumables Tracker'!$A:$D,4,FALSE()),""))</f>
        <v/>
      </c>
      <c r="H1972" s="22"/>
    </row>
    <row r="1973" spans="1:8">
      <c r="A1973" s="21"/>
      <c r="B1973" s="28"/>
      <c r="C1973" s="22"/>
      <c r="D1973" s="28"/>
      <c r="E1973" s="23" t="str">
        <f>IF($D1973="","",IFERROR(VLOOKUP($D1973,'ACAS Consumables Tracker'!$A:$H,8,FALSE()),""))</f>
        <v/>
      </c>
      <c r="F1973" s="24"/>
      <c r="G1973" s="25" t="str">
        <f>IF($D1973="","",IFERROR(VLOOKUP($D1973,'ACAS Consumables Tracker'!$A:$D,4,FALSE()),""))</f>
        <v/>
      </c>
      <c r="H1973" s="22"/>
    </row>
    <row r="1974" spans="1:8">
      <c r="A1974" s="21"/>
      <c r="B1974" s="28"/>
      <c r="C1974" s="22"/>
      <c r="D1974" s="28"/>
      <c r="E1974" s="23" t="str">
        <f>IF($D1974="","",IFERROR(VLOOKUP($D1974,'ACAS Consumables Tracker'!$A:$H,8,FALSE()),""))</f>
        <v/>
      </c>
      <c r="F1974" s="24"/>
      <c r="G1974" s="25" t="str">
        <f>IF($D1974="","",IFERROR(VLOOKUP($D1974,'ACAS Consumables Tracker'!$A:$D,4,FALSE()),""))</f>
        <v/>
      </c>
      <c r="H1974" s="22"/>
    </row>
    <row r="1975" spans="1:8">
      <c r="A1975" s="21"/>
      <c r="B1975" s="28"/>
      <c r="C1975" s="22"/>
      <c r="D1975" s="28"/>
      <c r="E1975" s="23" t="str">
        <f>IF($D1975="","",IFERROR(VLOOKUP($D1975,'ACAS Consumables Tracker'!$A:$H,8,FALSE()),""))</f>
        <v/>
      </c>
      <c r="F1975" s="24"/>
      <c r="G1975" s="25" t="str">
        <f>IF($D1975="","",IFERROR(VLOOKUP($D1975,'ACAS Consumables Tracker'!$A:$D,4,FALSE()),""))</f>
        <v/>
      </c>
      <c r="H1975" s="22"/>
    </row>
    <row r="1976" spans="1:8">
      <c r="A1976" s="21"/>
      <c r="B1976" s="28"/>
      <c r="C1976" s="22"/>
      <c r="D1976" s="28"/>
      <c r="E1976" s="23" t="str">
        <f>IF($D1976="","",IFERROR(VLOOKUP($D1976,'ACAS Consumables Tracker'!$A:$H,8,FALSE()),""))</f>
        <v/>
      </c>
      <c r="F1976" s="24"/>
      <c r="G1976" s="25" t="str">
        <f>IF($D1976="","",IFERROR(VLOOKUP($D1976,'ACAS Consumables Tracker'!$A:$D,4,FALSE()),""))</f>
        <v/>
      </c>
      <c r="H1976" s="22"/>
    </row>
    <row r="1977" spans="1:8">
      <c r="A1977" s="21"/>
      <c r="B1977" s="28"/>
      <c r="C1977" s="22"/>
      <c r="D1977" s="28"/>
      <c r="E1977" s="23" t="str">
        <f>IF($D1977="","",IFERROR(VLOOKUP($D1977,'ACAS Consumables Tracker'!$A:$H,8,FALSE()),""))</f>
        <v/>
      </c>
      <c r="F1977" s="24"/>
      <c r="G1977" s="25" t="str">
        <f>IF($D1977="","",IFERROR(VLOOKUP($D1977,'ACAS Consumables Tracker'!$A:$D,4,FALSE()),""))</f>
        <v/>
      </c>
      <c r="H1977" s="22"/>
    </row>
    <row r="1978" spans="1:8">
      <c r="A1978" s="21"/>
      <c r="B1978" s="28"/>
      <c r="C1978" s="22"/>
      <c r="D1978" s="28"/>
      <c r="E1978" s="23" t="str">
        <f>IF($D1978="","",IFERROR(VLOOKUP($D1978,'ACAS Consumables Tracker'!$A:$H,8,FALSE()),""))</f>
        <v/>
      </c>
      <c r="F1978" s="24"/>
      <c r="G1978" s="25" t="str">
        <f>IF($D1978="","",IFERROR(VLOOKUP($D1978,'ACAS Consumables Tracker'!$A:$D,4,FALSE()),""))</f>
        <v/>
      </c>
      <c r="H1978" s="22"/>
    </row>
    <row r="1979" spans="1:8">
      <c r="A1979" s="21"/>
      <c r="B1979" s="28"/>
      <c r="C1979" s="22"/>
      <c r="D1979" s="28"/>
      <c r="E1979" s="23" t="str">
        <f>IF($D1979="","",IFERROR(VLOOKUP($D1979,'ACAS Consumables Tracker'!$A:$H,8,FALSE()),""))</f>
        <v/>
      </c>
      <c r="F1979" s="24"/>
      <c r="G1979" s="25" t="str">
        <f>IF($D1979="","",IFERROR(VLOOKUP($D1979,'ACAS Consumables Tracker'!$A:$D,4,FALSE()),""))</f>
        <v/>
      </c>
      <c r="H1979" s="22"/>
    </row>
    <row r="1980" spans="1:8">
      <c r="A1980" s="21"/>
      <c r="B1980" s="28"/>
      <c r="C1980" s="22"/>
      <c r="D1980" s="28"/>
      <c r="E1980" s="23" t="str">
        <f>IF($D1980="","",IFERROR(VLOOKUP($D1980,'ACAS Consumables Tracker'!$A:$H,8,FALSE()),""))</f>
        <v/>
      </c>
      <c r="F1980" s="24"/>
      <c r="G1980" s="25" t="str">
        <f>IF($D1980="","",IFERROR(VLOOKUP($D1980,'ACAS Consumables Tracker'!$A:$D,4,FALSE()),""))</f>
        <v/>
      </c>
      <c r="H1980" s="22"/>
    </row>
    <row r="1981" spans="1:8">
      <c r="A1981" s="21"/>
      <c r="B1981" s="28"/>
      <c r="C1981" s="22"/>
      <c r="D1981" s="28"/>
      <c r="E1981" s="23" t="str">
        <f>IF($D1981="","",IFERROR(VLOOKUP($D1981,'ACAS Consumables Tracker'!$A:$H,8,FALSE()),""))</f>
        <v/>
      </c>
      <c r="F1981" s="24"/>
      <c r="G1981" s="25" t="str">
        <f>IF($D1981="","",IFERROR(VLOOKUP($D1981,'ACAS Consumables Tracker'!$A:$D,4,FALSE()),""))</f>
        <v/>
      </c>
      <c r="H1981" s="22"/>
    </row>
    <row r="1982" spans="1:8">
      <c r="A1982" s="21"/>
      <c r="B1982" s="28"/>
      <c r="C1982" s="22"/>
      <c r="D1982" s="28"/>
      <c r="E1982" s="23" t="str">
        <f>IF($D1982="","",IFERROR(VLOOKUP($D1982,'ACAS Consumables Tracker'!$A:$H,8,FALSE()),""))</f>
        <v/>
      </c>
      <c r="F1982" s="24"/>
      <c r="G1982" s="25" t="str">
        <f>IF($D1982="","",IFERROR(VLOOKUP($D1982,'ACAS Consumables Tracker'!$A:$D,4,FALSE()),""))</f>
        <v/>
      </c>
      <c r="H1982" s="22"/>
    </row>
    <row r="1983" spans="1:8">
      <c r="A1983" s="21"/>
      <c r="B1983" s="28"/>
      <c r="C1983" s="22"/>
      <c r="D1983" s="28"/>
      <c r="E1983" s="23" t="str">
        <f>IF($D1983="","",IFERROR(VLOOKUP($D1983,'ACAS Consumables Tracker'!$A:$H,8,FALSE()),""))</f>
        <v/>
      </c>
      <c r="F1983" s="24"/>
      <c r="G1983" s="25" t="str">
        <f>IF($D1983="","",IFERROR(VLOOKUP($D1983,'ACAS Consumables Tracker'!$A:$D,4,FALSE()),""))</f>
        <v/>
      </c>
      <c r="H1983" s="22"/>
    </row>
    <row r="1984" spans="1:8">
      <c r="A1984" s="21"/>
      <c r="B1984" s="28"/>
      <c r="C1984" s="22"/>
      <c r="D1984" s="28"/>
      <c r="E1984" s="23" t="str">
        <f>IF($D1984="","",IFERROR(VLOOKUP($D1984,'ACAS Consumables Tracker'!$A:$H,8,FALSE()),""))</f>
        <v/>
      </c>
      <c r="F1984" s="24"/>
      <c r="G1984" s="25" t="str">
        <f>IF($D1984="","",IFERROR(VLOOKUP($D1984,'ACAS Consumables Tracker'!$A:$D,4,FALSE()),""))</f>
        <v/>
      </c>
      <c r="H1984" s="22"/>
    </row>
    <row r="1985" spans="1:8">
      <c r="A1985" s="21"/>
      <c r="B1985" s="28"/>
      <c r="C1985" s="22"/>
      <c r="D1985" s="28"/>
      <c r="E1985" s="23" t="str">
        <f>IF($D1985="","",IFERROR(VLOOKUP($D1985,'ACAS Consumables Tracker'!$A:$H,8,FALSE()),""))</f>
        <v/>
      </c>
      <c r="F1985" s="24"/>
      <c r="G1985" s="25" t="str">
        <f>IF($D1985="","",IFERROR(VLOOKUP($D1985,'ACAS Consumables Tracker'!$A:$D,4,FALSE()),""))</f>
        <v/>
      </c>
      <c r="H1985" s="22"/>
    </row>
    <row r="1986" spans="1:8">
      <c r="A1986" s="21"/>
      <c r="B1986" s="28"/>
      <c r="C1986" s="22"/>
      <c r="D1986" s="28"/>
      <c r="E1986" s="23" t="str">
        <f>IF($D1986="","",IFERROR(VLOOKUP($D1986,'ACAS Consumables Tracker'!$A:$H,8,FALSE()),""))</f>
        <v/>
      </c>
      <c r="F1986" s="24"/>
      <c r="G1986" s="25" t="str">
        <f>IF($D1986="","",IFERROR(VLOOKUP($D1986,'ACAS Consumables Tracker'!$A:$D,4,FALSE()),""))</f>
        <v/>
      </c>
      <c r="H1986" s="22"/>
    </row>
    <row r="1987" spans="1:8">
      <c r="A1987" s="21"/>
      <c r="B1987" s="28"/>
      <c r="C1987" s="22"/>
      <c r="D1987" s="28"/>
      <c r="E1987" s="23" t="str">
        <f>IF($D1987="","",IFERROR(VLOOKUP($D1987,'ACAS Consumables Tracker'!$A:$H,8,FALSE()),""))</f>
        <v/>
      </c>
      <c r="F1987" s="24"/>
      <c r="G1987" s="25" t="str">
        <f>IF($D1987="","",IFERROR(VLOOKUP($D1987,'ACAS Consumables Tracker'!$A:$D,4,FALSE()),""))</f>
        <v/>
      </c>
      <c r="H1987" s="22"/>
    </row>
    <row r="1988" spans="1:8">
      <c r="A1988" s="21"/>
      <c r="B1988" s="28"/>
      <c r="C1988" s="22"/>
      <c r="D1988" s="28"/>
      <c r="E1988" s="23" t="str">
        <f>IF($D1988="","",IFERROR(VLOOKUP($D1988,'ACAS Consumables Tracker'!$A:$H,8,FALSE()),""))</f>
        <v/>
      </c>
      <c r="F1988" s="24"/>
      <c r="G1988" s="25" t="str">
        <f>IF($D1988="","",IFERROR(VLOOKUP($D1988,'ACAS Consumables Tracker'!$A:$D,4,FALSE()),""))</f>
        <v/>
      </c>
      <c r="H1988" s="22"/>
    </row>
    <row r="1989" spans="1:8">
      <c r="A1989" s="21"/>
      <c r="B1989" s="28"/>
      <c r="C1989" s="22"/>
      <c r="D1989" s="28"/>
      <c r="E1989" s="23" t="str">
        <f>IF($D1989="","",IFERROR(VLOOKUP($D1989,'ACAS Consumables Tracker'!$A:$H,8,FALSE()),""))</f>
        <v/>
      </c>
      <c r="F1989" s="24"/>
      <c r="G1989" s="25" t="str">
        <f>IF($D1989="","",IFERROR(VLOOKUP($D1989,'ACAS Consumables Tracker'!$A:$D,4,FALSE()),""))</f>
        <v/>
      </c>
      <c r="H1989" s="22"/>
    </row>
    <row r="1990" spans="1:8">
      <c r="A1990" s="21"/>
      <c r="B1990" s="28"/>
      <c r="C1990" s="22"/>
      <c r="D1990" s="28"/>
      <c r="E1990" s="23" t="str">
        <f>IF($D1990="","",IFERROR(VLOOKUP($D1990,'ACAS Consumables Tracker'!$A:$H,8,FALSE()),""))</f>
        <v/>
      </c>
      <c r="F1990" s="24"/>
      <c r="G1990" s="25" t="str">
        <f>IF($D1990="","",IFERROR(VLOOKUP($D1990,'ACAS Consumables Tracker'!$A:$D,4,FALSE()),""))</f>
        <v/>
      </c>
      <c r="H1990" s="22"/>
    </row>
    <row r="1991" spans="1:8">
      <c r="A1991" s="21"/>
      <c r="B1991" s="28"/>
      <c r="C1991" s="22"/>
      <c r="D1991" s="28"/>
      <c r="E1991" s="23" t="str">
        <f>IF($D1991="","",IFERROR(VLOOKUP($D1991,'ACAS Consumables Tracker'!$A:$H,8,FALSE()),""))</f>
        <v/>
      </c>
      <c r="F1991" s="24"/>
      <c r="G1991" s="25" t="str">
        <f>IF($D1991="","",IFERROR(VLOOKUP($D1991,'ACAS Consumables Tracker'!$A:$D,4,FALSE()),""))</f>
        <v/>
      </c>
      <c r="H1991" s="22"/>
    </row>
    <row r="1992" spans="1:8">
      <c r="A1992" s="21"/>
      <c r="B1992" s="28"/>
      <c r="C1992" s="22"/>
      <c r="D1992" s="28"/>
      <c r="E1992" s="23" t="str">
        <f>IF($D1992="","",IFERROR(VLOOKUP($D1992,'ACAS Consumables Tracker'!$A:$H,8,FALSE()),""))</f>
        <v/>
      </c>
      <c r="F1992" s="24"/>
      <c r="G1992" s="25" t="str">
        <f>IF($D1992="","",IFERROR(VLOOKUP($D1992,'ACAS Consumables Tracker'!$A:$D,4,FALSE()),""))</f>
        <v/>
      </c>
      <c r="H1992" s="22"/>
    </row>
    <row r="1993" spans="1:8">
      <c r="A1993" s="21"/>
      <c r="B1993" s="28"/>
      <c r="C1993" s="22"/>
      <c r="D1993" s="28"/>
      <c r="E1993" s="23" t="str">
        <f>IF($D1993="","",IFERROR(VLOOKUP($D1993,'ACAS Consumables Tracker'!$A:$H,8,FALSE()),""))</f>
        <v/>
      </c>
      <c r="F1993" s="24"/>
      <c r="G1993" s="25" t="str">
        <f>IF($D1993="","",IFERROR(VLOOKUP($D1993,'ACAS Consumables Tracker'!$A:$D,4,FALSE()),""))</f>
        <v/>
      </c>
      <c r="H1993" s="22"/>
    </row>
    <row r="1994" spans="1:8">
      <c r="A1994" s="21"/>
      <c r="B1994" s="28"/>
      <c r="C1994" s="22"/>
      <c r="D1994" s="28"/>
      <c r="E1994" s="23" t="str">
        <f>IF($D1994="","",IFERROR(VLOOKUP($D1994,'ACAS Consumables Tracker'!$A:$H,8,FALSE()),""))</f>
        <v/>
      </c>
      <c r="F1994" s="24"/>
      <c r="G1994" s="25" t="str">
        <f>IF($D1994="","",IFERROR(VLOOKUP($D1994,'ACAS Consumables Tracker'!$A:$D,4,FALSE()),""))</f>
        <v/>
      </c>
      <c r="H1994" s="22"/>
    </row>
    <row r="1995" spans="1:8">
      <c r="A1995" s="21"/>
      <c r="B1995" s="28"/>
      <c r="C1995" s="22"/>
      <c r="D1995" s="28"/>
      <c r="E1995" s="23" t="str">
        <f>IF($D1995="","",IFERROR(VLOOKUP($D1995,'ACAS Consumables Tracker'!$A:$H,8,FALSE()),""))</f>
        <v/>
      </c>
      <c r="F1995" s="24"/>
      <c r="G1995" s="25" t="str">
        <f>IF($D1995="","",IFERROR(VLOOKUP($D1995,'ACAS Consumables Tracker'!$A:$D,4,FALSE()),""))</f>
        <v/>
      </c>
      <c r="H1995" s="22"/>
    </row>
    <row r="1996" spans="1:8">
      <c r="A1996" s="21"/>
      <c r="B1996" s="28"/>
      <c r="C1996" s="22"/>
      <c r="D1996" s="28"/>
      <c r="E1996" s="23" t="str">
        <f>IF($D1996="","",IFERROR(VLOOKUP($D1996,'ACAS Consumables Tracker'!$A:$H,8,FALSE()),""))</f>
        <v/>
      </c>
      <c r="F1996" s="24"/>
      <c r="G1996" s="25" t="str">
        <f>IF($D1996="","",IFERROR(VLOOKUP($D1996,'ACAS Consumables Tracker'!$A:$D,4,FALSE()),""))</f>
        <v/>
      </c>
      <c r="H1996" s="22"/>
    </row>
    <row r="1997" spans="1:8">
      <c r="A1997" s="21"/>
      <c r="B1997" s="28"/>
      <c r="C1997" s="22"/>
      <c r="D1997" s="28"/>
      <c r="E1997" s="23" t="str">
        <f>IF($D1997="","",IFERROR(VLOOKUP($D1997,'ACAS Consumables Tracker'!$A:$H,8,FALSE()),""))</f>
        <v/>
      </c>
      <c r="F1997" s="24"/>
      <c r="G1997" s="25" t="str">
        <f>IF($D1997="","",IFERROR(VLOOKUP($D1997,'ACAS Consumables Tracker'!$A:$D,4,FALSE()),""))</f>
        <v/>
      </c>
      <c r="H1997" s="22"/>
    </row>
    <row r="1998" spans="1:8">
      <c r="A1998" s="21"/>
      <c r="B1998" s="28"/>
      <c r="C1998" s="22"/>
      <c r="D1998" s="28"/>
      <c r="E1998" s="23" t="str">
        <f>IF($D1998="","",IFERROR(VLOOKUP($D1998,'ACAS Consumables Tracker'!$A:$H,8,FALSE()),""))</f>
        <v/>
      </c>
      <c r="F1998" s="24"/>
      <c r="G1998" s="25" t="str">
        <f>IF($D1998="","",IFERROR(VLOOKUP($D1998,'ACAS Consumables Tracker'!$A:$D,4,FALSE()),""))</f>
        <v/>
      </c>
      <c r="H1998" s="22"/>
    </row>
    <row r="1999" spans="1:8">
      <c r="A1999" s="21"/>
      <c r="B1999" s="28"/>
      <c r="C1999" s="22"/>
      <c r="D1999" s="28"/>
      <c r="E1999" s="23" t="str">
        <f>IF($D1999="","",IFERROR(VLOOKUP($D1999,'ACAS Consumables Tracker'!$A:$H,8,FALSE()),""))</f>
        <v/>
      </c>
      <c r="F1999" s="24"/>
      <c r="G1999" s="25" t="str">
        <f>IF($D1999="","",IFERROR(VLOOKUP($D1999,'ACAS Consumables Tracker'!$A:$D,4,FALSE()),""))</f>
        <v/>
      </c>
      <c r="H1999" s="22"/>
    </row>
    <row r="2000" spans="1:8">
      <c r="A2000" s="21"/>
      <c r="B2000" s="28"/>
      <c r="C2000" s="22"/>
      <c r="D2000" s="28"/>
      <c r="E2000" s="23" t="str">
        <f>IF($D2000="","",IFERROR(VLOOKUP($D2000,'ACAS Consumables Tracker'!$A:$H,8,FALSE()),""))</f>
        <v/>
      </c>
      <c r="F2000" s="24"/>
      <c r="G2000" s="25" t="str">
        <f>IF($D2000="","",IFERROR(VLOOKUP($D2000,'ACAS Consumables Tracker'!$A:$D,4,FALSE()),""))</f>
        <v/>
      </c>
      <c r="H2000" s="22"/>
    </row>
    <row r="2002" spans="4:6">
      <c r="D2002" s="30" t="s">
        <v>110</v>
      </c>
      <c r="F2002" s="27">
        <f>SUM(F4:F2000)</f>
        <v>7361.2119999999995</v>
      </c>
    </row>
  </sheetData>
  <autoFilter ref="A3:H2000" xr:uid="{00000000-0009-0000-0000-000008000000}"/>
  <mergeCells count="2">
    <mergeCell ref="A1:H1"/>
    <mergeCell ref="A2:H2"/>
  </mergeCells>
  <dataValidations count="1">
    <dataValidation type="list" allowBlank="1" promptTitle="Unique Code" prompt="Select the Unique Code" sqref="D4:D2000" xr:uid="{00000000-0002-0000-0800-000000000000}">
      <formula1>$J$2:$J$39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M17"/>
  <sheetViews>
    <sheetView zoomScaleNormal="100" workbookViewId="0">
      <pane ySplit="3" topLeftCell="A4" activePane="bottomLeft" state="frozen"/>
      <selection pane="bottomLeft" activeCell="B4" sqref="B4:B16"/>
    </sheetView>
  </sheetViews>
  <sheetFormatPr defaultColWidth="8.7109375" defaultRowHeight="15"/>
  <cols>
    <col min="1" max="1" width="14" customWidth="1"/>
    <col min="2" max="2" width="5" customWidth="1"/>
    <col min="3" max="3" width="40" customWidth="1"/>
    <col min="4" max="4" width="12" customWidth="1"/>
    <col min="5" max="5" width="13" customWidth="1"/>
    <col min="6" max="6" width="11" customWidth="1"/>
    <col min="7" max="8" width="12" customWidth="1"/>
    <col min="9" max="9" width="62.28515625" customWidth="1"/>
    <col min="10" max="13" width="13" hidden="1" customWidth="1"/>
  </cols>
  <sheetData>
    <row r="1" spans="1:13" ht="16.5">
      <c r="A1" s="36" t="s">
        <v>333</v>
      </c>
      <c r="B1" s="36"/>
      <c r="C1" s="36"/>
      <c r="D1" s="36"/>
      <c r="E1" s="36"/>
      <c r="F1" s="36"/>
      <c r="G1" s="36"/>
      <c r="H1" s="36"/>
      <c r="I1" s="36"/>
    </row>
    <row r="2" spans="1:13">
      <c r="A2" s="12" t="s">
        <v>36</v>
      </c>
      <c r="C2" s="13" t="str">
        <f>'IT Budget Summary'!$C$2</f>
        <v>Offline Optimized</v>
      </c>
      <c r="E2" s="37" t="s">
        <v>37</v>
      </c>
      <c r="F2" s="37"/>
      <c r="G2" s="37"/>
      <c r="H2" s="37"/>
      <c r="I2" s="37"/>
    </row>
    <row r="3" spans="1:13" ht="24">
      <c r="A3" s="2" t="s">
        <v>38</v>
      </c>
      <c r="B3" s="2" t="s">
        <v>39</v>
      </c>
      <c r="C3" s="2" t="s">
        <v>40</v>
      </c>
      <c r="D3" s="2" t="s">
        <v>20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1:13">
      <c r="A4" s="14" t="s">
        <v>334</v>
      </c>
      <c r="B4" s="14">
        <v>1</v>
      </c>
      <c r="C4" s="15" t="s">
        <v>335</v>
      </c>
      <c r="D4" s="14">
        <v>1101010009</v>
      </c>
      <c r="E4" s="16">
        <f>CHOOSE(MATCH($C$2,{"Offline Optimized","Offline + Online Hybrid","Online Optimized"},0),J4,K4,L4)</f>
        <v>3000</v>
      </c>
      <c r="F4" s="16">
        <f>SUMIF('SAMA Capital Log'!$D$4:$D$2000,A4,'SAMA Capital Log'!$F$4:$F$2000)</f>
        <v>0</v>
      </c>
      <c r="G4" s="17">
        <v>0</v>
      </c>
      <c r="H4" s="18">
        <f t="shared" ref="H4:H17" si="0">E4+G4-F4</f>
        <v>3000</v>
      </c>
      <c r="I4" s="15" t="str">
        <f t="shared" ref="I4:I17" si="1">IFERROR(IF(($E4+$G4)&lt;=0,"",REPT("█",MIN(20,ROUND($F4/($E4+$G4)*20,0)))),"")</f>
        <v/>
      </c>
      <c r="J4" s="19">
        <v>3000</v>
      </c>
      <c r="K4" s="19">
        <v>0</v>
      </c>
      <c r="L4" s="19">
        <v>0</v>
      </c>
      <c r="M4" s="19">
        <v>0</v>
      </c>
    </row>
    <row r="5" spans="1:13">
      <c r="A5" s="14" t="s">
        <v>336</v>
      </c>
      <c r="B5" s="14">
        <v>2</v>
      </c>
      <c r="C5" s="15" t="s">
        <v>337</v>
      </c>
      <c r="D5" s="14">
        <v>1101010009</v>
      </c>
      <c r="E5" s="16">
        <f>CHOOSE(MATCH($C$2,{"Offline Optimized","Offline + Online Hybrid","Online Optimized"},0),J5,K5,L5)</f>
        <v>1400</v>
      </c>
      <c r="F5" s="16">
        <f>SUMIF('SAMA Capital Log'!$D$4:$D$2000,A5,'SAMA Capital Log'!$F$4:$F$2000)</f>
        <v>0</v>
      </c>
      <c r="G5" s="17">
        <v>0</v>
      </c>
      <c r="H5" s="18">
        <f t="shared" si="0"/>
        <v>1400</v>
      </c>
      <c r="I5" s="15" t="str">
        <f t="shared" si="1"/>
        <v/>
      </c>
      <c r="J5" s="19">
        <v>1400</v>
      </c>
      <c r="K5" s="19">
        <v>0</v>
      </c>
      <c r="L5" s="19">
        <v>0</v>
      </c>
      <c r="M5" s="19">
        <v>1750</v>
      </c>
    </row>
    <row r="6" spans="1:13">
      <c r="A6" s="14" t="s">
        <v>338</v>
      </c>
      <c r="B6" s="14">
        <v>3</v>
      </c>
      <c r="C6" s="15" t="s">
        <v>339</v>
      </c>
      <c r="D6" s="14">
        <v>1101010009</v>
      </c>
      <c r="E6" s="16">
        <f>CHOOSE(MATCH($C$2,{"Offline Optimized","Offline + Online Hybrid","Online Optimized"},0),J6,K6,L6)</f>
        <v>350</v>
      </c>
      <c r="F6" s="16">
        <f>SUMIF('SAMA Capital Log'!$D$4:$D$2000,A6,'SAMA Capital Log'!$F$4:$F$2000)</f>
        <v>0</v>
      </c>
      <c r="G6" s="17">
        <v>0</v>
      </c>
      <c r="H6" s="18">
        <f t="shared" si="0"/>
        <v>350</v>
      </c>
      <c r="I6" s="15" t="str">
        <f t="shared" si="1"/>
        <v/>
      </c>
      <c r="J6" s="19">
        <v>350</v>
      </c>
      <c r="K6" s="19">
        <v>0</v>
      </c>
      <c r="L6" s="19">
        <v>0</v>
      </c>
      <c r="M6" s="19">
        <v>350</v>
      </c>
    </row>
    <row r="7" spans="1:13">
      <c r="A7" s="14" t="s">
        <v>340</v>
      </c>
      <c r="B7" s="14">
        <v>4</v>
      </c>
      <c r="C7" s="15" t="s">
        <v>341</v>
      </c>
      <c r="D7" s="14">
        <v>1101010009</v>
      </c>
      <c r="E7" s="16">
        <f>CHOOSE(MATCH($C$2,{"Offline Optimized","Offline + Online Hybrid","Online Optimized"},0),J7,K7,L7)</f>
        <v>0</v>
      </c>
      <c r="F7" s="16">
        <f>SUMIF('SAMA Capital Log'!$D$4:$D$2000,A7,'SAMA Capital Log'!$F$4:$F$2000)</f>
        <v>0</v>
      </c>
      <c r="G7" s="17">
        <v>0</v>
      </c>
      <c r="H7" s="18">
        <f t="shared" si="0"/>
        <v>0</v>
      </c>
      <c r="I7" s="15" t="str">
        <f t="shared" si="1"/>
        <v/>
      </c>
      <c r="J7" s="19">
        <v>0</v>
      </c>
      <c r="K7" s="19">
        <v>0</v>
      </c>
      <c r="L7" s="19">
        <v>0</v>
      </c>
      <c r="M7" s="19">
        <v>0</v>
      </c>
    </row>
    <row r="8" spans="1:13">
      <c r="A8" s="14" t="s">
        <v>342</v>
      </c>
      <c r="B8" s="14">
        <v>5</v>
      </c>
      <c r="C8" s="15" t="s">
        <v>343</v>
      </c>
      <c r="D8" s="14">
        <v>1101010009</v>
      </c>
      <c r="E8" s="16">
        <f>CHOOSE(MATCH($C$2,{"Offline Optimized","Offline + Online Hybrid","Online Optimized"},0),J8,K8,L8)</f>
        <v>0</v>
      </c>
      <c r="F8" s="16">
        <f>SUMIF('SAMA Capital Log'!$D$4:$D$2000,A8,'SAMA Capital Log'!$F$4:$F$2000)</f>
        <v>0</v>
      </c>
      <c r="G8" s="17">
        <v>0</v>
      </c>
      <c r="H8" s="18">
        <f t="shared" si="0"/>
        <v>0</v>
      </c>
      <c r="I8" s="15" t="str">
        <f t="shared" si="1"/>
        <v/>
      </c>
      <c r="J8" s="19">
        <v>0</v>
      </c>
      <c r="K8" s="19">
        <v>0</v>
      </c>
      <c r="L8" s="19">
        <v>0</v>
      </c>
      <c r="M8" s="19">
        <v>0</v>
      </c>
    </row>
    <row r="9" spans="1:13">
      <c r="A9" s="14" t="s">
        <v>344</v>
      </c>
      <c r="B9" s="14">
        <v>6</v>
      </c>
      <c r="C9" s="15" t="s">
        <v>345</v>
      </c>
      <c r="D9" s="14">
        <v>1101010009</v>
      </c>
      <c r="E9" s="16">
        <f>CHOOSE(MATCH($C$2,{"Offline Optimized","Offline + Online Hybrid","Online Optimized"},0),J9,K9,L9)</f>
        <v>0</v>
      </c>
      <c r="F9" s="16">
        <f>SUMIF('SAMA Capital Log'!$D$4:$D$2000,A9,'SAMA Capital Log'!$F$4:$F$2000)</f>
        <v>0</v>
      </c>
      <c r="G9" s="17">
        <v>0</v>
      </c>
      <c r="H9" s="18">
        <f t="shared" si="0"/>
        <v>0</v>
      </c>
      <c r="I9" s="15" t="str">
        <f t="shared" si="1"/>
        <v/>
      </c>
      <c r="J9" s="19">
        <v>0</v>
      </c>
      <c r="K9" s="19">
        <v>0</v>
      </c>
      <c r="L9" s="19">
        <v>0</v>
      </c>
      <c r="M9" s="19">
        <v>0</v>
      </c>
    </row>
    <row r="10" spans="1:13">
      <c r="A10" s="14" t="s">
        <v>346</v>
      </c>
      <c r="B10" s="14">
        <v>7</v>
      </c>
      <c r="C10" s="15" t="s">
        <v>347</v>
      </c>
      <c r="D10" s="14">
        <v>1101010009</v>
      </c>
      <c r="E10" s="16">
        <f>CHOOSE(MATCH($C$2,{"Offline Optimized","Offline + Online Hybrid","Online Optimized"},0),J10,K10,L10)</f>
        <v>0</v>
      </c>
      <c r="F10" s="16">
        <f>SUMIF('SAMA Capital Log'!$D$4:$D$2000,A10,'SAMA Capital Log'!$F$4:$F$2000)</f>
        <v>0</v>
      </c>
      <c r="G10" s="17">
        <v>0</v>
      </c>
      <c r="H10" s="18">
        <f t="shared" si="0"/>
        <v>0</v>
      </c>
      <c r="I10" s="15" t="str">
        <f t="shared" si="1"/>
        <v/>
      </c>
      <c r="J10" s="19">
        <v>0</v>
      </c>
      <c r="K10" s="19">
        <v>0</v>
      </c>
      <c r="L10" s="19">
        <v>0</v>
      </c>
      <c r="M10" s="19">
        <v>0</v>
      </c>
    </row>
    <row r="11" spans="1:13">
      <c r="A11" s="14" t="s">
        <v>348</v>
      </c>
      <c r="B11" s="14">
        <v>8</v>
      </c>
      <c r="C11" s="15" t="s">
        <v>349</v>
      </c>
      <c r="D11" s="14">
        <v>1101010009</v>
      </c>
      <c r="E11" s="16">
        <f>CHOOSE(MATCH($C$2,{"Offline Optimized","Offline + Online Hybrid","Online Optimized"},0),J11,K11,L11)</f>
        <v>0</v>
      </c>
      <c r="F11" s="16">
        <f>SUMIF('SAMA Capital Log'!$D$4:$D$2000,A11,'SAMA Capital Log'!$F$4:$F$2000)</f>
        <v>0</v>
      </c>
      <c r="G11" s="17">
        <v>0</v>
      </c>
      <c r="H11" s="18">
        <f t="shared" si="0"/>
        <v>0</v>
      </c>
      <c r="I11" s="15" t="str">
        <f t="shared" si="1"/>
        <v/>
      </c>
      <c r="J11" s="19">
        <v>0</v>
      </c>
      <c r="K11" s="19">
        <v>0</v>
      </c>
      <c r="L11" s="19">
        <v>0</v>
      </c>
      <c r="M11" s="19">
        <v>0</v>
      </c>
    </row>
    <row r="12" spans="1:13">
      <c r="A12" s="14" t="s">
        <v>350</v>
      </c>
      <c r="B12" s="14">
        <v>9</v>
      </c>
      <c r="C12" s="15" t="s">
        <v>351</v>
      </c>
      <c r="D12" s="14">
        <v>1101010009</v>
      </c>
      <c r="E12" s="16">
        <f>CHOOSE(MATCH($C$2,{"Offline Optimized","Offline + Online Hybrid","Online Optimized"},0),J12,K12,L12)</f>
        <v>0</v>
      </c>
      <c r="F12" s="16">
        <f>SUMIF('SAMA Capital Log'!$D$4:$D$2000,A12,'SAMA Capital Log'!$F$4:$F$2000)</f>
        <v>0</v>
      </c>
      <c r="G12" s="17">
        <v>0</v>
      </c>
      <c r="H12" s="18">
        <f t="shared" si="0"/>
        <v>0</v>
      </c>
      <c r="I12" s="15" t="str">
        <f t="shared" si="1"/>
        <v/>
      </c>
      <c r="J12" s="19">
        <v>0</v>
      </c>
      <c r="K12" s="19">
        <v>0</v>
      </c>
      <c r="L12" s="19">
        <v>0</v>
      </c>
      <c r="M12" s="19">
        <v>0</v>
      </c>
    </row>
    <row r="13" spans="1:13">
      <c r="A13" s="14" t="s">
        <v>352</v>
      </c>
      <c r="B13" s="14">
        <v>10</v>
      </c>
      <c r="C13" s="15" t="s">
        <v>353</v>
      </c>
      <c r="D13" s="14">
        <v>1101010009</v>
      </c>
      <c r="E13" s="16">
        <f>CHOOSE(MATCH($C$2,{"Offline Optimized","Offline + Online Hybrid","Online Optimized"},0),J13,K13,L13)</f>
        <v>0</v>
      </c>
      <c r="F13" s="16">
        <f>SUMIF('SAMA Capital Log'!$D$4:$D$2000,A13,'SAMA Capital Log'!$F$4:$F$2000)</f>
        <v>0</v>
      </c>
      <c r="G13" s="17">
        <v>0</v>
      </c>
      <c r="H13" s="18">
        <f t="shared" si="0"/>
        <v>0</v>
      </c>
      <c r="I13" s="15" t="str">
        <f t="shared" si="1"/>
        <v/>
      </c>
      <c r="J13" s="19">
        <v>0</v>
      </c>
      <c r="K13" s="19">
        <v>0</v>
      </c>
      <c r="L13" s="19">
        <v>0</v>
      </c>
      <c r="M13" s="19">
        <v>0</v>
      </c>
    </row>
    <row r="14" spans="1:13">
      <c r="A14" s="14" t="s">
        <v>354</v>
      </c>
      <c r="B14" s="14">
        <v>11</v>
      </c>
      <c r="C14" s="15" t="s">
        <v>355</v>
      </c>
      <c r="D14" s="14">
        <v>1101010009</v>
      </c>
      <c r="E14" s="16">
        <f>CHOOSE(MATCH($C$2,{"Offline Optimized","Offline + Online Hybrid","Online Optimized"},0),J14,K14,L14)</f>
        <v>0</v>
      </c>
      <c r="F14" s="16">
        <f>SUMIF('SAMA Capital Log'!$D$4:$D$2000,A14,'SAMA Capital Log'!$F$4:$F$2000)</f>
        <v>0</v>
      </c>
      <c r="G14" s="17">
        <v>0</v>
      </c>
      <c r="H14" s="18">
        <f t="shared" si="0"/>
        <v>0</v>
      </c>
      <c r="I14" s="15" t="str">
        <f t="shared" si="1"/>
        <v/>
      </c>
      <c r="J14" s="19">
        <v>0</v>
      </c>
      <c r="K14" s="19">
        <v>0</v>
      </c>
      <c r="L14" s="19">
        <v>0</v>
      </c>
      <c r="M14" s="19">
        <v>0</v>
      </c>
    </row>
    <row r="15" spans="1:13">
      <c r="A15" s="14" t="s">
        <v>356</v>
      </c>
      <c r="B15" s="14">
        <v>12</v>
      </c>
      <c r="C15" s="15" t="s">
        <v>357</v>
      </c>
      <c r="D15" s="14">
        <v>1101010009</v>
      </c>
      <c r="E15" s="16">
        <f>CHOOSE(MATCH($C$2,{"Offline Optimized","Offline + Online Hybrid","Online Optimized"},0),J15,K15,L15)</f>
        <v>0</v>
      </c>
      <c r="F15" s="16">
        <f>SUMIF('SAMA Capital Log'!$D$4:$D$2000,A15,'SAMA Capital Log'!$F$4:$F$2000)</f>
        <v>0</v>
      </c>
      <c r="G15" s="17">
        <v>0</v>
      </c>
      <c r="H15" s="18">
        <f t="shared" si="0"/>
        <v>0</v>
      </c>
      <c r="I15" s="15" t="str">
        <f t="shared" si="1"/>
        <v/>
      </c>
      <c r="J15" s="19">
        <v>0</v>
      </c>
      <c r="K15" s="19">
        <v>0</v>
      </c>
      <c r="L15" s="19">
        <v>0</v>
      </c>
      <c r="M15" s="19">
        <v>4000</v>
      </c>
    </row>
    <row r="16" spans="1:13">
      <c r="A16" s="14" t="s">
        <v>358</v>
      </c>
      <c r="B16" s="14">
        <v>13</v>
      </c>
      <c r="C16" s="15" t="s">
        <v>231</v>
      </c>
      <c r="D16" s="14">
        <v>1101010009</v>
      </c>
      <c r="E16" s="16">
        <f>CHOOSE(MATCH($C$2,{"Offline Optimized","Offline + Online Hybrid","Online Optimized"},0),J16,K16,L16)</f>
        <v>0</v>
      </c>
      <c r="F16" s="16">
        <f>SUMIF('SAMA Capital Log'!$D$4:$D$2000,A16,'SAMA Capital Log'!$F$4:$F$2000)</f>
        <v>0</v>
      </c>
      <c r="G16" s="17">
        <v>0</v>
      </c>
      <c r="H16" s="18">
        <f t="shared" si="0"/>
        <v>0</v>
      </c>
      <c r="I16" s="15" t="str">
        <f t="shared" si="1"/>
        <v/>
      </c>
      <c r="J16" s="19">
        <v>0</v>
      </c>
      <c r="K16" s="19">
        <v>0</v>
      </c>
      <c r="L16" s="19">
        <v>0</v>
      </c>
      <c r="M16" s="19">
        <v>0</v>
      </c>
    </row>
    <row r="17" spans="1:13">
      <c r="A17" s="8"/>
      <c r="B17" s="8"/>
      <c r="C17" s="7" t="s">
        <v>359</v>
      </c>
      <c r="D17" s="8"/>
      <c r="E17" s="9">
        <f>SUM(E4:E16)</f>
        <v>4750</v>
      </c>
      <c r="F17" s="9">
        <f>SUM(F4:F16)</f>
        <v>0</v>
      </c>
      <c r="G17" s="9">
        <f>SUM(G4:G16)</f>
        <v>0</v>
      </c>
      <c r="H17" s="9">
        <f t="shared" si="0"/>
        <v>4750</v>
      </c>
      <c r="I17" s="7" t="str">
        <f t="shared" si="1"/>
        <v/>
      </c>
      <c r="M17">
        <f>SUM(M4:M16)</f>
        <v>6100</v>
      </c>
    </row>
  </sheetData>
  <mergeCells count="2">
    <mergeCell ref="A1:I1"/>
    <mergeCell ref="E2:I2"/>
  </mergeCells>
  <conditionalFormatting sqref="I4:I17">
    <cfRule type="expression" dxfId="5" priority="2">
      <formula>IFERROR($F4/($E4+$G4),0)&gt;0.75</formula>
    </cfRule>
    <cfRule type="expression" dxfId="4" priority="3">
      <formula>AND(IFERROR($F4/($E4+$G4),0)&gt;0.5,IFERROR($F4/($E4+$G4),0)&lt;=0.75)</formula>
    </cfRule>
    <cfRule type="expression" dxfId="3" priority="4">
      <formula>IFERROR($F4/($E4+$G4),0)&gt;0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02"/>
  <sheetViews>
    <sheetView zoomScaleNormal="100" workbookViewId="0">
      <pane ySplit="3" topLeftCell="A4" activePane="bottomLeft" state="frozen"/>
      <selection pane="bottomLeft" sqref="A1:H1"/>
    </sheetView>
  </sheetViews>
  <sheetFormatPr defaultColWidth="8.7109375" defaultRowHeight="15"/>
  <cols>
    <col min="1" max="1" width="12" customWidth="1"/>
    <col min="2" max="2" width="14" customWidth="1"/>
    <col min="3" max="3" width="34" customWidth="1"/>
    <col min="4" max="4" width="16" customWidth="1"/>
    <col min="5" max="5" width="13" customWidth="1"/>
    <col min="6" max="6" width="11" customWidth="1"/>
    <col min="7" max="7" width="13" customWidth="1"/>
    <col min="8" max="8" width="26" customWidth="1"/>
    <col min="10" max="10" width="13" hidden="1" customWidth="1"/>
  </cols>
  <sheetData>
    <row r="1" spans="1:10" ht="16.5">
      <c r="A1" s="36" t="s">
        <v>360</v>
      </c>
      <c r="B1" s="36"/>
      <c r="C1" s="36"/>
      <c r="D1" s="36"/>
      <c r="E1" s="36"/>
      <c r="F1" s="36"/>
      <c r="G1" s="36"/>
      <c r="H1" s="36"/>
      <c r="J1" s="20" t="s">
        <v>100</v>
      </c>
    </row>
    <row r="2" spans="1:10">
      <c r="A2" s="34" t="s">
        <v>361</v>
      </c>
      <c r="B2" s="34"/>
      <c r="C2" s="34"/>
      <c r="D2" s="34"/>
      <c r="E2" s="34"/>
      <c r="F2" s="34"/>
      <c r="G2" s="34"/>
      <c r="H2" s="34"/>
      <c r="J2" t="s">
        <v>334</v>
      </c>
    </row>
    <row r="3" spans="1:10" ht="24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J3" t="s">
        <v>336</v>
      </c>
    </row>
    <row r="4" spans="1:10">
      <c r="A4" s="21"/>
      <c r="B4" s="22"/>
      <c r="C4" s="22"/>
      <c r="D4" s="22"/>
      <c r="E4" s="23" t="str">
        <f>IF($D4="","",IFERROR(VLOOKUP($D4,'SAMA Capital Tracker'!$A:$H,8,FALSE()),""))</f>
        <v/>
      </c>
      <c r="F4" s="24"/>
      <c r="G4" s="25" t="str">
        <f>IF($D4="","",IFERROR(VLOOKUP($D4,'SAMA Capital Tracker'!$A:$D,4,FALSE()),""))</f>
        <v/>
      </c>
      <c r="H4" s="22"/>
      <c r="J4" t="s">
        <v>338</v>
      </c>
    </row>
    <row r="5" spans="1:10">
      <c r="A5" s="21"/>
      <c r="B5" s="22"/>
      <c r="C5" s="22"/>
      <c r="D5" s="22"/>
      <c r="E5" s="23" t="str">
        <f>IF($D5="","",IFERROR(VLOOKUP($D5,'SAMA Capital Tracker'!$A:$H,8,FALSE()),""))</f>
        <v/>
      </c>
      <c r="F5" s="24"/>
      <c r="G5" s="25" t="str">
        <f>IF($D5="","",IFERROR(VLOOKUP($D5,'SAMA Capital Tracker'!$A:$D,4,FALSE()),""))</f>
        <v/>
      </c>
      <c r="H5" s="22"/>
      <c r="J5" t="s">
        <v>340</v>
      </c>
    </row>
    <row r="6" spans="1:10">
      <c r="A6" s="21"/>
      <c r="B6" s="22"/>
      <c r="C6" s="22"/>
      <c r="D6" s="22"/>
      <c r="E6" s="23" t="str">
        <f>IF($D6="","",IFERROR(VLOOKUP($D6,'SAMA Capital Tracker'!$A:$H,8,FALSE()),""))</f>
        <v/>
      </c>
      <c r="F6" s="24"/>
      <c r="G6" s="25" t="str">
        <f>IF($D6="","",IFERROR(VLOOKUP($D6,'SAMA Capital Tracker'!$A:$D,4,FALSE()),""))</f>
        <v/>
      </c>
      <c r="H6" s="22"/>
      <c r="J6" t="s">
        <v>342</v>
      </c>
    </row>
    <row r="7" spans="1:10">
      <c r="A7" s="21"/>
      <c r="B7" s="22"/>
      <c r="C7" s="22"/>
      <c r="D7" s="22"/>
      <c r="E7" s="23" t="str">
        <f>IF($D7="","",IFERROR(VLOOKUP($D7,'SAMA Capital Tracker'!$A:$H,8,FALSE()),""))</f>
        <v/>
      </c>
      <c r="F7" s="24"/>
      <c r="G7" s="25" t="str">
        <f>IF($D7="","",IFERROR(VLOOKUP($D7,'SAMA Capital Tracker'!$A:$D,4,FALSE()),""))</f>
        <v/>
      </c>
      <c r="H7" s="22"/>
      <c r="J7" t="s">
        <v>344</v>
      </c>
    </row>
    <row r="8" spans="1:10">
      <c r="A8" s="21"/>
      <c r="B8" s="22"/>
      <c r="C8" s="22"/>
      <c r="D8" s="22"/>
      <c r="E8" s="23" t="str">
        <f>IF($D8="","",IFERROR(VLOOKUP($D8,'SAMA Capital Tracker'!$A:$H,8,FALSE()),""))</f>
        <v/>
      </c>
      <c r="F8" s="24"/>
      <c r="G8" s="25" t="str">
        <f>IF($D8="","",IFERROR(VLOOKUP($D8,'SAMA Capital Tracker'!$A:$D,4,FALSE()),""))</f>
        <v/>
      </c>
      <c r="H8" s="22"/>
      <c r="J8" t="s">
        <v>346</v>
      </c>
    </row>
    <row r="9" spans="1:10">
      <c r="A9" s="21"/>
      <c r="B9" s="22"/>
      <c r="C9" s="22"/>
      <c r="D9" s="22"/>
      <c r="E9" s="23" t="str">
        <f>IF($D9="","",IFERROR(VLOOKUP($D9,'SAMA Capital Tracker'!$A:$H,8,FALSE()),""))</f>
        <v/>
      </c>
      <c r="F9" s="24"/>
      <c r="G9" s="25" t="str">
        <f>IF($D9="","",IFERROR(VLOOKUP($D9,'SAMA Capital Tracker'!$A:$D,4,FALSE()),""))</f>
        <v/>
      </c>
      <c r="H9" s="22"/>
      <c r="J9" t="s">
        <v>348</v>
      </c>
    </row>
    <row r="10" spans="1:10">
      <c r="A10" s="21"/>
      <c r="B10" s="22"/>
      <c r="C10" s="22"/>
      <c r="D10" s="22"/>
      <c r="E10" s="23" t="str">
        <f>IF($D10="","",IFERROR(VLOOKUP($D10,'SAMA Capital Tracker'!$A:$H,8,FALSE()),""))</f>
        <v/>
      </c>
      <c r="F10" s="24"/>
      <c r="G10" s="25" t="str">
        <f>IF($D10="","",IFERROR(VLOOKUP($D10,'SAMA Capital Tracker'!$A:$D,4,FALSE()),""))</f>
        <v/>
      </c>
      <c r="H10" s="22"/>
      <c r="J10" t="s">
        <v>350</v>
      </c>
    </row>
    <row r="11" spans="1:10">
      <c r="A11" s="21"/>
      <c r="B11" s="22"/>
      <c r="C11" s="22"/>
      <c r="D11" s="22"/>
      <c r="E11" s="23" t="str">
        <f>IF($D11="","",IFERROR(VLOOKUP($D11,'SAMA Capital Tracker'!$A:$H,8,FALSE()),""))</f>
        <v/>
      </c>
      <c r="F11" s="24"/>
      <c r="G11" s="25" t="str">
        <f>IF($D11="","",IFERROR(VLOOKUP($D11,'SAMA Capital Tracker'!$A:$D,4,FALSE()),""))</f>
        <v/>
      </c>
      <c r="H11" s="22"/>
      <c r="J11" t="s">
        <v>352</v>
      </c>
    </row>
    <row r="12" spans="1:10">
      <c r="A12" s="21"/>
      <c r="B12" s="22"/>
      <c r="C12" s="22"/>
      <c r="D12" s="22"/>
      <c r="E12" s="23" t="str">
        <f>IF($D12="","",IFERROR(VLOOKUP($D12,'SAMA Capital Tracker'!$A:$H,8,FALSE()),""))</f>
        <v/>
      </c>
      <c r="F12" s="24"/>
      <c r="G12" s="25" t="str">
        <f>IF($D12="","",IFERROR(VLOOKUP($D12,'SAMA Capital Tracker'!$A:$D,4,FALSE()),""))</f>
        <v/>
      </c>
      <c r="H12" s="22"/>
      <c r="J12" t="s">
        <v>354</v>
      </c>
    </row>
    <row r="13" spans="1:10">
      <c r="A13" s="21"/>
      <c r="B13" s="22"/>
      <c r="C13" s="22"/>
      <c r="D13" s="22"/>
      <c r="E13" s="23" t="str">
        <f>IF($D13="","",IFERROR(VLOOKUP($D13,'SAMA Capital Tracker'!$A:$H,8,FALSE()),""))</f>
        <v/>
      </c>
      <c r="F13" s="24"/>
      <c r="G13" s="25" t="str">
        <f>IF($D13="","",IFERROR(VLOOKUP($D13,'SAMA Capital Tracker'!$A:$D,4,FALSE()),""))</f>
        <v/>
      </c>
      <c r="H13" s="22"/>
      <c r="J13" t="s">
        <v>356</v>
      </c>
    </row>
    <row r="14" spans="1:10">
      <c r="A14" s="21"/>
      <c r="B14" s="22"/>
      <c r="C14" s="22"/>
      <c r="D14" s="22"/>
      <c r="E14" s="23" t="str">
        <f>IF($D14="","",IFERROR(VLOOKUP($D14,'SAMA Capital Tracker'!$A:$H,8,FALSE()),""))</f>
        <v/>
      </c>
      <c r="F14" s="24"/>
      <c r="G14" s="25" t="str">
        <f>IF($D14="","",IFERROR(VLOOKUP($D14,'SAMA Capital Tracker'!$A:$D,4,FALSE()),""))</f>
        <v/>
      </c>
      <c r="H14" s="22"/>
      <c r="J14" t="s">
        <v>358</v>
      </c>
    </row>
    <row r="15" spans="1:10">
      <c r="A15" s="21"/>
      <c r="B15" s="22"/>
      <c r="C15" s="22"/>
      <c r="D15" s="22"/>
      <c r="E15" s="23" t="str">
        <f>IF($D15="","",IFERROR(VLOOKUP($D15,'SAMA Capital Tracker'!$A:$H,8,FALSE()),""))</f>
        <v/>
      </c>
      <c r="F15" s="24"/>
      <c r="G15" s="25" t="str">
        <f>IF($D15="","",IFERROR(VLOOKUP($D15,'SAMA Capital Tracker'!$A:$D,4,FALSE()),""))</f>
        <v/>
      </c>
      <c r="H15" s="22"/>
    </row>
    <row r="16" spans="1:10">
      <c r="A16" s="21"/>
      <c r="B16" s="22"/>
      <c r="C16" s="22"/>
      <c r="D16" s="22"/>
      <c r="E16" s="23" t="str">
        <f>IF($D16="","",IFERROR(VLOOKUP($D16,'SAMA Capital Tracker'!$A:$H,8,FALSE()),""))</f>
        <v/>
      </c>
      <c r="F16" s="24"/>
      <c r="G16" s="25" t="str">
        <f>IF($D16="","",IFERROR(VLOOKUP($D16,'SAMA Capital Tracker'!$A:$D,4,FALSE()),""))</f>
        <v/>
      </c>
      <c r="H16" s="22"/>
    </row>
    <row r="17" spans="1:8">
      <c r="A17" s="21"/>
      <c r="B17" s="22"/>
      <c r="C17" s="22"/>
      <c r="D17" s="22"/>
      <c r="E17" s="23" t="str">
        <f>IF($D17="","",IFERROR(VLOOKUP($D17,'SAMA Capital Tracker'!$A:$H,8,FALSE()),""))</f>
        <v/>
      </c>
      <c r="F17" s="24"/>
      <c r="G17" s="25" t="str">
        <f>IF($D17="","",IFERROR(VLOOKUP($D17,'SAMA Capital Tracker'!$A:$D,4,FALSE()),""))</f>
        <v/>
      </c>
      <c r="H17" s="22"/>
    </row>
    <row r="18" spans="1:8">
      <c r="A18" s="21"/>
      <c r="B18" s="22"/>
      <c r="C18" s="22"/>
      <c r="D18" s="22"/>
      <c r="E18" s="23" t="str">
        <f>IF($D18="","",IFERROR(VLOOKUP($D18,'SAMA Capital Tracker'!$A:$H,8,FALSE()),""))</f>
        <v/>
      </c>
      <c r="F18" s="24"/>
      <c r="G18" s="25" t="str">
        <f>IF($D18="","",IFERROR(VLOOKUP($D18,'SAMA Capital Tracker'!$A:$D,4,FALSE()),""))</f>
        <v/>
      </c>
      <c r="H18" s="22"/>
    </row>
    <row r="19" spans="1:8">
      <c r="A19" s="21"/>
      <c r="B19" s="22"/>
      <c r="C19" s="22"/>
      <c r="D19" s="22"/>
      <c r="E19" s="23" t="str">
        <f>IF($D19="","",IFERROR(VLOOKUP($D19,'SAMA Capital Tracker'!$A:$H,8,FALSE()),""))</f>
        <v/>
      </c>
      <c r="F19" s="24"/>
      <c r="G19" s="25" t="str">
        <f>IF($D19="","",IFERROR(VLOOKUP($D19,'SAMA Capital Tracker'!$A:$D,4,FALSE()),""))</f>
        <v/>
      </c>
      <c r="H19" s="22"/>
    </row>
    <row r="20" spans="1:8">
      <c r="A20" s="21"/>
      <c r="B20" s="22"/>
      <c r="C20" s="22"/>
      <c r="D20" s="22"/>
      <c r="E20" s="23" t="str">
        <f>IF($D20="","",IFERROR(VLOOKUP($D20,'SAMA Capital Tracker'!$A:$H,8,FALSE()),""))</f>
        <v/>
      </c>
      <c r="F20" s="24"/>
      <c r="G20" s="25" t="str">
        <f>IF($D20="","",IFERROR(VLOOKUP($D20,'SAMA Capital Tracker'!$A:$D,4,FALSE()),""))</f>
        <v/>
      </c>
      <c r="H20" s="22"/>
    </row>
    <row r="21" spans="1:8">
      <c r="A21" s="21"/>
      <c r="B21" s="22"/>
      <c r="C21" s="22"/>
      <c r="D21" s="22"/>
      <c r="E21" s="23" t="str">
        <f>IF($D21="","",IFERROR(VLOOKUP($D21,'SAMA Capital Tracker'!$A:$H,8,FALSE()),""))</f>
        <v/>
      </c>
      <c r="F21" s="24"/>
      <c r="G21" s="25" t="str">
        <f>IF($D21="","",IFERROR(VLOOKUP($D21,'SAMA Capital Tracker'!$A:$D,4,FALSE()),""))</f>
        <v/>
      </c>
      <c r="H21" s="22"/>
    </row>
    <row r="22" spans="1:8">
      <c r="A22" s="21"/>
      <c r="B22" s="22"/>
      <c r="C22" s="22"/>
      <c r="D22" s="22"/>
      <c r="E22" s="23" t="str">
        <f>IF($D22="","",IFERROR(VLOOKUP($D22,'SAMA Capital Tracker'!$A:$H,8,FALSE()),""))</f>
        <v/>
      </c>
      <c r="F22" s="24"/>
      <c r="G22" s="25" t="str">
        <f>IF($D22="","",IFERROR(VLOOKUP($D22,'SAMA Capital Tracker'!$A:$D,4,FALSE()),""))</f>
        <v/>
      </c>
      <c r="H22" s="22"/>
    </row>
    <row r="23" spans="1:8">
      <c r="A23" s="21"/>
      <c r="B23" s="22"/>
      <c r="C23" s="22"/>
      <c r="D23" s="22"/>
      <c r="E23" s="23" t="str">
        <f>IF($D23="","",IFERROR(VLOOKUP($D23,'SAMA Capital Tracker'!$A:$H,8,FALSE()),""))</f>
        <v/>
      </c>
      <c r="F23" s="24"/>
      <c r="G23" s="25" t="str">
        <f>IF($D23="","",IFERROR(VLOOKUP($D23,'SAMA Capital Tracker'!$A:$D,4,FALSE()),""))</f>
        <v/>
      </c>
      <c r="H23" s="22"/>
    </row>
    <row r="24" spans="1:8">
      <c r="A24" s="21"/>
      <c r="B24" s="22"/>
      <c r="C24" s="22"/>
      <c r="D24" s="22"/>
      <c r="E24" s="23" t="str">
        <f>IF($D24="","",IFERROR(VLOOKUP($D24,'SAMA Capital Tracker'!$A:$H,8,FALSE()),""))</f>
        <v/>
      </c>
      <c r="F24" s="24"/>
      <c r="G24" s="25" t="str">
        <f>IF($D24="","",IFERROR(VLOOKUP($D24,'SAMA Capital Tracker'!$A:$D,4,FALSE()),""))</f>
        <v/>
      </c>
      <c r="H24" s="22"/>
    </row>
    <row r="25" spans="1:8">
      <c r="A25" s="21"/>
      <c r="B25" s="22"/>
      <c r="C25" s="22"/>
      <c r="D25" s="22"/>
      <c r="E25" s="23" t="str">
        <f>IF($D25="","",IFERROR(VLOOKUP($D25,'SAMA Capital Tracker'!$A:$H,8,FALSE()),""))</f>
        <v/>
      </c>
      <c r="F25" s="24"/>
      <c r="G25" s="25" t="str">
        <f>IF($D25="","",IFERROR(VLOOKUP($D25,'SAMA Capital Tracker'!$A:$D,4,FALSE()),""))</f>
        <v/>
      </c>
      <c r="H25" s="22"/>
    </row>
    <row r="26" spans="1:8">
      <c r="A26" s="21"/>
      <c r="B26" s="22"/>
      <c r="C26" s="22"/>
      <c r="D26" s="22"/>
      <c r="E26" s="23" t="str">
        <f>IF($D26="","",IFERROR(VLOOKUP($D26,'SAMA Capital Tracker'!$A:$H,8,FALSE()),""))</f>
        <v/>
      </c>
      <c r="F26" s="24"/>
      <c r="G26" s="25" t="str">
        <f>IF($D26="","",IFERROR(VLOOKUP($D26,'SAMA Capital Tracker'!$A:$D,4,FALSE()),""))</f>
        <v/>
      </c>
      <c r="H26" s="22"/>
    </row>
    <row r="27" spans="1:8">
      <c r="A27" s="21"/>
      <c r="B27" s="22"/>
      <c r="C27" s="22"/>
      <c r="D27" s="22"/>
      <c r="E27" s="23" t="str">
        <f>IF($D27="","",IFERROR(VLOOKUP($D27,'SAMA Capital Tracker'!$A:$H,8,FALSE()),""))</f>
        <v/>
      </c>
      <c r="F27" s="24"/>
      <c r="G27" s="25" t="str">
        <f>IF($D27="","",IFERROR(VLOOKUP($D27,'SAMA Capital Tracker'!$A:$D,4,FALSE()),""))</f>
        <v/>
      </c>
      <c r="H27" s="22"/>
    </row>
    <row r="28" spans="1:8">
      <c r="A28" s="21"/>
      <c r="B28" s="22"/>
      <c r="C28" s="22"/>
      <c r="D28" s="22"/>
      <c r="E28" s="23" t="str">
        <f>IF($D28="","",IFERROR(VLOOKUP($D28,'SAMA Capital Tracker'!$A:$H,8,FALSE()),""))</f>
        <v/>
      </c>
      <c r="F28" s="24"/>
      <c r="G28" s="25" t="str">
        <f>IF($D28="","",IFERROR(VLOOKUP($D28,'SAMA Capital Tracker'!$A:$D,4,FALSE()),""))</f>
        <v/>
      </c>
      <c r="H28" s="22"/>
    </row>
    <row r="29" spans="1:8">
      <c r="A29" s="21"/>
      <c r="B29" s="22"/>
      <c r="C29" s="22"/>
      <c r="D29" s="22"/>
      <c r="E29" s="23" t="str">
        <f>IF($D29="","",IFERROR(VLOOKUP($D29,'SAMA Capital Tracker'!$A:$H,8,FALSE()),""))</f>
        <v/>
      </c>
      <c r="F29" s="24"/>
      <c r="G29" s="25" t="str">
        <f>IF($D29="","",IFERROR(VLOOKUP($D29,'SAMA Capital Tracker'!$A:$D,4,FALSE()),""))</f>
        <v/>
      </c>
      <c r="H29" s="22"/>
    </row>
    <row r="30" spans="1:8">
      <c r="A30" s="21"/>
      <c r="B30" s="22"/>
      <c r="C30" s="22"/>
      <c r="D30" s="22"/>
      <c r="E30" s="23" t="str">
        <f>IF($D30="","",IFERROR(VLOOKUP($D30,'SAMA Capital Tracker'!$A:$H,8,FALSE()),""))</f>
        <v/>
      </c>
      <c r="F30" s="24"/>
      <c r="G30" s="25" t="str">
        <f>IF($D30="","",IFERROR(VLOOKUP($D30,'SAMA Capital Tracker'!$A:$D,4,FALSE()),""))</f>
        <v/>
      </c>
      <c r="H30" s="22"/>
    </row>
    <row r="31" spans="1:8">
      <c r="A31" s="21"/>
      <c r="B31" s="22"/>
      <c r="C31" s="22"/>
      <c r="D31" s="22"/>
      <c r="E31" s="23" t="str">
        <f>IF($D31="","",IFERROR(VLOOKUP($D31,'SAMA Capital Tracker'!$A:$H,8,FALSE()),""))</f>
        <v/>
      </c>
      <c r="F31" s="24"/>
      <c r="G31" s="25" t="str">
        <f>IF($D31="","",IFERROR(VLOOKUP($D31,'SAMA Capital Tracker'!$A:$D,4,FALSE()),""))</f>
        <v/>
      </c>
      <c r="H31" s="22"/>
    </row>
    <row r="32" spans="1:8">
      <c r="A32" s="21"/>
      <c r="B32" s="22"/>
      <c r="C32" s="22"/>
      <c r="D32" s="22"/>
      <c r="E32" s="23" t="str">
        <f>IF($D32="","",IFERROR(VLOOKUP($D32,'SAMA Capital Tracker'!$A:$H,8,FALSE()),""))</f>
        <v/>
      </c>
      <c r="F32" s="24"/>
      <c r="G32" s="25" t="str">
        <f>IF($D32="","",IFERROR(VLOOKUP($D32,'SAMA Capital Tracker'!$A:$D,4,FALSE()),""))</f>
        <v/>
      </c>
      <c r="H32" s="22"/>
    </row>
    <row r="33" spans="1:8">
      <c r="A33" s="21"/>
      <c r="B33" s="22"/>
      <c r="C33" s="22"/>
      <c r="D33" s="22"/>
      <c r="E33" s="23" t="str">
        <f>IF($D33="","",IFERROR(VLOOKUP($D33,'SAMA Capital Tracker'!$A:$H,8,FALSE()),""))</f>
        <v/>
      </c>
      <c r="F33" s="24"/>
      <c r="G33" s="25" t="str">
        <f>IF($D33="","",IFERROR(VLOOKUP($D33,'SAMA Capital Tracker'!$A:$D,4,FALSE()),""))</f>
        <v/>
      </c>
      <c r="H33" s="22"/>
    </row>
    <row r="34" spans="1:8">
      <c r="A34" s="21"/>
      <c r="B34" s="22"/>
      <c r="C34" s="22"/>
      <c r="D34" s="22"/>
      <c r="E34" s="23" t="str">
        <f>IF($D34="","",IFERROR(VLOOKUP($D34,'SAMA Capital Tracker'!$A:$H,8,FALSE()),""))</f>
        <v/>
      </c>
      <c r="F34" s="24"/>
      <c r="G34" s="25" t="str">
        <f>IF($D34="","",IFERROR(VLOOKUP($D34,'SAMA Capital Tracker'!$A:$D,4,FALSE()),""))</f>
        <v/>
      </c>
      <c r="H34" s="22"/>
    </row>
    <row r="35" spans="1:8">
      <c r="A35" s="21"/>
      <c r="B35" s="22"/>
      <c r="C35" s="22"/>
      <c r="D35" s="22"/>
      <c r="E35" s="23" t="str">
        <f>IF($D35="","",IFERROR(VLOOKUP($D35,'SAMA Capital Tracker'!$A:$H,8,FALSE()),""))</f>
        <v/>
      </c>
      <c r="F35" s="24"/>
      <c r="G35" s="25" t="str">
        <f>IF($D35="","",IFERROR(VLOOKUP($D35,'SAMA Capital Tracker'!$A:$D,4,FALSE()),""))</f>
        <v/>
      </c>
      <c r="H35" s="22"/>
    </row>
    <row r="36" spans="1:8">
      <c r="A36" s="21"/>
      <c r="B36" s="22"/>
      <c r="C36" s="22"/>
      <c r="D36" s="22"/>
      <c r="E36" s="23" t="str">
        <f>IF($D36="","",IFERROR(VLOOKUP($D36,'SAMA Capital Tracker'!$A:$H,8,FALSE()),""))</f>
        <v/>
      </c>
      <c r="F36" s="24"/>
      <c r="G36" s="25" t="str">
        <f>IF($D36="","",IFERROR(VLOOKUP($D36,'SAMA Capital Tracker'!$A:$D,4,FALSE()),""))</f>
        <v/>
      </c>
      <c r="H36" s="22"/>
    </row>
    <row r="37" spans="1:8">
      <c r="A37" s="21"/>
      <c r="B37" s="22"/>
      <c r="C37" s="22"/>
      <c r="D37" s="22"/>
      <c r="E37" s="23" t="str">
        <f>IF($D37="","",IFERROR(VLOOKUP($D37,'SAMA Capital Tracker'!$A:$H,8,FALSE()),""))</f>
        <v/>
      </c>
      <c r="F37" s="24"/>
      <c r="G37" s="25" t="str">
        <f>IF($D37="","",IFERROR(VLOOKUP($D37,'SAMA Capital Tracker'!$A:$D,4,FALSE()),""))</f>
        <v/>
      </c>
      <c r="H37" s="22"/>
    </row>
    <row r="38" spans="1:8">
      <c r="A38" s="21"/>
      <c r="B38" s="22"/>
      <c r="C38" s="22"/>
      <c r="D38" s="22"/>
      <c r="E38" s="23" t="str">
        <f>IF($D38="","",IFERROR(VLOOKUP($D38,'SAMA Capital Tracker'!$A:$H,8,FALSE()),""))</f>
        <v/>
      </c>
      <c r="F38" s="24"/>
      <c r="G38" s="25" t="str">
        <f>IF($D38="","",IFERROR(VLOOKUP($D38,'SAMA Capital Tracker'!$A:$D,4,FALSE()),""))</f>
        <v/>
      </c>
      <c r="H38" s="22"/>
    </row>
    <row r="39" spans="1:8">
      <c r="A39" s="21"/>
      <c r="B39" s="22"/>
      <c r="C39" s="22"/>
      <c r="D39" s="22"/>
      <c r="E39" s="23" t="str">
        <f>IF($D39="","",IFERROR(VLOOKUP($D39,'SAMA Capital Tracker'!$A:$H,8,FALSE()),""))</f>
        <v/>
      </c>
      <c r="F39" s="24"/>
      <c r="G39" s="25" t="str">
        <f>IF($D39="","",IFERROR(VLOOKUP($D39,'SAMA Capital Tracker'!$A:$D,4,FALSE()),""))</f>
        <v/>
      </c>
      <c r="H39" s="22"/>
    </row>
    <row r="40" spans="1:8">
      <c r="A40" s="21"/>
      <c r="B40" s="22"/>
      <c r="C40" s="22"/>
      <c r="D40" s="22"/>
      <c r="E40" s="23" t="str">
        <f>IF($D40="","",IFERROR(VLOOKUP($D40,'SAMA Capital Tracker'!$A:$H,8,FALSE()),""))</f>
        <v/>
      </c>
      <c r="F40" s="24"/>
      <c r="G40" s="25" t="str">
        <f>IF($D40="","",IFERROR(VLOOKUP($D40,'SAMA Capital Tracker'!$A:$D,4,FALSE()),""))</f>
        <v/>
      </c>
      <c r="H40" s="22"/>
    </row>
    <row r="41" spans="1:8">
      <c r="A41" s="21"/>
      <c r="B41" s="22"/>
      <c r="C41" s="22"/>
      <c r="D41" s="22"/>
      <c r="E41" s="23" t="str">
        <f>IF($D41="","",IFERROR(VLOOKUP($D41,'SAMA Capital Tracker'!$A:$H,8,FALSE()),""))</f>
        <v/>
      </c>
      <c r="F41" s="24"/>
      <c r="G41" s="25" t="str">
        <f>IF($D41="","",IFERROR(VLOOKUP($D41,'SAMA Capital Tracker'!$A:$D,4,FALSE()),""))</f>
        <v/>
      </c>
      <c r="H41" s="22"/>
    </row>
    <row r="42" spans="1:8">
      <c r="A42" s="21"/>
      <c r="B42" s="22"/>
      <c r="C42" s="22"/>
      <c r="D42" s="22"/>
      <c r="E42" s="23" t="str">
        <f>IF($D42="","",IFERROR(VLOOKUP($D42,'SAMA Capital Tracker'!$A:$H,8,FALSE()),""))</f>
        <v/>
      </c>
      <c r="F42" s="24"/>
      <c r="G42" s="25" t="str">
        <f>IF($D42="","",IFERROR(VLOOKUP($D42,'SAMA Capital Tracker'!$A:$D,4,FALSE()),""))</f>
        <v/>
      </c>
      <c r="H42" s="22"/>
    </row>
    <row r="43" spans="1:8">
      <c r="A43" s="21"/>
      <c r="B43" s="22"/>
      <c r="C43" s="22"/>
      <c r="D43" s="22"/>
      <c r="E43" s="23" t="str">
        <f>IF($D43="","",IFERROR(VLOOKUP($D43,'SAMA Capital Tracker'!$A:$H,8,FALSE()),""))</f>
        <v/>
      </c>
      <c r="F43" s="24"/>
      <c r="G43" s="25" t="str">
        <f>IF($D43="","",IFERROR(VLOOKUP($D43,'SAMA Capital Tracker'!$A:$D,4,FALSE()),""))</f>
        <v/>
      </c>
      <c r="H43" s="22"/>
    </row>
    <row r="44" spans="1:8">
      <c r="A44" s="21"/>
      <c r="B44" s="22"/>
      <c r="C44" s="22"/>
      <c r="D44" s="22"/>
      <c r="E44" s="23" t="str">
        <f>IF($D44="","",IFERROR(VLOOKUP($D44,'SAMA Capital Tracker'!$A:$H,8,FALSE()),""))</f>
        <v/>
      </c>
      <c r="F44" s="24"/>
      <c r="G44" s="25" t="str">
        <f>IF($D44="","",IFERROR(VLOOKUP($D44,'SAMA Capital Tracker'!$A:$D,4,FALSE()),""))</f>
        <v/>
      </c>
      <c r="H44" s="22"/>
    </row>
    <row r="45" spans="1:8">
      <c r="A45" s="21"/>
      <c r="B45" s="22"/>
      <c r="C45" s="22"/>
      <c r="D45" s="22"/>
      <c r="E45" s="23" t="str">
        <f>IF($D45="","",IFERROR(VLOOKUP($D45,'SAMA Capital Tracker'!$A:$H,8,FALSE()),""))</f>
        <v/>
      </c>
      <c r="F45" s="24"/>
      <c r="G45" s="25" t="str">
        <f>IF($D45="","",IFERROR(VLOOKUP($D45,'SAMA Capital Tracker'!$A:$D,4,FALSE()),""))</f>
        <v/>
      </c>
      <c r="H45" s="22"/>
    </row>
    <row r="46" spans="1:8">
      <c r="A46" s="21"/>
      <c r="B46" s="22"/>
      <c r="C46" s="22"/>
      <c r="D46" s="22"/>
      <c r="E46" s="23" t="str">
        <f>IF($D46="","",IFERROR(VLOOKUP($D46,'SAMA Capital Tracker'!$A:$H,8,FALSE()),""))</f>
        <v/>
      </c>
      <c r="F46" s="24"/>
      <c r="G46" s="25" t="str">
        <f>IF($D46="","",IFERROR(VLOOKUP($D46,'SAMA Capital Tracker'!$A:$D,4,FALSE()),""))</f>
        <v/>
      </c>
      <c r="H46" s="22"/>
    </row>
    <row r="47" spans="1:8">
      <c r="A47" s="21"/>
      <c r="B47" s="22"/>
      <c r="C47" s="22"/>
      <c r="D47" s="22"/>
      <c r="E47" s="23" t="str">
        <f>IF($D47="","",IFERROR(VLOOKUP($D47,'SAMA Capital Tracker'!$A:$H,8,FALSE()),""))</f>
        <v/>
      </c>
      <c r="F47" s="24"/>
      <c r="G47" s="25" t="str">
        <f>IF($D47="","",IFERROR(VLOOKUP($D47,'SAMA Capital Tracker'!$A:$D,4,FALSE()),""))</f>
        <v/>
      </c>
      <c r="H47" s="22"/>
    </row>
    <row r="48" spans="1:8">
      <c r="A48" s="21"/>
      <c r="B48" s="22"/>
      <c r="C48" s="22"/>
      <c r="D48" s="22"/>
      <c r="E48" s="23" t="str">
        <f>IF($D48="","",IFERROR(VLOOKUP($D48,'SAMA Capital Tracker'!$A:$H,8,FALSE()),""))</f>
        <v/>
      </c>
      <c r="F48" s="24"/>
      <c r="G48" s="25" t="str">
        <f>IF($D48="","",IFERROR(VLOOKUP($D48,'SAMA Capital Tracker'!$A:$D,4,FALSE()),""))</f>
        <v/>
      </c>
      <c r="H48" s="22"/>
    </row>
    <row r="49" spans="1:8">
      <c r="A49" s="21"/>
      <c r="B49" s="22"/>
      <c r="C49" s="22"/>
      <c r="D49" s="22"/>
      <c r="E49" s="23" t="str">
        <f>IF($D49="","",IFERROR(VLOOKUP($D49,'SAMA Capital Tracker'!$A:$H,8,FALSE()),""))</f>
        <v/>
      </c>
      <c r="F49" s="24"/>
      <c r="G49" s="25" t="str">
        <f>IF($D49="","",IFERROR(VLOOKUP($D49,'SAMA Capital Tracker'!$A:$D,4,FALSE()),""))</f>
        <v/>
      </c>
      <c r="H49" s="22"/>
    </row>
    <row r="50" spans="1:8">
      <c r="A50" s="21"/>
      <c r="B50" s="22"/>
      <c r="C50" s="22"/>
      <c r="D50" s="22"/>
      <c r="E50" s="23" t="str">
        <f>IF($D50="","",IFERROR(VLOOKUP($D50,'SAMA Capital Tracker'!$A:$H,8,FALSE()),""))</f>
        <v/>
      </c>
      <c r="F50" s="24"/>
      <c r="G50" s="25" t="str">
        <f>IF($D50="","",IFERROR(VLOOKUP($D50,'SAMA Capital Tracker'!$A:$D,4,FALSE()),""))</f>
        <v/>
      </c>
      <c r="H50" s="22"/>
    </row>
    <row r="51" spans="1:8">
      <c r="A51" s="21"/>
      <c r="B51" s="22"/>
      <c r="C51" s="22"/>
      <c r="D51" s="22"/>
      <c r="E51" s="23" t="str">
        <f>IF($D51="","",IFERROR(VLOOKUP($D51,'SAMA Capital Tracker'!$A:$H,8,FALSE()),""))</f>
        <v/>
      </c>
      <c r="F51" s="24"/>
      <c r="G51" s="25" t="str">
        <f>IF($D51="","",IFERROR(VLOOKUP($D51,'SAMA Capital Tracker'!$A:$D,4,FALSE()),""))</f>
        <v/>
      </c>
      <c r="H51" s="22"/>
    </row>
    <row r="52" spans="1:8">
      <c r="A52" s="21"/>
      <c r="B52" s="22"/>
      <c r="C52" s="22"/>
      <c r="D52" s="22"/>
      <c r="E52" s="23" t="str">
        <f>IF($D52="","",IFERROR(VLOOKUP($D52,'SAMA Capital Tracker'!$A:$H,8,FALSE()),""))</f>
        <v/>
      </c>
      <c r="F52" s="24"/>
      <c r="G52" s="25" t="str">
        <f>IF($D52="","",IFERROR(VLOOKUP($D52,'SAMA Capital Tracker'!$A:$D,4,FALSE()),""))</f>
        <v/>
      </c>
      <c r="H52" s="22"/>
    </row>
    <row r="53" spans="1:8">
      <c r="A53" s="21"/>
      <c r="B53" s="22"/>
      <c r="C53" s="22"/>
      <c r="D53" s="22"/>
      <c r="E53" s="23" t="str">
        <f>IF($D53="","",IFERROR(VLOOKUP($D53,'SAMA Capital Tracker'!$A:$H,8,FALSE()),""))</f>
        <v/>
      </c>
      <c r="F53" s="24"/>
      <c r="G53" s="25" t="str">
        <f>IF($D53="","",IFERROR(VLOOKUP($D53,'SAMA Capital Tracker'!$A:$D,4,FALSE()),""))</f>
        <v/>
      </c>
      <c r="H53" s="22"/>
    </row>
    <row r="54" spans="1:8">
      <c r="A54" s="21"/>
      <c r="B54" s="22"/>
      <c r="C54" s="22"/>
      <c r="D54" s="22"/>
      <c r="E54" s="23" t="str">
        <f>IF($D54="","",IFERROR(VLOOKUP($D54,'SAMA Capital Tracker'!$A:$H,8,FALSE()),""))</f>
        <v/>
      </c>
      <c r="F54" s="24"/>
      <c r="G54" s="25" t="str">
        <f>IF($D54="","",IFERROR(VLOOKUP($D54,'SAMA Capital Tracker'!$A:$D,4,FALSE()),""))</f>
        <v/>
      </c>
      <c r="H54" s="22"/>
    </row>
    <row r="55" spans="1:8">
      <c r="A55" s="21"/>
      <c r="B55" s="22"/>
      <c r="C55" s="22"/>
      <c r="D55" s="22"/>
      <c r="E55" s="23" t="str">
        <f>IF($D55="","",IFERROR(VLOOKUP($D55,'SAMA Capital Tracker'!$A:$H,8,FALSE()),""))</f>
        <v/>
      </c>
      <c r="F55" s="24"/>
      <c r="G55" s="25" t="str">
        <f>IF($D55="","",IFERROR(VLOOKUP($D55,'SAMA Capital Tracker'!$A:$D,4,FALSE()),""))</f>
        <v/>
      </c>
      <c r="H55" s="22"/>
    </row>
    <row r="56" spans="1:8">
      <c r="A56" s="21"/>
      <c r="B56" s="22"/>
      <c r="C56" s="22"/>
      <c r="D56" s="22"/>
      <c r="E56" s="23" t="str">
        <f>IF($D56="","",IFERROR(VLOOKUP($D56,'SAMA Capital Tracker'!$A:$H,8,FALSE()),""))</f>
        <v/>
      </c>
      <c r="F56" s="24"/>
      <c r="G56" s="25" t="str">
        <f>IF($D56="","",IFERROR(VLOOKUP($D56,'SAMA Capital Tracker'!$A:$D,4,FALSE()),""))</f>
        <v/>
      </c>
      <c r="H56" s="22"/>
    </row>
    <row r="57" spans="1:8">
      <c r="A57" s="21"/>
      <c r="B57" s="22"/>
      <c r="C57" s="22"/>
      <c r="D57" s="22"/>
      <c r="E57" s="23" t="str">
        <f>IF($D57="","",IFERROR(VLOOKUP($D57,'SAMA Capital Tracker'!$A:$H,8,FALSE()),""))</f>
        <v/>
      </c>
      <c r="F57" s="24"/>
      <c r="G57" s="25" t="str">
        <f>IF($D57="","",IFERROR(VLOOKUP($D57,'SAMA Capital Tracker'!$A:$D,4,FALSE()),""))</f>
        <v/>
      </c>
      <c r="H57" s="22"/>
    </row>
    <row r="58" spans="1:8">
      <c r="A58" s="21"/>
      <c r="B58" s="22"/>
      <c r="C58" s="22"/>
      <c r="D58" s="22"/>
      <c r="E58" s="23" t="str">
        <f>IF($D58="","",IFERROR(VLOOKUP($D58,'SAMA Capital Tracker'!$A:$H,8,FALSE()),""))</f>
        <v/>
      </c>
      <c r="F58" s="24"/>
      <c r="G58" s="25" t="str">
        <f>IF($D58="","",IFERROR(VLOOKUP($D58,'SAMA Capital Tracker'!$A:$D,4,FALSE()),""))</f>
        <v/>
      </c>
      <c r="H58" s="22"/>
    </row>
    <row r="59" spans="1:8">
      <c r="A59" s="21"/>
      <c r="B59" s="22"/>
      <c r="C59" s="22"/>
      <c r="D59" s="22"/>
      <c r="E59" s="23" t="str">
        <f>IF($D59="","",IFERROR(VLOOKUP($D59,'SAMA Capital Tracker'!$A:$H,8,FALSE()),""))</f>
        <v/>
      </c>
      <c r="F59" s="24"/>
      <c r="G59" s="25" t="str">
        <f>IF($D59="","",IFERROR(VLOOKUP($D59,'SAMA Capital Tracker'!$A:$D,4,FALSE()),""))</f>
        <v/>
      </c>
      <c r="H59" s="22"/>
    </row>
    <row r="60" spans="1:8">
      <c r="A60" s="21"/>
      <c r="B60" s="22"/>
      <c r="C60" s="22"/>
      <c r="D60" s="22"/>
      <c r="E60" s="23" t="str">
        <f>IF($D60="","",IFERROR(VLOOKUP($D60,'SAMA Capital Tracker'!$A:$H,8,FALSE()),""))</f>
        <v/>
      </c>
      <c r="F60" s="24"/>
      <c r="G60" s="25" t="str">
        <f>IF($D60="","",IFERROR(VLOOKUP($D60,'SAMA Capital Tracker'!$A:$D,4,FALSE()),""))</f>
        <v/>
      </c>
      <c r="H60" s="22"/>
    </row>
    <row r="61" spans="1:8">
      <c r="A61" s="21"/>
      <c r="B61" s="22"/>
      <c r="C61" s="22"/>
      <c r="D61" s="22"/>
      <c r="E61" s="23" t="str">
        <f>IF($D61="","",IFERROR(VLOOKUP($D61,'SAMA Capital Tracker'!$A:$H,8,FALSE()),""))</f>
        <v/>
      </c>
      <c r="F61" s="24"/>
      <c r="G61" s="25" t="str">
        <f>IF($D61="","",IFERROR(VLOOKUP($D61,'SAMA Capital Tracker'!$A:$D,4,FALSE()),""))</f>
        <v/>
      </c>
      <c r="H61" s="22"/>
    </row>
    <row r="62" spans="1:8">
      <c r="A62" s="21"/>
      <c r="B62" s="22"/>
      <c r="C62" s="22"/>
      <c r="D62" s="22"/>
      <c r="E62" s="23" t="str">
        <f>IF($D62="","",IFERROR(VLOOKUP($D62,'SAMA Capital Tracker'!$A:$H,8,FALSE()),""))</f>
        <v/>
      </c>
      <c r="F62" s="24"/>
      <c r="G62" s="25" t="str">
        <f>IF($D62="","",IFERROR(VLOOKUP($D62,'SAMA Capital Tracker'!$A:$D,4,FALSE()),""))</f>
        <v/>
      </c>
      <c r="H62" s="22"/>
    </row>
    <row r="63" spans="1:8">
      <c r="A63" s="21"/>
      <c r="B63" s="22"/>
      <c r="C63" s="22"/>
      <c r="D63" s="22"/>
      <c r="E63" s="23" t="str">
        <f>IF($D63="","",IFERROR(VLOOKUP($D63,'SAMA Capital Tracker'!$A:$H,8,FALSE()),""))</f>
        <v/>
      </c>
      <c r="F63" s="24"/>
      <c r="G63" s="25" t="str">
        <f>IF($D63="","",IFERROR(VLOOKUP($D63,'SAMA Capital Tracker'!$A:$D,4,FALSE()),""))</f>
        <v/>
      </c>
      <c r="H63" s="22"/>
    </row>
    <row r="64" spans="1:8">
      <c r="A64" s="21"/>
      <c r="B64" s="22"/>
      <c r="C64" s="22"/>
      <c r="D64" s="22"/>
      <c r="E64" s="23" t="str">
        <f>IF($D64="","",IFERROR(VLOOKUP($D64,'SAMA Capital Tracker'!$A:$H,8,FALSE()),""))</f>
        <v/>
      </c>
      <c r="F64" s="24"/>
      <c r="G64" s="25" t="str">
        <f>IF($D64="","",IFERROR(VLOOKUP($D64,'SAMA Capital Tracker'!$A:$D,4,FALSE()),""))</f>
        <v/>
      </c>
      <c r="H64" s="22"/>
    </row>
    <row r="65" spans="1:8">
      <c r="A65" s="21"/>
      <c r="B65" s="22"/>
      <c r="C65" s="22"/>
      <c r="D65" s="22"/>
      <c r="E65" s="23" t="str">
        <f>IF($D65="","",IFERROR(VLOOKUP($D65,'SAMA Capital Tracker'!$A:$H,8,FALSE()),""))</f>
        <v/>
      </c>
      <c r="F65" s="24"/>
      <c r="G65" s="25" t="str">
        <f>IF($D65="","",IFERROR(VLOOKUP($D65,'SAMA Capital Tracker'!$A:$D,4,FALSE()),""))</f>
        <v/>
      </c>
      <c r="H65" s="22"/>
    </row>
    <row r="66" spans="1:8">
      <c r="A66" s="21"/>
      <c r="B66" s="22"/>
      <c r="C66" s="22"/>
      <c r="D66" s="22"/>
      <c r="E66" s="23" t="str">
        <f>IF($D66="","",IFERROR(VLOOKUP($D66,'SAMA Capital Tracker'!$A:$H,8,FALSE()),""))</f>
        <v/>
      </c>
      <c r="F66" s="24"/>
      <c r="G66" s="25" t="str">
        <f>IF($D66="","",IFERROR(VLOOKUP($D66,'SAMA Capital Tracker'!$A:$D,4,FALSE()),""))</f>
        <v/>
      </c>
      <c r="H66" s="22"/>
    </row>
    <row r="67" spans="1:8">
      <c r="A67" s="21"/>
      <c r="B67" s="22"/>
      <c r="C67" s="22"/>
      <c r="D67" s="22"/>
      <c r="E67" s="23" t="str">
        <f>IF($D67="","",IFERROR(VLOOKUP($D67,'SAMA Capital Tracker'!$A:$H,8,FALSE()),""))</f>
        <v/>
      </c>
      <c r="F67" s="24"/>
      <c r="G67" s="25" t="str">
        <f>IF($D67="","",IFERROR(VLOOKUP($D67,'SAMA Capital Tracker'!$A:$D,4,FALSE()),""))</f>
        <v/>
      </c>
      <c r="H67" s="22"/>
    </row>
    <row r="68" spans="1:8">
      <c r="A68" s="21"/>
      <c r="B68" s="22"/>
      <c r="C68" s="22"/>
      <c r="D68" s="22"/>
      <c r="E68" s="23" t="str">
        <f>IF($D68="","",IFERROR(VLOOKUP($D68,'SAMA Capital Tracker'!$A:$H,8,FALSE()),""))</f>
        <v/>
      </c>
      <c r="F68" s="24"/>
      <c r="G68" s="25" t="str">
        <f>IF($D68="","",IFERROR(VLOOKUP($D68,'SAMA Capital Tracker'!$A:$D,4,FALSE()),""))</f>
        <v/>
      </c>
      <c r="H68" s="22"/>
    </row>
    <row r="69" spans="1:8">
      <c r="A69" s="21"/>
      <c r="B69" s="22"/>
      <c r="C69" s="22"/>
      <c r="D69" s="22"/>
      <c r="E69" s="23" t="str">
        <f>IF($D69="","",IFERROR(VLOOKUP($D69,'SAMA Capital Tracker'!$A:$H,8,FALSE()),""))</f>
        <v/>
      </c>
      <c r="F69" s="24"/>
      <c r="G69" s="25" t="str">
        <f>IF($D69="","",IFERROR(VLOOKUP($D69,'SAMA Capital Tracker'!$A:$D,4,FALSE()),""))</f>
        <v/>
      </c>
      <c r="H69" s="22"/>
    </row>
    <row r="70" spans="1:8">
      <c r="A70" s="21"/>
      <c r="B70" s="22"/>
      <c r="C70" s="22"/>
      <c r="D70" s="22"/>
      <c r="E70" s="23" t="str">
        <f>IF($D70="","",IFERROR(VLOOKUP($D70,'SAMA Capital Tracker'!$A:$H,8,FALSE()),""))</f>
        <v/>
      </c>
      <c r="F70" s="24"/>
      <c r="G70" s="25" t="str">
        <f>IF($D70="","",IFERROR(VLOOKUP($D70,'SAMA Capital Tracker'!$A:$D,4,FALSE()),""))</f>
        <v/>
      </c>
      <c r="H70" s="22"/>
    </row>
    <row r="71" spans="1:8">
      <c r="A71" s="21"/>
      <c r="B71" s="22"/>
      <c r="C71" s="22"/>
      <c r="D71" s="22"/>
      <c r="E71" s="23" t="str">
        <f>IF($D71="","",IFERROR(VLOOKUP($D71,'SAMA Capital Tracker'!$A:$H,8,FALSE()),""))</f>
        <v/>
      </c>
      <c r="F71" s="24"/>
      <c r="G71" s="25" t="str">
        <f>IF($D71="","",IFERROR(VLOOKUP($D71,'SAMA Capital Tracker'!$A:$D,4,FALSE()),""))</f>
        <v/>
      </c>
      <c r="H71" s="22"/>
    </row>
    <row r="72" spans="1:8">
      <c r="A72" s="21"/>
      <c r="B72" s="22"/>
      <c r="C72" s="22"/>
      <c r="D72" s="22"/>
      <c r="E72" s="23" t="str">
        <f>IF($D72="","",IFERROR(VLOOKUP($D72,'SAMA Capital Tracker'!$A:$H,8,FALSE()),""))</f>
        <v/>
      </c>
      <c r="F72" s="24"/>
      <c r="G72" s="25" t="str">
        <f>IF($D72="","",IFERROR(VLOOKUP($D72,'SAMA Capital Tracker'!$A:$D,4,FALSE()),""))</f>
        <v/>
      </c>
      <c r="H72" s="22"/>
    </row>
    <row r="73" spans="1:8">
      <c r="A73" s="21"/>
      <c r="B73" s="22"/>
      <c r="C73" s="22"/>
      <c r="D73" s="22"/>
      <c r="E73" s="23" t="str">
        <f>IF($D73="","",IFERROR(VLOOKUP($D73,'SAMA Capital Tracker'!$A:$H,8,FALSE()),""))</f>
        <v/>
      </c>
      <c r="F73" s="24"/>
      <c r="G73" s="25" t="str">
        <f>IF($D73="","",IFERROR(VLOOKUP($D73,'SAMA Capital Tracker'!$A:$D,4,FALSE()),""))</f>
        <v/>
      </c>
      <c r="H73" s="22"/>
    </row>
    <row r="74" spans="1:8">
      <c r="A74" s="21"/>
      <c r="B74" s="22"/>
      <c r="C74" s="22"/>
      <c r="D74" s="22"/>
      <c r="E74" s="23" t="str">
        <f>IF($D74="","",IFERROR(VLOOKUP($D74,'SAMA Capital Tracker'!$A:$H,8,FALSE()),""))</f>
        <v/>
      </c>
      <c r="F74" s="24"/>
      <c r="G74" s="25" t="str">
        <f>IF($D74="","",IFERROR(VLOOKUP($D74,'SAMA Capital Tracker'!$A:$D,4,FALSE()),""))</f>
        <v/>
      </c>
      <c r="H74" s="22"/>
    </row>
    <row r="75" spans="1:8">
      <c r="A75" s="21"/>
      <c r="B75" s="22"/>
      <c r="C75" s="22"/>
      <c r="D75" s="22"/>
      <c r="E75" s="23" t="str">
        <f>IF($D75="","",IFERROR(VLOOKUP($D75,'SAMA Capital Tracker'!$A:$H,8,FALSE()),""))</f>
        <v/>
      </c>
      <c r="F75" s="24"/>
      <c r="G75" s="25" t="str">
        <f>IF($D75="","",IFERROR(VLOOKUP($D75,'SAMA Capital Tracker'!$A:$D,4,FALSE()),""))</f>
        <v/>
      </c>
      <c r="H75" s="22"/>
    </row>
    <row r="76" spans="1:8">
      <c r="A76" s="21"/>
      <c r="B76" s="22"/>
      <c r="C76" s="22"/>
      <c r="D76" s="22"/>
      <c r="E76" s="23" t="str">
        <f>IF($D76="","",IFERROR(VLOOKUP($D76,'SAMA Capital Tracker'!$A:$H,8,FALSE()),""))</f>
        <v/>
      </c>
      <c r="F76" s="24"/>
      <c r="G76" s="25" t="str">
        <f>IF($D76="","",IFERROR(VLOOKUP($D76,'SAMA Capital Tracker'!$A:$D,4,FALSE()),""))</f>
        <v/>
      </c>
      <c r="H76" s="22"/>
    </row>
    <row r="77" spans="1:8">
      <c r="A77" s="21"/>
      <c r="B77" s="22"/>
      <c r="C77" s="22"/>
      <c r="D77" s="22"/>
      <c r="E77" s="23" t="str">
        <f>IF($D77="","",IFERROR(VLOOKUP($D77,'SAMA Capital Tracker'!$A:$H,8,FALSE()),""))</f>
        <v/>
      </c>
      <c r="F77" s="24"/>
      <c r="G77" s="25" t="str">
        <f>IF($D77="","",IFERROR(VLOOKUP($D77,'SAMA Capital Tracker'!$A:$D,4,FALSE()),""))</f>
        <v/>
      </c>
      <c r="H77" s="22"/>
    </row>
    <row r="78" spans="1:8">
      <c r="A78" s="21"/>
      <c r="B78" s="22"/>
      <c r="C78" s="22"/>
      <c r="D78" s="22"/>
      <c r="E78" s="23" t="str">
        <f>IF($D78="","",IFERROR(VLOOKUP($D78,'SAMA Capital Tracker'!$A:$H,8,FALSE()),""))</f>
        <v/>
      </c>
      <c r="F78" s="24"/>
      <c r="G78" s="25" t="str">
        <f>IF($D78="","",IFERROR(VLOOKUP($D78,'SAMA Capital Tracker'!$A:$D,4,FALSE()),""))</f>
        <v/>
      </c>
      <c r="H78" s="22"/>
    </row>
    <row r="79" spans="1:8">
      <c r="A79" s="21"/>
      <c r="B79" s="22"/>
      <c r="C79" s="22"/>
      <c r="D79" s="22"/>
      <c r="E79" s="23" t="str">
        <f>IF($D79="","",IFERROR(VLOOKUP($D79,'SAMA Capital Tracker'!$A:$H,8,FALSE()),""))</f>
        <v/>
      </c>
      <c r="F79" s="24"/>
      <c r="G79" s="25" t="str">
        <f>IF($D79="","",IFERROR(VLOOKUP($D79,'SAMA Capital Tracker'!$A:$D,4,FALSE()),""))</f>
        <v/>
      </c>
      <c r="H79" s="22"/>
    </row>
    <row r="80" spans="1:8">
      <c r="A80" s="21"/>
      <c r="B80" s="22"/>
      <c r="C80" s="22"/>
      <c r="D80" s="22"/>
      <c r="E80" s="23" t="str">
        <f>IF($D80="","",IFERROR(VLOOKUP($D80,'SAMA Capital Tracker'!$A:$H,8,FALSE()),""))</f>
        <v/>
      </c>
      <c r="F80" s="24"/>
      <c r="G80" s="25" t="str">
        <f>IF($D80="","",IFERROR(VLOOKUP($D80,'SAMA Capital Tracker'!$A:$D,4,FALSE()),""))</f>
        <v/>
      </c>
      <c r="H80" s="22"/>
    </row>
    <row r="81" spans="1:8">
      <c r="A81" s="21"/>
      <c r="B81" s="22"/>
      <c r="C81" s="22"/>
      <c r="D81" s="22"/>
      <c r="E81" s="23" t="str">
        <f>IF($D81="","",IFERROR(VLOOKUP($D81,'SAMA Capital Tracker'!$A:$H,8,FALSE()),""))</f>
        <v/>
      </c>
      <c r="F81" s="24"/>
      <c r="G81" s="25" t="str">
        <f>IF($D81="","",IFERROR(VLOOKUP($D81,'SAMA Capital Tracker'!$A:$D,4,FALSE()),""))</f>
        <v/>
      </c>
      <c r="H81" s="22"/>
    </row>
    <row r="82" spans="1:8">
      <c r="A82" s="21"/>
      <c r="B82" s="22"/>
      <c r="C82" s="22"/>
      <c r="D82" s="22"/>
      <c r="E82" s="23" t="str">
        <f>IF($D82="","",IFERROR(VLOOKUP($D82,'SAMA Capital Tracker'!$A:$H,8,FALSE()),""))</f>
        <v/>
      </c>
      <c r="F82" s="24"/>
      <c r="G82" s="25" t="str">
        <f>IF($D82="","",IFERROR(VLOOKUP($D82,'SAMA Capital Tracker'!$A:$D,4,FALSE()),""))</f>
        <v/>
      </c>
      <c r="H82" s="22"/>
    </row>
    <row r="83" spans="1:8">
      <c r="A83" s="21"/>
      <c r="B83" s="22"/>
      <c r="C83" s="22"/>
      <c r="D83" s="22"/>
      <c r="E83" s="23" t="str">
        <f>IF($D83="","",IFERROR(VLOOKUP($D83,'SAMA Capital Tracker'!$A:$H,8,FALSE()),""))</f>
        <v/>
      </c>
      <c r="F83" s="24"/>
      <c r="G83" s="25" t="str">
        <f>IF($D83="","",IFERROR(VLOOKUP($D83,'SAMA Capital Tracker'!$A:$D,4,FALSE()),""))</f>
        <v/>
      </c>
      <c r="H83" s="22"/>
    </row>
    <row r="84" spans="1:8">
      <c r="A84" s="21"/>
      <c r="B84" s="22"/>
      <c r="C84" s="22"/>
      <c r="D84" s="22"/>
      <c r="E84" s="23" t="str">
        <f>IF($D84="","",IFERROR(VLOOKUP($D84,'SAMA Capital Tracker'!$A:$H,8,FALSE()),""))</f>
        <v/>
      </c>
      <c r="F84" s="24"/>
      <c r="G84" s="25" t="str">
        <f>IF($D84="","",IFERROR(VLOOKUP($D84,'SAMA Capital Tracker'!$A:$D,4,FALSE()),""))</f>
        <v/>
      </c>
      <c r="H84" s="22"/>
    </row>
    <row r="85" spans="1:8">
      <c r="A85" s="21"/>
      <c r="B85" s="22"/>
      <c r="C85" s="22"/>
      <c r="D85" s="22"/>
      <c r="E85" s="23" t="str">
        <f>IF($D85="","",IFERROR(VLOOKUP($D85,'SAMA Capital Tracker'!$A:$H,8,FALSE()),""))</f>
        <v/>
      </c>
      <c r="F85" s="24"/>
      <c r="G85" s="25" t="str">
        <f>IF($D85="","",IFERROR(VLOOKUP($D85,'SAMA Capital Tracker'!$A:$D,4,FALSE()),""))</f>
        <v/>
      </c>
      <c r="H85" s="22"/>
    </row>
    <row r="86" spans="1:8">
      <c r="A86" s="21"/>
      <c r="B86" s="22"/>
      <c r="C86" s="22"/>
      <c r="D86" s="22"/>
      <c r="E86" s="23" t="str">
        <f>IF($D86="","",IFERROR(VLOOKUP($D86,'SAMA Capital Tracker'!$A:$H,8,FALSE()),""))</f>
        <v/>
      </c>
      <c r="F86" s="24"/>
      <c r="G86" s="25" t="str">
        <f>IF($D86="","",IFERROR(VLOOKUP($D86,'SAMA Capital Tracker'!$A:$D,4,FALSE()),""))</f>
        <v/>
      </c>
      <c r="H86" s="22"/>
    </row>
    <row r="87" spans="1:8">
      <c r="A87" s="21"/>
      <c r="B87" s="22"/>
      <c r="C87" s="22"/>
      <c r="D87" s="22"/>
      <c r="E87" s="23" t="str">
        <f>IF($D87="","",IFERROR(VLOOKUP($D87,'SAMA Capital Tracker'!$A:$H,8,FALSE()),""))</f>
        <v/>
      </c>
      <c r="F87" s="24"/>
      <c r="G87" s="25" t="str">
        <f>IF($D87="","",IFERROR(VLOOKUP($D87,'SAMA Capital Tracker'!$A:$D,4,FALSE()),""))</f>
        <v/>
      </c>
      <c r="H87" s="22"/>
    </row>
    <row r="88" spans="1:8">
      <c r="A88" s="21"/>
      <c r="B88" s="22"/>
      <c r="C88" s="22"/>
      <c r="D88" s="22"/>
      <c r="E88" s="23" t="str">
        <f>IF($D88="","",IFERROR(VLOOKUP($D88,'SAMA Capital Tracker'!$A:$H,8,FALSE()),""))</f>
        <v/>
      </c>
      <c r="F88" s="24"/>
      <c r="G88" s="25" t="str">
        <f>IF($D88="","",IFERROR(VLOOKUP($D88,'SAMA Capital Tracker'!$A:$D,4,FALSE()),""))</f>
        <v/>
      </c>
      <c r="H88" s="22"/>
    </row>
    <row r="89" spans="1:8">
      <c r="A89" s="21"/>
      <c r="B89" s="22"/>
      <c r="C89" s="22"/>
      <c r="D89" s="22"/>
      <c r="E89" s="23" t="str">
        <f>IF($D89="","",IFERROR(VLOOKUP($D89,'SAMA Capital Tracker'!$A:$H,8,FALSE()),""))</f>
        <v/>
      </c>
      <c r="F89" s="24"/>
      <c r="G89" s="25" t="str">
        <f>IF($D89="","",IFERROR(VLOOKUP($D89,'SAMA Capital Tracker'!$A:$D,4,FALSE()),""))</f>
        <v/>
      </c>
      <c r="H89" s="22"/>
    </row>
    <row r="90" spans="1:8">
      <c r="A90" s="21"/>
      <c r="B90" s="22"/>
      <c r="C90" s="22"/>
      <c r="D90" s="22"/>
      <c r="E90" s="23" t="str">
        <f>IF($D90="","",IFERROR(VLOOKUP($D90,'SAMA Capital Tracker'!$A:$H,8,FALSE()),""))</f>
        <v/>
      </c>
      <c r="F90" s="24"/>
      <c r="G90" s="25" t="str">
        <f>IF($D90="","",IFERROR(VLOOKUP($D90,'SAMA Capital Tracker'!$A:$D,4,FALSE()),""))</f>
        <v/>
      </c>
      <c r="H90" s="22"/>
    </row>
    <row r="91" spans="1:8">
      <c r="A91" s="21"/>
      <c r="B91" s="22"/>
      <c r="C91" s="22"/>
      <c r="D91" s="22"/>
      <c r="E91" s="23" t="str">
        <f>IF($D91="","",IFERROR(VLOOKUP($D91,'SAMA Capital Tracker'!$A:$H,8,FALSE()),""))</f>
        <v/>
      </c>
      <c r="F91" s="24"/>
      <c r="G91" s="25" t="str">
        <f>IF($D91="","",IFERROR(VLOOKUP($D91,'SAMA Capital Tracker'!$A:$D,4,FALSE()),""))</f>
        <v/>
      </c>
      <c r="H91" s="22"/>
    </row>
    <row r="92" spans="1:8">
      <c r="A92" s="21"/>
      <c r="B92" s="22"/>
      <c r="C92" s="22"/>
      <c r="D92" s="22"/>
      <c r="E92" s="23" t="str">
        <f>IF($D92="","",IFERROR(VLOOKUP($D92,'SAMA Capital Tracker'!$A:$H,8,FALSE()),""))</f>
        <v/>
      </c>
      <c r="F92" s="24"/>
      <c r="G92" s="25" t="str">
        <f>IF($D92="","",IFERROR(VLOOKUP($D92,'SAMA Capital Tracker'!$A:$D,4,FALSE()),""))</f>
        <v/>
      </c>
      <c r="H92" s="22"/>
    </row>
    <row r="93" spans="1:8">
      <c r="A93" s="21"/>
      <c r="B93" s="22"/>
      <c r="C93" s="22"/>
      <c r="D93" s="22"/>
      <c r="E93" s="23" t="str">
        <f>IF($D93="","",IFERROR(VLOOKUP($D93,'SAMA Capital Tracker'!$A:$H,8,FALSE()),""))</f>
        <v/>
      </c>
      <c r="F93" s="24"/>
      <c r="G93" s="25" t="str">
        <f>IF($D93="","",IFERROR(VLOOKUP($D93,'SAMA Capital Tracker'!$A:$D,4,FALSE()),""))</f>
        <v/>
      </c>
      <c r="H93" s="22"/>
    </row>
    <row r="94" spans="1:8">
      <c r="A94" s="21"/>
      <c r="B94" s="22"/>
      <c r="C94" s="22"/>
      <c r="D94" s="22"/>
      <c r="E94" s="23" t="str">
        <f>IF($D94="","",IFERROR(VLOOKUP($D94,'SAMA Capital Tracker'!$A:$H,8,FALSE()),""))</f>
        <v/>
      </c>
      <c r="F94" s="24"/>
      <c r="G94" s="25" t="str">
        <f>IF($D94="","",IFERROR(VLOOKUP($D94,'SAMA Capital Tracker'!$A:$D,4,FALSE()),""))</f>
        <v/>
      </c>
      <c r="H94" s="22"/>
    </row>
    <row r="95" spans="1:8">
      <c r="A95" s="21"/>
      <c r="B95" s="22"/>
      <c r="C95" s="22"/>
      <c r="D95" s="22"/>
      <c r="E95" s="23" t="str">
        <f>IF($D95="","",IFERROR(VLOOKUP($D95,'SAMA Capital Tracker'!$A:$H,8,FALSE()),""))</f>
        <v/>
      </c>
      <c r="F95" s="24"/>
      <c r="G95" s="25" t="str">
        <f>IF($D95="","",IFERROR(VLOOKUP($D95,'SAMA Capital Tracker'!$A:$D,4,FALSE()),""))</f>
        <v/>
      </c>
      <c r="H95" s="22"/>
    </row>
    <row r="96" spans="1:8">
      <c r="A96" s="21"/>
      <c r="B96" s="22"/>
      <c r="C96" s="22"/>
      <c r="D96" s="22"/>
      <c r="E96" s="23" t="str">
        <f>IF($D96="","",IFERROR(VLOOKUP($D96,'SAMA Capital Tracker'!$A:$H,8,FALSE()),""))</f>
        <v/>
      </c>
      <c r="F96" s="24"/>
      <c r="G96" s="25" t="str">
        <f>IF($D96="","",IFERROR(VLOOKUP($D96,'SAMA Capital Tracker'!$A:$D,4,FALSE()),""))</f>
        <v/>
      </c>
      <c r="H96" s="22"/>
    </row>
    <row r="97" spans="1:8">
      <c r="A97" s="21"/>
      <c r="B97" s="22"/>
      <c r="C97" s="22"/>
      <c r="D97" s="22"/>
      <c r="E97" s="23" t="str">
        <f>IF($D97="","",IFERROR(VLOOKUP($D97,'SAMA Capital Tracker'!$A:$H,8,FALSE()),""))</f>
        <v/>
      </c>
      <c r="F97" s="24"/>
      <c r="G97" s="25" t="str">
        <f>IF($D97="","",IFERROR(VLOOKUP($D97,'SAMA Capital Tracker'!$A:$D,4,FALSE()),""))</f>
        <v/>
      </c>
      <c r="H97" s="22"/>
    </row>
    <row r="98" spans="1:8">
      <c r="A98" s="21"/>
      <c r="B98" s="22"/>
      <c r="C98" s="22"/>
      <c r="D98" s="22"/>
      <c r="E98" s="23" t="str">
        <f>IF($D98="","",IFERROR(VLOOKUP($D98,'SAMA Capital Tracker'!$A:$H,8,FALSE()),""))</f>
        <v/>
      </c>
      <c r="F98" s="24"/>
      <c r="G98" s="25" t="str">
        <f>IF($D98="","",IFERROR(VLOOKUP($D98,'SAMA Capital Tracker'!$A:$D,4,FALSE()),""))</f>
        <v/>
      </c>
      <c r="H98" s="22"/>
    </row>
    <row r="99" spans="1:8">
      <c r="A99" s="21"/>
      <c r="B99" s="22"/>
      <c r="C99" s="22"/>
      <c r="D99" s="22"/>
      <c r="E99" s="23" t="str">
        <f>IF($D99="","",IFERROR(VLOOKUP($D99,'SAMA Capital Tracker'!$A:$H,8,FALSE()),""))</f>
        <v/>
      </c>
      <c r="F99" s="24"/>
      <c r="G99" s="25" t="str">
        <f>IF($D99="","",IFERROR(VLOOKUP($D99,'SAMA Capital Tracker'!$A:$D,4,FALSE()),""))</f>
        <v/>
      </c>
      <c r="H99" s="22"/>
    </row>
    <row r="100" spans="1:8">
      <c r="A100" s="21"/>
      <c r="B100" s="22"/>
      <c r="C100" s="22"/>
      <c r="D100" s="22"/>
      <c r="E100" s="23" t="str">
        <f>IF($D100="","",IFERROR(VLOOKUP($D100,'SAMA Capital Tracker'!$A:$H,8,FALSE()),""))</f>
        <v/>
      </c>
      <c r="F100" s="24"/>
      <c r="G100" s="25" t="str">
        <f>IF($D100="","",IFERROR(VLOOKUP($D100,'SAMA Capital Tracker'!$A:$D,4,FALSE()),""))</f>
        <v/>
      </c>
      <c r="H100" s="22"/>
    </row>
    <row r="101" spans="1:8">
      <c r="A101" s="21"/>
      <c r="B101" s="22"/>
      <c r="C101" s="22"/>
      <c r="D101" s="22"/>
      <c r="E101" s="23" t="str">
        <f>IF($D101="","",IFERROR(VLOOKUP($D101,'SAMA Capital Tracker'!$A:$H,8,FALSE()),""))</f>
        <v/>
      </c>
      <c r="F101" s="24"/>
      <c r="G101" s="25" t="str">
        <f>IF($D101="","",IFERROR(VLOOKUP($D101,'SAMA Capital Tracker'!$A:$D,4,FALSE()),""))</f>
        <v/>
      </c>
      <c r="H101" s="22"/>
    </row>
    <row r="102" spans="1:8">
      <c r="A102" s="21"/>
      <c r="B102" s="22"/>
      <c r="C102" s="22"/>
      <c r="D102" s="22"/>
      <c r="E102" s="23" t="str">
        <f>IF($D102="","",IFERROR(VLOOKUP($D102,'SAMA Capital Tracker'!$A:$H,8,FALSE()),""))</f>
        <v/>
      </c>
      <c r="F102" s="24"/>
      <c r="G102" s="25" t="str">
        <f>IF($D102="","",IFERROR(VLOOKUP($D102,'SAMA Capital Tracker'!$A:$D,4,FALSE()),""))</f>
        <v/>
      </c>
      <c r="H102" s="22"/>
    </row>
    <row r="103" spans="1:8">
      <c r="A103" s="21"/>
      <c r="B103" s="22"/>
      <c r="C103" s="22"/>
      <c r="D103" s="22"/>
      <c r="E103" s="23" t="str">
        <f>IF($D103="","",IFERROR(VLOOKUP($D103,'SAMA Capital Tracker'!$A:$H,8,FALSE()),""))</f>
        <v/>
      </c>
      <c r="F103" s="24"/>
      <c r="G103" s="25" t="str">
        <f>IF($D103="","",IFERROR(VLOOKUP($D103,'SAMA Capital Tracker'!$A:$D,4,FALSE()),""))</f>
        <v/>
      </c>
      <c r="H103" s="22"/>
    </row>
    <row r="104" spans="1:8">
      <c r="A104" s="21"/>
      <c r="B104" s="22"/>
      <c r="C104" s="22"/>
      <c r="D104" s="22"/>
      <c r="E104" s="23" t="str">
        <f>IF($D104="","",IFERROR(VLOOKUP($D104,'SAMA Capital Tracker'!$A:$H,8,FALSE()),""))</f>
        <v/>
      </c>
      <c r="F104" s="24"/>
      <c r="G104" s="25" t="str">
        <f>IF($D104="","",IFERROR(VLOOKUP($D104,'SAMA Capital Tracker'!$A:$D,4,FALSE()),""))</f>
        <v/>
      </c>
      <c r="H104" s="22"/>
    </row>
    <row r="105" spans="1:8">
      <c r="A105" s="21"/>
      <c r="B105" s="22"/>
      <c r="C105" s="22"/>
      <c r="D105" s="22"/>
      <c r="E105" s="23" t="str">
        <f>IF($D105="","",IFERROR(VLOOKUP($D105,'SAMA Capital Tracker'!$A:$H,8,FALSE()),""))</f>
        <v/>
      </c>
      <c r="F105" s="24"/>
      <c r="G105" s="25" t="str">
        <f>IF($D105="","",IFERROR(VLOOKUP($D105,'SAMA Capital Tracker'!$A:$D,4,FALSE()),""))</f>
        <v/>
      </c>
      <c r="H105" s="22"/>
    </row>
    <row r="106" spans="1:8">
      <c r="A106" s="21"/>
      <c r="B106" s="22"/>
      <c r="C106" s="22"/>
      <c r="D106" s="22"/>
      <c r="E106" s="23" t="str">
        <f>IF($D106="","",IFERROR(VLOOKUP($D106,'SAMA Capital Tracker'!$A:$H,8,FALSE()),""))</f>
        <v/>
      </c>
      <c r="F106" s="24"/>
      <c r="G106" s="25" t="str">
        <f>IF($D106="","",IFERROR(VLOOKUP($D106,'SAMA Capital Tracker'!$A:$D,4,FALSE()),""))</f>
        <v/>
      </c>
      <c r="H106" s="22"/>
    </row>
    <row r="107" spans="1:8">
      <c r="A107" s="21"/>
      <c r="B107" s="22"/>
      <c r="C107" s="22"/>
      <c r="D107" s="22"/>
      <c r="E107" s="23" t="str">
        <f>IF($D107="","",IFERROR(VLOOKUP($D107,'SAMA Capital Tracker'!$A:$H,8,FALSE()),""))</f>
        <v/>
      </c>
      <c r="F107" s="24"/>
      <c r="G107" s="25" t="str">
        <f>IF($D107="","",IFERROR(VLOOKUP($D107,'SAMA Capital Tracker'!$A:$D,4,FALSE()),""))</f>
        <v/>
      </c>
      <c r="H107" s="22"/>
    </row>
    <row r="108" spans="1:8">
      <c r="A108" s="21"/>
      <c r="B108" s="22"/>
      <c r="C108" s="22"/>
      <c r="D108" s="22"/>
      <c r="E108" s="23" t="str">
        <f>IF($D108="","",IFERROR(VLOOKUP($D108,'SAMA Capital Tracker'!$A:$H,8,FALSE()),""))</f>
        <v/>
      </c>
      <c r="F108" s="24"/>
      <c r="G108" s="25" t="str">
        <f>IF($D108="","",IFERROR(VLOOKUP($D108,'SAMA Capital Tracker'!$A:$D,4,FALSE()),""))</f>
        <v/>
      </c>
      <c r="H108" s="22"/>
    </row>
    <row r="109" spans="1:8">
      <c r="A109" s="21"/>
      <c r="B109" s="22"/>
      <c r="C109" s="22"/>
      <c r="D109" s="22"/>
      <c r="E109" s="23" t="str">
        <f>IF($D109="","",IFERROR(VLOOKUP($D109,'SAMA Capital Tracker'!$A:$H,8,FALSE()),""))</f>
        <v/>
      </c>
      <c r="F109" s="24"/>
      <c r="G109" s="25" t="str">
        <f>IF($D109="","",IFERROR(VLOOKUP($D109,'SAMA Capital Tracker'!$A:$D,4,FALSE()),""))</f>
        <v/>
      </c>
      <c r="H109" s="22"/>
    </row>
    <row r="110" spans="1:8">
      <c r="A110" s="21"/>
      <c r="B110" s="22"/>
      <c r="C110" s="22"/>
      <c r="D110" s="22"/>
      <c r="E110" s="23" t="str">
        <f>IF($D110="","",IFERROR(VLOOKUP($D110,'SAMA Capital Tracker'!$A:$H,8,FALSE()),""))</f>
        <v/>
      </c>
      <c r="F110" s="24"/>
      <c r="G110" s="25" t="str">
        <f>IF($D110="","",IFERROR(VLOOKUP($D110,'SAMA Capital Tracker'!$A:$D,4,FALSE()),""))</f>
        <v/>
      </c>
      <c r="H110" s="22"/>
    </row>
    <row r="111" spans="1:8">
      <c r="A111" s="21"/>
      <c r="B111" s="22"/>
      <c r="C111" s="22"/>
      <c r="D111" s="22"/>
      <c r="E111" s="23" t="str">
        <f>IF($D111="","",IFERROR(VLOOKUP($D111,'SAMA Capital Tracker'!$A:$H,8,FALSE()),""))</f>
        <v/>
      </c>
      <c r="F111" s="24"/>
      <c r="G111" s="25" t="str">
        <f>IF($D111="","",IFERROR(VLOOKUP($D111,'SAMA Capital Tracker'!$A:$D,4,FALSE()),""))</f>
        <v/>
      </c>
      <c r="H111" s="22"/>
    </row>
    <row r="112" spans="1:8">
      <c r="A112" s="21"/>
      <c r="B112" s="22"/>
      <c r="C112" s="22"/>
      <c r="D112" s="22"/>
      <c r="E112" s="23" t="str">
        <f>IF($D112="","",IFERROR(VLOOKUP($D112,'SAMA Capital Tracker'!$A:$H,8,FALSE()),""))</f>
        <v/>
      </c>
      <c r="F112" s="24"/>
      <c r="G112" s="25" t="str">
        <f>IF($D112="","",IFERROR(VLOOKUP($D112,'SAMA Capital Tracker'!$A:$D,4,FALSE()),""))</f>
        <v/>
      </c>
      <c r="H112" s="22"/>
    </row>
    <row r="113" spans="1:8">
      <c r="A113" s="21"/>
      <c r="B113" s="22"/>
      <c r="C113" s="22"/>
      <c r="D113" s="22"/>
      <c r="E113" s="23" t="str">
        <f>IF($D113="","",IFERROR(VLOOKUP($D113,'SAMA Capital Tracker'!$A:$H,8,FALSE()),""))</f>
        <v/>
      </c>
      <c r="F113" s="24"/>
      <c r="G113" s="25" t="str">
        <f>IF($D113="","",IFERROR(VLOOKUP($D113,'SAMA Capital Tracker'!$A:$D,4,FALSE()),""))</f>
        <v/>
      </c>
      <c r="H113" s="22"/>
    </row>
    <row r="114" spans="1:8">
      <c r="A114" s="21"/>
      <c r="B114" s="22"/>
      <c r="C114" s="22"/>
      <c r="D114" s="22"/>
      <c r="E114" s="23" t="str">
        <f>IF($D114="","",IFERROR(VLOOKUP($D114,'SAMA Capital Tracker'!$A:$H,8,FALSE()),""))</f>
        <v/>
      </c>
      <c r="F114" s="24"/>
      <c r="G114" s="25" t="str">
        <f>IF($D114="","",IFERROR(VLOOKUP($D114,'SAMA Capital Tracker'!$A:$D,4,FALSE()),""))</f>
        <v/>
      </c>
      <c r="H114" s="22"/>
    </row>
    <row r="115" spans="1:8">
      <c r="A115" s="21"/>
      <c r="B115" s="22"/>
      <c r="C115" s="22"/>
      <c r="D115" s="22"/>
      <c r="E115" s="23" t="str">
        <f>IF($D115="","",IFERROR(VLOOKUP($D115,'SAMA Capital Tracker'!$A:$H,8,FALSE()),""))</f>
        <v/>
      </c>
      <c r="F115" s="24"/>
      <c r="G115" s="25" t="str">
        <f>IF($D115="","",IFERROR(VLOOKUP($D115,'SAMA Capital Tracker'!$A:$D,4,FALSE()),""))</f>
        <v/>
      </c>
      <c r="H115" s="22"/>
    </row>
    <row r="116" spans="1:8">
      <c r="A116" s="21"/>
      <c r="B116" s="22"/>
      <c r="C116" s="22"/>
      <c r="D116" s="22"/>
      <c r="E116" s="23" t="str">
        <f>IF($D116="","",IFERROR(VLOOKUP($D116,'SAMA Capital Tracker'!$A:$H,8,FALSE()),""))</f>
        <v/>
      </c>
      <c r="F116" s="24"/>
      <c r="G116" s="25" t="str">
        <f>IF($D116="","",IFERROR(VLOOKUP($D116,'SAMA Capital Tracker'!$A:$D,4,FALSE()),""))</f>
        <v/>
      </c>
      <c r="H116" s="22"/>
    </row>
    <row r="117" spans="1:8">
      <c r="A117" s="21"/>
      <c r="B117" s="22"/>
      <c r="C117" s="22"/>
      <c r="D117" s="22"/>
      <c r="E117" s="23" t="str">
        <f>IF($D117="","",IFERROR(VLOOKUP($D117,'SAMA Capital Tracker'!$A:$H,8,FALSE()),""))</f>
        <v/>
      </c>
      <c r="F117" s="24"/>
      <c r="G117" s="25" t="str">
        <f>IF($D117="","",IFERROR(VLOOKUP($D117,'SAMA Capital Tracker'!$A:$D,4,FALSE()),""))</f>
        <v/>
      </c>
      <c r="H117" s="22"/>
    </row>
    <row r="118" spans="1:8">
      <c r="A118" s="21"/>
      <c r="B118" s="22"/>
      <c r="C118" s="22"/>
      <c r="D118" s="22"/>
      <c r="E118" s="23" t="str">
        <f>IF($D118="","",IFERROR(VLOOKUP($D118,'SAMA Capital Tracker'!$A:$H,8,FALSE()),""))</f>
        <v/>
      </c>
      <c r="F118" s="24"/>
      <c r="G118" s="25" t="str">
        <f>IF($D118="","",IFERROR(VLOOKUP($D118,'SAMA Capital Tracker'!$A:$D,4,FALSE()),""))</f>
        <v/>
      </c>
      <c r="H118" s="22"/>
    </row>
    <row r="119" spans="1:8">
      <c r="A119" s="21"/>
      <c r="B119" s="22"/>
      <c r="C119" s="22"/>
      <c r="D119" s="22"/>
      <c r="E119" s="23" t="str">
        <f>IF($D119="","",IFERROR(VLOOKUP($D119,'SAMA Capital Tracker'!$A:$H,8,FALSE()),""))</f>
        <v/>
      </c>
      <c r="F119" s="24"/>
      <c r="G119" s="25" t="str">
        <f>IF($D119="","",IFERROR(VLOOKUP($D119,'SAMA Capital Tracker'!$A:$D,4,FALSE()),""))</f>
        <v/>
      </c>
      <c r="H119" s="22"/>
    </row>
    <row r="120" spans="1:8">
      <c r="A120" s="21"/>
      <c r="B120" s="22"/>
      <c r="C120" s="22"/>
      <c r="D120" s="22"/>
      <c r="E120" s="23" t="str">
        <f>IF($D120="","",IFERROR(VLOOKUP($D120,'SAMA Capital Tracker'!$A:$H,8,FALSE()),""))</f>
        <v/>
      </c>
      <c r="F120" s="24"/>
      <c r="G120" s="25" t="str">
        <f>IF($D120="","",IFERROR(VLOOKUP($D120,'SAMA Capital Tracker'!$A:$D,4,FALSE()),""))</f>
        <v/>
      </c>
      <c r="H120" s="22"/>
    </row>
    <row r="121" spans="1:8">
      <c r="A121" s="21"/>
      <c r="B121" s="22"/>
      <c r="C121" s="22"/>
      <c r="D121" s="22"/>
      <c r="E121" s="23" t="str">
        <f>IF($D121="","",IFERROR(VLOOKUP($D121,'SAMA Capital Tracker'!$A:$H,8,FALSE()),""))</f>
        <v/>
      </c>
      <c r="F121" s="24"/>
      <c r="G121" s="25" t="str">
        <f>IF($D121="","",IFERROR(VLOOKUP($D121,'SAMA Capital Tracker'!$A:$D,4,FALSE()),""))</f>
        <v/>
      </c>
      <c r="H121" s="22"/>
    </row>
    <row r="122" spans="1:8">
      <c r="A122" s="21"/>
      <c r="B122" s="22"/>
      <c r="C122" s="22"/>
      <c r="D122" s="22"/>
      <c r="E122" s="23" t="str">
        <f>IF($D122="","",IFERROR(VLOOKUP($D122,'SAMA Capital Tracker'!$A:$H,8,FALSE()),""))</f>
        <v/>
      </c>
      <c r="F122" s="24"/>
      <c r="G122" s="25" t="str">
        <f>IF($D122="","",IFERROR(VLOOKUP($D122,'SAMA Capital Tracker'!$A:$D,4,FALSE()),""))</f>
        <v/>
      </c>
      <c r="H122" s="22"/>
    </row>
    <row r="123" spans="1:8">
      <c r="A123" s="21"/>
      <c r="B123" s="22"/>
      <c r="C123" s="22"/>
      <c r="D123" s="22"/>
      <c r="E123" s="23" t="str">
        <f>IF($D123="","",IFERROR(VLOOKUP($D123,'SAMA Capital Tracker'!$A:$H,8,FALSE()),""))</f>
        <v/>
      </c>
      <c r="F123" s="24"/>
      <c r="G123" s="25" t="str">
        <f>IF($D123="","",IFERROR(VLOOKUP($D123,'SAMA Capital Tracker'!$A:$D,4,FALSE()),""))</f>
        <v/>
      </c>
      <c r="H123" s="22"/>
    </row>
    <row r="124" spans="1:8">
      <c r="A124" s="21"/>
      <c r="B124" s="22"/>
      <c r="C124" s="22"/>
      <c r="D124" s="22"/>
      <c r="E124" s="23" t="str">
        <f>IF($D124="","",IFERROR(VLOOKUP($D124,'SAMA Capital Tracker'!$A:$H,8,FALSE()),""))</f>
        <v/>
      </c>
      <c r="F124" s="24"/>
      <c r="G124" s="25" t="str">
        <f>IF($D124="","",IFERROR(VLOOKUP($D124,'SAMA Capital Tracker'!$A:$D,4,FALSE()),""))</f>
        <v/>
      </c>
      <c r="H124" s="22"/>
    </row>
    <row r="125" spans="1:8">
      <c r="A125" s="21"/>
      <c r="B125" s="22"/>
      <c r="C125" s="22"/>
      <c r="D125" s="22"/>
      <c r="E125" s="23" t="str">
        <f>IF($D125="","",IFERROR(VLOOKUP($D125,'SAMA Capital Tracker'!$A:$H,8,FALSE()),""))</f>
        <v/>
      </c>
      <c r="F125" s="24"/>
      <c r="G125" s="25" t="str">
        <f>IF($D125="","",IFERROR(VLOOKUP($D125,'SAMA Capital Tracker'!$A:$D,4,FALSE()),""))</f>
        <v/>
      </c>
      <c r="H125" s="22"/>
    </row>
    <row r="126" spans="1:8">
      <c r="A126" s="21"/>
      <c r="B126" s="22"/>
      <c r="C126" s="22"/>
      <c r="D126" s="22"/>
      <c r="E126" s="23" t="str">
        <f>IF($D126="","",IFERROR(VLOOKUP($D126,'SAMA Capital Tracker'!$A:$H,8,FALSE()),""))</f>
        <v/>
      </c>
      <c r="F126" s="24"/>
      <c r="G126" s="25" t="str">
        <f>IF($D126="","",IFERROR(VLOOKUP($D126,'SAMA Capital Tracker'!$A:$D,4,FALSE()),""))</f>
        <v/>
      </c>
      <c r="H126" s="22"/>
    </row>
    <row r="127" spans="1:8">
      <c r="A127" s="21"/>
      <c r="B127" s="22"/>
      <c r="C127" s="22"/>
      <c r="D127" s="22"/>
      <c r="E127" s="23" t="str">
        <f>IF($D127="","",IFERROR(VLOOKUP($D127,'SAMA Capital Tracker'!$A:$H,8,FALSE()),""))</f>
        <v/>
      </c>
      <c r="F127" s="24"/>
      <c r="G127" s="25" t="str">
        <f>IF($D127="","",IFERROR(VLOOKUP($D127,'SAMA Capital Tracker'!$A:$D,4,FALSE()),""))</f>
        <v/>
      </c>
      <c r="H127" s="22"/>
    </row>
    <row r="128" spans="1:8">
      <c r="A128" s="21"/>
      <c r="B128" s="22"/>
      <c r="C128" s="22"/>
      <c r="D128" s="22"/>
      <c r="E128" s="23" t="str">
        <f>IF($D128="","",IFERROR(VLOOKUP($D128,'SAMA Capital Tracker'!$A:$H,8,FALSE()),""))</f>
        <v/>
      </c>
      <c r="F128" s="24"/>
      <c r="G128" s="25" t="str">
        <f>IF($D128="","",IFERROR(VLOOKUP($D128,'SAMA Capital Tracker'!$A:$D,4,FALSE()),""))</f>
        <v/>
      </c>
      <c r="H128" s="22"/>
    </row>
    <row r="129" spans="1:8">
      <c r="A129" s="21"/>
      <c r="B129" s="22"/>
      <c r="C129" s="22"/>
      <c r="D129" s="22"/>
      <c r="E129" s="23" t="str">
        <f>IF($D129="","",IFERROR(VLOOKUP($D129,'SAMA Capital Tracker'!$A:$H,8,FALSE()),""))</f>
        <v/>
      </c>
      <c r="F129" s="24"/>
      <c r="G129" s="25" t="str">
        <f>IF($D129="","",IFERROR(VLOOKUP($D129,'SAMA Capital Tracker'!$A:$D,4,FALSE()),""))</f>
        <v/>
      </c>
      <c r="H129" s="22"/>
    </row>
    <row r="130" spans="1:8">
      <c r="A130" s="21"/>
      <c r="B130" s="22"/>
      <c r="C130" s="22"/>
      <c r="D130" s="22"/>
      <c r="E130" s="23" t="str">
        <f>IF($D130="","",IFERROR(VLOOKUP($D130,'SAMA Capital Tracker'!$A:$H,8,FALSE()),""))</f>
        <v/>
      </c>
      <c r="F130" s="24"/>
      <c r="G130" s="25" t="str">
        <f>IF($D130="","",IFERROR(VLOOKUP($D130,'SAMA Capital Tracker'!$A:$D,4,FALSE()),""))</f>
        <v/>
      </c>
      <c r="H130" s="22"/>
    </row>
    <row r="131" spans="1:8">
      <c r="A131" s="21"/>
      <c r="B131" s="22"/>
      <c r="C131" s="22"/>
      <c r="D131" s="22"/>
      <c r="E131" s="23" t="str">
        <f>IF($D131="","",IFERROR(VLOOKUP($D131,'SAMA Capital Tracker'!$A:$H,8,FALSE()),""))</f>
        <v/>
      </c>
      <c r="F131" s="24"/>
      <c r="G131" s="25" t="str">
        <f>IF($D131="","",IFERROR(VLOOKUP($D131,'SAMA Capital Tracker'!$A:$D,4,FALSE()),""))</f>
        <v/>
      </c>
      <c r="H131" s="22"/>
    </row>
    <row r="132" spans="1:8">
      <c r="A132" s="21"/>
      <c r="B132" s="22"/>
      <c r="C132" s="22"/>
      <c r="D132" s="22"/>
      <c r="E132" s="23" t="str">
        <f>IF($D132="","",IFERROR(VLOOKUP($D132,'SAMA Capital Tracker'!$A:$H,8,FALSE()),""))</f>
        <v/>
      </c>
      <c r="F132" s="24"/>
      <c r="G132" s="25" t="str">
        <f>IF($D132="","",IFERROR(VLOOKUP($D132,'SAMA Capital Tracker'!$A:$D,4,FALSE()),""))</f>
        <v/>
      </c>
      <c r="H132" s="22"/>
    </row>
    <row r="133" spans="1:8">
      <c r="A133" s="21"/>
      <c r="B133" s="22"/>
      <c r="C133" s="22"/>
      <c r="D133" s="22"/>
      <c r="E133" s="23" t="str">
        <f>IF($D133="","",IFERROR(VLOOKUP($D133,'SAMA Capital Tracker'!$A:$H,8,FALSE()),""))</f>
        <v/>
      </c>
      <c r="F133" s="24"/>
      <c r="G133" s="25" t="str">
        <f>IF($D133="","",IFERROR(VLOOKUP($D133,'SAMA Capital Tracker'!$A:$D,4,FALSE()),""))</f>
        <v/>
      </c>
      <c r="H133" s="22"/>
    </row>
    <row r="134" spans="1:8">
      <c r="A134" s="21"/>
      <c r="B134" s="22"/>
      <c r="C134" s="22"/>
      <c r="D134" s="22"/>
      <c r="E134" s="23" t="str">
        <f>IF($D134="","",IFERROR(VLOOKUP($D134,'SAMA Capital Tracker'!$A:$H,8,FALSE()),""))</f>
        <v/>
      </c>
      <c r="F134" s="24"/>
      <c r="G134" s="25" t="str">
        <f>IF($D134="","",IFERROR(VLOOKUP($D134,'SAMA Capital Tracker'!$A:$D,4,FALSE()),""))</f>
        <v/>
      </c>
      <c r="H134" s="22"/>
    </row>
    <row r="135" spans="1:8">
      <c r="A135" s="21"/>
      <c r="B135" s="22"/>
      <c r="C135" s="22"/>
      <c r="D135" s="22"/>
      <c r="E135" s="23" t="str">
        <f>IF($D135="","",IFERROR(VLOOKUP($D135,'SAMA Capital Tracker'!$A:$H,8,FALSE()),""))</f>
        <v/>
      </c>
      <c r="F135" s="24"/>
      <c r="G135" s="25" t="str">
        <f>IF($D135="","",IFERROR(VLOOKUP($D135,'SAMA Capital Tracker'!$A:$D,4,FALSE()),""))</f>
        <v/>
      </c>
      <c r="H135" s="22"/>
    </row>
    <row r="136" spans="1:8">
      <c r="A136" s="21"/>
      <c r="B136" s="22"/>
      <c r="C136" s="22"/>
      <c r="D136" s="22"/>
      <c r="E136" s="23" t="str">
        <f>IF($D136="","",IFERROR(VLOOKUP($D136,'SAMA Capital Tracker'!$A:$H,8,FALSE()),""))</f>
        <v/>
      </c>
      <c r="F136" s="24"/>
      <c r="G136" s="25" t="str">
        <f>IF($D136="","",IFERROR(VLOOKUP($D136,'SAMA Capital Tracker'!$A:$D,4,FALSE()),""))</f>
        <v/>
      </c>
      <c r="H136" s="22"/>
    </row>
    <row r="137" spans="1:8">
      <c r="A137" s="21"/>
      <c r="B137" s="22"/>
      <c r="C137" s="22"/>
      <c r="D137" s="22"/>
      <c r="E137" s="23" t="str">
        <f>IF($D137="","",IFERROR(VLOOKUP($D137,'SAMA Capital Tracker'!$A:$H,8,FALSE()),""))</f>
        <v/>
      </c>
      <c r="F137" s="24"/>
      <c r="G137" s="25" t="str">
        <f>IF($D137="","",IFERROR(VLOOKUP($D137,'SAMA Capital Tracker'!$A:$D,4,FALSE()),""))</f>
        <v/>
      </c>
      <c r="H137" s="22"/>
    </row>
    <row r="138" spans="1:8">
      <c r="A138" s="21"/>
      <c r="B138" s="22"/>
      <c r="C138" s="22"/>
      <c r="D138" s="22"/>
      <c r="E138" s="23" t="str">
        <f>IF($D138="","",IFERROR(VLOOKUP($D138,'SAMA Capital Tracker'!$A:$H,8,FALSE()),""))</f>
        <v/>
      </c>
      <c r="F138" s="24"/>
      <c r="G138" s="25" t="str">
        <f>IF($D138="","",IFERROR(VLOOKUP($D138,'SAMA Capital Tracker'!$A:$D,4,FALSE()),""))</f>
        <v/>
      </c>
      <c r="H138" s="22"/>
    </row>
    <row r="139" spans="1:8">
      <c r="A139" s="21"/>
      <c r="B139" s="22"/>
      <c r="C139" s="22"/>
      <c r="D139" s="22"/>
      <c r="E139" s="23" t="str">
        <f>IF($D139="","",IFERROR(VLOOKUP($D139,'SAMA Capital Tracker'!$A:$H,8,FALSE()),""))</f>
        <v/>
      </c>
      <c r="F139" s="24"/>
      <c r="G139" s="25" t="str">
        <f>IF($D139="","",IFERROR(VLOOKUP($D139,'SAMA Capital Tracker'!$A:$D,4,FALSE()),""))</f>
        <v/>
      </c>
      <c r="H139" s="22"/>
    </row>
    <row r="140" spans="1:8">
      <c r="A140" s="21"/>
      <c r="B140" s="22"/>
      <c r="C140" s="22"/>
      <c r="D140" s="22"/>
      <c r="E140" s="23" t="str">
        <f>IF($D140="","",IFERROR(VLOOKUP($D140,'SAMA Capital Tracker'!$A:$H,8,FALSE()),""))</f>
        <v/>
      </c>
      <c r="F140" s="24"/>
      <c r="G140" s="25" t="str">
        <f>IF($D140="","",IFERROR(VLOOKUP($D140,'SAMA Capital Tracker'!$A:$D,4,FALSE()),""))</f>
        <v/>
      </c>
      <c r="H140" s="22"/>
    </row>
    <row r="141" spans="1:8">
      <c r="A141" s="21"/>
      <c r="B141" s="22"/>
      <c r="C141" s="22"/>
      <c r="D141" s="22"/>
      <c r="E141" s="23" t="str">
        <f>IF($D141="","",IFERROR(VLOOKUP($D141,'SAMA Capital Tracker'!$A:$H,8,FALSE()),""))</f>
        <v/>
      </c>
      <c r="F141" s="24"/>
      <c r="G141" s="25" t="str">
        <f>IF($D141="","",IFERROR(VLOOKUP($D141,'SAMA Capital Tracker'!$A:$D,4,FALSE()),""))</f>
        <v/>
      </c>
      <c r="H141" s="22"/>
    </row>
    <row r="142" spans="1:8">
      <c r="A142" s="21"/>
      <c r="B142" s="22"/>
      <c r="C142" s="22"/>
      <c r="D142" s="22"/>
      <c r="E142" s="23" t="str">
        <f>IF($D142="","",IFERROR(VLOOKUP($D142,'SAMA Capital Tracker'!$A:$H,8,FALSE()),""))</f>
        <v/>
      </c>
      <c r="F142" s="24"/>
      <c r="G142" s="25" t="str">
        <f>IF($D142="","",IFERROR(VLOOKUP($D142,'SAMA Capital Tracker'!$A:$D,4,FALSE()),""))</f>
        <v/>
      </c>
      <c r="H142" s="22"/>
    </row>
    <row r="143" spans="1:8">
      <c r="A143" s="21"/>
      <c r="B143" s="22"/>
      <c r="C143" s="22"/>
      <c r="D143" s="22"/>
      <c r="E143" s="23" t="str">
        <f>IF($D143="","",IFERROR(VLOOKUP($D143,'SAMA Capital Tracker'!$A:$H,8,FALSE()),""))</f>
        <v/>
      </c>
      <c r="F143" s="24"/>
      <c r="G143" s="25" t="str">
        <f>IF($D143="","",IFERROR(VLOOKUP($D143,'SAMA Capital Tracker'!$A:$D,4,FALSE()),""))</f>
        <v/>
      </c>
      <c r="H143" s="22"/>
    </row>
    <row r="144" spans="1:8">
      <c r="A144" s="21"/>
      <c r="B144" s="22"/>
      <c r="C144" s="22"/>
      <c r="D144" s="22"/>
      <c r="E144" s="23" t="str">
        <f>IF($D144="","",IFERROR(VLOOKUP($D144,'SAMA Capital Tracker'!$A:$H,8,FALSE()),""))</f>
        <v/>
      </c>
      <c r="F144" s="24"/>
      <c r="G144" s="25" t="str">
        <f>IF($D144="","",IFERROR(VLOOKUP($D144,'SAMA Capital Tracker'!$A:$D,4,FALSE()),""))</f>
        <v/>
      </c>
      <c r="H144" s="22"/>
    </row>
    <row r="145" spans="1:8">
      <c r="A145" s="21"/>
      <c r="B145" s="22"/>
      <c r="C145" s="22"/>
      <c r="D145" s="22"/>
      <c r="E145" s="23" t="str">
        <f>IF($D145="","",IFERROR(VLOOKUP($D145,'SAMA Capital Tracker'!$A:$H,8,FALSE()),""))</f>
        <v/>
      </c>
      <c r="F145" s="24"/>
      <c r="G145" s="25" t="str">
        <f>IF($D145="","",IFERROR(VLOOKUP($D145,'SAMA Capital Tracker'!$A:$D,4,FALSE()),""))</f>
        <v/>
      </c>
      <c r="H145" s="22"/>
    </row>
    <row r="146" spans="1:8">
      <c r="A146" s="21"/>
      <c r="B146" s="22"/>
      <c r="C146" s="22"/>
      <c r="D146" s="22"/>
      <c r="E146" s="23" t="str">
        <f>IF($D146="","",IFERROR(VLOOKUP($D146,'SAMA Capital Tracker'!$A:$H,8,FALSE()),""))</f>
        <v/>
      </c>
      <c r="F146" s="24"/>
      <c r="G146" s="25" t="str">
        <f>IF($D146="","",IFERROR(VLOOKUP($D146,'SAMA Capital Tracker'!$A:$D,4,FALSE()),""))</f>
        <v/>
      </c>
      <c r="H146" s="22"/>
    </row>
    <row r="147" spans="1:8">
      <c r="A147" s="21"/>
      <c r="B147" s="22"/>
      <c r="C147" s="22"/>
      <c r="D147" s="22"/>
      <c r="E147" s="23" t="str">
        <f>IF($D147="","",IFERROR(VLOOKUP($D147,'SAMA Capital Tracker'!$A:$H,8,FALSE()),""))</f>
        <v/>
      </c>
      <c r="F147" s="24"/>
      <c r="G147" s="25" t="str">
        <f>IF($D147="","",IFERROR(VLOOKUP($D147,'SAMA Capital Tracker'!$A:$D,4,FALSE()),""))</f>
        <v/>
      </c>
      <c r="H147" s="22"/>
    </row>
    <row r="148" spans="1:8">
      <c r="A148" s="21"/>
      <c r="B148" s="22"/>
      <c r="C148" s="22"/>
      <c r="D148" s="22"/>
      <c r="E148" s="23" t="str">
        <f>IF($D148="","",IFERROR(VLOOKUP($D148,'SAMA Capital Tracker'!$A:$H,8,FALSE()),""))</f>
        <v/>
      </c>
      <c r="F148" s="24"/>
      <c r="G148" s="25" t="str">
        <f>IF($D148="","",IFERROR(VLOOKUP($D148,'SAMA Capital Tracker'!$A:$D,4,FALSE()),""))</f>
        <v/>
      </c>
      <c r="H148" s="22"/>
    </row>
    <row r="149" spans="1:8">
      <c r="A149" s="21"/>
      <c r="B149" s="22"/>
      <c r="C149" s="22"/>
      <c r="D149" s="22"/>
      <c r="E149" s="23" t="str">
        <f>IF($D149="","",IFERROR(VLOOKUP($D149,'SAMA Capital Tracker'!$A:$H,8,FALSE()),""))</f>
        <v/>
      </c>
      <c r="F149" s="24"/>
      <c r="G149" s="25" t="str">
        <f>IF($D149="","",IFERROR(VLOOKUP($D149,'SAMA Capital Tracker'!$A:$D,4,FALSE()),""))</f>
        <v/>
      </c>
      <c r="H149" s="22"/>
    </row>
    <row r="150" spans="1:8">
      <c r="A150" s="21"/>
      <c r="B150" s="22"/>
      <c r="C150" s="22"/>
      <c r="D150" s="22"/>
      <c r="E150" s="23" t="str">
        <f>IF($D150="","",IFERROR(VLOOKUP($D150,'SAMA Capital Tracker'!$A:$H,8,FALSE()),""))</f>
        <v/>
      </c>
      <c r="F150" s="24"/>
      <c r="G150" s="25" t="str">
        <f>IF($D150="","",IFERROR(VLOOKUP($D150,'SAMA Capital Tracker'!$A:$D,4,FALSE()),""))</f>
        <v/>
      </c>
      <c r="H150" s="22"/>
    </row>
    <row r="151" spans="1:8">
      <c r="A151" s="21"/>
      <c r="B151" s="22"/>
      <c r="C151" s="22"/>
      <c r="D151" s="22"/>
      <c r="E151" s="23" t="str">
        <f>IF($D151="","",IFERROR(VLOOKUP($D151,'SAMA Capital Tracker'!$A:$H,8,FALSE()),""))</f>
        <v/>
      </c>
      <c r="F151" s="24"/>
      <c r="G151" s="25" t="str">
        <f>IF($D151="","",IFERROR(VLOOKUP($D151,'SAMA Capital Tracker'!$A:$D,4,FALSE()),""))</f>
        <v/>
      </c>
      <c r="H151" s="22"/>
    </row>
    <row r="152" spans="1:8">
      <c r="A152" s="21"/>
      <c r="B152" s="22"/>
      <c r="C152" s="22"/>
      <c r="D152" s="22"/>
      <c r="E152" s="23" t="str">
        <f>IF($D152="","",IFERROR(VLOOKUP($D152,'SAMA Capital Tracker'!$A:$H,8,FALSE()),""))</f>
        <v/>
      </c>
      <c r="F152" s="24"/>
      <c r="G152" s="25" t="str">
        <f>IF($D152="","",IFERROR(VLOOKUP($D152,'SAMA Capital Tracker'!$A:$D,4,FALSE()),""))</f>
        <v/>
      </c>
      <c r="H152" s="22"/>
    </row>
    <row r="153" spans="1:8">
      <c r="A153" s="21"/>
      <c r="B153" s="22"/>
      <c r="C153" s="22"/>
      <c r="D153" s="22"/>
      <c r="E153" s="23" t="str">
        <f>IF($D153="","",IFERROR(VLOOKUP($D153,'SAMA Capital Tracker'!$A:$H,8,FALSE()),""))</f>
        <v/>
      </c>
      <c r="F153" s="24"/>
      <c r="G153" s="25" t="str">
        <f>IF($D153="","",IFERROR(VLOOKUP($D153,'SAMA Capital Tracker'!$A:$D,4,FALSE()),""))</f>
        <v/>
      </c>
      <c r="H153" s="22"/>
    </row>
    <row r="154" spans="1:8">
      <c r="A154" s="21"/>
      <c r="B154" s="22"/>
      <c r="C154" s="22"/>
      <c r="D154" s="22"/>
      <c r="E154" s="23" t="str">
        <f>IF($D154="","",IFERROR(VLOOKUP($D154,'SAMA Capital Tracker'!$A:$H,8,FALSE()),""))</f>
        <v/>
      </c>
      <c r="F154" s="24"/>
      <c r="G154" s="25" t="str">
        <f>IF($D154="","",IFERROR(VLOOKUP($D154,'SAMA Capital Tracker'!$A:$D,4,FALSE()),""))</f>
        <v/>
      </c>
      <c r="H154" s="22"/>
    </row>
    <row r="155" spans="1:8">
      <c r="A155" s="21"/>
      <c r="B155" s="22"/>
      <c r="C155" s="22"/>
      <c r="D155" s="22"/>
      <c r="E155" s="23" t="str">
        <f>IF($D155="","",IFERROR(VLOOKUP($D155,'SAMA Capital Tracker'!$A:$H,8,FALSE()),""))</f>
        <v/>
      </c>
      <c r="F155" s="24"/>
      <c r="G155" s="25" t="str">
        <f>IF($D155="","",IFERROR(VLOOKUP($D155,'SAMA Capital Tracker'!$A:$D,4,FALSE()),""))</f>
        <v/>
      </c>
      <c r="H155" s="22"/>
    </row>
    <row r="156" spans="1:8">
      <c r="A156" s="21"/>
      <c r="B156" s="22"/>
      <c r="C156" s="22"/>
      <c r="D156" s="22"/>
      <c r="E156" s="23" t="str">
        <f>IF($D156="","",IFERROR(VLOOKUP($D156,'SAMA Capital Tracker'!$A:$H,8,FALSE()),""))</f>
        <v/>
      </c>
      <c r="F156" s="24"/>
      <c r="G156" s="25" t="str">
        <f>IF($D156="","",IFERROR(VLOOKUP($D156,'SAMA Capital Tracker'!$A:$D,4,FALSE()),""))</f>
        <v/>
      </c>
      <c r="H156" s="22"/>
    </row>
    <row r="157" spans="1:8">
      <c r="A157" s="21"/>
      <c r="B157" s="22"/>
      <c r="C157" s="22"/>
      <c r="D157" s="22"/>
      <c r="E157" s="23" t="str">
        <f>IF($D157="","",IFERROR(VLOOKUP($D157,'SAMA Capital Tracker'!$A:$H,8,FALSE()),""))</f>
        <v/>
      </c>
      <c r="F157" s="24"/>
      <c r="G157" s="25" t="str">
        <f>IF($D157="","",IFERROR(VLOOKUP($D157,'SAMA Capital Tracker'!$A:$D,4,FALSE()),""))</f>
        <v/>
      </c>
      <c r="H157" s="22"/>
    </row>
    <row r="158" spans="1:8">
      <c r="A158" s="21"/>
      <c r="B158" s="22"/>
      <c r="C158" s="22"/>
      <c r="D158" s="22"/>
      <c r="E158" s="23" t="str">
        <f>IF($D158="","",IFERROR(VLOOKUP($D158,'SAMA Capital Tracker'!$A:$H,8,FALSE()),""))</f>
        <v/>
      </c>
      <c r="F158" s="24"/>
      <c r="G158" s="25" t="str">
        <f>IF($D158="","",IFERROR(VLOOKUP($D158,'SAMA Capital Tracker'!$A:$D,4,FALSE()),""))</f>
        <v/>
      </c>
      <c r="H158" s="22"/>
    </row>
    <row r="159" spans="1:8">
      <c r="A159" s="21"/>
      <c r="B159" s="22"/>
      <c r="C159" s="22"/>
      <c r="D159" s="22"/>
      <c r="E159" s="23" t="str">
        <f>IF($D159="","",IFERROR(VLOOKUP($D159,'SAMA Capital Tracker'!$A:$H,8,FALSE()),""))</f>
        <v/>
      </c>
      <c r="F159" s="24"/>
      <c r="G159" s="25" t="str">
        <f>IF($D159="","",IFERROR(VLOOKUP($D159,'SAMA Capital Tracker'!$A:$D,4,FALSE()),""))</f>
        <v/>
      </c>
      <c r="H159" s="22"/>
    </row>
    <row r="160" spans="1:8">
      <c r="A160" s="21"/>
      <c r="B160" s="22"/>
      <c r="C160" s="22"/>
      <c r="D160" s="22"/>
      <c r="E160" s="23" t="str">
        <f>IF($D160="","",IFERROR(VLOOKUP($D160,'SAMA Capital Tracker'!$A:$H,8,FALSE()),""))</f>
        <v/>
      </c>
      <c r="F160" s="24"/>
      <c r="G160" s="25" t="str">
        <f>IF($D160="","",IFERROR(VLOOKUP($D160,'SAMA Capital Tracker'!$A:$D,4,FALSE()),""))</f>
        <v/>
      </c>
      <c r="H160" s="22"/>
    </row>
    <row r="161" spans="1:8">
      <c r="A161" s="21"/>
      <c r="B161" s="22"/>
      <c r="C161" s="22"/>
      <c r="D161" s="22"/>
      <c r="E161" s="23" t="str">
        <f>IF($D161="","",IFERROR(VLOOKUP($D161,'SAMA Capital Tracker'!$A:$H,8,FALSE()),""))</f>
        <v/>
      </c>
      <c r="F161" s="24"/>
      <c r="G161" s="25" t="str">
        <f>IF($D161="","",IFERROR(VLOOKUP($D161,'SAMA Capital Tracker'!$A:$D,4,FALSE()),""))</f>
        <v/>
      </c>
      <c r="H161" s="22"/>
    </row>
    <row r="162" spans="1:8">
      <c r="A162" s="21"/>
      <c r="B162" s="22"/>
      <c r="C162" s="22"/>
      <c r="D162" s="22"/>
      <c r="E162" s="23" t="str">
        <f>IF($D162="","",IFERROR(VLOOKUP($D162,'SAMA Capital Tracker'!$A:$H,8,FALSE()),""))</f>
        <v/>
      </c>
      <c r="F162" s="24"/>
      <c r="G162" s="25" t="str">
        <f>IF($D162="","",IFERROR(VLOOKUP($D162,'SAMA Capital Tracker'!$A:$D,4,FALSE()),""))</f>
        <v/>
      </c>
      <c r="H162" s="22"/>
    </row>
    <row r="163" spans="1:8">
      <c r="A163" s="21"/>
      <c r="B163" s="22"/>
      <c r="C163" s="22"/>
      <c r="D163" s="22"/>
      <c r="E163" s="23" t="str">
        <f>IF($D163="","",IFERROR(VLOOKUP($D163,'SAMA Capital Tracker'!$A:$H,8,FALSE()),""))</f>
        <v/>
      </c>
      <c r="F163" s="24"/>
      <c r="G163" s="25" t="str">
        <f>IF($D163="","",IFERROR(VLOOKUP($D163,'SAMA Capital Tracker'!$A:$D,4,FALSE()),""))</f>
        <v/>
      </c>
      <c r="H163" s="22"/>
    </row>
    <row r="164" spans="1:8">
      <c r="A164" s="21"/>
      <c r="B164" s="22"/>
      <c r="C164" s="22"/>
      <c r="D164" s="22"/>
      <c r="E164" s="23" t="str">
        <f>IF($D164="","",IFERROR(VLOOKUP($D164,'SAMA Capital Tracker'!$A:$H,8,FALSE()),""))</f>
        <v/>
      </c>
      <c r="F164" s="24"/>
      <c r="G164" s="25" t="str">
        <f>IF($D164="","",IFERROR(VLOOKUP($D164,'SAMA Capital Tracker'!$A:$D,4,FALSE()),""))</f>
        <v/>
      </c>
      <c r="H164" s="22"/>
    </row>
    <row r="165" spans="1:8">
      <c r="A165" s="21"/>
      <c r="B165" s="22"/>
      <c r="C165" s="22"/>
      <c r="D165" s="22"/>
      <c r="E165" s="23" t="str">
        <f>IF($D165="","",IFERROR(VLOOKUP($D165,'SAMA Capital Tracker'!$A:$H,8,FALSE()),""))</f>
        <v/>
      </c>
      <c r="F165" s="24"/>
      <c r="G165" s="25" t="str">
        <f>IF($D165="","",IFERROR(VLOOKUP($D165,'SAMA Capital Tracker'!$A:$D,4,FALSE()),""))</f>
        <v/>
      </c>
      <c r="H165" s="22"/>
    </row>
    <row r="166" spans="1:8">
      <c r="A166" s="21"/>
      <c r="B166" s="22"/>
      <c r="C166" s="22"/>
      <c r="D166" s="22"/>
      <c r="E166" s="23" t="str">
        <f>IF($D166="","",IFERROR(VLOOKUP($D166,'SAMA Capital Tracker'!$A:$H,8,FALSE()),""))</f>
        <v/>
      </c>
      <c r="F166" s="24"/>
      <c r="G166" s="25" t="str">
        <f>IF($D166="","",IFERROR(VLOOKUP($D166,'SAMA Capital Tracker'!$A:$D,4,FALSE()),""))</f>
        <v/>
      </c>
      <c r="H166" s="22"/>
    </row>
    <row r="167" spans="1:8">
      <c r="A167" s="21"/>
      <c r="B167" s="22"/>
      <c r="C167" s="22"/>
      <c r="D167" s="22"/>
      <c r="E167" s="23" t="str">
        <f>IF($D167="","",IFERROR(VLOOKUP($D167,'SAMA Capital Tracker'!$A:$H,8,FALSE()),""))</f>
        <v/>
      </c>
      <c r="F167" s="24"/>
      <c r="G167" s="25" t="str">
        <f>IF($D167="","",IFERROR(VLOOKUP($D167,'SAMA Capital Tracker'!$A:$D,4,FALSE()),""))</f>
        <v/>
      </c>
      <c r="H167" s="22"/>
    </row>
    <row r="168" spans="1:8">
      <c r="A168" s="21"/>
      <c r="B168" s="22"/>
      <c r="C168" s="22"/>
      <c r="D168" s="22"/>
      <c r="E168" s="23" t="str">
        <f>IF($D168="","",IFERROR(VLOOKUP($D168,'SAMA Capital Tracker'!$A:$H,8,FALSE()),""))</f>
        <v/>
      </c>
      <c r="F168" s="24"/>
      <c r="G168" s="25" t="str">
        <f>IF($D168="","",IFERROR(VLOOKUP($D168,'SAMA Capital Tracker'!$A:$D,4,FALSE()),""))</f>
        <v/>
      </c>
      <c r="H168" s="22"/>
    </row>
    <row r="169" spans="1:8">
      <c r="A169" s="21"/>
      <c r="B169" s="22"/>
      <c r="C169" s="22"/>
      <c r="D169" s="22"/>
      <c r="E169" s="23" t="str">
        <f>IF($D169="","",IFERROR(VLOOKUP($D169,'SAMA Capital Tracker'!$A:$H,8,FALSE()),""))</f>
        <v/>
      </c>
      <c r="F169" s="24"/>
      <c r="G169" s="25" t="str">
        <f>IF($D169="","",IFERROR(VLOOKUP($D169,'SAMA Capital Tracker'!$A:$D,4,FALSE()),""))</f>
        <v/>
      </c>
      <c r="H169" s="22"/>
    </row>
    <row r="170" spans="1:8">
      <c r="A170" s="21"/>
      <c r="B170" s="22"/>
      <c r="C170" s="22"/>
      <c r="D170" s="22"/>
      <c r="E170" s="23" t="str">
        <f>IF($D170="","",IFERROR(VLOOKUP($D170,'SAMA Capital Tracker'!$A:$H,8,FALSE()),""))</f>
        <v/>
      </c>
      <c r="F170" s="24"/>
      <c r="G170" s="25" t="str">
        <f>IF($D170="","",IFERROR(VLOOKUP($D170,'SAMA Capital Tracker'!$A:$D,4,FALSE()),""))</f>
        <v/>
      </c>
      <c r="H170" s="22"/>
    </row>
    <row r="171" spans="1:8">
      <c r="A171" s="21"/>
      <c r="B171" s="22"/>
      <c r="C171" s="22"/>
      <c r="D171" s="22"/>
      <c r="E171" s="23" t="str">
        <f>IF($D171="","",IFERROR(VLOOKUP($D171,'SAMA Capital Tracker'!$A:$H,8,FALSE()),""))</f>
        <v/>
      </c>
      <c r="F171" s="24"/>
      <c r="G171" s="25" t="str">
        <f>IF($D171="","",IFERROR(VLOOKUP($D171,'SAMA Capital Tracker'!$A:$D,4,FALSE()),""))</f>
        <v/>
      </c>
      <c r="H171" s="22"/>
    </row>
    <row r="172" spans="1:8">
      <c r="A172" s="21"/>
      <c r="B172" s="22"/>
      <c r="C172" s="22"/>
      <c r="D172" s="22"/>
      <c r="E172" s="23" t="str">
        <f>IF($D172="","",IFERROR(VLOOKUP($D172,'SAMA Capital Tracker'!$A:$H,8,FALSE()),""))</f>
        <v/>
      </c>
      <c r="F172" s="24"/>
      <c r="G172" s="25" t="str">
        <f>IF($D172="","",IFERROR(VLOOKUP($D172,'SAMA Capital Tracker'!$A:$D,4,FALSE()),""))</f>
        <v/>
      </c>
      <c r="H172" s="22"/>
    </row>
    <row r="173" spans="1:8">
      <c r="A173" s="21"/>
      <c r="B173" s="22"/>
      <c r="C173" s="22"/>
      <c r="D173" s="22"/>
      <c r="E173" s="23" t="str">
        <f>IF($D173="","",IFERROR(VLOOKUP($D173,'SAMA Capital Tracker'!$A:$H,8,FALSE()),""))</f>
        <v/>
      </c>
      <c r="F173" s="24"/>
      <c r="G173" s="25" t="str">
        <f>IF($D173="","",IFERROR(VLOOKUP($D173,'SAMA Capital Tracker'!$A:$D,4,FALSE()),""))</f>
        <v/>
      </c>
      <c r="H173" s="22"/>
    </row>
    <row r="174" spans="1:8">
      <c r="A174" s="21"/>
      <c r="B174" s="22"/>
      <c r="C174" s="22"/>
      <c r="D174" s="22"/>
      <c r="E174" s="23" t="str">
        <f>IF($D174="","",IFERROR(VLOOKUP($D174,'SAMA Capital Tracker'!$A:$H,8,FALSE()),""))</f>
        <v/>
      </c>
      <c r="F174" s="24"/>
      <c r="G174" s="25" t="str">
        <f>IF($D174="","",IFERROR(VLOOKUP($D174,'SAMA Capital Tracker'!$A:$D,4,FALSE()),""))</f>
        <v/>
      </c>
      <c r="H174" s="22"/>
    </row>
    <row r="175" spans="1:8">
      <c r="A175" s="21"/>
      <c r="B175" s="22"/>
      <c r="C175" s="22"/>
      <c r="D175" s="22"/>
      <c r="E175" s="23" t="str">
        <f>IF($D175="","",IFERROR(VLOOKUP($D175,'SAMA Capital Tracker'!$A:$H,8,FALSE()),""))</f>
        <v/>
      </c>
      <c r="F175" s="24"/>
      <c r="G175" s="25" t="str">
        <f>IF($D175="","",IFERROR(VLOOKUP($D175,'SAMA Capital Tracker'!$A:$D,4,FALSE()),""))</f>
        <v/>
      </c>
      <c r="H175" s="22"/>
    </row>
    <row r="176" spans="1:8">
      <c r="A176" s="21"/>
      <c r="B176" s="22"/>
      <c r="C176" s="22"/>
      <c r="D176" s="22"/>
      <c r="E176" s="23" t="str">
        <f>IF($D176="","",IFERROR(VLOOKUP($D176,'SAMA Capital Tracker'!$A:$H,8,FALSE()),""))</f>
        <v/>
      </c>
      <c r="F176" s="24"/>
      <c r="G176" s="25" t="str">
        <f>IF($D176="","",IFERROR(VLOOKUP($D176,'SAMA Capital Tracker'!$A:$D,4,FALSE()),""))</f>
        <v/>
      </c>
      <c r="H176" s="22"/>
    </row>
    <row r="177" spans="1:8">
      <c r="A177" s="21"/>
      <c r="B177" s="22"/>
      <c r="C177" s="22"/>
      <c r="D177" s="22"/>
      <c r="E177" s="23" t="str">
        <f>IF($D177="","",IFERROR(VLOOKUP($D177,'SAMA Capital Tracker'!$A:$H,8,FALSE()),""))</f>
        <v/>
      </c>
      <c r="F177" s="24"/>
      <c r="G177" s="25" t="str">
        <f>IF($D177="","",IFERROR(VLOOKUP($D177,'SAMA Capital Tracker'!$A:$D,4,FALSE()),""))</f>
        <v/>
      </c>
      <c r="H177" s="22"/>
    </row>
    <row r="178" spans="1:8">
      <c r="A178" s="21"/>
      <c r="B178" s="22"/>
      <c r="C178" s="22"/>
      <c r="D178" s="22"/>
      <c r="E178" s="23" t="str">
        <f>IF($D178="","",IFERROR(VLOOKUP($D178,'SAMA Capital Tracker'!$A:$H,8,FALSE()),""))</f>
        <v/>
      </c>
      <c r="F178" s="24"/>
      <c r="G178" s="25" t="str">
        <f>IF($D178="","",IFERROR(VLOOKUP($D178,'SAMA Capital Tracker'!$A:$D,4,FALSE()),""))</f>
        <v/>
      </c>
      <c r="H178" s="22"/>
    </row>
    <row r="179" spans="1:8">
      <c r="A179" s="21"/>
      <c r="B179" s="22"/>
      <c r="C179" s="22"/>
      <c r="D179" s="22"/>
      <c r="E179" s="23" t="str">
        <f>IF($D179="","",IFERROR(VLOOKUP($D179,'SAMA Capital Tracker'!$A:$H,8,FALSE()),""))</f>
        <v/>
      </c>
      <c r="F179" s="24"/>
      <c r="G179" s="25" t="str">
        <f>IF($D179="","",IFERROR(VLOOKUP($D179,'SAMA Capital Tracker'!$A:$D,4,FALSE()),""))</f>
        <v/>
      </c>
      <c r="H179" s="22"/>
    </row>
    <row r="180" spans="1:8">
      <c r="A180" s="21"/>
      <c r="B180" s="22"/>
      <c r="C180" s="22"/>
      <c r="D180" s="22"/>
      <c r="E180" s="23" t="str">
        <f>IF($D180="","",IFERROR(VLOOKUP($D180,'SAMA Capital Tracker'!$A:$H,8,FALSE()),""))</f>
        <v/>
      </c>
      <c r="F180" s="24"/>
      <c r="G180" s="25" t="str">
        <f>IF($D180="","",IFERROR(VLOOKUP($D180,'SAMA Capital Tracker'!$A:$D,4,FALSE()),""))</f>
        <v/>
      </c>
      <c r="H180" s="22"/>
    </row>
    <row r="181" spans="1:8">
      <c r="A181" s="21"/>
      <c r="B181" s="22"/>
      <c r="C181" s="22"/>
      <c r="D181" s="22"/>
      <c r="E181" s="23" t="str">
        <f>IF($D181="","",IFERROR(VLOOKUP($D181,'SAMA Capital Tracker'!$A:$H,8,FALSE()),""))</f>
        <v/>
      </c>
      <c r="F181" s="24"/>
      <c r="G181" s="25" t="str">
        <f>IF($D181="","",IFERROR(VLOOKUP($D181,'SAMA Capital Tracker'!$A:$D,4,FALSE()),""))</f>
        <v/>
      </c>
      <c r="H181" s="22"/>
    </row>
    <row r="182" spans="1:8">
      <c r="A182" s="21"/>
      <c r="B182" s="22"/>
      <c r="C182" s="22"/>
      <c r="D182" s="22"/>
      <c r="E182" s="23" t="str">
        <f>IF($D182="","",IFERROR(VLOOKUP($D182,'SAMA Capital Tracker'!$A:$H,8,FALSE()),""))</f>
        <v/>
      </c>
      <c r="F182" s="24"/>
      <c r="G182" s="25" t="str">
        <f>IF($D182="","",IFERROR(VLOOKUP($D182,'SAMA Capital Tracker'!$A:$D,4,FALSE()),""))</f>
        <v/>
      </c>
      <c r="H182" s="22"/>
    </row>
    <row r="183" spans="1:8">
      <c r="A183" s="21"/>
      <c r="B183" s="22"/>
      <c r="C183" s="22"/>
      <c r="D183" s="22"/>
      <c r="E183" s="23" t="str">
        <f>IF($D183="","",IFERROR(VLOOKUP($D183,'SAMA Capital Tracker'!$A:$H,8,FALSE()),""))</f>
        <v/>
      </c>
      <c r="F183" s="24"/>
      <c r="G183" s="25" t="str">
        <f>IF($D183="","",IFERROR(VLOOKUP($D183,'SAMA Capital Tracker'!$A:$D,4,FALSE()),""))</f>
        <v/>
      </c>
      <c r="H183" s="22"/>
    </row>
    <row r="184" spans="1:8">
      <c r="A184" s="21"/>
      <c r="B184" s="22"/>
      <c r="C184" s="22"/>
      <c r="D184" s="22"/>
      <c r="E184" s="23" t="str">
        <f>IF($D184="","",IFERROR(VLOOKUP($D184,'SAMA Capital Tracker'!$A:$H,8,FALSE()),""))</f>
        <v/>
      </c>
      <c r="F184" s="24"/>
      <c r="G184" s="25" t="str">
        <f>IF($D184="","",IFERROR(VLOOKUP($D184,'SAMA Capital Tracker'!$A:$D,4,FALSE()),""))</f>
        <v/>
      </c>
      <c r="H184" s="22"/>
    </row>
    <row r="185" spans="1:8">
      <c r="A185" s="21"/>
      <c r="B185" s="22"/>
      <c r="C185" s="22"/>
      <c r="D185" s="22"/>
      <c r="E185" s="23" t="str">
        <f>IF($D185="","",IFERROR(VLOOKUP($D185,'SAMA Capital Tracker'!$A:$H,8,FALSE()),""))</f>
        <v/>
      </c>
      <c r="F185" s="24"/>
      <c r="G185" s="25" t="str">
        <f>IF($D185="","",IFERROR(VLOOKUP($D185,'SAMA Capital Tracker'!$A:$D,4,FALSE()),""))</f>
        <v/>
      </c>
      <c r="H185" s="22"/>
    </row>
    <row r="186" spans="1:8">
      <c r="A186" s="21"/>
      <c r="B186" s="22"/>
      <c r="C186" s="22"/>
      <c r="D186" s="22"/>
      <c r="E186" s="23" t="str">
        <f>IF($D186="","",IFERROR(VLOOKUP($D186,'SAMA Capital Tracker'!$A:$H,8,FALSE()),""))</f>
        <v/>
      </c>
      <c r="F186" s="24"/>
      <c r="G186" s="25" t="str">
        <f>IF($D186="","",IFERROR(VLOOKUP($D186,'SAMA Capital Tracker'!$A:$D,4,FALSE()),""))</f>
        <v/>
      </c>
      <c r="H186" s="22"/>
    </row>
    <row r="187" spans="1:8">
      <c r="A187" s="21"/>
      <c r="B187" s="22"/>
      <c r="C187" s="22"/>
      <c r="D187" s="22"/>
      <c r="E187" s="23" t="str">
        <f>IF($D187="","",IFERROR(VLOOKUP($D187,'SAMA Capital Tracker'!$A:$H,8,FALSE()),""))</f>
        <v/>
      </c>
      <c r="F187" s="24"/>
      <c r="G187" s="25" t="str">
        <f>IF($D187="","",IFERROR(VLOOKUP($D187,'SAMA Capital Tracker'!$A:$D,4,FALSE()),""))</f>
        <v/>
      </c>
      <c r="H187" s="22"/>
    </row>
    <row r="188" spans="1:8">
      <c r="A188" s="21"/>
      <c r="B188" s="22"/>
      <c r="C188" s="22"/>
      <c r="D188" s="22"/>
      <c r="E188" s="23" t="str">
        <f>IF($D188="","",IFERROR(VLOOKUP($D188,'SAMA Capital Tracker'!$A:$H,8,FALSE()),""))</f>
        <v/>
      </c>
      <c r="F188" s="24"/>
      <c r="G188" s="25" t="str">
        <f>IF($D188="","",IFERROR(VLOOKUP($D188,'SAMA Capital Tracker'!$A:$D,4,FALSE()),""))</f>
        <v/>
      </c>
      <c r="H188" s="22"/>
    </row>
    <row r="189" spans="1:8">
      <c r="A189" s="21"/>
      <c r="B189" s="22"/>
      <c r="C189" s="22"/>
      <c r="D189" s="22"/>
      <c r="E189" s="23" t="str">
        <f>IF($D189="","",IFERROR(VLOOKUP($D189,'SAMA Capital Tracker'!$A:$H,8,FALSE()),""))</f>
        <v/>
      </c>
      <c r="F189" s="24"/>
      <c r="G189" s="25" t="str">
        <f>IF($D189="","",IFERROR(VLOOKUP($D189,'SAMA Capital Tracker'!$A:$D,4,FALSE()),""))</f>
        <v/>
      </c>
      <c r="H189" s="22"/>
    </row>
    <row r="190" spans="1:8">
      <c r="A190" s="21"/>
      <c r="B190" s="22"/>
      <c r="C190" s="22"/>
      <c r="D190" s="22"/>
      <c r="E190" s="23" t="str">
        <f>IF($D190="","",IFERROR(VLOOKUP($D190,'SAMA Capital Tracker'!$A:$H,8,FALSE()),""))</f>
        <v/>
      </c>
      <c r="F190" s="24"/>
      <c r="G190" s="25" t="str">
        <f>IF($D190="","",IFERROR(VLOOKUP($D190,'SAMA Capital Tracker'!$A:$D,4,FALSE()),""))</f>
        <v/>
      </c>
      <c r="H190" s="22"/>
    </row>
    <row r="191" spans="1:8">
      <c r="A191" s="21"/>
      <c r="B191" s="22"/>
      <c r="C191" s="22"/>
      <c r="D191" s="22"/>
      <c r="E191" s="23" t="str">
        <f>IF($D191="","",IFERROR(VLOOKUP($D191,'SAMA Capital Tracker'!$A:$H,8,FALSE()),""))</f>
        <v/>
      </c>
      <c r="F191" s="24"/>
      <c r="G191" s="25" t="str">
        <f>IF($D191="","",IFERROR(VLOOKUP($D191,'SAMA Capital Tracker'!$A:$D,4,FALSE()),""))</f>
        <v/>
      </c>
      <c r="H191" s="22"/>
    </row>
    <row r="192" spans="1:8">
      <c r="A192" s="21"/>
      <c r="B192" s="22"/>
      <c r="C192" s="22"/>
      <c r="D192" s="22"/>
      <c r="E192" s="23" t="str">
        <f>IF($D192="","",IFERROR(VLOOKUP($D192,'SAMA Capital Tracker'!$A:$H,8,FALSE()),""))</f>
        <v/>
      </c>
      <c r="F192" s="24"/>
      <c r="G192" s="25" t="str">
        <f>IF($D192="","",IFERROR(VLOOKUP($D192,'SAMA Capital Tracker'!$A:$D,4,FALSE()),""))</f>
        <v/>
      </c>
      <c r="H192" s="22"/>
    </row>
    <row r="193" spans="1:8">
      <c r="A193" s="21"/>
      <c r="B193" s="22"/>
      <c r="C193" s="22"/>
      <c r="D193" s="22"/>
      <c r="E193" s="23" t="str">
        <f>IF($D193="","",IFERROR(VLOOKUP($D193,'SAMA Capital Tracker'!$A:$H,8,FALSE()),""))</f>
        <v/>
      </c>
      <c r="F193" s="24"/>
      <c r="G193" s="25" t="str">
        <f>IF($D193="","",IFERROR(VLOOKUP($D193,'SAMA Capital Tracker'!$A:$D,4,FALSE()),""))</f>
        <v/>
      </c>
      <c r="H193" s="22"/>
    </row>
    <row r="194" spans="1:8">
      <c r="A194" s="21"/>
      <c r="B194" s="22"/>
      <c r="C194" s="22"/>
      <c r="D194" s="22"/>
      <c r="E194" s="23" t="str">
        <f>IF($D194="","",IFERROR(VLOOKUP($D194,'SAMA Capital Tracker'!$A:$H,8,FALSE()),""))</f>
        <v/>
      </c>
      <c r="F194" s="24"/>
      <c r="G194" s="25" t="str">
        <f>IF($D194="","",IFERROR(VLOOKUP($D194,'SAMA Capital Tracker'!$A:$D,4,FALSE()),""))</f>
        <v/>
      </c>
      <c r="H194" s="22"/>
    </row>
    <row r="195" spans="1:8">
      <c r="A195" s="21"/>
      <c r="B195" s="22"/>
      <c r="C195" s="22"/>
      <c r="D195" s="22"/>
      <c r="E195" s="23" t="str">
        <f>IF($D195="","",IFERROR(VLOOKUP($D195,'SAMA Capital Tracker'!$A:$H,8,FALSE()),""))</f>
        <v/>
      </c>
      <c r="F195" s="24"/>
      <c r="G195" s="25" t="str">
        <f>IF($D195="","",IFERROR(VLOOKUP($D195,'SAMA Capital Tracker'!$A:$D,4,FALSE()),""))</f>
        <v/>
      </c>
      <c r="H195" s="22"/>
    </row>
    <row r="196" spans="1:8">
      <c r="A196" s="21"/>
      <c r="B196" s="22"/>
      <c r="C196" s="22"/>
      <c r="D196" s="22"/>
      <c r="E196" s="23" t="str">
        <f>IF($D196="","",IFERROR(VLOOKUP($D196,'SAMA Capital Tracker'!$A:$H,8,FALSE()),""))</f>
        <v/>
      </c>
      <c r="F196" s="24"/>
      <c r="G196" s="25" t="str">
        <f>IF($D196="","",IFERROR(VLOOKUP($D196,'SAMA Capital Tracker'!$A:$D,4,FALSE()),""))</f>
        <v/>
      </c>
      <c r="H196" s="22"/>
    </row>
    <row r="197" spans="1:8">
      <c r="A197" s="21"/>
      <c r="B197" s="22"/>
      <c r="C197" s="22"/>
      <c r="D197" s="22"/>
      <c r="E197" s="23" t="str">
        <f>IF($D197="","",IFERROR(VLOOKUP($D197,'SAMA Capital Tracker'!$A:$H,8,FALSE()),""))</f>
        <v/>
      </c>
      <c r="F197" s="24"/>
      <c r="G197" s="25" t="str">
        <f>IF($D197="","",IFERROR(VLOOKUP($D197,'SAMA Capital Tracker'!$A:$D,4,FALSE()),""))</f>
        <v/>
      </c>
      <c r="H197" s="22"/>
    </row>
    <row r="198" spans="1:8">
      <c r="A198" s="21"/>
      <c r="B198" s="22"/>
      <c r="C198" s="22"/>
      <c r="D198" s="22"/>
      <c r="E198" s="23" t="str">
        <f>IF($D198="","",IFERROR(VLOOKUP($D198,'SAMA Capital Tracker'!$A:$H,8,FALSE()),""))</f>
        <v/>
      </c>
      <c r="F198" s="24"/>
      <c r="G198" s="25" t="str">
        <f>IF($D198="","",IFERROR(VLOOKUP($D198,'SAMA Capital Tracker'!$A:$D,4,FALSE()),""))</f>
        <v/>
      </c>
      <c r="H198" s="22"/>
    </row>
    <row r="199" spans="1:8">
      <c r="A199" s="21"/>
      <c r="B199" s="22"/>
      <c r="C199" s="22"/>
      <c r="D199" s="22"/>
      <c r="E199" s="23" t="str">
        <f>IF($D199="","",IFERROR(VLOOKUP($D199,'SAMA Capital Tracker'!$A:$H,8,FALSE()),""))</f>
        <v/>
      </c>
      <c r="F199" s="24"/>
      <c r="G199" s="25" t="str">
        <f>IF($D199="","",IFERROR(VLOOKUP($D199,'SAMA Capital Tracker'!$A:$D,4,FALSE()),""))</f>
        <v/>
      </c>
      <c r="H199" s="22"/>
    </row>
    <row r="200" spans="1:8">
      <c r="A200" s="21"/>
      <c r="B200" s="22"/>
      <c r="C200" s="22"/>
      <c r="D200" s="22"/>
      <c r="E200" s="23" t="str">
        <f>IF($D200="","",IFERROR(VLOOKUP($D200,'SAMA Capital Tracker'!$A:$H,8,FALSE()),""))</f>
        <v/>
      </c>
      <c r="F200" s="24"/>
      <c r="G200" s="25" t="str">
        <f>IF($D200="","",IFERROR(VLOOKUP($D200,'SAMA Capital Tracker'!$A:$D,4,FALSE()),""))</f>
        <v/>
      </c>
      <c r="H200" s="22"/>
    </row>
    <row r="201" spans="1:8">
      <c r="A201" s="21"/>
      <c r="B201" s="22"/>
      <c r="C201" s="22"/>
      <c r="D201" s="22"/>
      <c r="E201" s="23" t="str">
        <f>IF($D201="","",IFERROR(VLOOKUP($D201,'SAMA Capital Tracker'!$A:$H,8,FALSE()),""))</f>
        <v/>
      </c>
      <c r="F201" s="24"/>
      <c r="G201" s="25" t="str">
        <f>IF($D201="","",IFERROR(VLOOKUP($D201,'SAMA Capital Tracker'!$A:$D,4,FALSE()),""))</f>
        <v/>
      </c>
      <c r="H201" s="22"/>
    </row>
    <row r="202" spans="1:8">
      <c r="A202" s="21"/>
      <c r="B202" s="22"/>
      <c r="C202" s="22"/>
      <c r="D202" s="22"/>
      <c r="E202" s="23" t="str">
        <f>IF($D202="","",IFERROR(VLOOKUP($D202,'SAMA Capital Tracker'!$A:$H,8,FALSE()),""))</f>
        <v/>
      </c>
      <c r="F202" s="24"/>
      <c r="G202" s="25" t="str">
        <f>IF($D202="","",IFERROR(VLOOKUP($D202,'SAMA Capital Tracker'!$A:$D,4,FALSE()),""))</f>
        <v/>
      </c>
      <c r="H202" s="22"/>
    </row>
    <row r="203" spans="1:8">
      <c r="A203" s="21"/>
      <c r="B203" s="22"/>
      <c r="C203" s="22"/>
      <c r="D203" s="22"/>
      <c r="E203" s="23" t="str">
        <f>IF($D203="","",IFERROR(VLOOKUP($D203,'SAMA Capital Tracker'!$A:$H,8,FALSE()),""))</f>
        <v/>
      </c>
      <c r="F203" s="24"/>
      <c r="G203" s="25" t="str">
        <f>IF($D203="","",IFERROR(VLOOKUP($D203,'SAMA Capital Tracker'!$A:$D,4,FALSE()),""))</f>
        <v/>
      </c>
      <c r="H203" s="22"/>
    </row>
    <row r="204" spans="1:8">
      <c r="A204" s="21"/>
      <c r="B204" s="22"/>
      <c r="C204" s="22"/>
      <c r="D204" s="22"/>
      <c r="E204" s="23" t="str">
        <f>IF($D204="","",IFERROR(VLOOKUP($D204,'SAMA Capital Tracker'!$A:$H,8,FALSE()),""))</f>
        <v/>
      </c>
      <c r="F204" s="24"/>
      <c r="G204" s="25" t="str">
        <f>IF($D204="","",IFERROR(VLOOKUP($D204,'SAMA Capital Tracker'!$A:$D,4,FALSE()),""))</f>
        <v/>
      </c>
      <c r="H204" s="22"/>
    </row>
    <row r="205" spans="1:8">
      <c r="A205" s="21"/>
      <c r="B205" s="22"/>
      <c r="C205" s="22"/>
      <c r="D205" s="22"/>
      <c r="E205" s="23" t="str">
        <f>IF($D205="","",IFERROR(VLOOKUP($D205,'SAMA Capital Tracker'!$A:$H,8,FALSE()),""))</f>
        <v/>
      </c>
      <c r="F205" s="24"/>
      <c r="G205" s="25" t="str">
        <f>IF($D205="","",IFERROR(VLOOKUP($D205,'SAMA Capital Tracker'!$A:$D,4,FALSE()),""))</f>
        <v/>
      </c>
      <c r="H205" s="22"/>
    </row>
    <row r="206" spans="1:8">
      <c r="A206" s="21"/>
      <c r="B206" s="22"/>
      <c r="C206" s="22"/>
      <c r="D206" s="22"/>
      <c r="E206" s="23" t="str">
        <f>IF($D206="","",IFERROR(VLOOKUP($D206,'SAMA Capital Tracker'!$A:$H,8,FALSE()),""))</f>
        <v/>
      </c>
      <c r="F206" s="24"/>
      <c r="G206" s="25" t="str">
        <f>IF($D206="","",IFERROR(VLOOKUP($D206,'SAMA Capital Tracker'!$A:$D,4,FALSE()),""))</f>
        <v/>
      </c>
      <c r="H206" s="22"/>
    </row>
    <row r="207" spans="1:8">
      <c r="A207" s="21"/>
      <c r="B207" s="22"/>
      <c r="C207" s="22"/>
      <c r="D207" s="22"/>
      <c r="E207" s="23" t="str">
        <f>IF($D207="","",IFERROR(VLOOKUP($D207,'SAMA Capital Tracker'!$A:$H,8,FALSE()),""))</f>
        <v/>
      </c>
      <c r="F207" s="24"/>
      <c r="G207" s="25" t="str">
        <f>IF($D207="","",IFERROR(VLOOKUP($D207,'SAMA Capital Tracker'!$A:$D,4,FALSE()),""))</f>
        <v/>
      </c>
      <c r="H207" s="22"/>
    </row>
    <row r="208" spans="1:8">
      <c r="A208" s="21"/>
      <c r="B208" s="22"/>
      <c r="C208" s="22"/>
      <c r="D208" s="22"/>
      <c r="E208" s="23" t="str">
        <f>IF($D208="","",IFERROR(VLOOKUP($D208,'SAMA Capital Tracker'!$A:$H,8,FALSE()),""))</f>
        <v/>
      </c>
      <c r="F208" s="24"/>
      <c r="G208" s="25" t="str">
        <f>IF($D208="","",IFERROR(VLOOKUP($D208,'SAMA Capital Tracker'!$A:$D,4,FALSE()),""))</f>
        <v/>
      </c>
      <c r="H208" s="22"/>
    </row>
    <row r="209" spans="1:8">
      <c r="A209" s="21"/>
      <c r="B209" s="22"/>
      <c r="C209" s="22"/>
      <c r="D209" s="22"/>
      <c r="E209" s="23" t="str">
        <f>IF($D209="","",IFERROR(VLOOKUP($D209,'SAMA Capital Tracker'!$A:$H,8,FALSE()),""))</f>
        <v/>
      </c>
      <c r="F209" s="24"/>
      <c r="G209" s="25" t="str">
        <f>IF($D209="","",IFERROR(VLOOKUP($D209,'SAMA Capital Tracker'!$A:$D,4,FALSE()),""))</f>
        <v/>
      </c>
      <c r="H209" s="22"/>
    </row>
    <row r="210" spans="1:8">
      <c r="A210" s="21"/>
      <c r="B210" s="22"/>
      <c r="C210" s="22"/>
      <c r="D210" s="22"/>
      <c r="E210" s="23" t="str">
        <f>IF($D210="","",IFERROR(VLOOKUP($D210,'SAMA Capital Tracker'!$A:$H,8,FALSE()),""))</f>
        <v/>
      </c>
      <c r="F210" s="24"/>
      <c r="G210" s="25" t="str">
        <f>IF($D210="","",IFERROR(VLOOKUP($D210,'SAMA Capital Tracker'!$A:$D,4,FALSE()),""))</f>
        <v/>
      </c>
      <c r="H210" s="22"/>
    </row>
    <row r="211" spans="1:8">
      <c r="A211" s="21"/>
      <c r="B211" s="22"/>
      <c r="C211" s="22"/>
      <c r="D211" s="22"/>
      <c r="E211" s="23" t="str">
        <f>IF($D211="","",IFERROR(VLOOKUP($D211,'SAMA Capital Tracker'!$A:$H,8,FALSE()),""))</f>
        <v/>
      </c>
      <c r="F211" s="24"/>
      <c r="G211" s="25" t="str">
        <f>IF($D211="","",IFERROR(VLOOKUP($D211,'SAMA Capital Tracker'!$A:$D,4,FALSE()),""))</f>
        <v/>
      </c>
      <c r="H211" s="22"/>
    </row>
    <row r="212" spans="1:8">
      <c r="A212" s="21"/>
      <c r="B212" s="22"/>
      <c r="C212" s="22"/>
      <c r="D212" s="22"/>
      <c r="E212" s="23" t="str">
        <f>IF($D212="","",IFERROR(VLOOKUP($D212,'SAMA Capital Tracker'!$A:$H,8,FALSE()),""))</f>
        <v/>
      </c>
      <c r="F212" s="24"/>
      <c r="G212" s="25" t="str">
        <f>IF($D212="","",IFERROR(VLOOKUP($D212,'SAMA Capital Tracker'!$A:$D,4,FALSE()),""))</f>
        <v/>
      </c>
      <c r="H212" s="22"/>
    </row>
    <row r="213" spans="1:8">
      <c r="A213" s="21"/>
      <c r="B213" s="22"/>
      <c r="C213" s="22"/>
      <c r="D213" s="22"/>
      <c r="E213" s="23" t="str">
        <f>IF($D213="","",IFERROR(VLOOKUP($D213,'SAMA Capital Tracker'!$A:$H,8,FALSE()),""))</f>
        <v/>
      </c>
      <c r="F213" s="24"/>
      <c r="G213" s="25" t="str">
        <f>IF($D213="","",IFERROR(VLOOKUP($D213,'SAMA Capital Tracker'!$A:$D,4,FALSE()),""))</f>
        <v/>
      </c>
      <c r="H213" s="22"/>
    </row>
    <row r="214" spans="1:8">
      <c r="A214" s="21"/>
      <c r="B214" s="22"/>
      <c r="C214" s="22"/>
      <c r="D214" s="22"/>
      <c r="E214" s="23" t="str">
        <f>IF($D214="","",IFERROR(VLOOKUP($D214,'SAMA Capital Tracker'!$A:$H,8,FALSE()),""))</f>
        <v/>
      </c>
      <c r="F214" s="24"/>
      <c r="G214" s="25" t="str">
        <f>IF($D214="","",IFERROR(VLOOKUP($D214,'SAMA Capital Tracker'!$A:$D,4,FALSE()),""))</f>
        <v/>
      </c>
      <c r="H214" s="22"/>
    </row>
    <row r="215" spans="1:8">
      <c r="A215" s="21"/>
      <c r="B215" s="22"/>
      <c r="C215" s="22"/>
      <c r="D215" s="22"/>
      <c r="E215" s="23" t="str">
        <f>IF($D215="","",IFERROR(VLOOKUP($D215,'SAMA Capital Tracker'!$A:$H,8,FALSE()),""))</f>
        <v/>
      </c>
      <c r="F215" s="24"/>
      <c r="G215" s="25" t="str">
        <f>IF($D215="","",IFERROR(VLOOKUP($D215,'SAMA Capital Tracker'!$A:$D,4,FALSE()),""))</f>
        <v/>
      </c>
      <c r="H215" s="22"/>
    </row>
    <row r="216" spans="1:8">
      <c r="A216" s="21"/>
      <c r="B216" s="22"/>
      <c r="C216" s="22"/>
      <c r="D216" s="22"/>
      <c r="E216" s="23" t="str">
        <f>IF($D216="","",IFERROR(VLOOKUP($D216,'SAMA Capital Tracker'!$A:$H,8,FALSE()),""))</f>
        <v/>
      </c>
      <c r="F216" s="24"/>
      <c r="G216" s="25" t="str">
        <f>IF($D216="","",IFERROR(VLOOKUP($D216,'SAMA Capital Tracker'!$A:$D,4,FALSE()),""))</f>
        <v/>
      </c>
      <c r="H216" s="22"/>
    </row>
    <row r="217" spans="1:8">
      <c r="A217" s="21"/>
      <c r="B217" s="22"/>
      <c r="C217" s="22"/>
      <c r="D217" s="22"/>
      <c r="E217" s="23" t="str">
        <f>IF($D217="","",IFERROR(VLOOKUP($D217,'SAMA Capital Tracker'!$A:$H,8,FALSE()),""))</f>
        <v/>
      </c>
      <c r="F217" s="24"/>
      <c r="G217" s="25" t="str">
        <f>IF($D217="","",IFERROR(VLOOKUP($D217,'SAMA Capital Tracker'!$A:$D,4,FALSE()),""))</f>
        <v/>
      </c>
      <c r="H217" s="22"/>
    </row>
    <row r="218" spans="1:8">
      <c r="A218" s="21"/>
      <c r="B218" s="22"/>
      <c r="C218" s="22"/>
      <c r="D218" s="22"/>
      <c r="E218" s="23" t="str">
        <f>IF($D218="","",IFERROR(VLOOKUP($D218,'SAMA Capital Tracker'!$A:$H,8,FALSE()),""))</f>
        <v/>
      </c>
      <c r="F218" s="24"/>
      <c r="G218" s="25" t="str">
        <f>IF($D218="","",IFERROR(VLOOKUP($D218,'SAMA Capital Tracker'!$A:$D,4,FALSE()),""))</f>
        <v/>
      </c>
      <c r="H218" s="22"/>
    </row>
    <row r="219" spans="1:8">
      <c r="A219" s="21"/>
      <c r="B219" s="22"/>
      <c r="C219" s="22"/>
      <c r="D219" s="22"/>
      <c r="E219" s="23" t="str">
        <f>IF($D219="","",IFERROR(VLOOKUP($D219,'SAMA Capital Tracker'!$A:$H,8,FALSE()),""))</f>
        <v/>
      </c>
      <c r="F219" s="24"/>
      <c r="G219" s="25" t="str">
        <f>IF($D219="","",IFERROR(VLOOKUP($D219,'SAMA Capital Tracker'!$A:$D,4,FALSE()),""))</f>
        <v/>
      </c>
      <c r="H219" s="22"/>
    </row>
    <row r="220" spans="1:8">
      <c r="A220" s="21"/>
      <c r="B220" s="22"/>
      <c r="C220" s="22"/>
      <c r="D220" s="22"/>
      <c r="E220" s="23" t="str">
        <f>IF($D220="","",IFERROR(VLOOKUP($D220,'SAMA Capital Tracker'!$A:$H,8,FALSE()),""))</f>
        <v/>
      </c>
      <c r="F220" s="24"/>
      <c r="G220" s="25" t="str">
        <f>IF($D220="","",IFERROR(VLOOKUP($D220,'SAMA Capital Tracker'!$A:$D,4,FALSE()),""))</f>
        <v/>
      </c>
      <c r="H220" s="22"/>
    </row>
    <row r="221" spans="1:8">
      <c r="A221" s="21"/>
      <c r="B221" s="22"/>
      <c r="C221" s="22"/>
      <c r="D221" s="22"/>
      <c r="E221" s="23" t="str">
        <f>IF($D221="","",IFERROR(VLOOKUP($D221,'SAMA Capital Tracker'!$A:$H,8,FALSE()),""))</f>
        <v/>
      </c>
      <c r="F221" s="24"/>
      <c r="G221" s="25" t="str">
        <f>IF($D221="","",IFERROR(VLOOKUP($D221,'SAMA Capital Tracker'!$A:$D,4,FALSE()),""))</f>
        <v/>
      </c>
      <c r="H221" s="22"/>
    </row>
    <row r="222" spans="1:8">
      <c r="A222" s="21"/>
      <c r="B222" s="22"/>
      <c r="C222" s="22"/>
      <c r="D222" s="22"/>
      <c r="E222" s="23" t="str">
        <f>IF($D222="","",IFERROR(VLOOKUP($D222,'SAMA Capital Tracker'!$A:$H,8,FALSE()),""))</f>
        <v/>
      </c>
      <c r="F222" s="24"/>
      <c r="G222" s="25" t="str">
        <f>IF($D222="","",IFERROR(VLOOKUP($D222,'SAMA Capital Tracker'!$A:$D,4,FALSE()),""))</f>
        <v/>
      </c>
      <c r="H222" s="22"/>
    </row>
    <row r="223" spans="1:8">
      <c r="A223" s="21"/>
      <c r="B223" s="22"/>
      <c r="C223" s="22"/>
      <c r="D223" s="22"/>
      <c r="E223" s="23" t="str">
        <f>IF($D223="","",IFERROR(VLOOKUP($D223,'SAMA Capital Tracker'!$A:$H,8,FALSE()),""))</f>
        <v/>
      </c>
      <c r="F223" s="24"/>
      <c r="G223" s="25" t="str">
        <f>IF($D223="","",IFERROR(VLOOKUP($D223,'SAMA Capital Tracker'!$A:$D,4,FALSE()),""))</f>
        <v/>
      </c>
      <c r="H223" s="22"/>
    </row>
    <row r="224" spans="1:8">
      <c r="A224" s="21"/>
      <c r="B224" s="22"/>
      <c r="C224" s="22"/>
      <c r="D224" s="22"/>
      <c r="E224" s="23" t="str">
        <f>IF($D224="","",IFERROR(VLOOKUP($D224,'SAMA Capital Tracker'!$A:$H,8,FALSE()),""))</f>
        <v/>
      </c>
      <c r="F224" s="24"/>
      <c r="G224" s="25" t="str">
        <f>IF($D224="","",IFERROR(VLOOKUP($D224,'SAMA Capital Tracker'!$A:$D,4,FALSE()),""))</f>
        <v/>
      </c>
      <c r="H224" s="22"/>
    </row>
    <row r="225" spans="1:8">
      <c r="A225" s="21"/>
      <c r="B225" s="22"/>
      <c r="C225" s="22"/>
      <c r="D225" s="22"/>
      <c r="E225" s="23" t="str">
        <f>IF($D225="","",IFERROR(VLOOKUP($D225,'SAMA Capital Tracker'!$A:$H,8,FALSE()),""))</f>
        <v/>
      </c>
      <c r="F225" s="24"/>
      <c r="G225" s="25" t="str">
        <f>IF($D225="","",IFERROR(VLOOKUP($D225,'SAMA Capital Tracker'!$A:$D,4,FALSE()),""))</f>
        <v/>
      </c>
      <c r="H225" s="22"/>
    </row>
    <row r="226" spans="1:8">
      <c r="A226" s="21"/>
      <c r="B226" s="22"/>
      <c r="C226" s="22"/>
      <c r="D226" s="22"/>
      <c r="E226" s="23" t="str">
        <f>IF($D226="","",IFERROR(VLOOKUP($D226,'SAMA Capital Tracker'!$A:$H,8,FALSE()),""))</f>
        <v/>
      </c>
      <c r="F226" s="24"/>
      <c r="G226" s="25" t="str">
        <f>IF($D226="","",IFERROR(VLOOKUP($D226,'SAMA Capital Tracker'!$A:$D,4,FALSE()),""))</f>
        <v/>
      </c>
      <c r="H226" s="22"/>
    </row>
    <row r="227" spans="1:8">
      <c r="A227" s="21"/>
      <c r="B227" s="22"/>
      <c r="C227" s="22"/>
      <c r="D227" s="22"/>
      <c r="E227" s="23" t="str">
        <f>IF($D227="","",IFERROR(VLOOKUP($D227,'SAMA Capital Tracker'!$A:$H,8,FALSE()),""))</f>
        <v/>
      </c>
      <c r="F227" s="24"/>
      <c r="G227" s="25" t="str">
        <f>IF($D227="","",IFERROR(VLOOKUP($D227,'SAMA Capital Tracker'!$A:$D,4,FALSE()),""))</f>
        <v/>
      </c>
      <c r="H227" s="22"/>
    </row>
    <row r="228" spans="1:8">
      <c r="A228" s="21"/>
      <c r="B228" s="22"/>
      <c r="C228" s="22"/>
      <c r="D228" s="22"/>
      <c r="E228" s="23" t="str">
        <f>IF($D228="","",IFERROR(VLOOKUP($D228,'SAMA Capital Tracker'!$A:$H,8,FALSE()),""))</f>
        <v/>
      </c>
      <c r="F228" s="24"/>
      <c r="G228" s="25" t="str">
        <f>IF($D228="","",IFERROR(VLOOKUP($D228,'SAMA Capital Tracker'!$A:$D,4,FALSE()),""))</f>
        <v/>
      </c>
      <c r="H228" s="22"/>
    </row>
    <row r="229" spans="1:8">
      <c r="A229" s="21"/>
      <c r="B229" s="22"/>
      <c r="C229" s="22"/>
      <c r="D229" s="22"/>
      <c r="E229" s="23" t="str">
        <f>IF($D229="","",IFERROR(VLOOKUP($D229,'SAMA Capital Tracker'!$A:$H,8,FALSE()),""))</f>
        <v/>
      </c>
      <c r="F229" s="24"/>
      <c r="G229" s="25" t="str">
        <f>IF($D229="","",IFERROR(VLOOKUP($D229,'SAMA Capital Tracker'!$A:$D,4,FALSE()),""))</f>
        <v/>
      </c>
      <c r="H229" s="22"/>
    </row>
    <row r="230" spans="1:8">
      <c r="A230" s="21"/>
      <c r="B230" s="22"/>
      <c r="C230" s="22"/>
      <c r="D230" s="22"/>
      <c r="E230" s="23" t="str">
        <f>IF($D230="","",IFERROR(VLOOKUP($D230,'SAMA Capital Tracker'!$A:$H,8,FALSE()),""))</f>
        <v/>
      </c>
      <c r="F230" s="24"/>
      <c r="G230" s="25" t="str">
        <f>IF($D230="","",IFERROR(VLOOKUP($D230,'SAMA Capital Tracker'!$A:$D,4,FALSE()),""))</f>
        <v/>
      </c>
      <c r="H230" s="22"/>
    </row>
    <row r="231" spans="1:8">
      <c r="A231" s="21"/>
      <c r="B231" s="22"/>
      <c r="C231" s="22"/>
      <c r="D231" s="22"/>
      <c r="E231" s="23" t="str">
        <f>IF($D231="","",IFERROR(VLOOKUP($D231,'SAMA Capital Tracker'!$A:$H,8,FALSE()),""))</f>
        <v/>
      </c>
      <c r="F231" s="24"/>
      <c r="G231" s="25" t="str">
        <f>IF($D231="","",IFERROR(VLOOKUP($D231,'SAMA Capital Tracker'!$A:$D,4,FALSE()),""))</f>
        <v/>
      </c>
      <c r="H231" s="22"/>
    </row>
    <row r="232" spans="1:8">
      <c r="A232" s="21"/>
      <c r="B232" s="22"/>
      <c r="C232" s="22"/>
      <c r="D232" s="22"/>
      <c r="E232" s="23" t="str">
        <f>IF($D232="","",IFERROR(VLOOKUP($D232,'SAMA Capital Tracker'!$A:$H,8,FALSE()),""))</f>
        <v/>
      </c>
      <c r="F232" s="24"/>
      <c r="G232" s="25" t="str">
        <f>IF($D232="","",IFERROR(VLOOKUP($D232,'SAMA Capital Tracker'!$A:$D,4,FALSE()),""))</f>
        <v/>
      </c>
      <c r="H232" s="22"/>
    </row>
    <row r="233" spans="1:8">
      <c r="A233" s="21"/>
      <c r="B233" s="22"/>
      <c r="C233" s="22"/>
      <c r="D233" s="22"/>
      <c r="E233" s="23" t="str">
        <f>IF($D233="","",IFERROR(VLOOKUP($D233,'SAMA Capital Tracker'!$A:$H,8,FALSE()),""))</f>
        <v/>
      </c>
      <c r="F233" s="24"/>
      <c r="G233" s="25" t="str">
        <f>IF($D233="","",IFERROR(VLOOKUP($D233,'SAMA Capital Tracker'!$A:$D,4,FALSE()),""))</f>
        <v/>
      </c>
      <c r="H233" s="22"/>
    </row>
    <row r="234" spans="1:8">
      <c r="A234" s="21"/>
      <c r="B234" s="22"/>
      <c r="C234" s="22"/>
      <c r="D234" s="22"/>
      <c r="E234" s="23" t="str">
        <f>IF($D234="","",IFERROR(VLOOKUP($D234,'SAMA Capital Tracker'!$A:$H,8,FALSE()),""))</f>
        <v/>
      </c>
      <c r="F234" s="24"/>
      <c r="G234" s="25" t="str">
        <f>IF($D234="","",IFERROR(VLOOKUP($D234,'SAMA Capital Tracker'!$A:$D,4,FALSE()),""))</f>
        <v/>
      </c>
      <c r="H234" s="22"/>
    </row>
    <row r="235" spans="1:8">
      <c r="A235" s="21"/>
      <c r="B235" s="22"/>
      <c r="C235" s="22"/>
      <c r="D235" s="22"/>
      <c r="E235" s="23" t="str">
        <f>IF($D235="","",IFERROR(VLOOKUP($D235,'SAMA Capital Tracker'!$A:$H,8,FALSE()),""))</f>
        <v/>
      </c>
      <c r="F235" s="24"/>
      <c r="G235" s="25" t="str">
        <f>IF($D235="","",IFERROR(VLOOKUP($D235,'SAMA Capital Tracker'!$A:$D,4,FALSE()),""))</f>
        <v/>
      </c>
      <c r="H235" s="22"/>
    </row>
    <row r="236" spans="1:8">
      <c r="A236" s="21"/>
      <c r="B236" s="22"/>
      <c r="C236" s="22"/>
      <c r="D236" s="22"/>
      <c r="E236" s="23" t="str">
        <f>IF($D236="","",IFERROR(VLOOKUP($D236,'SAMA Capital Tracker'!$A:$H,8,FALSE()),""))</f>
        <v/>
      </c>
      <c r="F236" s="24"/>
      <c r="G236" s="25" t="str">
        <f>IF($D236="","",IFERROR(VLOOKUP($D236,'SAMA Capital Tracker'!$A:$D,4,FALSE()),""))</f>
        <v/>
      </c>
      <c r="H236" s="22"/>
    </row>
    <row r="237" spans="1:8">
      <c r="A237" s="21"/>
      <c r="B237" s="22"/>
      <c r="C237" s="22"/>
      <c r="D237" s="22"/>
      <c r="E237" s="23" t="str">
        <f>IF($D237="","",IFERROR(VLOOKUP($D237,'SAMA Capital Tracker'!$A:$H,8,FALSE()),""))</f>
        <v/>
      </c>
      <c r="F237" s="24"/>
      <c r="G237" s="25" t="str">
        <f>IF($D237="","",IFERROR(VLOOKUP($D237,'SAMA Capital Tracker'!$A:$D,4,FALSE()),""))</f>
        <v/>
      </c>
      <c r="H237" s="22"/>
    </row>
    <row r="238" spans="1:8">
      <c r="A238" s="21"/>
      <c r="B238" s="22"/>
      <c r="C238" s="22"/>
      <c r="D238" s="22"/>
      <c r="E238" s="23" t="str">
        <f>IF($D238="","",IFERROR(VLOOKUP($D238,'SAMA Capital Tracker'!$A:$H,8,FALSE()),""))</f>
        <v/>
      </c>
      <c r="F238" s="24"/>
      <c r="G238" s="25" t="str">
        <f>IF($D238="","",IFERROR(VLOOKUP($D238,'SAMA Capital Tracker'!$A:$D,4,FALSE()),""))</f>
        <v/>
      </c>
      <c r="H238" s="22"/>
    </row>
    <row r="239" spans="1:8">
      <c r="A239" s="21"/>
      <c r="B239" s="22"/>
      <c r="C239" s="22"/>
      <c r="D239" s="22"/>
      <c r="E239" s="23" t="str">
        <f>IF($D239="","",IFERROR(VLOOKUP($D239,'SAMA Capital Tracker'!$A:$H,8,FALSE()),""))</f>
        <v/>
      </c>
      <c r="F239" s="24"/>
      <c r="G239" s="25" t="str">
        <f>IF($D239="","",IFERROR(VLOOKUP($D239,'SAMA Capital Tracker'!$A:$D,4,FALSE()),""))</f>
        <v/>
      </c>
      <c r="H239" s="22"/>
    </row>
    <row r="240" spans="1:8">
      <c r="A240" s="21"/>
      <c r="B240" s="22"/>
      <c r="C240" s="22"/>
      <c r="D240" s="22"/>
      <c r="E240" s="23" t="str">
        <f>IF($D240="","",IFERROR(VLOOKUP($D240,'SAMA Capital Tracker'!$A:$H,8,FALSE()),""))</f>
        <v/>
      </c>
      <c r="F240" s="24"/>
      <c r="G240" s="25" t="str">
        <f>IF($D240="","",IFERROR(VLOOKUP($D240,'SAMA Capital Tracker'!$A:$D,4,FALSE()),""))</f>
        <v/>
      </c>
      <c r="H240" s="22"/>
    </row>
    <row r="241" spans="1:8">
      <c r="A241" s="21"/>
      <c r="B241" s="22"/>
      <c r="C241" s="22"/>
      <c r="D241" s="22"/>
      <c r="E241" s="23" t="str">
        <f>IF($D241="","",IFERROR(VLOOKUP($D241,'SAMA Capital Tracker'!$A:$H,8,FALSE()),""))</f>
        <v/>
      </c>
      <c r="F241" s="24"/>
      <c r="G241" s="25" t="str">
        <f>IF($D241="","",IFERROR(VLOOKUP($D241,'SAMA Capital Tracker'!$A:$D,4,FALSE()),""))</f>
        <v/>
      </c>
      <c r="H241" s="22"/>
    </row>
    <row r="242" spans="1:8">
      <c r="A242" s="21"/>
      <c r="B242" s="22"/>
      <c r="C242" s="22"/>
      <c r="D242" s="22"/>
      <c r="E242" s="23" t="str">
        <f>IF($D242="","",IFERROR(VLOOKUP($D242,'SAMA Capital Tracker'!$A:$H,8,FALSE()),""))</f>
        <v/>
      </c>
      <c r="F242" s="24"/>
      <c r="G242" s="25" t="str">
        <f>IF($D242="","",IFERROR(VLOOKUP($D242,'SAMA Capital Tracker'!$A:$D,4,FALSE()),""))</f>
        <v/>
      </c>
      <c r="H242" s="22"/>
    </row>
    <row r="243" spans="1:8">
      <c r="A243" s="21"/>
      <c r="B243" s="22"/>
      <c r="C243" s="22"/>
      <c r="D243" s="22"/>
      <c r="E243" s="23" t="str">
        <f>IF($D243="","",IFERROR(VLOOKUP($D243,'SAMA Capital Tracker'!$A:$H,8,FALSE()),""))</f>
        <v/>
      </c>
      <c r="F243" s="24"/>
      <c r="G243" s="25" t="str">
        <f>IF($D243="","",IFERROR(VLOOKUP($D243,'SAMA Capital Tracker'!$A:$D,4,FALSE()),""))</f>
        <v/>
      </c>
      <c r="H243" s="22"/>
    </row>
    <row r="244" spans="1:8">
      <c r="A244" s="21"/>
      <c r="B244" s="22"/>
      <c r="C244" s="22"/>
      <c r="D244" s="22"/>
      <c r="E244" s="23" t="str">
        <f>IF($D244="","",IFERROR(VLOOKUP($D244,'SAMA Capital Tracker'!$A:$H,8,FALSE()),""))</f>
        <v/>
      </c>
      <c r="F244" s="24"/>
      <c r="G244" s="25" t="str">
        <f>IF($D244="","",IFERROR(VLOOKUP($D244,'SAMA Capital Tracker'!$A:$D,4,FALSE()),""))</f>
        <v/>
      </c>
      <c r="H244" s="22"/>
    </row>
    <row r="245" spans="1:8">
      <c r="A245" s="21"/>
      <c r="B245" s="22"/>
      <c r="C245" s="22"/>
      <c r="D245" s="22"/>
      <c r="E245" s="23" t="str">
        <f>IF($D245="","",IFERROR(VLOOKUP($D245,'SAMA Capital Tracker'!$A:$H,8,FALSE()),""))</f>
        <v/>
      </c>
      <c r="F245" s="24"/>
      <c r="G245" s="25" t="str">
        <f>IF($D245="","",IFERROR(VLOOKUP($D245,'SAMA Capital Tracker'!$A:$D,4,FALSE()),""))</f>
        <v/>
      </c>
      <c r="H245" s="22"/>
    </row>
    <row r="246" spans="1:8">
      <c r="A246" s="21"/>
      <c r="B246" s="22"/>
      <c r="C246" s="22"/>
      <c r="D246" s="22"/>
      <c r="E246" s="23" t="str">
        <f>IF($D246="","",IFERROR(VLOOKUP($D246,'SAMA Capital Tracker'!$A:$H,8,FALSE()),""))</f>
        <v/>
      </c>
      <c r="F246" s="24"/>
      <c r="G246" s="25" t="str">
        <f>IF($D246="","",IFERROR(VLOOKUP($D246,'SAMA Capital Tracker'!$A:$D,4,FALSE()),""))</f>
        <v/>
      </c>
      <c r="H246" s="22"/>
    </row>
    <row r="247" spans="1:8">
      <c r="A247" s="21"/>
      <c r="B247" s="22"/>
      <c r="C247" s="22"/>
      <c r="D247" s="22"/>
      <c r="E247" s="23" t="str">
        <f>IF($D247="","",IFERROR(VLOOKUP($D247,'SAMA Capital Tracker'!$A:$H,8,FALSE()),""))</f>
        <v/>
      </c>
      <c r="F247" s="24"/>
      <c r="G247" s="25" t="str">
        <f>IF($D247="","",IFERROR(VLOOKUP($D247,'SAMA Capital Tracker'!$A:$D,4,FALSE()),""))</f>
        <v/>
      </c>
      <c r="H247" s="22"/>
    </row>
    <row r="248" spans="1:8">
      <c r="A248" s="21"/>
      <c r="B248" s="22"/>
      <c r="C248" s="22"/>
      <c r="D248" s="22"/>
      <c r="E248" s="23" t="str">
        <f>IF($D248="","",IFERROR(VLOOKUP($D248,'SAMA Capital Tracker'!$A:$H,8,FALSE()),""))</f>
        <v/>
      </c>
      <c r="F248" s="24"/>
      <c r="G248" s="25" t="str">
        <f>IF($D248="","",IFERROR(VLOOKUP($D248,'SAMA Capital Tracker'!$A:$D,4,FALSE()),""))</f>
        <v/>
      </c>
      <c r="H248" s="22"/>
    </row>
    <row r="249" spans="1:8">
      <c r="A249" s="21"/>
      <c r="B249" s="22"/>
      <c r="C249" s="22"/>
      <c r="D249" s="22"/>
      <c r="E249" s="23" t="str">
        <f>IF($D249="","",IFERROR(VLOOKUP($D249,'SAMA Capital Tracker'!$A:$H,8,FALSE()),""))</f>
        <v/>
      </c>
      <c r="F249" s="24"/>
      <c r="G249" s="25" t="str">
        <f>IF($D249="","",IFERROR(VLOOKUP($D249,'SAMA Capital Tracker'!$A:$D,4,FALSE()),""))</f>
        <v/>
      </c>
      <c r="H249" s="22"/>
    </row>
    <row r="250" spans="1:8">
      <c r="A250" s="21"/>
      <c r="B250" s="22"/>
      <c r="C250" s="22"/>
      <c r="D250" s="22"/>
      <c r="E250" s="23" t="str">
        <f>IF($D250="","",IFERROR(VLOOKUP($D250,'SAMA Capital Tracker'!$A:$H,8,FALSE()),""))</f>
        <v/>
      </c>
      <c r="F250" s="24"/>
      <c r="G250" s="25" t="str">
        <f>IF($D250="","",IFERROR(VLOOKUP($D250,'SAMA Capital Tracker'!$A:$D,4,FALSE()),""))</f>
        <v/>
      </c>
      <c r="H250" s="22"/>
    </row>
    <row r="251" spans="1:8">
      <c r="A251" s="21"/>
      <c r="B251" s="22"/>
      <c r="C251" s="22"/>
      <c r="D251" s="22"/>
      <c r="E251" s="23" t="str">
        <f>IF($D251="","",IFERROR(VLOOKUP($D251,'SAMA Capital Tracker'!$A:$H,8,FALSE()),""))</f>
        <v/>
      </c>
      <c r="F251" s="24"/>
      <c r="G251" s="25" t="str">
        <f>IF($D251="","",IFERROR(VLOOKUP($D251,'SAMA Capital Tracker'!$A:$D,4,FALSE()),""))</f>
        <v/>
      </c>
      <c r="H251" s="22"/>
    </row>
    <row r="252" spans="1:8">
      <c r="A252" s="21"/>
      <c r="B252" s="22"/>
      <c r="C252" s="22"/>
      <c r="D252" s="22"/>
      <c r="E252" s="23" t="str">
        <f>IF($D252="","",IFERROR(VLOOKUP($D252,'SAMA Capital Tracker'!$A:$H,8,FALSE()),""))</f>
        <v/>
      </c>
      <c r="F252" s="24"/>
      <c r="G252" s="25" t="str">
        <f>IF($D252="","",IFERROR(VLOOKUP($D252,'SAMA Capital Tracker'!$A:$D,4,FALSE()),""))</f>
        <v/>
      </c>
      <c r="H252" s="22"/>
    </row>
    <row r="253" spans="1:8">
      <c r="A253" s="21"/>
      <c r="B253" s="22"/>
      <c r="C253" s="22"/>
      <c r="D253" s="22"/>
      <c r="E253" s="23" t="str">
        <f>IF($D253="","",IFERROR(VLOOKUP($D253,'SAMA Capital Tracker'!$A:$H,8,FALSE()),""))</f>
        <v/>
      </c>
      <c r="F253" s="24"/>
      <c r="G253" s="25" t="str">
        <f>IF($D253="","",IFERROR(VLOOKUP($D253,'SAMA Capital Tracker'!$A:$D,4,FALSE()),""))</f>
        <v/>
      </c>
      <c r="H253" s="22"/>
    </row>
    <row r="254" spans="1:8">
      <c r="A254" s="21"/>
      <c r="B254" s="22"/>
      <c r="C254" s="22"/>
      <c r="D254" s="22"/>
      <c r="E254" s="23" t="str">
        <f>IF($D254="","",IFERROR(VLOOKUP($D254,'SAMA Capital Tracker'!$A:$H,8,FALSE()),""))</f>
        <v/>
      </c>
      <c r="F254" s="24"/>
      <c r="G254" s="25" t="str">
        <f>IF($D254="","",IFERROR(VLOOKUP($D254,'SAMA Capital Tracker'!$A:$D,4,FALSE()),""))</f>
        <v/>
      </c>
      <c r="H254" s="22"/>
    </row>
    <row r="255" spans="1:8">
      <c r="A255" s="21"/>
      <c r="B255" s="22"/>
      <c r="C255" s="22"/>
      <c r="D255" s="22"/>
      <c r="E255" s="23" t="str">
        <f>IF($D255="","",IFERROR(VLOOKUP($D255,'SAMA Capital Tracker'!$A:$H,8,FALSE()),""))</f>
        <v/>
      </c>
      <c r="F255" s="24"/>
      <c r="G255" s="25" t="str">
        <f>IF($D255="","",IFERROR(VLOOKUP($D255,'SAMA Capital Tracker'!$A:$D,4,FALSE()),""))</f>
        <v/>
      </c>
      <c r="H255" s="22"/>
    </row>
    <row r="256" spans="1:8">
      <c r="A256" s="21"/>
      <c r="B256" s="22"/>
      <c r="C256" s="22"/>
      <c r="D256" s="22"/>
      <c r="E256" s="23" t="str">
        <f>IF($D256="","",IFERROR(VLOOKUP($D256,'SAMA Capital Tracker'!$A:$H,8,FALSE()),""))</f>
        <v/>
      </c>
      <c r="F256" s="24"/>
      <c r="G256" s="25" t="str">
        <f>IF($D256="","",IFERROR(VLOOKUP($D256,'SAMA Capital Tracker'!$A:$D,4,FALSE()),""))</f>
        <v/>
      </c>
      <c r="H256" s="22"/>
    </row>
    <row r="257" spans="1:8">
      <c r="A257" s="21"/>
      <c r="B257" s="22"/>
      <c r="C257" s="22"/>
      <c r="D257" s="22"/>
      <c r="E257" s="23" t="str">
        <f>IF($D257="","",IFERROR(VLOOKUP($D257,'SAMA Capital Tracker'!$A:$H,8,FALSE()),""))</f>
        <v/>
      </c>
      <c r="F257" s="24"/>
      <c r="G257" s="25" t="str">
        <f>IF($D257="","",IFERROR(VLOOKUP($D257,'SAMA Capital Tracker'!$A:$D,4,FALSE()),""))</f>
        <v/>
      </c>
      <c r="H257" s="22"/>
    </row>
    <row r="258" spans="1:8">
      <c r="A258" s="21"/>
      <c r="B258" s="22"/>
      <c r="C258" s="22"/>
      <c r="D258" s="22"/>
      <c r="E258" s="23" t="str">
        <f>IF($D258="","",IFERROR(VLOOKUP($D258,'SAMA Capital Tracker'!$A:$H,8,FALSE()),""))</f>
        <v/>
      </c>
      <c r="F258" s="24"/>
      <c r="G258" s="25" t="str">
        <f>IF($D258="","",IFERROR(VLOOKUP($D258,'SAMA Capital Tracker'!$A:$D,4,FALSE()),""))</f>
        <v/>
      </c>
      <c r="H258" s="22"/>
    </row>
    <row r="259" spans="1:8">
      <c r="A259" s="21"/>
      <c r="B259" s="22"/>
      <c r="C259" s="22"/>
      <c r="D259" s="22"/>
      <c r="E259" s="23" t="str">
        <f>IF($D259="","",IFERROR(VLOOKUP($D259,'SAMA Capital Tracker'!$A:$H,8,FALSE()),""))</f>
        <v/>
      </c>
      <c r="F259" s="24"/>
      <c r="G259" s="25" t="str">
        <f>IF($D259="","",IFERROR(VLOOKUP($D259,'SAMA Capital Tracker'!$A:$D,4,FALSE()),""))</f>
        <v/>
      </c>
      <c r="H259" s="22"/>
    </row>
    <row r="260" spans="1:8">
      <c r="A260" s="21"/>
      <c r="B260" s="22"/>
      <c r="C260" s="22"/>
      <c r="D260" s="22"/>
      <c r="E260" s="23" t="str">
        <f>IF($D260="","",IFERROR(VLOOKUP($D260,'SAMA Capital Tracker'!$A:$H,8,FALSE()),""))</f>
        <v/>
      </c>
      <c r="F260" s="24"/>
      <c r="G260" s="25" t="str">
        <f>IF($D260="","",IFERROR(VLOOKUP($D260,'SAMA Capital Tracker'!$A:$D,4,FALSE()),""))</f>
        <v/>
      </c>
      <c r="H260" s="22"/>
    </row>
    <row r="261" spans="1:8">
      <c r="A261" s="21"/>
      <c r="B261" s="22"/>
      <c r="C261" s="22"/>
      <c r="D261" s="22"/>
      <c r="E261" s="23" t="str">
        <f>IF($D261="","",IFERROR(VLOOKUP($D261,'SAMA Capital Tracker'!$A:$H,8,FALSE()),""))</f>
        <v/>
      </c>
      <c r="F261" s="24"/>
      <c r="G261" s="25" t="str">
        <f>IF($D261="","",IFERROR(VLOOKUP($D261,'SAMA Capital Tracker'!$A:$D,4,FALSE()),""))</f>
        <v/>
      </c>
      <c r="H261" s="22"/>
    </row>
    <row r="262" spans="1:8">
      <c r="A262" s="21"/>
      <c r="B262" s="22"/>
      <c r="C262" s="22"/>
      <c r="D262" s="22"/>
      <c r="E262" s="23" t="str">
        <f>IF($D262="","",IFERROR(VLOOKUP($D262,'SAMA Capital Tracker'!$A:$H,8,FALSE()),""))</f>
        <v/>
      </c>
      <c r="F262" s="24"/>
      <c r="G262" s="25" t="str">
        <f>IF($D262="","",IFERROR(VLOOKUP($D262,'SAMA Capital Tracker'!$A:$D,4,FALSE()),""))</f>
        <v/>
      </c>
      <c r="H262" s="22"/>
    </row>
    <row r="263" spans="1:8">
      <c r="A263" s="21"/>
      <c r="B263" s="22"/>
      <c r="C263" s="22"/>
      <c r="D263" s="22"/>
      <c r="E263" s="23" t="str">
        <f>IF($D263="","",IFERROR(VLOOKUP($D263,'SAMA Capital Tracker'!$A:$H,8,FALSE()),""))</f>
        <v/>
      </c>
      <c r="F263" s="24"/>
      <c r="G263" s="25" t="str">
        <f>IF($D263="","",IFERROR(VLOOKUP($D263,'SAMA Capital Tracker'!$A:$D,4,FALSE()),""))</f>
        <v/>
      </c>
      <c r="H263" s="22"/>
    </row>
    <row r="264" spans="1:8">
      <c r="A264" s="21"/>
      <c r="B264" s="22"/>
      <c r="C264" s="22"/>
      <c r="D264" s="22"/>
      <c r="E264" s="23" t="str">
        <f>IF($D264="","",IFERROR(VLOOKUP($D264,'SAMA Capital Tracker'!$A:$H,8,FALSE()),""))</f>
        <v/>
      </c>
      <c r="F264" s="24"/>
      <c r="G264" s="25" t="str">
        <f>IF($D264="","",IFERROR(VLOOKUP($D264,'SAMA Capital Tracker'!$A:$D,4,FALSE()),""))</f>
        <v/>
      </c>
      <c r="H264" s="22"/>
    </row>
    <row r="265" spans="1:8">
      <c r="A265" s="21"/>
      <c r="B265" s="22"/>
      <c r="C265" s="22"/>
      <c r="D265" s="22"/>
      <c r="E265" s="23" t="str">
        <f>IF($D265="","",IFERROR(VLOOKUP($D265,'SAMA Capital Tracker'!$A:$H,8,FALSE()),""))</f>
        <v/>
      </c>
      <c r="F265" s="24"/>
      <c r="G265" s="25" t="str">
        <f>IF($D265="","",IFERROR(VLOOKUP($D265,'SAMA Capital Tracker'!$A:$D,4,FALSE()),""))</f>
        <v/>
      </c>
      <c r="H265" s="22"/>
    </row>
    <row r="266" spans="1:8">
      <c r="A266" s="21"/>
      <c r="B266" s="22"/>
      <c r="C266" s="22"/>
      <c r="D266" s="22"/>
      <c r="E266" s="23" t="str">
        <f>IF($D266="","",IFERROR(VLOOKUP($D266,'SAMA Capital Tracker'!$A:$H,8,FALSE()),""))</f>
        <v/>
      </c>
      <c r="F266" s="24"/>
      <c r="G266" s="25" t="str">
        <f>IF($D266="","",IFERROR(VLOOKUP($D266,'SAMA Capital Tracker'!$A:$D,4,FALSE()),""))</f>
        <v/>
      </c>
      <c r="H266" s="22"/>
    </row>
    <row r="267" spans="1:8">
      <c r="A267" s="21"/>
      <c r="B267" s="22"/>
      <c r="C267" s="22"/>
      <c r="D267" s="22"/>
      <c r="E267" s="23" t="str">
        <f>IF($D267="","",IFERROR(VLOOKUP($D267,'SAMA Capital Tracker'!$A:$H,8,FALSE()),""))</f>
        <v/>
      </c>
      <c r="F267" s="24"/>
      <c r="G267" s="25" t="str">
        <f>IF($D267="","",IFERROR(VLOOKUP($D267,'SAMA Capital Tracker'!$A:$D,4,FALSE()),""))</f>
        <v/>
      </c>
      <c r="H267" s="22"/>
    </row>
    <row r="268" spans="1:8">
      <c r="A268" s="21"/>
      <c r="B268" s="22"/>
      <c r="C268" s="22"/>
      <c r="D268" s="22"/>
      <c r="E268" s="23" t="str">
        <f>IF($D268="","",IFERROR(VLOOKUP($D268,'SAMA Capital Tracker'!$A:$H,8,FALSE()),""))</f>
        <v/>
      </c>
      <c r="F268" s="24"/>
      <c r="G268" s="25" t="str">
        <f>IF($D268="","",IFERROR(VLOOKUP($D268,'SAMA Capital Tracker'!$A:$D,4,FALSE()),""))</f>
        <v/>
      </c>
      <c r="H268" s="22"/>
    </row>
    <row r="269" spans="1:8">
      <c r="A269" s="21"/>
      <c r="B269" s="22"/>
      <c r="C269" s="22"/>
      <c r="D269" s="22"/>
      <c r="E269" s="23" t="str">
        <f>IF($D269="","",IFERROR(VLOOKUP($D269,'SAMA Capital Tracker'!$A:$H,8,FALSE()),""))</f>
        <v/>
      </c>
      <c r="F269" s="24"/>
      <c r="G269" s="25" t="str">
        <f>IF($D269="","",IFERROR(VLOOKUP($D269,'SAMA Capital Tracker'!$A:$D,4,FALSE()),""))</f>
        <v/>
      </c>
      <c r="H269" s="22"/>
    </row>
    <row r="270" spans="1:8">
      <c r="A270" s="21"/>
      <c r="B270" s="22"/>
      <c r="C270" s="22"/>
      <c r="D270" s="22"/>
      <c r="E270" s="23" t="str">
        <f>IF($D270="","",IFERROR(VLOOKUP($D270,'SAMA Capital Tracker'!$A:$H,8,FALSE()),""))</f>
        <v/>
      </c>
      <c r="F270" s="24"/>
      <c r="G270" s="25" t="str">
        <f>IF($D270="","",IFERROR(VLOOKUP($D270,'SAMA Capital Tracker'!$A:$D,4,FALSE()),""))</f>
        <v/>
      </c>
      <c r="H270" s="22"/>
    </row>
    <row r="271" spans="1:8">
      <c r="A271" s="21"/>
      <c r="B271" s="22"/>
      <c r="C271" s="22"/>
      <c r="D271" s="22"/>
      <c r="E271" s="23" t="str">
        <f>IF($D271="","",IFERROR(VLOOKUP($D271,'SAMA Capital Tracker'!$A:$H,8,FALSE()),""))</f>
        <v/>
      </c>
      <c r="F271" s="24"/>
      <c r="G271" s="25" t="str">
        <f>IF($D271="","",IFERROR(VLOOKUP($D271,'SAMA Capital Tracker'!$A:$D,4,FALSE()),""))</f>
        <v/>
      </c>
      <c r="H271" s="22"/>
    </row>
    <row r="272" spans="1:8">
      <c r="A272" s="21"/>
      <c r="B272" s="22"/>
      <c r="C272" s="22"/>
      <c r="D272" s="22"/>
      <c r="E272" s="23" t="str">
        <f>IF($D272="","",IFERROR(VLOOKUP($D272,'SAMA Capital Tracker'!$A:$H,8,FALSE()),""))</f>
        <v/>
      </c>
      <c r="F272" s="24"/>
      <c r="G272" s="25" t="str">
        <f>IF($D272="","",IFERROR(VLOOKUP($D272,'SAMA Capital Tracker'!$A:$D,4,FALSE()),""))</f>
        <v/>
      </c>
      <c r="H272" s="22"/>
    </row>
    <row r="273" spans="1:8">
      <c r="A273" s="21"/>
      <c r="B273" s="22"/>
      <c r="C273" s="22"/>
      <c r="D273" s="22"/>
      <c r="E273" s="23" t="str">
        <f>IF($D273="","",IFERROR(VLOOKUP($D273,'SAMA Capital Tracker'!$A:$H,8,FALSE()),""))</f>
        <v/>
      </c>
      <c r="F273" s="24"/>
      <c r="G273" s="25" t="str">
        <f>IF($D273="","",IFERROR(VLOOKUP($D273,'SAMA Capital Tracker'!$A:$D,4,FALSE()),""))</f>
        <v/>
      </c>
      <c r="H273" s="22"/>
    </row>
    <row r="274" spans="1:8">
      <c r="A274" s="21"/>
      <c r="B274" s="22"/>
      <c r="C274" s="22"/>
      <c r="D274" s="22"/>
      <c r="E274" s="23" t="str">
        <f>IF($D274="","",IFERROR(VLOOKUP($D274,'SAMA Capital Tracker'!$A:$H,8,FALSE()),""))</f>
        <v/>
      </c>
      <c r="F274" s="24"/>
      <c r="G274" s="25" t="str">
        <f>IF($D274="","",IFERROR(VLOOKUP($D274,'SAMA Capital Tracker'!$A:$D,4,FALSE()),""))</f>
        <v/>
      </c>
      <c r="H274" s="22"/>
    </row>
    <row r="275" spans="1:8">
      <c r="A275" s="21"/>
      <c r="B275" s="22"/>
      <c r="C275" s="22"/>
      <c r="D275" s="22"/>
      <c r="E275" s="23" t="str">
        <f>IF($D275="","",IFERROR(VLOOKUP($D275,'SAMA Capital Tracker'!$A:$H,8,FALSE()),""))</f>
        <v/>
      </c>
      <c r="F275" s="24"/>
      <c r="G275" s="25" t="str">
        <f>IF($D275="","",IFERROR(VLOOKUP($D275,'SAMA Capital Tracker'!$A:$D,4,FALSE()),""))</f>
        <v/>
      </c>
      <c r="H275" s="22"/>
    </row>
    <row r="276" spans="1:8">
      <c r="A276" s="21"/>
      <c r="B276" s="22"/>
      <c r="C276" s="22"/>
      <c r="D276" s="22"/>
      <c r="E276" s="23" t="str">
        <f>IF($D276="","",IFERROR(VLOOKUP($D276,'SAMA Capital Tracker'!$A:$H,8,FALSE()),""))</f>
        <v/>
      </c>
      <c r="F276" s="24"/>
      <c r="G276" s="25" t="str">
        <f>IF($D276="","",IFERROR(VLOOKUP($D276,'SAMA Capital Tracker'!$A:$D,4,FALSE()),""))</f>
        <v/>
      </c>
      <c r="H276" s="22"/>
    </row>
    <row r="277" spans="1:8">
      <c r="A277" s="21"/>
      <c r="B277" s="22"/>
      <c r="C277" s="22"/>
      <c r="D277" s="22"/>
      <c r="E277" s="23" t="str">
        <f>IF($D277="","",IFERROR(VLOOKUP($D277,'SAMA Capital Tracker'!$A:$H,8,FALSE()),""))</f>
        <v/>
      </c>
      <c r="F277" s="24"/>
      <c r="G277" s="25" t="str">
        <f>IF($D277="","",IFERROR(VLOOKUP($D277,'SAMA Capital Tracker'!$A:$D,4,FALSE()),""))</f>
        <v/>
      </c>
      <c r="H277" s="22"/>
    </row>
    <row r="278" spans="1:8">
      <c r="A278" s="21"/>
      <c r="B278" s="22"/>
      <c r="C278" s="22"/>
      <c r="D278" s="22"/>
      <c r="E278" s="23" t="str">
        <f>IF($D278="","",IFERROR(VLOOKUP($D278,'SAMA Capital Tracker'!$A:$H,8,FALSE()),""))</f>
        <v/>
      </c>
      <c r="F278" s="24"/>
      <c r="G278" s="25" t="str">
        <f>IF($D278="","",IFERROR(VLOOKUP($D278,'SAMA Capital Tracker'!$A:$D,4,FALSE()),""))</f>
        <v/>
      </c>
      <c r="H278" s="22"/>
    </row>
    <row r="279" spans="1:8">
      <c r="A279" s="21"/>
      <c r="B279" s="22"/>
      <c r="C279" s="22"/>
      <c r="D279" s="22"/>
      <c r="E279" s="23" t="str">
        <f>IF($D279="","",IFERROR(VLOOKUP($D279,'SAMA Capital Tracker'!$A:$H,8,FALSE()),""))</f>
        <v/>
      </c>
      <c r="F279" s="24"/>
      <c r="G279" s="25" t="str">
        <f>IF($D279="","",IFERROR(VLOOKUP($D279,'SAMA Capital Tracker'!$A:$D,4,FALSE()),""))</f>
        <v/>
      </c>
      <c r="H279" s="22"/>
    </row>
    <row r="280" spans="1:8">
      <c r="A280" s="21"/>
      <c r="B280" s="22"/>
      <c r="C280" s="22"/>
      <c r="D280" s="22"/>
      <c r="E280" s="23" t="str">
        <f>IF($D280="","",IFERROR(VLOOKUP($D280,'SAMA Capital Tracker'!$A:$H,8,FALSE()),""))</f>
        <v/>
      </c>
      <c r="F280" s="24"/>
      <c r="G280" s="25" t="str">
        <f>IF($D280="","",IFERROR(VLOOKUP($D280,'SAMA Capital Tracker'!$A:$D,4,FALSE()),""))</f>
        <v/>
      </c>
      <c r="H280" s="22"/>
    </row>
    <row r="281" spans="1:8">
      <c r="A281" s="21"/>
      <c r="B281" s="22"/>
      <c r="C281" s="22"/>
      <c r="D281" s="22"/>
      <c r="E281" s="23" t="str">
        <f>IF($D281="","",IFERROR(VLOOKUP($D281,'SAMA Capital Tracker'!$A:$H,8,FALSE()),""))</f>
        <v/>
      </c>
      <c r="F281" s="24"/>
      <c r="G281" s="25" t="str">
        <f>IF($D281="","",IFERROR(VLOOKUP($D281,'SAMA Capital Tracker'!$A:$D,4,FALSE()),""))</f>
        <v/>
      </c>
      <c r="H281" s="22"/>
    </row>
    <row r="282" spans="1:8">
      <c r="A282" s="21"/>
      <c r="B282" s="22"/>
      <c r="C282" s="22"/>
      <c r="D282" s="22"/>
      <c r="E282" s="23" t="str">
        <f>IF($D282="","",IFERROR(VLOOKUP($D282,'SAMA Capital Tracker'!$A:$H,8,FALSE()),""))</f>
        <v/>
      </c>
      <c r="F282" s="24"/>
      <c r="G282" s="25" t="str">
        <f>IF($D282="","",IFERROR(VLOOKUP($D282,'SAMA Capital Tracker'!$A:$D,4,FALSE()),""))</f>
        <v/>
      </c>
      <c r="H282" s="22"/>
    </row>
    <row r="283" spans="1:8">
      <c r="A283" s="21"/>
      <c r="B283" s="22"/>
      <c r="C283" s="22"/>
      <c r="D283" s="22"/>
      <c r="E283" s="23" t="str">
        <f>IF($D283="","",IFERROR(VLOOKUP($D283,'SAMA Capital Tracker'!$A:$H,8,FALSE()),""))</f>
        <v/>
      </c>
      <c r="F283" s="24"/>
      <c r="G283" s="25" t="str">
        <f>IF($D283="","",IFERROR(VLOOKUP($D283,'SAMA Capital Tracker'!$A:$D,4,FALSE()),""))</f>
        <v/>
      </c>
      <c r="H283" s="22"/>
    </row>
    <row r="284" spans="1:8">
      <c r="A284" s="21"/>
      <c r="B284" s="22"/>
      <c r="C284" s="22"/>
      <c r="D284" s="22"/>
      <c r="E284" s="23" t="str">
        <f>IF($D284="","",IFERROR(VLOOKUP($D284,'SAMA Capital Tracker'!$A:$H,8,FALSE()),""))</f>
        <v/>
      </c>
      <c r="F284" s="24"/>
      <c r="G284" s="25" t="str">
        <f>IF($D284="","",IFERROR(VLOOKUP($D284,'SAMA Capital Tracker'!$A:$D,4,FALSE()),""))</f>
        <v/>
      </c>
      <c r="H284" s="22"/>
    </row>
    <row r="285" spans="1:8">
      <c r="A285" s="21"/>
      <c r="B285" s="22"/>
      <c r="C285" s="22"/>
      <c r="D285" s="22"/>
      <c r="E285" s="23" t="str">
        <f>IF($D285="","",IFERROR(VLOOKUP($D285,'SAMA Capital Tracker'!$A:$H,8,FALSE()),""))</f>
        <v/>
      </c>
      <c r="F285" s="24"/>
      <c r="G285" s="25" t="str">
        <f>IF($D285="","",IFERROR(VLOOKUP($D285,'SAMA Capital Tracker'!$A:$D,4,FALSE()),""))</f>
        <v/>
      </c>
      <c r="H285" s="22"/>
    </row>
    <row r="286" spans="1:8">
      <c r="A286" s="21"/>
      <c r="B286" s="22"/>
      <c r="C286" s="22"/>
      <c r="D286" s="22"/>
      <c r="E286" s="23" t="str">
        <f>IF($D286="","",IFERROR(VLOOKUP($D286,'SAMA Capital Tracker'!$A:$H,8,FALSE()),""))</f>
        <v/>
      </c>
      <c r="F286" s="24"/>
      <c r="G286" s="25" t="str">
        <f>IF($D286="","",IFERROR(VLOOKUP($D286,'SAMA Capital Tracker'!$A:$D,4,FALSE()),""))</f>
        <v/>
      </c>
      <c r="H286" s="22"/>
    </row>
    <row r="287" spans="1:8">
      <c r="A287" s="21"/>
      <c r="B287" s="22"/>
      <c r="C287" s="22"/>
      <c r="D287" s="22"/>
      <c r="E287" s="23" t="str">
        <f>IF($D287="","",IFERROR(VLOOKUP($D287,'SAMA Capital Tracker'!$A:$H,8,FALSE()),""))</f>
        <v/>
      </c>
      <c r="F287" s="24"/>
      <c r="G287" s="25" t="str">
        <f>IF($D287="","",IFERROR(VLOOKUP($D287,'SAMA Capital Tracker'!$A:$D,4,FALSE()),""))</f>
        <v/>
      </c>
      <c r="H287" s="22"/>
    </row>
    <row r="288" spans="1:8">
      <c r="A288" s="21"/>
      <c r="B288" s="22"/>
      <c r="C288" s="22"/>
      <c r="D288" s="22"/>
      <c r="E288" s="23" t="str">
        <f>IF($D288="","",IFERROR(VLOOKUP($D288,'SAMA Capital Tracker'!$A:$H,8,FALSE()),""))</f>
        <v/>
      </c>
      <c r="F288" s="24"/>
      <c r="G288" s="25" t="str">
        <f>IF($D288="","",IFERROR(VLOOKUP($D288,'SAMA Capital Tracker'!$A:$D,4,FALSE()),""))</f>
        <v/>
      </c>
      <c r="H288" s="22"/>
    </row>
    <row r="289" spans="1:8">
      <c r="A289" s="21"/>
      <c r="B289" s="22"/>
      <c r="C289" s="22"/>
      <c r="D289" s="22"/>
      <c r="E289" s="23" t="str">
        <f>IF($D289="","",IFERROR(VLOOKUP($D289,'SAMA Capital Tracker'!$A:$H,8,FALSE()),""))</f>
        <v/>
      </c>
      <c r="F289" s="24"/>
      <c r="G289" s="25" t="str">
        <f>IF($D289="","",IFERROR(VLOOKUP($D289,'SAMA Capital Tracker'!$A:$D,4,FALSE()),""))</f>
        <v/>
      </c>
      <c r="H289" s="22"/>
    </row>
    <row r="290" spans="1:8">
      <c r="A290" s="21"/>
      <c r="B290" s="22"/>
      <c r="C290" s="22"/>
      <c r="D290" s="22"/>
      <c r="E290" s="23" t="str">
        <f>IF($D290="","",IFERROR(VLOOKUP($D290,'SAMA Capital Tracker'!$A:$H,8,FALSE()),""))</f>
        <v/>
      </c>
      <c r="F290" s="24"/>
      <c r="G290" s="25" t="str">
        <f>IF($D290="","",IFERROR(VLOOKUP($D290,'SAMA Capital Tracker'!$A:$D,4,FALSE()),""))</f>
        <v/>
      </c>
      <c r="H290" s="22"/>
    </row>
    <row r="291" spans="1:8">
      <c r="A291" s="21"/>
      <c r="B291" s="22"/>
      <c r="C291" s="22"/>
      <c r="D291" s="22"/>
      <c r="E291" s="23" t="str">
        <f>IF($D291="","",IFERROR(VLOOKUP($D291,'SAMA Capital Tracker'!$A:$H,8,FALSE()),""))</f>
        <v/>
      </c>
      <c r="F291" s="24"/>
      <c r="G291" s="25" t="str">
        <f>IF($D291="","",IFERROR(VLOOKUP($D291,'SAMA Capital Tracker'!$A:$D,4,FALSE()),""))</f>
        <v/>
      </c>
      <c r="H291" s="22"/>
    </row>
    <row r="292" spans="1:8">
      <c r="A292" s="21"/>
      <c r="B292" s="22"/>
      <c r="C292" s="22"/>
      <c r="D292" s="22"/>
      <c r="E292" s="23" t="str">
        <f>IF($D292="","",IFERROR(VLOOKUP($D292,'SAMA Capital Tracker'!$A:$H,8,FALSE()),""))</f>
        <v/>
      </c>
      <c r="F292" s="24"/>
      <c r="G292" s="25" t="str">
        <f>IF($D292="","",IFERROR(VLOOKUP($D292,'SAMA Capital Tracker'!$A:$D,4,FALSE()),""))</f>
        <v/>
      </c>
      <c r="H292" s="22"/>
    </row>
    <row r="293" spans="1:8">
      <c r="A293" s="21"/>
      <c r="B293" s="22"/>
      <c r="C293" s="22"/>
      <c r="D293" s="22"/>
      <c r="E293" s="23" t="str">
        <f>IF($D293="","",IFERROR(VLOOKUP($D293,'SAMA Capital Tracker'!$A:$H,8,FALSE()),""))</f>
        <v/>
      </c>
      <c r="F293" s="24"/>
      <c r="G293" s="25" t="str">
        <f>IF($D293="","",IFERROR(VLOOKUP($D293,'SAMA Capital Tracker'!$A:$D,4,FALSE()),""))</f>
        <v/>
      </c>
      <c r="H293" s="22"/>
    </row>
    <row r="294" spans="1:8">
      <c r="A294" s="21"/>
      <c r="B294" s="22"/>
      <c r="C294" s="22"/>
      <c r="D294" s="22"/>
      <c r="E294" s="23" t="str">
        <f>IF($D294="","",IFERROR(VLOOKUP($D294,'SAMA Capital Tracker'!$A:$H,8,FALSE()),""))</f>
        <v/>
      </c>
      <c r="F294" s="24"/>
      <c r="G294" s="25" t="str">
        <f>IF($D294="","",IFERROR(VLOOKUP($D294,'SAMA Capital Tracker'!$A:$D,4,FALSE()),""))</f>
        <v/>
      </c>
      <c r="H294" s="22"/>
    </row>
    <row r="295" spans="1:8">
      <c r="A295" s="21"/>
      <c r="B295" s="22"/>
      <c r="C295" s="22"/>
      <c r="D295" s="22"/>
      <c r="E295" s="23" t="str">
        <f>IF($D295="","",IFERROR(VLOOKUP($D295,'SAMA Capital Tracker'!$A:$H,8,FALSE()),""))</f>
        <v/>
      </c>
      <c r="F295" s="24"/>
      <c r="G295" s="25" t="str">
        <f>IF($D295="","",IFERROR(VLOOKUP($D295,'SAMA Capital Tracker'!$A:$D,4,FALSE()),""))</f>
        <v/>
      </c>
      <c r="H295" s="22"/>
    </row>
    <row r="296" spans="1:8">
      <c r="A296" s="21"/>
      <c r="B296" s="22"/>
      <c r="C296" s="22"/>
      <c r="D296" s="22"/>
      <c r="E296" s="23" t="str">
        <f>IF($D296="","",IFERROR(VLOOKUP($D296,'SAMA Capital Tracker'!$A:$H,8,FALSE()),""))</f>
        <v/>
      </c>
      <c r="F296" s="24"/>
      <c r="G296" s="25" t="str">
        <f>IF($D296="","",IFERROR(VLOOKUP($D296,'SAMA Capital Tracker'!$A:$D,4,FALSE()),""))</f>
        <v/>
      </c>
      <c r="H296" s="22"/>
    </row>
    <row r="297" spans="1:8">
      <c r="A297" s="21"/>
      <c r="B297" s="22"/>
      <c r="C297" s="22"/>
      <c r="D297" s="22"/>
      <c r="E297" s="23" t="str">
        <f>IF($D297="","",IFERROR(VLOOKUP($D297,'SAMA Capital Tracker'!$A:$H,8,FALSE()),""))</f>
        <v/>
      </c>
      <c r="F297" s="24"/>
      <c r="G297" s="25" t="str">
        <f>IF($D297="","",IFERROR(VLOOKUP($D297,'SAMA Capital Tracker'!$A:$D,4,FALSE()),""))</f>
        <v/>
      </c>
      <c r="H297" s="22"/>
    </row>
    <row r="298" spans="1:8">
      <c r="A298" s="21"/>
      <c r="B298" s="22"/>
      <c r="C298" s="22"/>
      <c r="D298" s="22"/>
      <c r="E298" s="23" t="str">
        <f>IF($D298="","",IFERROR(VLOOKUP($D298,'SAMA Capital Tracker'!$A:$H,8,FALSE()),""))</f>
        <v/>
      </c>
      <c r="F298" s="24"/>
      <c r="G298" s="25" t="str">
        <f>IF($D298="","",IFERROR(VLOOKUP($D298,'SAMA Capital Tracker'!$A:$D,4,FALSE()),""))</f>
        <v/>
      </c>
      <c r="H298" s="22"/>
    </row>
    <row r="299" spans="1:8">
      <c r="A299" s="21"/>
      <c r="B299" s="22"/>
      <c r="C299" s="22"/>
      <c r="D299" s="22"/>
      <c r="E299" s="23" t="str">
        <f>IF($D299="","",IFERROR(VLOOKUP($D299,'SAMA Capital Tracker'!$A:$H,8,FALSE()),""))</f>
        <v/>
      </c>
      <c r="F299" s="24"/>
      <c r="G299" s="25" t="str">
        <f>IF($D299="","",IFERROR(VLOOKUP($D299,'SAMA Capital Tracker'!$A:$D,4,FALSE()),""))</f>
        <v/>
      </c>
      <c r="H299" s="22"/>
    </row>
    <row r="300" spans="1:8">
      <c r="A300" s="21"/>
      <c r="B300" s="22"/>
      <c r="C300" s="22"/>
      <c r="D300" s="22"/>
      <c r="E300" s="23" t="str">
        <f>IF($D300="","",IFERROR(VLOOKUP($D300,'SAMA Capital Tracker'!$A:$H,8,FALSE()),""))</f>
        <v/>
      </c>
      <c r="F300" s="24"/>
      <c r="G300" s="25" t="str">
        <f>IF($D300="","",IFERROR(VLOOKUP($D300,'SAMA Capital Tracker'!$A:$D,4,FALSE()),""))</f>
        <v/>
      </c>
      <c r="H300" s="22"/>
    </row>
    <row r="301" spans="1:8">
      <c r="A301" s="21"/>
      <c r="B301" s="22"/>
      <c r="C301" s="22"/>
      <c r="D301" s="22"/>
      <c r="E301" s="23" t="str">
        <f>IF($D301="","",IFERROR(VLOOKUP($D301,'SAMA Capital Tracker'!$A:$H,8,FALSE()),""))</f>
        <v/>
      </c>
      <c r="F301" s="24"/>
      <c r="G301" s="25" t="str">
        <f>IF($D301="","",IFERROR(VLOOKUP($D301,'SAMA Capital Tracker'!$A:$D,4,FALSE()),""))</f>
        <v/>
      </c>
      <c r="H301" s="22"/>
    </row>
    <row r="302" spans="1:8">
      <c r="A302" s="21"/>
      <c r="B302" s="22"/>
      <c r="C302" s="22"/>
      <c r="D302" s="22"/>
      <c r="E302" s="23" t="str">
        <f>IF($D302="","",IFERROR(VLOOKUP($D302,'SAMA Capital Tracker'!$A:$H,8,FALSE()),""))</f>
        <v/>
      </c>
      <c r="F302" s="24"/>
      <c r="G302" s="25" t="str">
        <f>IF($D302="","",IFERROR(VLOOKUP($D302,'SAMA Capital Tracker'!$A:$D,4,FALSE()),""))</f>
        <v/>
      </c>
      <c r="H302" s="22"/>
    </row>
    <row r="303" spans="1:8">
      <c r="A303" s="21"/>
      <c r="B303" s="22"/>
      <c r="C303" s="22"/>
      <c r="D303" s="22"/>
      <c r="E303" s="23" t="str">
        <f>IF($D303="","",IFERROR(VLOOKUP($D303,'SAMA Capital Tracker'!$A:$H,8,FALSE()),""))</f>
        <v/>
      </c>
      <c r="F303" s="24"/>
      <c r="G303" s="25" t="str">
        <f>IF($D303="","",IFERROR(VLOOKUP($D303,'SAMA Capital Tracker'!$A:$D,4,FALSE()),""))</f>
        <v/>
      </c>
      <c r="H303" s="22"/>
    </row>
    <row r="304" spans="1:8">
      <c r="A304" s="21"/>
      <c r="B304" s="22"/>
      <c r="C304" s="22"/>
      <c r="D304" s="22"/>
      <c r="E304" s="23" t="str">
        <f>IF($D304="","",IFERROR(VLOOKUP($D304,'SAMA Capital Tracker'!$A:$H,8,FALSE()),""))</f>
        <v/>
      </c>
      <c r="F304" s="24"/>
      <c r="G304" s="25" t="str">
        <f>IF($D304="","",IFERROR(VLOOKUP($D304,'SAMA Capital Tracker'!$A:$D,4,FALSE()),""))</f>
        <v/>
      </c>
      <c r="H304" s="22"/>
    </row>
    <row r="305" spans="1:8">
      <c r="A305" s="21"/>
      <c r="B305" s="22"/>
      <c r="C305" s="22"/>
      <c r="D305" s="22"/>
      <c r="E305" s="23" t="str">
        <f>IF($D305="","",IFERROR(VLOOKUP($D305,'SAMA Capital Tracker'!$A:$H,8,FALSE()),""))</f>
        <v/>
      </c>
      <c r="F305" s="24"/>
      <c r="G305" s="25" t="str">
        <f>IF($D305="","",IFERROR(VLOOKUP($D305,'SAMA Capital Tracker'!$A:$D,4,FALSE()),""))</f>
        <v/>
      </c>
      <c r="H305" s="22"/>
    </row>
    <row r="306" spans="1:8">
      <c r="A306" s="21"/>
      <c r="B306" s="22"/>
      <c r="C306" s="22"/>
      <c r="D306" s="22"/>
      <c r="E306" s="23" t="str">
        <f>IF($D306="","",IFERROR(VLOOKUP($D306,'SAMA Capital Tracker'!$A:$H,8,FALSE()),""))</f>
        <v/>
      </c>
      <c r="F306" s="24"/>
      <c r="G306" s="25" t="str">
        <f>IF($D306="","",IFERROR(VLOOKUP($D306,'SAMA Capital Tracker'!$A:$D,4,FALSE()),""))</f>
        <v/>
      </c>
      <c r="H306" s="22"/>
    </row>
    <row r="307" spans="1:8">
      <c r="A307" s="21"/>
      <c r="B307" s="22"/>
      <c r="C307" s="22"/>
      <c r="D307" s="22"/>
      <c r="E307" s="23" t="str">
        <f>IF($D307="","",IFERROR(VLOOKUP($D307,'SAMA Capital Tracker'!$A:$H,8,FALSE()),""))</f>
        <v/>
      </c>
      <c r="F307" s="24"/>
      <c r="G307" s="25" t="str">
        <f>IF($D307="","",IFERROR(VLOOKUP($D307,'SAMA Capital Tracker'!$A:$D,4,FALSE()),""))</f>
        <v/>
      </c>
      <c r="H307" s="22"/>
    </row>
    <row r="308" spans="1:8">
      <c r="A308" s="21"/>
      <c r="B308" s="22"/>
      <c r="C308" s="22"/>
      <c r="D308" s="22"/>
      <c r="E308" s="23" t="str">
        <f>IF($D308="","",IFERROR(VLOOKUP($D308,'SAMA Capital Tracker'!$A:$H,8,FALSE()),""))</f>
        <v/>
      </c>
      <c r="F308" s="24"/>
      <c r="G308" s="25" t="str">
        <f>IF($D308="","",IFERROR(VLOOKUP($D308,'SAMA Capital Tracker'!$A:$D,4,FALSE()),""))</f>
        <v/>
      </c>
      <c r="H308" s="22"/>
    </row>
    <row r="309" spans="1:8">
      <c r="A309" s="21"/>
      <c r="B309" s="22"/>
      <c r="C309" s="22"/>
      <c r="D309" s="22"/>
      <c r="E309" s="23" t="str">
        <f>IF($D309="","",IFERROR(VLOOKUP($D309,'SAMA Capital Tracker'!$A:$H,8,FALSE()),""))</f>
        <v/>
      </c>
      <c r="F309" s="24"/>
      <c r="G309" s="25" t="str">
        <f>IF($D309="","",IFERROR(VLOOKUP($D309,'SAMA Capital Tracker'!$A:$D,4,FALSE()),""))</f>
        <v/>
      </c>
      <c r="H309" s="22"/>
    </row>
    <row r="310" spans="1:8">
      <c r="A310" s="21"/>
      <c r="B310" s="22"/>
      <c r="C310" s="22"/>
      <c r="D310" s="22"/>
      <c r="E310" s="23" t="str">
        <f>IF($D310="","",IFERROR(VLOOKUP($D310,'SAMA Capital Tracker'!$A:$H,8,FALSE()),""))</f>
        <v/>
      </c>
      <c r="F310" s="24"/>
      <c r="G310" s="25" t="str">
        <f>IF($D310="","",IFERROR(VLOOKUP($D310,'SAMA Capital Tracker'!$A:$D,4,FALSE()),""))</f>
        <v/>
      </c>
      <c r="H310" s="22"/>
    </row>
    <row r="311" spans="1:8">
      <c r="A311" s="21"/>
      <c r="B311" s="22"/>
      <c r="C311" s="22"/>
      <c r="D311" s="22"/>
      <c r="E311" s="23" t="str">
        <f>IF($D311="","",IFERROR(VLOOKUP($D311,'SAMA Capital Tracker'!$A:$H,8,FALSE()),""))</f>
        <v/>
      </c>
      <c r="F311" s="24"/>
      <c r="G311" s="25" t="str">
        <f>IF($D311="","",IFERROR(VLOOKUP($D311,'SAMA Capital Tracker'!$A:$D,4,FALSE()),""))</f>
        <v/>
      </c>
      <c r="H311" s="22"/>
    </row>
    <row r="312" spans="1:8">
      <c r="A312" s="21"/>
      <c r="B312" s="22"/>
      <c r="C312" s="22"/>
      <c r="D312" s="22"/>
      <c r="E312" s="23" t="str">
        <f>IF($D312="","",IFERROR(VLOOKUP($D312,'SAMA Capital Tracker'!$A:$H,8,FALSE()),""))</f>
        <v/>
      </c>
      <c r="F312" s="24"/>
      <c r="G312" s="25" t="str">
        <f>IF($D312="","",IFERROR(VLOOKUP($D312,'SAMA Capital Tracker'!$A:$D,4,FALSE()),""))</f>
        <v/>
      </c>
      <c r="H312" s="22"/>
    </row>
    <row r="313" spans="1:8">
      <c r="A313" s="21"/>
      <c r="B313" s="22"/>
      <c r="C313" s="22"/>
      <c r="D313" s="22"/>
      <c r="E313" s="23" t="str">
        <f>IF($D313="","",IFERROR(VLOOKUP($D313,'SAMA Capital Tracker'!$A:$H,8,FALSE()),""))</f>
        <v/>
      </c>
      <c r="F313" s="24"/>
      <c r="G313" s="25" t="str">
        <f>IF($D313="","",IFERROR(VLOOKUP($D313,'SAMA Capital Tracker'!$A:$D,4,FALSE()),""))</f>
        <v/>
      </c>
      <c r="H313" s="22"/>
    </row>
    <row r="314" spans="1:8">
      <c r="A314" s="21"/>
      <c r="B314" s="22"/>
      <c r="C314" s="22"/>
      <c r="D314" s="22"/>
      <c r="E314" s="23" t="str">
        <f>IF($D314="","",IFERROR(VLOOKUP($D314,'SAMA Capital Tracker'!$A:$H,8,FALSE()),""))</f>
        <v/>
      </c>
      <c r="F314" s="24"/>
      <c r="G314" s="25" t="str">
        <f>IF($D314="","",IFERROR(VLOOKUP($D314,'SAMA Capital Tracker'!$A:$D,4,FALSE()),""))</f>
        <v/>
      </c>
      <c r="H314" s="22"/>
    </row>
    <row r="315" spans="1:8">
      <c r="A315" s="21"/>
      <c r="B315" s="22"/>
      <c r="C315" s="22"/>
      <c r="D315" s="22"/>
      <c r="E315" s="23" t="str">
        <f>IF($D315="","",IFERROR(VLOOKUP($D315,'SAMA Capital Tracker'!$A:$H,8,FALSE()),""))</f>
        <v/>
      </c>
      <c r="F315" s="24"/>
      <c r="G315" s="25" t="str">
        <f>IF($D315="","",IFERROR(VLOOKUP($D315,'SAMA Capital Tracker'!$A:$D,4,FALSE()),""))</f>
        <v/>
      </c>
      <c r="H315" s="22"/>
    </row>
    <row r="316" spans="1:8">
      <c r="A316" s="21"/>
      <c r="B316" s="22"/>
      <c r="C316" s="22"/>
      <c r="D316" s="22"/>
      <c r="E316" s="23" t="str">
        <f>IF($D316="","",IFERROR(VLOOKUP($D316,'SAMA Capital Tracker'!$A:$H,8,FALSE()),""))</f>
        <v/>
      </c>
      <c r="F316" s="24"/>
      <c r="G316" s="25" t="str">
        <f>IF($D316="","",IFERROR(VLOOKUP($D316,'SAMA Capital Tracker'!$A:$D,4,FALSE()),""))</f>
        <v/>
      </c>
      <c r="H316" s="22"/>
    </row>
    <row r="317" spans="1:8">
      <c r="A317" s="21"/>
      <c r="B317" s="22"/>
      <c r="C317" s="22"/>
      <c r="D317" s="22"/>
      <c r="E317" s="23" t="str">
        <f>IF($D317="","",IFERROR(VLOOKUP($D317,'SAMA Capital Tracker'!$A:$H,8,FALSE()),""))</f>
        <v/>
      </c>
      <c r="F317" s="24"/>
      <c r="G317" s="25" t="str">
        <f>IF($D317="","",IFERROR(VLOOKUP($D317,'SAMA Capital Tracker'!$A:$D,4,FALSE()),""))</f>
        <v/>
      </c>
      <c r="H317" s="22"/>
    </row>
    <row r="318" spans="1:8">
      <c r="A318" s="21"/>
      <c r="B318" s="22"/>
      <c r="C318" s="22"/>
      <c r="D318" s="22"/>
      <c r="E318" s="23" t="str">
        <f>IF($D318="","",IFERROR(VLOOKUP($D318,'SAMA Capital Tracker'!$A:$H,8,FALSE()),""))</f>
        <v/>
      </c>
      <c r="F318" s="24"/>
      <c r="G318" s="25" t="str">
        <f>IF($D318="","",IFERROR(VLOOKUP($D318,'SAMA Capital Tracker'!$A:$D,4,FALSE()),""))</f>
        <v/>
      </c>
      <c r="H318" s="22"/>
    </row>
    <row r="319" spans="1:8">
      <c r="A319" s="21"/>
      <c r="B319" s="22"/>
      <c r="C319" s="22"/>
      <c r="D319" s="22"/>
      <c r="E319" s="23" t="str">
        <f>IF($D319="","",IFERROR(VLOOKUP($D319,'SAMA Capital Tracker'!$A:$H,8,FALSE()),""))</f>
        <v/>
      </c>
      <c r="F319" s="24"/>
      <c r="G319" s="25" t="str">
        <f>IF($D319="","",IFERROR(VLOOKUP($D319,'SAMA Capital Tracker'!$A:$D,4,FALSE()),""))</f>
        <v/>
      </c>
      <c r="H319" s="22"/>
    </row>
    <row r="320" spans="1:8">
      <c r="A320" s="21"/>
      <c r="B320" s="22"/>
      <c r="C320" s="22"/>
      <c r="D320" s="22"/>
      <c r="E320" s="23" t="str">
        <f>IF($D320="","",IFERROR(VLOOKUP($D320,'SAMA Capital Tracker'!$A:$H,8,FALSE()),""))</f>
        <v/>
      </c>
      <c r="F320" s="24"/>
      <c r="G320" s="25" t="str">
        <f>IF($D320="","",IFERROR(VLOOKUP($D320,'SAMA Capital Tracker'!$A:$D,4,FALSE()),""))</f>
        <v/>
      </c>
      <c r="H320" s="22"/>
    </row>
    <row r="321" spans="1:8">
      <c r="A321" s="21"/>
      <c r="B321" s="22"/>
      <c r="C321" s="22"/>
      <c r="D321" s="22"/>
      <c r="E321" s="23" t="str">
        <f>IF($D321="","",IFERROR(VLOOKUP($D321,'SAMA Capital Tracker'!$A:$H,8,FALSE()),""))</f>
        <v/>
      </c>
      <c r="F321" s="24"/>
      <c r="G321" s="25" t="str">
        <f>IF($D321="","",IFERROR(VLOOKUP($D321,'SAMA Capital Tracker'!$A:$D,4,FALSE()),""))</f>
        <v/>
      </c>
      <c r="H321" s="22"/>
    </row>
    <row r="322" spans="1:8">
      <c r="A322" s="21"/>
      <c r="B322" s="22"/>
      <c r="C322" s="22"/>
      <c r="D322" s="22"/>
      <c r="E322" s="23" t="str">
        <f>IF($D322="","",IFERROR(VLOOKUP($D322,'SAMA Capital Tracker'!$A:$H,8,FALSE()),""))</f>
        <v/>
      </c>
      <c r="F322" s="24"/>
      <c r="G322" s="25" t="str">
        <f>IF($D322="","",IFERROR(VLOOKUP($D322,'SAMA Capital Tracker'!$A:$D,4,FALSE()),""))</f>
        <v/>
      </c>
      <c r="H322" s="22"/>
    </row>
    <row r="323" spans="1:8">
      <c r="A323" s="21"/>
      <c r="B323" s="22"/>
      <c r="C323" s="22"/>
      <c r="D323" s="22"/>
      <c r="E323" s="23" t="str">
        <f>IF($D323="","",IFERROR(VLOOKUP($D323,'SAMA Capital Tracker'!$A:$H,8,FALSE()),""))</f>
        <v/>
      </c>
      <c r="F323" s="24"/>
      <c r="G323" s="25" t="str">
        <f>IF($D323="","",IFERROR(VLOOKUP($D323,'SAMA Capital Tracker'!$A:$D,4,FALSE()),""))</f>
        <v/>
      </c>
      <c r="H323" s="22"/>
    </row>
    <row r="324" spans="1:8">
      <c r="A324" s="21"/>
      <c r="B324" s="22"/>
      <c r="C324" s="22"/>
      <c r="D324" s="22"/>
      <c r="E324" s="23" t="str">
        <f>IF($D324="","",IFERROR(VLOOKUP($D324,'SAMA Capital Tracker'!$A:$H,8,FALSE()),""))</f>
        <v/>
      </c>
      <c r="F324" s="24"/>
      <c r="G324" s="25" t="str">
        <f>IF($D324="","",IFERROR(VLOOKUP($D324,'SAMA Capital Tracker'!$A:$D,4,FALSE()),""))</f>
        <v/>
      </c>
      <c r="H324" s="22"/>
    </row>
    <row r="325" spans="1:8">
      <c r="A325" s="21"/>
      <c r="B325" s="22"/>
      <c r="C325" s="22"/>
      <c r="D325" s="22"/>
      <c r="E325" s="23" t="str">
        <f>IF($D325="","",IFERROR(VLOOKUP($D325,'SAMA Capital Tracker'!$A:$H,8,FALSE()),""))</f>
        <v/>
      </c>
      <c r="F325" s="24"/>
      <c r="G325" s="25" t="str">
        <f>IF($D325="","",IFERROR(VLOOKUP($D325,'SAMA Capital Tracker'!$A:$D,4,FALSE()),""))</f>
        <v/>
      </c>
      <c r="H325" s="22"/>
    </row>
    <row r="326" spans="1:8">
      <c r="A326" s="21"/>
      <c r="B326" s="22"/>
      <c r="C326" s="22"/>
      <c r="D326" s="22"/>
      <c r="E326" s="23" t="str">
        <f>IF($D326="","",IFERROR(VLOOKUP($D326,'SAMA Capital Tracker'!$A:$H,8,FALSE()),""))</f>
        <v/>
      </c>
      <c r="F326" s="24"/>
      <c r="G326" s="25" t="str">
        <f>IF($D326="","",IFERROR(VLOOKUP($D326,'SAMA Capital Tracker'!$A:$D,4,FALSE()),""))</f>
        <v/>
      </c>
      <c r="H326" s="22"/>
    </row>
    <row r="327" spans="1:8">
      <c r="A327" s="21"/>
      <c r="B327" s="22"/>
      <c r="C327" s="22"/>
      <c r="D327" s="22"/>
      <c r="E327" s="23" t="str">
        <f>IF($D327="","",IFERROR(VLOOKUP($D327,'SAMA Capital Tracker'!$A:$H,8,FALSE()),""))</f>
        <v/>
      </c>
      <c r="F327" s="24"/>
      <c r="G327" s="25" t="str">
        <f>IF($D327="","",IFERROR(VLOOKUP($D327,'SAMA Capital Tracker'!$A:$D,4,FALSE()),""))</f>
        <v/>
      </c>
      <c r="H327" s="22"/>
    </row>
    <row r="328" spans="1:8">
      <c r="A328" s="21"/>
      <c r="B328" s="22"/>
      <c r="C328" s="22"/>
      <c r="D328" s="22"/>
      <c r="E328" s="23" t="str">
        <f>IF($D328="","",IFERROR(VLOOKUP($D328,'SAMA Capital Tracker'!$A:$H,8,FALSE()),""))</f>
        <v/>
      </c>
      <c r="F328" s="24"/>
      <c r="G328" s="25" t="str">
        <f>IF($D328="","",IFERROR(VLOOKUP($D328,'SAMA Capital Tracker'!$A:$D,4,FALSE()),""))</f>
        <v/>
      </c>
      <c r="H328" s="22"/>
    </row>
    <row r="329" spans="1:8">
      <c r="A329" s="21"/>
      <c r="B329" s="22"/>
      <c r="C329" s="22"/>
      <c r="D329" s="22"/>
      <c r="E329" s="23" t="str">
        <f>IF($D329="","",IFERROR(VLOOKUP($D329,'SAMA Capital Tracker'!$A:$H,8,FALSE()),""))</f>
        <v/>
      </c>
      <c r="F329" s="24"/>
      <c r="G329" s="25" t="str">
        <f>IF($D329="","",IFERROR(VLOOKUP($D329,'SAMA Capital Tracker'!$A:$D,4,FALSE()),""))</f>
        <v/>
      </c>
      <c r="H329" s="22"/>
    </row>
    <row r="330" spans="1:8">
      <c r="A330" s="21"/>
      <c r="B330" s="22"/>
      <c r="C330" s="22"/>
      <c r="D330" s="22"/>
      <c r="E330" s="23" t="str">
        <f>IF($D330="","",IFERROR(VLOOKUP($D330,'SAMA Capital Tracker'!$A:$H,8,FALSE()),""))</f>
        <v/>
      </c>
      <c r="F330" s="24"/>
      <c r="G330" s="25" t="str">
        <f>IF($D330="","",IFERROR(VLOOKUP($D330,'SAMA Capital Tracker'!$A:$D,4,FALSE()),""))</f>
        <v/>
      </c>
      <c r="H330" s="22"/>
    </row>
    <row r="331" spans="1:8">
      <c r="A331" s="21"/>
      <c r="B331" s="22"/>
      <c r="C331" s="22"/>
      <c r="D331" s="22"/>
      <c r="E331" s="23" t="str">
        <f>IF($D331="","",IFERROR(VLOOKUP($D331,'SAMA Capital Tracker'!$A:$H,8,FALSE()),""))</f>
        <v/>
      </c>
      <c r="F331" s="24"/>
      <c r="G331" s="25" t="str">
        <f>IF($D331="","",IFERROR(VLOOKUP($D331,'SAMA Capital Tracker'!$A:$D,4,FALSE()),""))</f>
        <v/>
      </c>
      <c r="H331" s="22"/>
    </row>
    <row r="332" spans="1:8">
      <c r="A332" s="21"/>
      <c r="B332" s="22"/>
      <c r="C332" s="22"/>
      <c r="D332" s="22"/>
      <c r="E332" s="23" t="str">
        <f>IF($D332="","",IFERROR(VLOOKUP($D332,'SAMA Capital Tracker'!$A:$H,8,FALSE()),""))</f>
        <v/>
      </c>
      <c r="F332" s="24"/>
      <c r="G332" s="25" t="str">
        <f>IF($D332="","",IFERROR(VLOOKUP($D332,'SAMA Capital Tracker'!$A:$D,4,FALSE()),""))</f>
        <v/>
      </c>
      <c r="H332" s="22"/>
    </row>
    <row r="333" spans="1:8">
      <c r="A333" s="21"/>
      <c r="B333" s="22"/>
      <c r="C333" s="22"/>
      <c r="D333" s="22"/>
      <c r="E333" s="23" t="str">
        <f>IF($D333="","",IFERROR(VLOOKUP($D333,'SAMA Capital Tracker'!$A:$H,8,FALSE()),""))</f>
        <v/>
      </c>
      <c r="F333" s="24"/>
      <c r="G333" s="25" t="str">
        <f>IF($D333="","",IFERROR(VLOOKUP($D333,'SAMA Capital Tracker'!$A:$D,4,FALSE()),""))</f>
        <v/>
      </c>
      <c r="H333" s="22"/>
    </row>
    <row r="334" spans="1:8">
      <c r="A334" s="21"/>
      <c r="B334" s="22"/>
      <c r="C334" s="22"/>
      <c r="D334" s="22"/>
      <c r="E334" s="23" t="str">
        <f>IF($D334="","",IFERROR(VLOOKUP($D334,'SAMA Capital Tracker'!$A:$H,8,FALSE()),""))</f>
        <v/>
      </c>
      <c r="F334" s="24"/>
      <c r="G334" s="25" t="str">
        <f>IF($D334="","",IFERROR(VLOOKUP($D334,'SAMA Capital Tracker'!$A:$D,4,FALSE()),""))</f>
        <v/>
      </c>
      <c r="H334" s="22"/>
    </row>
    <row r="335" spans="1:8">
      <c r="A335" s="21"/>
      <c r="B335" s="22"/>
      <c r="C335" s="22"/>
      <c r="D335" s="22"/>
      <c r="E335" s="23" t="str">
        <f>IF($D335="","",IFERROR(VLOOKUP($D335,'SAMA Capital Tracker'!$A:$H,8,FALSE()),""))</f>
        <v/>
      </c>
      <c r="F335" s="24"/>
      <c r="G335" s="25" t="str">
        <f>IF($D335="","",IFERROR(VLOOKUP($D335,'SAMA Capital Tracker'!$A:$D,4,FALSE()),""))</f>
        <v/>
      </c>
      <c r="H335" s="22"/>
    </row>
    <row r="336" spans="1:8">
      <c r="A336" s="21"/>
      <c r="B336" s="22"/>
      <c r="C336" s="22"/>
      <c r="D336" s="22"/>
      <c r="E336" s="23" t="str">
        <f>IF($D336="","",IFERROR(VLOOKUP($D336,'SAMA Capital Tracker'!$A:$H,8,FALSE()),""))</f>
        <v/>
      </c>
      <c r="F336" s="24"/>
      <c r="G336" s="25" t="str">
        <f>IF($D336="","",IFERROR(VLOOKUP($D336,'SAMA Capital Tracker'!$A:$D,4,FALSE()),""))</f>
        <v/>
      </c>
      <c r="H336" s="22"/>
    </row>
    <row r="337" spans="1:8">
      <c r="A337" s="21"/>
      <c r="B337" s="22"/>
      <c r="C337" s="22"/>
      <c r="D337" s="22"/>
      <c r="E337" s="23" t="str">
        <f>IF($D337="","",IFERROR(VLOOKUP($D337,'SAMA Capital Tracker'!$A:$H,8,FALSE()),""))</f>
        <v/>
      </c>
      <c r="F337" s="24"/>
      <c r="G337" s="25" t="str">
        <f>IF($D337="","",IFERROR(VLOOKUP($D337,'SAMA Capital Tracker'!$A:$D,4,FALSE()),""))</f>
        <v/>
      </c>
      <c r="H337" s="22"/>
    </row>
    <row r="338" spans="1:8">
      <c r="A338" s="21"/>
      <c r="B338" s="22"/>
      <c r="C338" s="22"/>
      <c r="D338" s="22"/>
      <c r="E338" s="23" t="str">
        <f>IF($D338="","",IFERROR(VLOOKUP($D338,'SAMA Capital Tracker'!$A:$H,8,FALSE()),""))</f>
        <v/>
      </c>
      <c r="F338" s="24"/>
      <c r="G338" s="25" t="str">
        <f>IF($D338="","",IFERROR(VLOOKUP($D338,'SAMA Capital Tracker'!$A:$D,4,FALSE()),""))</f>
        <v/>
      </c>
      <c r="H338" s="22"/>
    </row>
    <row r="339" spans="1:8">
      <c r="A339" s="21"/>
      <c r="B339" s="22"/>
      <c r="C339" s="22"/>
      <c r="D339" s="22"/>
      <c r="E339" s="23" t="str">
        <f>IF($D339="","",IFERROR(VLOOKUP($D339,'SAMA Capital Tracker'!$A:$H,8,FALSE()),""))</f>
        <v/>
      </c>
      <c r="F339" s="24"/>
      <c r="G339" s="25" t="str">
        <f>IF($D339="","",IFERROR(VLOOKUP($D339,'SAMA Capital Tracker'!$A:$D,4,FALSE()),""))</f>
        <v/>
      </c>
      <c r="H339" s="22"/>
    </row>
    <row r="340" spans="1:8">
      <c r="A340" s="21"/>
      <c r="B340" s="22"/>
      <c r="C340" s="22"/>
      <c r="D340" s="22"/>
      <c r="E340" s="23" t="str">
        <f>IF($D340="","",IFERROR(VLOOKUP($D340,'SAMA Capital Tracker'!$A:$H,8,FALSE()),""))</f>
        <v/>
      </c>
      <c r="F340" s="24"/>
      <c r="G340" s="25" t="str">
        <f>IF($D340="","",IFERROR(VLOOKUP($D340,'SAMA Capital Tracker'!$A:$D,4,FALSE()),""))</f>
        <v/>
      </c>
      <c r="H340" s="22"/>
    </row>
    <row r="341" spans="1:8">
      <c r="A341" s="21"/>
      <c r="B341" s="22"/>
      <c r="C341" s="22"/>
      <c r="D341" s="22"/>
      <c r="E341" s="23" t="str">
        <f>IF($D341="","",IFERROR(VLOOKUP($D341,'SAMA Capital Tracker'!$A:$H,8,FALSE()),""))</f>
        <v/>
      </c>
      <c r="F341" s="24"/>
      <c r="G341" s="25" t="str">
        <f>IF($D341="","",IFERROR(VLOOKUP($D341,'SAMA Capital Tracker'!$A:$D,4,FALSE()),""))</f>
        <v/>
      </c>
      <c r="H341" s="22"/>
    </row>
    <row r="342" spans="1:8">
      <c r="A342" s="21"/>
      <c r="B342" s="22"/>
      <c r="C342" s="22"/>
      <c r="D342" s="22"/>
      <c r="E342" s="23" t="str">
        <f>IF($D342="","",IFERROR(VLOOKUP($D342,'SAMA Capital Tracker'!$A:$H,8,FALSE()),""))</f>
        <v/>
      </c>
      <c r="F342" s="24"/>
      <c r="G342" s="25" t="str">
        <f>IF($D342="","",IFERROR(VLOOKUP($D342,'SAMA Capital Tracker'!$A:$D,4,FALSE()),""))</f>
        <v/>
      </c>
      <c r="H342" s="22"/>
    </row>
    <row r="343" spans="1:8">
      <c r="A343" s="21"/>
      <c r="B343" s="22"/>
      <c r="C343" s="22"/>
      <c r="D343" s="22"/>
      <c r="E343" s="23" t="str">
        <f>IF($D343="","",IFERROR(VLOOKUP($D343,'SAMA Capital Tracker'!$A:$H,8,FALSE()),""))</f>
        <v/>
      </c>
      <c r="F343" s="24"/>
      <c r="G343" s="25" t="str">
        <f>IF($D343="","",IFERROR(VLOOKUP($D343,'SAMA Capital Tracker'!$A:$D,4,FALSE()),""))</f>
        <v/>
      </c>
      <c r="H343" s="22"/>
    </row>
    <row r="344" spans="1:8">
      <c r="A344" s="21"/>
      <c r="B344" s="22"/>
      <c r="C344" s="22"/>
      <c r="D344" s="22"/>
      <c r="E344" s="23" t="str">
        <f>IF($D344="","",IFERROR(VLOOKUP($D344,'SAMA Capital Tracker'!$A:$H,8,FALSE()),""))</f>
        <v/>
      </c>
      <c r="F344" s="24"/>
      <c r="G344" s="25" t="str">
        <f>IF($D344="","",IFERROR(VLOOKUP($D344,'SAMA Capital Tracker'!$A:$D,4,FALSE()),""))</f>
        <v/>
      </c>
      <c r="H344" s="22"/>
    </row>
    <row r="345" spans="1:8">
      <c r="A345" s="21"/>
      <c r="B345" s="22"/>
      <c r="C345" s="22"/>
      <c r="D345" s="22"/>
      <c r="E345" s="23" t="str">
        <f>IF($D345="","",IFERROR(VLOOKUP($D345,'SAMA Capital Tracker'!$A:$H,8,FALSE()),""))</f>
        <v/>
      </c>
      <c r="F345" s="24"/>
      <c r="G345" s="25" t="str">
        <f>IF($D345="","",IFERROR(VLOOKUP($D345,'SAMA Capital Tracker'!$A:$D,4,FALSE()),""))</f>
        <v/>
      </c>
      <c r="H345" s="22"/>
    </row>
    <row r="346" spans="1:8">
      <c r="A346" s="21"/>
      <c r="B346" s="22"/>
      <c r="C346" s="22"/>
      <c r="D346" s="22"/>
      <c r="E346" s="23" t="str">
        <f>IF($D346="","",IFERROR(VLOOKUP($D346,'SAMA Capital Tracker'!$A:$H,8,FALSE()),""))</f>
        <v/>
      </c>
      <c r="F346" s="24"/>
      <c r="G346" s="25" t="str">
        <f>IF($D346="","",IFERROR(VLOOKUP($D346,'SAMA Capital Tracker'!$A:$D,4,FALSE()),""))</f>
        <v/>
      </c>
      <c r="H346" s="22"/>
    </row>
    <row r="347" spans="1:8">
      <c r="A347" s="21"/>
      <c r="B347" s="22"/>
      <c r="C347" s="22"/>
      <c r="D347" s="22"/>
      <c r="E347" s="23" t="str">
        <f>IF($D347="","",IFERROR(VLOOKUP($D347,'SAMA Capital Tracker'!$A:$H,8,FALSE()),""))</f>
        <v/>
      </c>
      <c r="F347" s="24"/>
      <c r="G347" s="25" t="str">
        <f>IF($D347="","",IFERROR(VLOOKUP($D347,'SAMA Capital Tracker'!$A:$D,4,FALSE()),""))</f>
        <v/>
      </c>
      <c r="H347" s="22"/>
    </row>
    <row r="348" spans="1:8">
      <c r="A348" s="21"/>
      <c r="B348" s="22"/>
      <c r="C348" s="22"/>
      <c r="D348" s="22"/>
      <c r="E348" s="23" t="str">
        <f>IF($D348="","",IFERROR(VLOOKUP($D348,'SAMA Capital Tracker'!$A:$H,8,FALSE()),""))</f>
        <v/>
      </c>
      <c r="F348" s="24"/>
      <c r="G348" s="25" t="str">
        <f>IF($D348="","",IFERROR(VLOOKUP($D348,'SAMA Capital Tracker'!$A:$D,4,FALSE()),""))</f>
        <v/>
      </c>
      <c r="H348" s="22"/>
    </row>
    <row r="349" spans="1:8">
      <c r="A349" s="21"/>
      <c r="B349" s="22"/>
      <c r="C349" s="22"/>
      <c r="D349" s="22"/>
      <c r="E349" s="23" t="str">
        <f>IF($D349="","",IFERROR(VLOOKUP($D349,'SAMA Capital Tracker'!$A:$H,8,FALSE()),""))</f>
        <v/>
      </c>
      <c r="F349" s="24"/>
      <c r="G349" s="25" t="str">
        <f>IF($D349="","",IFERROR(VLOOKUP($D349,'SAMA Capital Tracker'!$A:$D,4,FALSE()),""))</f>
        <v/>
      </c>
      <c r="H349" s="22"/>
    </row>
    <row r="350" spans="1:8">
      <c r="A350" s="21"/>
      <c r="B350" s="22"/>
      <c r="C350" s="22"/>
      <c r="D350" s="22"/>
      <c r="E350" s="23" t="str">
        <f>IF($D350="","",IFERROR(VLOOKUP($D350,'SAMA Capital Tracker'!$A:$H,8,FALSE()),""))</f>
        <v/>
      </c>
      <c r="F350" s="24"/>
      <c r="G350" s="25" t="str">
        <f>IF($D350="","",IFERROR(VLOOKUP($D350,'SAMA Capital Tracker'!$A:$D,4,FALSE()),""))</f>
        <v/>
      </c>
      <c r="H350" s="22"/>
    </row>
    <row r="351" spans="1:8">
      <c r="A351" s="21"/>
      <c r="B351" s="22"/>
      <c r="C351" s="22"/>
      <c r="D351" s="22"/>
      <c r="E351" s="23" t="str">
        <f>IF($D351="","",IFERROR(VLOOKUP($D351,'SAMA Capital Tracker'!$A:$H,8,FALSE()),""))</f>
        <v/>
      </c>
      <c r="F351" s="24"/>
      <c r="G351" s="25" t="str">
        <f>IF($D351="","",IFERROR(VLOOKUP($D351,'SAMA Capital Tracker'!$A:$D,4,FALSE()),""))</f>
        <v/>
      </c>
      <c r="H351" s="22"/>
    </row>
    <row r="352" spans="1:8">
      <c r="A352" s="21"/>
      <c r="B352" s="22"/>
      <c r="C352" s="22"/>
      <c r="D352" s="22"/>
      <c r="E352" s="23" t="str">
        <f>IF($D352="","",IFERROR(VLOOKUP($D352,'SAMA Capital Tracker'!$A:$H,8,FALSE()),""))</f>
        <v/>
      </c>
      <c r="F352" s="24"/>
      <c r="G352" s="25" t="str">
        <f>IF($D352="","",IFERROR(VLOOKUP($D352,'SAMA Capital Tracker'!$A:$D,4,FALSE()),""))</f>
        <v/>
      </c>
      <c r="H352" s="22"/>
    </row>
    <row r="353" spans="1:8">
      <c r="A353" s="21"/>
      <c r="B353" s="22"/>
      <c r="C353" s="22"/>
      <c r="D353" s="22"/>
      <c r="E353" s="23" t="str">
        <f>IF($D353="","",IFERROR(VLOOKUP($D353,'SAMA Capital Tracker'!$A:$H,8,FALSE()),""))</f>
        <v/>
      </c>
      <c r="F353" s="24"/>
      <c r="G353" s="25" t="str">
        <f>IF($D353="","",IFERROR(VLOOKUP($D353,'SAMA Capital Tracker'!$A:$D,4,FALSE()),""))</f>
        <v/>
      </c>
      <c r="H353" s="22"/>
    </row>
    <row r="354" spans="1:8">
      <c r="A354" s="21"/>
      <c r="B354" s="22"/>
      <c r="C354" s="22"/>
      <c r="D354" s="22"/>
      <c r="E354" s="23" t="str">
        <f>IF($D354="","",IFERROR(VLOOKUP($D354,'SAMA Capital Tracker'!$A:$H,8,FALSE()),""))</f>
        <v/>
      </c>
      <c r="F354" s="24"/>
      <c r="G354" s="25" t="str">
        <f>IF($D354="","",IFERROR(VLOOKUP($D354,'SAMA Capital Tracker'!$A:$D,4,FALSE()),""))</f>
        <v/>
      </c>
      <c r="H354" s="22"/>
    </row>
    <row r="355" spans="1:8">
      <c r="A355" s="21"/>
      <c r="B355" s="22"/>
      <c r="C355" s="22"/>
      <c r="D355" s="22"/>
      <c r="E355" s="23" t="str">
        <f>IF($D355="","",IFERROR(VLOOKUP($D355,'SAMA Capital Tracker'!$A:$H,8,FALSE()),""))</f>
        <v/>
      </c>
      <c r="F355" s="24"/>
      <c r="G355" s="25" t="str">
        <f>IF($D355="","",IFERROR(VLOOKUP($D355,'SAMA Capital Tracker'!$A:$D,4,FALSE()),""))</f>
        <v/>
      </c>
      <c r="H355" s="22"/>
    </row>
    <row r="356" spans="1:8">
      <c r="A356" s="21"/>
      <c r="B356" s="22"/>
      <c r="C356" s="22"/>
      <c r="D356" s="22"/>
      <c r="E356" s="23" t="str">
        <f>IF($D356="","",IFERROR(VLOOKUP($D356,'SAMA Capital Tracker'!$A:$H,8,FALSE()),""))</f>
        <v/>
      </c>
      <c r="F356" s="24"/>
      <c r="G356" s="25" t="str">
        <f>IF($D356="","",IFERROR(VLOOKUP($D356,'SAMA Capital Tracker'!$A:$D,4,FALSE()),""))</f>
        <v/>
      </c>
      <c r="H356" s="22"/>
    </row>
    <row r="357" spans="1:8">
      <c r="A357" s="21"/>
      <c r="B357" s="22"/>
      <c r="C357" s="22"/>
      <c r="D357" s="22"/>
      <c r="E357" s="23" t="str">
        <f>IF($D357="","",IFERROR(VLOOKUP($D357,'SAMA Capital Tracker'!$A:$H,8,FALSE()),""))</f>
        <v/>
      </c>
      <c r="F357" s="24"/>
      <c r="G357" s="25" t="str">
        <f>IF($D357="","",IFERROR(VLOOKUP($D357,'SAMA Capital Tracker'!$A:$D,4,FALSE()),""))</f>
        <v/>
      </c>
      <c r="H357" s="22"/>
    </row>
    <row r="358" spans="1:8">
      <c r="A358" s="21"/>
      <c r="B358" s="22"/>
      <c r="C358" s="22"/>
      <c r="D358" s="22"/>
      <c r="E358" s="23" t="str">
        <f>IF($D358="","",IFERROR(VLOOKUP($D358,'SAMA Capital Tracker'!$A:$H,8,FALSE()),""))</f>
        <v/>
      </c>
      <c r="F358" s="24"/>
      <c r="G358" s="25" t="str">
        <f>IF($D358="","",IFERROR(VLOOKUP($D358,'SAMA Capital Tracker'!$A:$D,4,FALSE()),""))</f>
        <v/>
      </c>
      <c r="H358" s="22"/>
    </row>
    <row r="359" spans="1:8">
      <c r="A359" s="21"/>
      <c r="B359" s="22"/>
      <c r="C359" s="22"/>
      <c r="D359" s="22"/>
      <c r="E359" s="23" t="str">
        <f>IF($D359="","",IFERROR(VLOOKUP($D359,'SAMA Capital Tracker'!$A:$H,8,FALSE()),""))</f>
        <v/>
      </c>
      <c r="F359" s="24"/>
      <c r="G359" s="25" t="str">
        <f>IF($D359="","",IFERROR(VLOOKUP($D359,'SAMA Capital Tracker'!$A:$D,4,FALSE()),""))</f>
        <v/>
      </c>
      <c r="H359" s="22"/>
    </row>
    <row r="360" spans="1:8">
      <c r="A360" s="21"/>
      <c r="B360" s="22"/>
      <c r="C360" s="22"/>
      <c r="D360" s="22"/>
      <c r="E360" s="23" t="str">
        <f>IF($D360="","",IFERROR(VLOOKUP($D360,'SAMA Capital Tracker'!$A:$H,8,FALSE()),""))</f>
        <v/>
      </c>
      <c r="F360" s="24"/>
      <c r="G360" s="25" t="str">
        <f>IF($D360="","",IFERROR(VLOOKUP($D360,'SAMA Capital Tracker'!$A:$D,4,FALSE()),""))</f>
        <v/>
      </c>
      <c r="H360" s="22"/>
    </row>
    <row r="361" spans="1:8">
      <c r="A361" s="21"/>
      <c r="B361" s="22"/>
      <c r="C361" s="22"/>
      <c r="D361" s="22"/>
      <c r="E361" s="23" t="str">
        <f>IF($D361="","",IFERROR(VLOOKUP($D361,'SAMA Capital Tracker'!$A:$H,8,FALSE()),""))</f>
        <v/>
      </c>
      <c r="F361" s="24"/>
      <c r="G361" s="25" t="str">
        <f>IF($D361="","",IFERROR(VLOOKUP($D361,'SAMA Capital Tracker'!$A:$D,4,FALSE()),""))</f>
        <v/>
      </c>
      <c r="H361" s="22"/>
    </row>
    <row r="362" spans="1:8">
      <c r="A362" s="21"/>
      <c r="B362" s="22"/>
      <c r="C362" s="22"/>
      <c r="D362" s="22"/>
      <c r="E362" s="23" t="str">
        <f>IF($D362="","",IFERROR(VLOOKUP($D362,'SAMA Capital Tracker'!$A:$H,8,FALSE()),""))</f>
        <v/>
      </c>
      <c r="F362" s="24"/>
      <c r="G362" s="25" t="str">
        <f>IF($D362="","",IFERROR(VLOOKUP($D362,'SAMA Capital Tracker'!$A:$D,4,FALSE()),""))</f>
        <v/>
      </c>
      <c r="H362" s="22"/>
    </row>
    <row r="363" spans="1:8">
      <c r="A363" s="21"/>
      <c r="B363" s="22"/>
      <c r="C363" s="22"/>
      <c r="D363" s="22"/>
      <c r="E363" s="23" t="str">
        <f>IF($D363="","",IFERROR(VLOOKUP($D363,'SAMA Capital Tracker'!$A:$H,8,FALSE()),""))</f>
        <v/>
      </c>
      <c r="F363" s="24"/>
      <c r="G363" s="25" t="str">
        <f>IF($D363="","",IFERROR(VLOOKUP($D363,'SAMA Capital Tracker'!$A:$D,4,FALSE()),""))</f>
        <v/>
      </c>
      <c r="H363" s="22"/>
    </row>
    <row r="364" spans="1:8">
      <c r="A364" s="21"/>
      <c r="B364" s="22"/>
      <c r="C364" s="22"/>
      <c r="D364" s="22"/>
      <c r="E364" s="23" t="str">
        <f>IF($D364="","",IFERROR(VLOOKUP($D364,'SAMA Capital Tracker'!$A:$H,8,FALSE()),""))</f>
        <v/>
      </c>
      <c r="F364" s="24"/>
      <c r="G364" s="25" t="str">
        <f>IF($D364="","",IFERROR(VLOOKUP($D364,'SAMA Capital Tracker'!$A:$D,4,FALSE()),""))</f>
        <v/>
      </c>
      <c r="H364" s="22"/>
    </row>
    <row r="365" spans="1:8">
      <c r="A365" s="21"/>
      <c r="B365" s="22"/>
      <c r="C365" s="22"/>
      <c r="D365" s="22"/>
      <c r="E365" s="23" t="str">
        <f>IF($D365="","",IFERROR(VLOOKUP($D365,'SAMA Capital Tracker'!$A:$H,8,FALSE()),""))</f>
        <v/>
      </c>
      <c r="F365" s="24"/>
      <c r="G365" s="25" t="str">
        <f>IF($D365="","",IFERROR(VLOOKUP($D365,'SAMA Capital Tracker'!$A:$D,4,FALSE()),""))</f>
        <v/>
      </c>
      <c r="H365" s="22"/>
    </row>
    <row r="366" spans="1:8">
      <c r="A366" s="21"/>
      <c r="B366" s="22"/>
      <c r="C366" s="22"/>
      <c r="D366" s="22"/>
      <c r="E366" s="23" t="str">
        <f>IF($D366="","",IFERROR(VLOOKUP($D366,'SAMA Capital Tracker'!$A:$H,8,FALSE()),""))</f>
        <v/>
      </c>
      <c r="F366" s="24"/>
      <c r="G366" s="25" t="str">
        <f>IF($D366="","",IFERROR(VLOOKUP($D366,'SAMA Capital Tracker'!$A:$D,4,FALSE()),""))</f>
        <v/>
      </c>
      <c r="H366" s="22"/>
    </row>
    <row r="367" spans="1:8">
      <c r="A367" s="21"/>
      <c r="B367" s="22"/>
      <c r="C367" s="22"/>
      <c r="D367" s="22"/>
      <c r="E367" s="23" t="str">
        <f>IF($D367="","",IFERROR(VLOOKUP($D367,'SAMA Capital Tracker'!$A:$H,8,FALSE()),""))</f>
        <v/>
      </c>
      <c r="F367" s="24"/>
      <c r="G367" s="25" t="str">
        <f>IF($D367="","",IFERROR(VLOOKUP($D367,'SAMA Capital Tracker'!$A:$D,4,FALSE()),""))</f>
        <v/>
      </c>
      <c r="H367" s="22"/>
    </row>
    <row r="368" spans="1:8">
      <c r="A368" s="21"/>
      <c r="B368" s="22"/>
      <c r="C368" s="22"/>
      <c r="D368" s="22"/>
      <c r="E368" s="23" t="str">
        <f>IF($D368="","",IFERROR(VLOOKUP($D368,'SAMA Capital Tracker'!$A:$H,8,FALSE()),""))</f>
        <v/>
      </c>
      <c r="F368" s="24"/>
      <c r="G368" s="25" t="str">
        <f>IF($D368="","",IFERROR(VLOOKUP($D368,'SAMA Capital Tracker'!$A:$D,4,FALSE()),""))</f>
        <v/>
      </c>
      <c r="H368" s="22"/>
    </row>
    <row r="369" spans="1:8">
      <c r="A369" s="21"/>
      <c r="B369" s="22"/>
      <c r="C369" s="22"/>
      <c r="D369" s="22"/>
      <c r="E369" s="23" t="str">
        <f>IF($D369="","",IFERROR(VLOOKUP($D369,'SAMA Capital Tracker'!$A:$H,8,FALSE()),""))</f>
        <v/>
      </c>
      <c r="F369" s="24"/>
      <c r="G369" s="25" t="str">
        <f>IF($D369="","",IFERROR(VLOOKUP($D369,'SAMA Capital Tracker'!$A:$D,4,FALSE()),""))</f>
        <v/>
      </c>
      <c r="H369" s="22"/>
    </row>
    <row r="370" spans="1:8">
      <c r="A370" s="21"/>
      <c r="B370" s="22"/>
      <c r="C370" s="22"/>
      <c r="D370" s="22"/>
      <c r="E370" s="23" t="str">
        <f>IF($D370="","",IFERROR(VLOOKUP($D370,'SAMA Capital Tracker'!$A:$H,8,FALSE()),""))</f>
        <v/>
      </c>
      <c r="F370" s="24"/>
      <c r="G370" s="25" t="str">
        <f>IF($D370="","",IFERROR(VLOOKUP($D370,'SAMA Capital Tracker'!$A:$D,4,FALSE()),""))</f>
        <v/>
      </c>
      <c r="H370" s="22"/>
    </row>
    <row r="371" spans="1:8">
      <c r="A371" s="21"/>
      <c r="B371" s="22"/>
      <c r="C371" s="22"/>
      <c r="D371" s="22"/>
      <c r="E371" s="23" t="str">
        <f>IF($D371="","",IFERROR(VLOOKUP($D371,'SAMA Capital Tracker'!$A:$H,8,FALSE()),""))</f>
        <v/>
      </c>
      <c r="F371" s="24"/>
      <c r="G371" s="25" t="str">
        <f>IF($D371="","",IFERROR(VLOOKUP($D371,'SAMA Capital Tracker'!$A:$D,4,FALSE()),""))</f>
        <v/>
      </c>
      <c r="H371" s="22"/>
    </row>
    <row r="372" spans="1:8">
      <c r="A372" s="21"/>
      <c r="B372" s="22"/>
      <c r="C372" s="22"/>
      <c r="D372" s="22"/>
      <c r="E372" s="23" t="str">
        <f>IF($D372="","",IFERROR(VLOOKUP($D372,'SAMA Capital Tracker'!$A:$H,8,FALSE()),""))</f>
        <v/>
      </c>
      <c r="F372" s="24"/>
      <c r="G372" s="25" t="str">
        <f>IF($D372="","",IFERROR(VLOOKUP($D372,'SAMA Capital Tracker'!$A:$D,4,FALSE()),""))</f>
        <v/>
      </c>
      <c r="H372" s="22"/>
    </row>
    <row r="373" spans="1:8">
      <c r="A373" s="21"/>
      <c r="B373" s="22"/>
      <c r="C373" s="22"/>
      <c r="D373" s="22"/>
      <c r="E373" s="23" t="str">
        <f>IF($D373="","",IFERROR(VLOOKUP($D373,'SAMA Capital Tracker'!$A:$H,8,FALSE()),""))</f>
        <v/>
      </c>
      <c r="F373" s="24"/>
      <c r="G373" s="25" t="str">
        <f>IF($D373="","",IFERROR(VLOOKUP($D373,'SAMA Capital Tracker'!$A:$D,4,FALSE()),""))</f>
        <v/>
      </c>
      <c r="H373" s="22"/>
    </row>
    <row r="374" spans="1:8">
      <c r="A374" s="21"/>
      <c r="B374" s="22"/>
      <c r="C374" s="22"/>
      <c r="D374" s="22"/>
      <c r="E374" s="23" t="str">
        <f>IF($D374="","",IFERROR(VLOOKUP($D374,'SAMA Capital Tracker'!$A:$H,8,FALSE()),""))</f>
        <v/>
      </c>
      <c r="F374" s="24"/>
      <c r="G374" s="25" t="str">
        <f>IF($D374="","",IFERROR(VLOOKUP($D374,'SAMA Capital Tracker'!$A:$D,4,FALSE()),""))</f>
        <v/>
      </c>
      <c r="H374" s="22"/>
    </row>
    <row r="375" spans="1:8">
      <c r="A375" s="21"/>
      <c r="B375" s="22"/>
      <c r="C375" s="22"/>
      <c r="D375" s="22"/>
      <c r="E375" s="23" t="str">
        <f>IF($D375="","",IFERROR(VLOOKUP($D375,'SAMA Capital Tracker'!$A:$H,8,FALSE()),""))</f>
        <v/>
      </c>
      <c r="F375" s="24"/>
      <c r="G375" s="25" t="str">
        <f>IF($D375="","",IFERROR(VLOOKUP($D375,'SAMA Capital Tracker'!$A:$D,4,FALSE()),""))</f>
        <v/>
      </c>
      <c r="H375" s="22"/>
    </row>
    <row r="376" spans="1:8">
      <c r="A376" s="21"/>
      <c r="B376" s="22"/>
      <c r="C376" s="22"/>
      <c r="D376" s="22"/>
      <c r="E376" s="23" t="str">
        <f>IF($D376="","",IFERROR(VLOOKUP($D376,'SAMA Capital Tracker'!$A:$H,8,FALSE()),""))</f>
        <v/>
      </c>
      <c r="F376" s="24"/>
      <c r="G376" s="25" t="str">
        <f>IF($D376="","",IFERROR(VLOOKUP($D376,'SAMA Capital Tracker'!$A:$D,4,FALSE()),""))</f>
        <v/>
      </c>
      <c r="H376" s="22"/>
    </row>
    <row r="377" spans="1:8">
      <c r="A377" s="21"/>
      <c r="B377" s="22"/>
      <c r="C377" s="22"/>
      <c r="D377" s="22"/>
      <c r="E377" s="23" t="str">
        <f>IF($D377="","",IFERROR(VLOOKUP($D377,'SAMA Capital Tracker'!$A:$H,8,FALSE()),""))</f>
        <v/>
      </c>
      <c r="F377" s="24"/>
      <c r="G377" s="25" t="str">
        <f>IF($D377="","",IFERROR(VLOOKUP($D377,'SAMA Capital Tracker'!$A:$D,4,FALSE()),""))</f>
        <v/>
      </c>
      <c r="H377" s="22"/>
    </row>
    <row r="378" spans="1:8">
      <c r="A378" s="21"/>
      <c r="B378" s="22"/>
      <c r="C378" s="22"/>
      <c r="D378" s="22"/>
      <c r="E378" s="23" t="str">
        <f>IF($D378="","",IFERROR(VLOOKUP($D378,'SAMA Capital Tracker'!$A:$H,8,FALSE()),""))</f>
        <v/>
      </c>
      <c r="F378" s="24"/>
      <c r="G378" s="25" t="str">
        <f>IF($D378="","",IFERROR(VLOOKUP($D378,'SAMA Capital Tracker'!$A:$D,4,FALSE()),""))</f>
        <v/>
      </c>
      <c r="H378" s="22"/>
    </row>
    <row r="379" spans="1:8">
      <c r="A379" s="21"/>
      <c r="B379" s="22"/>
      <c r="C379" s="22"/>
      <c r="D379" s="22"/>
      <c r="E379" s="23" t="str">
        <f>IF($D379="","",IFERROR(VLOOKUP($D379,'SAMA Capital Tracker'!$A:$H,8,FALSE()),""))</f>
        <v/>
      </c>
      <c r="F379" s="24"/>
      <c r="G379" s="25" t="str">
        <f>IF($D379="","",IFERROR(VLOOKUP($D379,'SAMA Capital Tracker'!$A:$D,4,FALSE()),""))</f>
        <v/>
      </c>
      <c r="H379" s="22"/>
    </row>
    <row r="380" spans="1:8">
      <c r="A380" s="21"/>
      <c r="B380" s="22"/>
      <c r="C380" s="22"/>
      <c r="D380" s="22"/>
      <c r="E380" s="23" t="str">
        <f>IF($D380="","",IFERROR(VLOOKUP($D380,'SAMA Capital Tracker'!$A:$H,8,FALSE()),""))</f>
        <v/>
      </c>
      <c r="F380" s="24"/>
      <c r="G380" s="25" t="str">
        <f>IF($D380="","",IFERROR(VLOOKUP($D380,'SAMA Capital Tracker'!$A:$D,4,FALSE()),""))</f>
        <v/>
      </c>
      <c r="H380" s="22"/>
    </row>
    <row r="381" spans="1:8">
      <c r="A381" s="21"/>
      <c r="B381" s="22"/>
      <c r="C381" s="22"/>
      <c r="D381" s="22"/>
      <c r="E381" s="23" t="str">
        <f>IF($D381="","",IFERROR(VLOOKUP($D381,'SAMA Capital Tracker'!$A:$H,8,FALSE()),""))</f>
        <v/>
      </c>
      <c r="F381" s="24"/>
      <c r="G381" s="25" t="str">
        <f>IF($D381="","",IFERROR(VLOOKUP($D381,'SAMA Capital Tracker'!$A:$D,4,FALSE()),""))</f>
        <v/>
      </c>
      <c r="H381" s="22"/>
    </row>
    <row r="382" spans="1:8">
      <c r="A382" s="21"/>
      <c r="B382" s="22"/>
      <c r="C382" s="22"/>
      <c r="D382" s="22"/>
      <c r="E382" s="23" t="str">
        <f>IF($D382="","",IFERROR(VLOOKUP($D382,'SAMA Capital Tracker'!$A:$H,8,FALSE()),""))</f>
        <v/>
      </c>
      <c r="F382" s="24"/>
      <c r="G382" s="25" t="str">
        <f>IF($D382="","",IFERROR(VLOOKUP($D382,'SAMA Capital Tracker'!$A:$D,4,FALSE()),""))</f>
        <v/>
      </c>
      <c r="H382" s="22"/>
    </row>
    <row r="383" spans="1:8">
      <c r="A383" s="21"/>
      <c r="B383" s="22"/>
      <c r="C383" s="22"/>
      <c r="D383" s="22"/>
      <c r="E383" s="23" t="str">
        <f>IF($D383="","",IFERROR(VLOOKUP($D383,'SAMA Capital Tracker'!$A:$H,8,FALSE()),""))</f>
        <v/>
      </c>
      <c r="F383" s="24"/>
      <c r="G383" s="25" t="str">
        <f>IF($D383="","",IFERROR(VLOOKUP($D383,'SAMA Capital Tracker'!$A:$D,4,FALSE()),""))</f>
        <v/>
      </c>
      <c r="H383" s="22"/>
    </row>
    <row r="384" spans="1:8">
      <c r="A384" s="21"/>
      <c r="B384" s="22"/>
      <c r="C384" s="22"/>
      <c r="D384" s="22"/>
      <c r="E384" s="23" t="str">
        <f>IF($D384="","",IFERROR(VLOOKUP($D384,'SAMA Capital Tracker'!$A:$H,8,FALSE()),""))</f>
        <v/>
      </c>
      <c r="F384" s="24"/>
      <c r="G384" s="25" t="str">
        <f>IF($D384="","",IFERROR(VLOOKUP($D384,'SAMA Capital Tracker'!$A:$D,4,FALSE()),""))</f>
        <v/>
      </c>
      <c r="H384" s="22"/>
    </row>
    <row r="385" spans="1:8">
      <c r="A385" s="21"/>
      <c r="B385" s="22"/>
      <c r="C385" s="22"/>
      <c r="D385" s="22"/>
      <c r="E385" s="23" t="str">
        <f>IF($D385="","",IFERROR(VLOOKUP($D385,'SAMA Capital Tracker'!$A:$H,8,FALSE()),""))</f>
        <v/>
      </c>
      <c r="F385" s="24"/>
      <c r="G385" s="25" t="str">
        <f>IF($D385="","",IFERROR(VLOOKUP($D385,'SAMA Capital Tracker'!$A:$D,4,FALSE()),""))</f>
        <v/>
      </c>
      <c r="H385" s="22"/>
    </row>
    <row r="386" spans="1:8">
      <c r="A386" s="21"/>
      <c r="B386" s="22"/>
      <c r="C386" s="22"/>
      <c r="D386" s="22"/>
      <c r="E386" s="23" t="str">
        <f>IF($D386="","",IFERROR(VLOOKUP($D386,'SAMA Capital Tracker'!$A:$H,8,FALSE()),""))</f>
        <v/>
      </c>
      <c r="F386" s="24"/>
      <c r="G386" s="25" t="str">
        <f>IF($D386="","",IFERROR(VLOOKUP($D386,'SAMA Capital Tracker'!$A:$D,4,FALSE()),""))</f>
        <v/>
      </c>
      <c r="H386" s="22"/>
    </row>
    <row r="387" spans="1:8">
      <c r="A387" s="21"/>
      <c r="B387" s="22"/>
      <c r="C387" s="22"/>
      <c r="D387" s="22"/>
      <c r="E387" s="23" t="str">
        <f>IF($D387="","",IFERROR(VLOOKUP($D387,'SAMA Capital Tracker'!$A:$H,8,FALSE()),""))</f>
        <v/>
      </c>
      <c r="F387" s="24"/>
      <c r="G387" s="25" t="str">
        <f>IF($D387="","",IFERROR(VLOOKUP($D387,'SAMA Capital Tracker'!$A:$D,4,FALSE()),""))</f>
        <v/>
      </c>
      <c r="H387" s="22"/>
    </row>
    <row r="388" spans="1:8">
      <c r="A388" s="21"/>
      <c r="B388" s="22"/>
      <c r="C388" s="22"/>
      <c r="D388" s="22"/>
      <c r="E388" s="23" t="str">
        <f>IF($D388="","",IFERROR(VLOOKUP($D388,'SAMA Capital Tracker'!$A:$H,8,FALSE()),""))</f>
        <v/>
      </c>
      <c r="F388" s="24"/>
      <c r="G388" s="25" t="str">
        <f>IF($D388="","",IFERROR(VLOOKUP($D388,'SAMA Capital Tracker'!$A:$D,4,FALSE()),""))</f>
        <v/>
      </c>
      <c r="H388" s="22"/>
    </row>
    <row r="389" spans="1:8">
      <c r="A389" s="21"/>
      <c r="B389" s="22"/>
      <c r="C389" s="22"/>
      <c r="D389" s="22"/>
      <c r="E389" s="23" t="str">
        <f>IF($D389="","",IFERROR(VLOOKUP($D389,'SAMA Capital Tracker'!$A:$H,8,FALSE()),""))</f>
        <v/>
      </c>
      <c r="F389" s="24"/>
      <c r="G389" s="25" t="str">
        <f>IF($D389="","",IFERROR(VLOOKUP($D389,'SAMA Capital Tracker'!$A:$D,4,FALSE()),""))</f>
        <v/>
      </c>
      <c r="H389" s="22"/>
    </row>
    <row r="390" spans="1:8">
      <c r="A390" s="21"/>
      <c r="B390" s="22"/>
      <c r="C390" s="22"/>
      <c r="D390" s="22"/>
      <c r="E390" s="23" t="str">
        <f>IF($D390="","",IFERROR(VLOOKUP($D390,'SAMA Capital Tracker'!$A:$H,8,FALSE()),""))</f>
        <v/>
      </c>
      <c r="F390" s="24"/>
      <c r="G390" s="25" t="str">
        <f>IF($D390="","",IFERROR(VLOOKUP($D390,'SAMA Capital Tracker'!$A:$D,4,FALSE()),""))</f>
        <v/>
      </c>
      <c r="H390" s="22"/>
    </row>
    <row r="391" spans="1:8">
      <c r="A391" s="21"/>
      <c r="B391" s="22"/>
      <c r="C391" s="22"/>
      <c r="D391" s="22"/>
      <c r="E391" s="23" t="str">
        <f>IF($D391="","",IFERROR(VLOOKUP($D391,'SAMA Capital Tracker'!$A:$H,8,FALSE()),""))</f>
        <v/>
      </c>
      <c r="F391" s="24"/>
      <c r="G391" s="25" t="str">
        <f>IF($D391="","",IFERROR(VLOOKUP($D391,'SAMA Capital Tracker'!$A:$D,4,FALSE()),""))</f>
        <v/>
      </c>
      <c r="H391" s="22"/>
    </row>
    <row r="392" spans="1:8">
      <c r="A392" s="21"/>
      <c r="B392" s="22"/>
      <c r="C392" s="22"/>
      <c r="D392" s="22"/>
      <c r="E392" s="23" t="str">
        <f>IF($D392="","",IFERROR(VLOOKUP($D392,'SAMA Capital Tracker'!$A:$H,8,FALSE()),""))</f>
        <v/>
      </c>
      <c r="F392" s="24"/>
      <c r="G392" s="25" t="str">
        <f>IF($D392="","",IFERROR(VLOOKUP($D392,'SAMA Capital Tracker'!$A:$D,4,FALSE()),""))</f>
        <v/>
      </c>
      <c r="H392" s="22"/>
    </row>
    <row r="393" spans="1:8">
      <c r="A393" s="21"/>
      <c r="B393" s="22"/>
      <c r="C393" s="22"/>
      <c r="D393" s="22"/>
      <c r="E393" s="23" t="str">
        <f>IF($D393="","",IFERROR(VLOOKUP($D393,'SAMA Capital Tracker'!$A:$H,8,FALSE()),""))</f>
        <v/>
      </c>
      <c r="F393" s="24"/>
      <c r="G393" s="25" t="str">
        <f>IF($D393="","",IFERROR(VLOOKUP($D393,'SAMA Capital Tracker'!$A:$D,4,FALSE()),""))</f>
        <v/>
      </c>
      <c r="H393" s="22"/>
    </row>
    <row r="394" spans="1:8">
      <c r="A394" s="21"/>
      <c r="B394" s="22"/>
      <c r="C394" s="22"/>
      <c r="D394" s="22"/>
      <c r="E394" s="23" t="str">
        <f>IF($D394="","",IFERROR(VLOOKUP($D394,'SAMA Capital Tracker'!$A:$H,8,FALSE()),""))</f>
        <v/>
      </c>
      <c r="F394" s="24"/>
      <c r="G394" s="25" t="str">
        <f>IF($D394="","",IFERROR(VLOOKUP($D394,'SAMA Capital Tracker'!$A:$D,4,FALSE()),""))</f>
        <v/>
      </c>
      <c r="H394" s="22"/>
    </row>
    <row r="395" spans="1:8">
      <c r="A395" s="21"/>
      <c r="B395" s="22"/>
      <c r="C395" s="22"/>
      <c r="D395" s="22"/>
      <c r="E395" s="23" t="str">
        <f>IF($D395="","",IFERROR(VLOOKUP($D395,'SAMA Capital Tracker'!$A:$H,8,FALSE()),""))</f>
        <v/>
      </c>
      <c r="F395" s="24"/>
      <c r="G395" s="25" t="str">
        <f>IF($D395="","",IFERROR(VLOOKUP($D395,'SAMA Capital Tracker'!$A:$D,4,FALSE()),""))</f>
        <v/>
      </c>
      <c r="H395" s="22"/>
    </row>
    <row r="396" spans="1:8">
      <c r="A396" s="21"/>
      <c r="B396" s="22"/>
      <c r="C396" s="22"/>
      <c r="D396" s="22"/>
      <c r="E396" s="23" t="str">
        <f>IF($D396="","",IFERROR(VLOOKUP($D396,'SAMA Capital Tracker'!$A:$H,8,FALSE()),""))</f>
        <v/>
      </c>
      <c r="F396" s="24"/>
      <c r="G396" s="25" t="str">
        <f>IF($D396="","",IFERROR(VLOOKUP($D396,'SAMA Capital Tracker'!$A:$D,4,FALSE()),""))</f>
        <v/>
      </c>
      <c r="H396" s="22"/>
    </row>
    <row r="397" spans="1:8">
      <c r="A397" s="21"/>
      <c r="B397" s="22"/>
      <c r="C397" s="22"/>
      <c r="D397" s="22"/>
      <c r="E397" s="23" t="str">
        <f>IF($D397="","",IFERROR(VLOOKUP($D397,'SAMA Capital Tracker'!$A:$H,8,FALSE()),""))</f>
        <v/>
      </c>
      <c r="F397" s="24"/>
      <c r="G397" s="25" t="str">
        <f>IF($D397="","",IFERROR(VLOOKUP($D397,'SAMA Capital Tracker'!$A:$D,4,FALSE()),""))</f>
        <v/>
      </c>
      <c r="H397" s="22"/>
    </row>
    <row r="398" spans="1:8">
      <c r="A398" s="21"/>
      <c r="B398" s="22"/>
      <c r="C398" s="22"/>
      <c r="D398" s="22"/>
      <c r="E398" s="23" t="str">
        <f>IF($D398="","",IFERROR(VLOOKUP($D398,'SAMA Capital Tracker'!$A:$H,8,FALSE()),""))</f>
        <v/>
      </c>
      <c r="F398" s="24"/>
      <c r="G398" s="25" t="str">
        <f>IF($D398="","",IFERROR(VLOOKUP($D398,'SAMA Capital Tracker'!$A:$D,4,FALSE()),""))</f>
        <v/>
      </c>
      <c r="H398" s="22"/>
    </row>
    <row r="399" spans="1:8">
      <c r="A399" s="21"/>
      <c r="B399" s="22"/>
      <c r="C399" s="22"/>
      <c r="D399" s="22"/>
      <c r="E399" s="23" t="str">
        <f>IF($D399="","",IFERROR(VLOOKUP($D399,'SAMA Capital Tracker'!$A:$H,8,FALSE()),""))</f>
        <v/>
      </c>
      <c r="F399" s="24"/>
      <c r="G399" s="25" t="str">
        <f>IF($D399="","",IFERROR(VLOOKUP($D399,'SAMA Capital Tracker'!$A:$D,4,FALSE()),""))</f>
        <v/>
      </c>
      <c r="H399" s="22"/>
    </row>
    <row r="400" spans="1:8">
      <c r="A400" s="21"/>
      <c r="B400" s="22"/>
      <c r="C400" s="22"/>
      <c r="D400" s="22"/>
      <c r="E400" s="23" t="str">
        <f>IF($D400="","",IFERROR(VLOOKUP($D400,'SAMA Capital Tracker'!$A:$H,8,FALSE()),""))</f>
        <v/>
      </c>
      <c r="F400" s="24"/>
      <c r="G400" s="25" t="str">
        <f>IF($D400="","",IFERROR(VLOOKUP($D400,'SAMA Capital Tracker'!$A:$D,4,FALSE()),""))</f>
        <v/>
      </c>
      <c r="H400" s="22"/>
    </row>
    <row r="401" spans="1:8">
      <c r="A401" s="21"/>
      <c r="B401" s="22"/>
      <c r="C401" s="22"/>
      <c r="D401" s="22"/>
      <c r="E401" s="23" t="str">
        <f>IF($D401="","",IFERROR(VLOOKUP($D401,'SAMA Capital Tracker'!$A:$H,8,FALSE()),""))</f>
        <v/>
      </c>
      <c r="F401" s="24"/>
      <c r="G401" s="25" t="str">
        <f>IF($D401="","",IFERROR(VLOOKUP($D401,'SAMA Capital Tracker'!$A:$D,4,FALSE()),""))</f>
        <v/>
      </c>
      <c r="H401" s="22"/>
    </row>
    <row r="402" spans="1:8">
      <c r="A402" s="21"/>
      <c r="B402" s="22"/>
      <c r="C402" s="22"/>
      <c r="D402" s="22"/>
      <c r="E402" s="23" t="str">
        <f>IF($D402="","",IFERROR(VLOOKUP($D402,'SAMA Capital Tracker'!$A:$H,8,FALSE()),""))</f>
        <v/>
      </c>
      <c r="F402" s="24"/>
      <c r="G402" s="25" t="str">
        <f>IF($D402="","",IFERROR(VLOOKUP($D402,'SAMA Capital Tracker'!$A:$D,4,FALSE()),""))</f>
        <v/>
      </c>
      <c r="H402" s="22"/>
    </row>
    <row r="403" spans="1:8">
      <c r="A403" s="21"/>
      <c r="B403" s="22"/>
      <c r="C403" s="22"/>
      <c r="D403" s="22"/>
      <c r="E403" s="23" t="str">
        <f>IF($D403="","",IFERROR(VLOOKUP($D403,'SAMA Capital Tracker'!$A:$H,8,FALSE()),""))</f>
        <v/>
      </c>
      <c r="F403" s="24"/>
      <c r="G403" s="25" t="str">
        <f>IF($D403="","",IFERROR(VLOOKUP($D403,'SAMA Capital Tracker'!$A:$D,4,FALSE()),""))</f>
        <v/>
      </c>
      <c r="H403" s="22"/>
    </row>
    <row r="404" spans="1:8">
      <c r="A404" s="21"/>
      <c r="B404" s="22"/>
      <c r="C404" s="22"/>
      <c r="D404" s="22"/>
      <c r="E404" s="23" t="str">
        <f>IF($D404="","",IFERROR(VLOOKUP($D404,'SAMA Capital Tracker'!$A:$H,8,FALSE()),""))</f>
        <v/>
      </c>
      <c r="F404" s="24"/>
      <c r="G404" s="25" t="str">
        <f>IF($D404="","",IFERROR(VLOOKUP($D404,'SAMA Capital Tracker'!$A:$D,4,FALSE()),""))</f>
        <v/>
      </c>
      <c r="H404" s="22"/>
    </row>
    <row r="405" spans="1:8">
      <c r="A405" s="21"/>
      <c r="B405" s="22"/>
      <c r="C405" s="22"/>
      <c r="D405" s="22"/>
      <c r="E405" s="23" t="str">
        <f>IF($D405="","",IFERROR(VLOOKUP($D405,'SAMA Capital Tracker'!$A:$H,8,FALSE()),""))</f>
        <v/>
      </c>
      <c r="F405" s="24"/>
      <c r="G405" s="25" t="str">
        <f>IF($D405="","",IFERROR(VLOOKUP($D405,'SAMA Capital Tracker'!$A:$D,4,FALSE()),""))</f>
        <v/>
      </c>
      <c r="H405" s="22"/>
    </row>
    <row r="406" spans="1:8">
      <c r="A406" s="21"/>
      <c r="B406" s="22"/>
      <c r="C406" s="22"/>
      <c r="D406" s="22"/>
      <c r="E406" s="23" t="str">
        <f>IF($D406="","",IFERROR(VLOOKUP($D406,'SAMA Capital Tracker'!$A:$H,8,FALSE()),""))</f>
        <v/>
      </c>
      <c r="F406" s="24"/>
      <c r="G406" s="25" t="str">
        <f>IF($D406="","",IFERROR(VLOOKUP($D406,'SAMA Capital Tracker'!$A:$D,4,FALSE()),""))</f>
        <v/>
      </c>
      <c r="H406" s="22"/>
    </row>
    <row r="407" spans="1:8">
      <c r="A407" s="21"/>
      <c r="B407" s="22"/>
      <c r="C407" s="22"/>
      <c r="D407" s="22"/>
      <c r="E407" s="23" t="str">
        <f>IF($D407="","",IFERROR(VLOOKUP($D407,'SAMA Capital Tracker'!$A:$H,8,FALSE()),""))</f>
        <v/>
      </c>
      <c r="F407" s="24"/>
      <c r="G407" s="25" t="str">
        <f>IF($D407="","",IFERROR(VLOOKUP($D407,'SAMA Capital Tracker'!$A:$D,4,FALSE()),""))</f>
        <v/>
      </c>
      <c r="H407" s="22"/>
    </row>
    <row r="408" spans="1:8">
      <c r="A408" s="21"/>
      <c r="B408" s="22"/>
      <c r="C408" s="22"/>
      <c r="D408" s="22"/>
      <c r="E408" s="23" t="str">
        <f>IF($D408="","",IFERROR(VLOOKUP($D408,'SAMA Capital Tracker'!$A:$H,8,FALSE()),""))</f>
        <v/>
      </c>
      <c r="F408" s="24"/>
      <c r="G408" s="25" t="str">
        <f>IF($D408="","",IFERROR(VLOOKUP($D408,'SAMA Capital Tracker'!$A:$D,4,FALSE()),""))</f>
        <v/>
      </c>
      <c r="H408" s="22"/>
    </row>
    <row r="409" spans="1:8">
      <c r="A409" s="21"/>
      <c r="B409" s="22"/>
      <c r="C409" s="22"/>
      <c r="D409" s="22"/>
      <c r="E409" s="23" t="str">
        <f>IF($D409="","",IFERROR(VLOOKUP($D409,'SAMA Capital Tracker'!$A:$H,8,FALSE()),""))</f>
        <v/>
      </c>
      <c r="F409" s="24"/>
      <c r="G409" s="25" t="str">
        <f>IF($D409="","",IFERROR(VLOOKUP($D409,'SAMA Capital Tracker'!$A:$D,4,FALSE()),""))</f>
        <v/>
      </c>
      <c r="H409" s="22"/>
    </row>
    <row r="410" spans="1:8">
      <c r="A410" s="21"/>
      <c r="B410" s="22"/>
      <c r="C410" s="22"/>
      <c r="D410" s="22"/>
      <c r="E410" s="23" t="str">
        <f>IF($D410="","",IFERROR(VLOOKUP($D410,'SAMA Capital Tracker'!$A:$H,8,FALSE()),""))</f>
        <v/>
      </c>
      <c r="F410" s="24"/>
      <c r="G410" s="25" t="str">
        <f>IF($D410="","",IFERROR(VLOOKUP($D410,'SAMA Capital Tracker'!$A:$D,4,FALSE()),""))</f>
        <v/>
      </c>
      <c r="H410" s="22"/>
    </row>
    <row r="411" spans="1:8">
      <c r="A411" s="21"/>
      <c r="B411" s="22"/>
      <c r="C411" s="22"/>
      <c r="D411" s="22"/>
      <c r="E411" s="23" t="str">
        <f>IF($D411="","",IFERROR(VLOOKUP($D411,'SAMA Capital Tracker'!$A:$H,8,FALSE()),""))</f>
        <v/>
      </c>
      <c r="F411" s="24"/>
      <c r="G411" s="25" t="str">
        <f>IF($D411="","",IFERROR(VLOOKUP($D411,'SAMA Capital Tracker'!$A:$D,4,FALSE()),""))</f>
        <v/>
      </c>
      <c r="H411" s="22"/>
    </row>
    <row r="412" spans="1:8">
      <c r="A412" s="21"/>
      <c r="B412" s="22"/>
      <c r="C412" s="22"/>
      <c r="D412" s="22"/>
      <c r="E412" s="23" t="str">
        <f>IF($D412="","",IFERROR(VLOOKUP($D412,'SAMA Capital Tracker'!$A:$H,8,FALSE()),""))</f>
        <v/>
      </c>
      <c r="F412" s="24"/>
      <c r="G412" s="25" t="str">
        <f>IF($D412="","",IFERROR(VLOOKUP($D412,'SAMA Capital Tracker'!$A:$D,4,FALSE()),""))</f>
        <v/>
      </c>
      <c r="H412" s="22"/>
    </row>
    <row r="413" spans="1:8">
      <c r="A413" s="21"/>
      <c r="B413" s="22"/>
      <c r="C413" s="22"/>
      <c r="D413" s="22"/>
      <c r="E413" s="23" t="str">
        <f>IF($D413="","",IFERROR(VLOOKUP($D413,'SAMA Capital Tracker'!$A:$H,8,FALSE()),""))</f>
        <v/>
      </c>
      <c r="F413" s="24"/>
      <c r="G413" s="25" t="str">
        <f>IF($D413="","",IFERROR(VLOOKUP($D413,'SAMA Capital Tracker'!$A:$D,4,FALSE()),""))</f>
        <v/>
      </c>
      <c r="H413" s="22"/>
    </row>
    <row r="414" spans="1:8">
      <c r="A414" s="21"/>
      <c r="B414" s="22"/>
      <c r="C414" s="22"/>
      <c r="D414" s="22"/>
      <c r="E414" s="23" t="str">
        <f>IF($D414="","",IFERROR(VLOOKUP($D414,'SAMA Capital Tracker'!$A:$H,8,FALSE()),""))</f>
        <v/>
      </c>
      <c r="F414" s="24"/>
      <c r="G414" s="25" t="str">
        <f>IF($D414="","",IFERROR(VLOOKUP($D414,'SAMA Capital Tracker'!$A:$D,4,FALSE()),""))</f>
        <v/>
      </c>
      <c r="H414" s="22"/>
    </row>
    <row r="415" spans="1:8">
      <c r="A415" s="21"/>
      <c r="B415" s="22"/>
      <c r="C415" s="22"/>
      <c r="D415" s="22"/>
      <c r="E415" s="23" t="str">
        <f>IF($D415="","",IFERROR(VLOOKUP($D415,'SAMA Capital Tracker'!$A:$H,8,FALSE()),""))</f>
        <v/>
      </c>
      <c r="F415" s="24"/>
      <c r="G415" s="25" t="str">
        <f>IF($D415="","",IFERROR(VLOOKUP($D415,'SAMA Capital Tracker'!$A:$D,4,FALSE()),""))</f>
        <v/>
      </c>
      <c r="H415" s="22"/>
    </row>
    <row r="416" spans="1:8">
      <c r="A416" s="21"/>
      <c r="B416" s="22"/>
      <c r="C416" s="22"/>
      <c r="D416" s="22"/>
      <c r="E416" s="23" t="str">
        <f>IF($D416="","",IFERROR(VLOOKUP($D416,'SAMA Capital Tracker'!$A:$H,8,FALSE()),""))</f>
        <v/>
      </c>
      <c r="F416" s="24"/>
      <c r="G416" s="25" t="str">
        <f>IF($D416="","",IFERROR(VLOOKUP($D416,'SAMA Capital Tracker'!$A:$D,4,FALSE()),""))</f>
        <v/>
      </c>
      <c r="H416" s="22"/>
    </row>
    <row r="417" spans="1:8">
      <c r="A417" s="21"/>
      <c r="B417" s="22"/>
      <c r="C417" s="22"/>
      <c r="D417" s="22"/>
      <c r="E417" s="23" t="str">
        <f>IF($D417="","",IFERROR(VLOOKUP($D417,'SAMA Capital Tracker'!$A:$H,8,FALSE()),""))</f>
        <v/>
      </c>
      <c r="F417" s="24"/>
      <c r="G417" s="25" t="str">
        <f>IF($D417="","",IFERROR(VLOOKUP($D417,'SAMA Capital Tracker'!$A:$D,4,FALSE()),""))</f>
        <v/>
      </c>
      <c r="H417" s="22"/>
    </row>
    <row r="418" spans="1:8">
      <c r="A418" s="21"/>
      <c r="B418" s="22"/>
      <c r="C418" s="22"/>
      <c r="D418" s="22"/>
      <c r="E418" s="23" t="str">
        <f>IF($D418="","",IFERROR(VLOOKUP($D418,'SAMA Capital Tracker'!$A:$H,8,FALSE()),""))</f>
        <v/>
      </c>
      <c r="F418" s="24"/>
      <c r="G418" s="25" t="str">
        <f>IF($D418="","",IFERROR(VLOOKUP($D418,'SAMA Capital Tracker'!$A:$D,4,FALSE()),""))</f>
        <v/>
      </c>
      <c r="H418" s="22"/>
    </row>
    <row r="419" spans="1:8">
      <c r="A419" s="21"/>
      <c r="B419" s="22"/>
      <c r="C419" s="22"/>
      <c r="D419" s="22"/>
      <c r="E419" s="23" t="str">
        <f>IF($D419="","",IFERROR(VLOOKUP($D419,'SAMA Capital Tracker'!$A:$H,8,FALSE()),""))</f>
        <v/>
      </c>
      <c r="F419" s="24"/>
      <c r="G419" s="25" t="str">
        <f>IF($D419="","",IFERROR(VLOOKUP($D419,'SAMA Capital Tracker'!$A:$D,4,FALSE()),""))</f>
        <v/>
      </c>
      <c r="H419" s="22"/>
    </row>
    <row r="420" spans="1:8">
      <c r="A420" s="21"/>
      <c r="B420" s="22"/>
      <c r="C420" s="22"/>
      <c r="D420" s="22"/>
      <c r="E420" s="23" t="str">
        <f>IF($D420="","",IFERROR(VLOOKUP($D420,'SAMA Capital Tracker'!$A:$H,8,FALSE()),""))</f>
        <v/>
      </c>
      <c r="F420" s="24"/>
      <c r="G420" s="25" t="str">
        <f>IF($D420="","",IFERROR(VLOOKUP($D420,'SAMA Capital Tracker'!$A:$D,4,FALSE()),""))</f>
        <v/>
      </c>
      <c r="H420" s="22"/>
    </row>
    <row r="421" spans="1:8">
      <c r="A421" s="21"/>
      <c r="B421" s="22"/>
      <c r="C421" s="22"/>
      <c r="D421" s="22"/>
      <c r="E421" s="23" t="str">
        <f>IF($D421="","",IFERROR(VLOOKUP($D421,'SAMA Capital Tracker'!$A:$H,8,FALSE()),""))</f>
        <v/>
      </c>
      <c r="F421" s="24"/>
      <c r="G421" s="25" t="str">
        <f>IF($D421="","",IFERROR(VLOOKUP($D421,'SAMA Capital Tracker'!$A:$D,4,FALSE()),""))</f>
        <v/>
      </c>
      <c r="H421" s="22"/>
    </row>
    <row r="422" spans="1:8">
      <c r="A422" s="21"/>
      <c r="B422" s="22"/>
      <c r="C422" s="22"/>
      <c r="D422" s="22"/>
      <c r="E422" s="23" t="str">
        <f>IF($D422="","",IFERROR(VLOOKUP($D422,'SAMA Capital Tracker'!$A:$H,8,FALSE()),""))</f>
        <v/>
      </c>
      <c r="F422" s="24"/>
      <c r="G422" s="25" t="str">
        <f>IF($D422="","",IFERROR(VLOOKUP($D422,'SAMA Capital Tracker'!$A:$D,4,FALSE()),""))</f>
        <v/>
      </c>
      <c r="H422" s="22"/>
    </row>
    <row r="423" spans="1:8">
      <c r="A423" s="21"/>
      <c r="B423" s="22"/>
      <c r="C423" s="22"/>
      <c r="D423" s="22"/>
      <c r="E423" s="23" t="str">
        <f>IF($D423="","",IFERROR(VLOOKUP($D423,'SAMA Capital Tracker'!$A:$H,8,FALSE()),""))</f>
        <v/>
      </c>
      <c r="F423" s="24"/>
      <c r="G423" s="25" t="str">
        <f>IF($D423="","",IFERROR(VLOOKUP($D423,'SAMA Capital Tracker'!$A:$D,4,FALSE()),""))</f>
        <v/>
      </c>
      <c r="H423" s="22"/>
    </row>
    <row r="424" spans="1:8">
      <c r="A424" s="21"/>
      <c r="B424" s="22"/>
      <c r="C424" s="22"/>
      <c r="D424" s="22"/>
      <c r="E424" s="23" t="str">
        <f>IF($D424="","",IFERROR(VLOOKUP($D424,'SAMA Capital Tracker'!$A:$H,8,FALSE()),""))</f>
        <v/>
      </c>
      <c r="F424" s="24"/>
      <c r="G424" s="25" t="str">
        <f>IF($D424="","",IFERROR(VLOOKUP($D424,'SAMA Capital Tracker'!$A:$D,4,FALSE()),""))</f>
        <v/>
      </c>
      <c r="H424" s="22"/>
    </row>
    <row r="425" spans="1:8">
      <c r="A425" s="21"/>
      <c r="B425" s="22"/>
      <c r="C425" s="22"/>
      <c r="D425" s="22"/>
      <c r="E425" s="23" t="str">
        <f>IF($D425="","",IFERROR(VLOOKUP($D425,'SAMA Capital Tracker'!$A:$H,8,FALSE()),""))</f>
        <v/>
      </c>
      <c r="F425" s="24"/>
      <c r="G425" s="25" t="str">
        <f>IF($D425="","",IFERROR(VLOOKUP($D425,'SAMA Capital Tracker'!$A:$D,4,FALSE()),""))</f>
        <v/>
      </c>
      <c r="H425" s="22"/>
    </row>
    <row r="426" spans="1:8">
      <c r="A426" s="21"/>
      <c r="B426" s="22"/>
      <c r="C426" s="22"/>
      <c r="D426" s="22"/>
      <c r="E426" s="23" t="str">
        <f>IF($D426="","",IFERROR(VLOOKUP($D426,'SAMA Capital Tracker'!$A:$H,8,FALSE()),""))</f>
        <v/>
      </c>
      <c r="F426" s="24"/>
      <c r="G426" s="25" t="str">
        <f>IF($D426="","",IFERROR(VLOOKUP($D426,'SAMA Capital Tracker'!$A:$D,4,FALSE()),""))</f>
        <v/>
      </c>
      <c r="H426" s="22"/>
    </row>
    <row r="427" spans="1:8">
      <c r="A427" s="21"/>
      <c r="B427" s="22"/>
      <c r="C427" s="22"/>
      <c r="D427" s="22"/>
      <c r="E427" s="23" t="str">
        <f>IF($D427="","",IFERROR(VLOOKUP($D427,'SAMA Capital Tracker'!$A:$H,8,FALSE()),""))</f>
        <v/>
      </c>
      <c r="F427" s="24"/>
      <c r="G427" s="25" t="str">
        <f>IF($D427="","",IFERROR(VLOOKUP($D427,'SAMA Capital Tracker'!$A:$D,4,FALSE()),""))</f>
        <v/>
      </c>
      <c r="H427" s="22"/>
    </row>
    <row r="428" spans="1:8">
      <c r="A428" s="21"/>
      <c r="B428" s="22"/>
      <c r="C428" s="22"/>
      <c r="D428" s="22"/>
      <c r="E428" s="23" t="str">
        <f>IF($D428="","",IFERROR(VLOOKUP($D428,'SAMA Capital Tracker'!$A:$H,8,FALSE()),""))</f>
        <v/>
      </c>
      <c r="F428" s="24"/>
      <c r="G428" s="25" t="str">
        <f>IF($D428="","",IFERROR(VLOOKUP($D428,'SAMA Capital Tracker'!$A:$D,4,FALSE()),""))</f>
        <v/>
      </c>
      <c r="H428" s="22"/>
    </row>
    <row r="429" spans="1:8">
      <c r="A429" s="21"/>
      <c r="B429" s="22"/>
      <c r="C429" s="22"/>
      <c r="D429" s="22"/>
      <c r="E429" s="23" t="str">
        <f>IF($D429="","",IFERROR(VLOOKUP($D429,'SAMA Capital Tracker'!$A:$H,8,FALSE()),""))</f>
        <v/>
      </c>
      <c r="F429" s="24"/>
      <c r="G429" s="25" t="str">
        <f>IF($D429="","",IFERROR(VLOOKUP($D429,'SAMA Capital Tracker'!$A:$D,4,FALSE()),""))</f>
        <v/>
      </c>
      <c r="H429" s="22"/>
    </row>
    <row r="430" spans="1:8">
      <c r="A430" s="21"/>
      <c r="B430" s="22"/>
      <c r="C430" s="22"/>
      <c r="D430" s="22"/>
      <c r="E430" s="23" t="str">
        <f>IF($D430="","",IFERROR(VLOOKUP($D430,'SAMA Capital Tracker'!$A:$H,8,FALSE()),""))</f>
        <v/>
      </c>
      <c r="F430" s="24"/>
      <c r="G430" s="25" t="str">
        <f>IF($D430="","",IFERROR(VLOOKUP($D430,'SAMA Capital Tracker'!$A:$D,4,FALSE()),""))</f>
        <v/>
      </c>
      <c r="H430" s="22"/>
    </row>
    <row r="431" spans="1:8">
      <c r="A431" s="21"/>
      <c r="B431" s="22"/>
      <c r="C431" s="22"/>
      <c r="D431" s="22"/>
      <c r="E431" s="23" t="str">
        <f>IF($D431="","",IFERROR(VLOOKUP($D431,'SAMA Capital Tracker'!$A:$H,8,FALSE()),""))</f>
        <v/>
      </c>
      <c r="F431" s="24"/>
      <c r="G431" s="25" t="str">
        <f>IF($D431="","",IFERROR(VLOOKUP($D431,'SAMA Capital Tracker'!$A:$D,4,FALSE()),""))</f>
        <v/>
      </c>
      <c r="H431" s="22"/>
    </row>
    <row r="432" spans="1:8">
      <c r="A432" s="21"/>
      <c r="B432" s="22"/>
      <c r="C432" s="22"/>
      <c r="D432" s="22"/>
      <c r="E432" s="23" t="str">
        <f>IF($D432="","",IFERROR(VLOOKUP($D432,'SAMA Capital Tracker'!$A:$H,8,FALSE()),""))</f>
        <v/>
      </c>
      <c r="F432" s="24"/>
      <c r="G432" s="25" t="str">
        <f>IF($D432="","",IFERROR(VLOOKUP($D432,'SAMA Capital Tracker'!$A:$D,4,FALSE()),""))</f>
        <v/>
      </c>
      <c r="H432" s="22"/>
    </row>
    <row r="433" spans="1:8">
      <c r="A433" s="21"/>
      <c r="B433" s="22"/>
      <c r="C433" s="22"/>
      <c r="D433" s="22"/>
      <c r="E433" s="23" t="str">
        <f>IF($D433="","",IFERROR(VLOOKUP($D433,'SAMA Capital Tracker'!$A:$H,8,FALSE()),""))</f>
        <v/>
      </c>
      <c r="F433" s="24"/>
      <c r="G433" s="25" t="str">
        <f>IF($D433="","",IFERROR(VLOOKUP($D433,'SAMA Capital Tracker'!$A:$D,4,FALSE()),""))</f>
        <v/>
      </c>
      <c r="H433" s="22"/>
    </row>
    <row r="434" spans="1:8">
      <c r="A434" s="21"/>
      <c r="B434" s="22"/>
      <c r="C434" s="22"/>
      <c r="D434" s="22"/>
      <c r="E434" s="23" t="str">
        <f>IF($D434="","",IFERROR(VLOOKUP($D434,'SAMA Capital Tracker'!$A:$H,8,FALSE()),""))</f>
        <v/>
      </c>
      <c r="F434" s="24"/>
      <c r="G434" s="25" t="str">
        <f>IF($D434="","",IFERROR(VLOOKUP($D434,'SAMA Capital Tracker'!$A:$D,4,FALSE()),""))</f>
        <v/>
      </c>
      <c r="H434" s="22"/>
    </row>
    <row r="435" spans="1:8">
      <c r="A435" s="21"/>
      <c r="B435" s="22"/>
      <c r="C435" s="22"/>
      <c r="D435" s="22"/>
      <c r="E435" s="23" t="str">
        <f>IF($D435="","",IFERROR(VLOOKUP($D435,'SAMA Capital Tracker'!$A:$H,8,FALSE()),""))</f>
        <v/>
      </c>
      <c r="F435" s="24"/>
      <c r="G435" s="25" t="str">
        <f>IF($D435="","",IFERROR(VLOOKUP($D435,'SAMA Capital Tracker'!$A:$D,4,FALSE()),""))</f>
        <v/>
      </c>
      <c r="H435" s="22"/>
    </row>
    <row r="436" spans="1:8">
      <c r="A436" s="21"/>
      <c r="B436" s="22"/>
      <c r="C436" s="22"/>
      <c r="D436" s="22"/>
      <c r="E436" s="23" t="str">
        <f>IF($D436="","",IFERROR(VLOOKUP($D436,'SAMA Capital Tracker'!$A:$H,8,FALSE()),""))</f>
        <v/>
      </c>
      <c r="F436" s="24"/>
      <c r="G436" s="25" t="str">
        <f>IF($D436="","",IFERROR(VLOOKUP($D436,'SAMA Capital Tracker'!$A:$D,4,FALSE()),""))</f>
        <v/>
      </c>
      <c r="H436" s="22"/>
    </row>
    <row r="437" spans="1:8">
      <c r="A437" s="21"/>
      <c r="B437" s="22"/>
      <c r="C437" s="22"/>
      <c r="D437" s="22"/>
      <c r="E437" s="23" t="str">
        <f>IF($D437="","",IFERROR(VLOOKUP($D437,'SAMA Capital Tracker'!$A:$H,8,FALSE()),""))</f>
        <v/>
      </c>
      <c r="F437" s="24"/>
      <c r="G437" s="25" t="str">
        <f>IF($D437="","",IFERROR(VLOOKUP($D437,'SAMA Capital Tracker'!$A:$D,4,FALSE()),""))</f>
        <v/>
      </c>
      <c r="H437" s="22"/>
    </row>
    <row r="438" spans="1:8">
      <c r="A438" s="21"/>
      <c r="B438" s="22"/>
      <c r="C438" s="22"/>
      <c r="D438" s="22"/>
      <c r="E438" s="23" t="str">
        <f>IF($D438="","",IFERROR(VLOOKUP($D438,'SAMA Capital Tracker'!$A:$H,8,FALSE()),""))</f>
        <v/>
      </c>
      <c r="F438" s="24"/>
      <c r="G438" s="25" t="str">
        <f>IF($D438="","",IFERROR(VLOOKUP($D438,'SAMA Capital Tracker'!$A:$D,4,FALSE()),""))</f>
        <v/>
      </c>
      <c r="H438" s="22"/>
    </row>
    <row r="439" spans="1:8">
      <c r="A439" s="21"/>
      <c r="B439" s="22"/>
      <c r="C439" s="22"/>
      <c r="D439" s="22"/>
      <c r="E439" s="23" t="str">
        <f>IF($D439="","",IFERROR(VLOOKUP($D439,'SAMA Capital Tracker'!$A:$H,8,FALSE()),""))</f>
        <v/>
      </c>
      <c r="F439" s="24"/>
      <c r="G439" s="25" t="str">
        <f>IF($D439="","",IFERROR(VLOOKUP($D439,'SAMA Capital Tracker'!$A:$D,4,FALSE()),""))</f>
        <v/>
      </c>
      <c r="H439" s="22"/>
    </row>
    <row r="440" spans="1:8">
      <c r="A440" s="21"/>
      <c r="B440" s="22"/>
      <c r="C440" s="22"/>
      <c r="D440" s="22"/>
      <c r="E440" s="23" t="str">
        <f>IF($D440="","",IFERROR(VLOOKUP($D440,'SAMA Capital Tracker'!$A:$H,8,FALSE()),""))</f>
        <v/>
      </c>
      <c r="F440" s="24"/>
      <c r="G440" s="25" t="str">
        <f>IF($D440="","",IFERROR(VLOOKUP($D440,'SAMA Capital Tracker'!$A:$D,4,FALSE()),""))</f>
        <v/>
      </c>
      <c r="H440" s="22"/>
    </row>
    <row r="441" spans="1:8">
      <c r="A441" s="21"/>
      <c r="B441" s="22"/>
      <c r="C441" s="22"/>
      <c r="D441" s="22"/>
      <c r="E441" s="23" t="str">
        <f>IF($D441="","",IFERROR(VLOOKUP($D441,'SAMA Capital Tracker'!$A:$H,8,FALSE()),""))</f>
        <v/>
      </c>
      <c r="F441" s="24"/>
      <c r="G441" s="25" t="str">
        <f>IF($D441="","",IFERROR(VLOOKUP($D441,'SAMA Capital Tracker'!$A:$D,4,FALSE()),""))</f>
        <v/>
      </c>
      <c r="H441" s="22"/>
    </row>
    <row r="442" spans="1:8">
      <c r="A442" s="21"/>
      <c r="B442" s="22"/>
      <c r="C442" s="22"/>
      <c r="D442" s="22"/>
      <c r="E442" s="23" t="str">
        <f>IF($D442="","",IFERROR(VLOOKUP($D442,'SAMA Capital Tracker'!$A:$H,8,FALSE()),""))</f>
        <v/>
      </c>
      <c r="F442" s="24"/>
      <c r="G442" s="25" t="str">
        <f>IF($D442="","",IFERROR(VLOOKUP($D442,'SAMA Capital Tracker'!$A:$D,4,FALSE()),""))</f>
        <v/>
      </c>
      <c r="H442" s="22"/>
    </row>
    <row r="443" spans="1:8">
      <c r="A443" s="21"/>
      <c r="B443" s="22"/>
      <c r="C443" s="22"/>
      <c r="D443" s="22"/>
      <c r="E443" s="23" t="str">
        <f>IF($D443="","",IFERROR(VLOOKUP($D443,'SAMA Capital Tracker'!$A:$H,8,FALSE()),""))</f>
        <v/>
      </c>
      <c r="F443" s="24"/>
      <c r="G443" s="25" t="str">
        <f>IF($D443="","",IFERROR(VLOOKUP($D443,'SAMA Capital Tracker'!$A:$D,4,FALSE()),""))</f>
        <v/>
      </c>
      <c r="H443" s="22"/>
    </row>
    <row r="444" spans="1:8">
      <c r="A444" s="21"/>
      <c r="B444" s="22"/>
      <c r="C444" s="22"/>
      <c r="D444" s="22"/>
      <c r="E444" s="23" t="str">
        <f>IF($D444="","",IFERROR(VLOOKUP($D444,'SAMA Capital Tracker'!$A:$H,8,FALSE()),""))</f>
        <v/>
      </c>
      <c r="F444" s="24"/>
      <c r="G444" s="25" t="str">
        <f>IF($D444="","",IFERROR(VLOOKUP($D444,'SAMA Capital Tracker'!$A:$D,4,FALSE()),""))</f>
        <v/>
      </c>
      <c r="H444" s="22"/>
    </row>
    <row r="445" spans="1:8">
      <c r="A445" s="21"/>
      <c r="B445" s="22"/>
      <c r="C445" s="22"/>
      <c r="D445" s="22"/>
      <c r="E445" s="23" t="str">
        <f>IF($D445="","",IFERROR(VLOOKUP($D445,'SAMA Capital Tracker'!$A:$H,8,FALSE()),""))</f>
        <v/>
      </c>
      <c r="F445" s="24"/>
      <c r="G445" s="25" t="str">
        <f>IF($D445="","",IFERROR(VLOOKUP($D445,'SAMA Capital Tracker'!$A:$D,4,FALSE()),""))</f>
        <v/>
      </c>
      <c r="H445" s="22"/>
    </row>
    <row r="446" spans="1:8">
      <c r="A446" s="21"/>
      <c r="B446" s="22"/>
      <c r="C446" s="22"/>
      <c r="D446" s="22"/>
      <c r="E446" s="23" t="str">
        <f>IF($D446="","",IFERROR(VLOOKUP($D446,'SAMA Capital Tracker'!$A:$H,8,FALSE()),""))</f>
        <v/>
      </c>
      <c r="F446" s="24"/>
      <c r="G446" s="25" t="str">
        <f>IF($D446="","",IFERROR(VLOOKUP($D446,'SAMA Capital Tracker'!$A:$D,4,FALSE()),""))</f>
        <v/>
      </c>
      <c r="H446" s="22"/>
    </row>
    <row r="447" spans="1:8">
      <c r="A447" s="21"/>
      <c r="B447" s="22"/>
      <c r="C447" s="22"/>
      <c r="D447" s="22"/>
      <c r="E447" s="23" t="str">
        <f>IF($D447="","",IFERROR(VLOOKUP($D447,'SAMA Capital Tracker'!$A:$H,8,FALSE()),""))</f>
        <v/>
      </c>
      <c r="F447" s="24"/>
      <c r="G447" s="25" t="str">
        <f>IF($D447="","",IFERROR(VLOOKUP($D447,'SAMA Capital Tracker'!$A:$D,4,FALSE()),""))</f>
        <v/>
      </c>
      <c r="H447" s="22"/>
    </row>
    <row r="448" spans="1:8">
      <c r="A448" s="21"/>
      <c r="B448" s="22"/>
      <c r="C448" s="22"/>
      <c r="D448" s="22"/>
      <c r="E448" s="23" t="str">
        <f>IF($D448="","",IFERROR(VLOOKUP($D448,'SAMA Capital Tracker'!$A:$H,8,FALSE()),""))</f>
        <v/>
      </c>
      <c r="F448" s="24"/>
      <c r="G448" s="25" t="str">
        <f>IF($D448="","",IFERROR(VLOOKUP($D448,'SAMA Capital Tracker'!$A:$D,4,FALSE()),""))</f>
        <v/>
      </c>
      <c r="H448" s="22"/>
    </row>
    <row r="449" spans="1:8">
      <c r="A449" s="21"/>
      <c r="B449" s="22"/>
      <c r="C449" s="22"/>
      <c r="D449" s="22"/>
      <c r="E449" s="23" t="str">
        <f>IF($D449="","",IFERROR(VLOOKUP($D449,'SAMA Capital Tracker'!$A:$H,8,FALSE()),""))</f>
        <v/>
      </c>
      <c r="F449" s="24"/>
      <c r="G449" s="25" t="str">
        <f>IF($D449="","",IFERROR(VLOOKUP($D449,'SAMA Capital Tracker'!$A:$D,4,FALSE()),""))</f>
        <v/>
      </c>
      <c r="H449" s="22"/>
    </row>
    <row r="450" spans="1:8">
      <c r="A450" s="21"/>
      <c r="B450" s="22"/>
      <c r="C450" s="22"/>
      <c r="D450" s="22"/>
      <c r="E450" s="23" t="str">
        <f>IF($D450="","",IFERROR(VLOOKUP($D450,'SAMA Capital Tracker'!$A:$H,8,FALSE()),""))</f>
        <v/>
      </c>
      <c r="F450" s="24"/>
      <c r="G450" s="25" t="str">
        <f>IF($D450="","",IFERROR(VLOOKUP($D450,'SAMA Capital Tracker'!$A:$D,4,FALSE()),""))</f>
        <v/>
      </c>
      <c r="H450" s="22"/>
    </row>
    <row r="451" spans="1:8">
      <c r="A451" s="21"/>
      <c r="B451" s="22"/>
      <c r="C451" s="22"/>
      <c r="D451" s="22"/>
      <c r="E451" s="23" t="str">
        <f>IF($D451="","",IFERROR(VLOOKUP($D451,'SAMA Capital Tracker'!$A:$H,8,FALSE()),""))</f>
        <v/>
      </c>
      <c r="F451" s="24"/>
      <c r="G451" s="25" t="str">
        <f>IF($D451="","",IFERROR(VLOOKUP($D451,'SAMA Capital Tracker'!$A:$D,4,FALSE()),""))</f>
        <v/>
      </c>
      <c r="H451" s="22"/>
    </row>
    <row r="452" spans="1:8">
      <c r="A452" s="21"/>
      <c r="B452" s="22"/>
      <c r="C452" s="22"/>
      <c r="D452" s="22"/>
      <c r="E452" s="23" t="str">
        <f>IF($D452="","",IFERROR(VLOOKUP($D452,'SAMA Capital Tracker'!$A:$H,8,FALSE()),""))</f>
        <v/>
      </c>
      <c r="F452" s="24"/>
      <c r="G452" s="25" t="str">
        <f>IF($D452="","",IFERROR(VLOOKUP($D452,'SAMA Capital Tracker'!$A:$D,4,FALSE()),""))</f>
        <v/>
      </c>
      <c r="H452" s="22"/>
    </row>
    <row r="453" spans="1:8">
      <c r="A453" s="21"/>
      <c r="B453" s="22"/>
      <c r="C453" s="22"/>
      <c r="D453" s="22"/>
      <c r="E453" s="23" t="str">
        <f>IF($D453="","",IFERROR(VLOOKUP($D453,'SAMA Capital Tracker'!$A:$H,8,FALSE()),""))</f>
        <v/>
      </c>
      <c r="F453" s="24"/>
      <c r="G453" s="25" t="str">
        <f>IF($D453="","",IFERROR(VLOOKUP($D453,'SAMA Capital Tracker'!$A:$D,4,FALSE()),""))</f>
        <v/>
      </c>
      <c r="H453" s="22"/>
    </row>
    <row r="454" spans="1:8">
      <c r="A454" s="21"/>
      <c r="B454" s="22"/>
      <c r="C454" s="22"/>
      <c r="D454" s="22"/>
      <c r="E454" s="23" t="str">
        <f>IF($D454="","",IFERROR(VLOOKUP($D454,'SAMA Capital Tracker'!$A:$H,8,FALSE()),""))</f>
        <v/>
      </c>
      <c r="F454" s="24"/>
      <c r="G454" s="25" t="str">
        <f>IF($D454="","",IFERROR(VLOOKUP($D454,'SAMA Capital Tracker'!$A:$D,4,FALSE()),""))</f>
        <v/>
      </c>
      <c r="H454" s="22"/>
    </row>
    <row r="455" spans="1:8">
      <c r="A455" s="21"/>
      <c r="B455" s="22"/>
      <c r="C455" s="22"/>
      <c r="D455" s="22"/>
      <c r="E455" s="23" t="str">
        <f>IF($D455="","",IFERROR(VLOOKUP($D455,'SAMA Capital Tracker'!$A:$H,8,FALSE()),""))</f>
        <v/>
      </c>
      <c r="F455" s="24"/>
      <c r="G455" s="25" t="str">
        <f>IF($D455="","",IFERROR(VLOOKUP($D455,'SAMA Capital Tracker'!$A:$D,4,FALSE()),""))</f>
        <v/>
      </c>
      <c r="H455" s="22"/>
    </row>
    <row r="456" spans="1:8">
      <c r="A456" s="21"/>
      <c r="B456" s="22"/>
      <c r="C456" s="22"/>
      <c r="D456" s="22"/>
      <c r="E456" s="23" t="str">
        <f>IF($D456="","",IFERROR(VLOOKUP($D456,'SAMA Capital Tracker'!$A:$H,8,FALSE()),""))</f>
        <v/>
      </c>
      <c r="F456" s="24"/>
      <c r="G456" s="25" t="str">
        <f>IF($D456="","",IFERROR(VLOOKUP($D456,'SAMA Capital Tracker'!$A:$D,4,FALSE()),""))</f>
        <v/>
      </c>
      <c r="H456" s="22"/>
    </row>
    <row r="457" spans="1:8">
      <c r="A457" s="21"/>
      <c r="B457" s="22"/>
      <c r="C457" s="22"/>
      <c r="D457" s="22"/>
      <c r="E457" s="23" t="str">
        <f>IF($D457="","",IFERROR(VLOOKUP($D457,'SAMA Capital Tracker'!$A:$H,8,FALSE()),""))</f>
        <v/>
      </c>
      <c r="F457" s="24"/>
      <c r="G457" s="25" t="str">
        <f>IF($D457="","",IFERROR(VLOOKUP($D457,'SAMA Capital Tracker'!$A:$D,4,FALSE()),""))</f>
        <v/>
      </c>
      <c r="H457" s="22"/>
    </row>
    <row r="458" spans="1:8">
      <c r="A458" s="21"/>
      <c r="B458" s="22"/>
      <c r="C458" s="22"/>
      <c r="D458" s="22"/>
      <c r="E458" s="23" t="str">
        <f>IF($D458="","",IFERROR(VLOOKUP($D458,'SAMA Capital Tracker'!$A:$H,8,FALSE()),""))</f>
        <v/>
      </c>
      <c r="F458" s="24"/>
      <c r="G458" s="25" t="str">
        <f>IF($D458="","",IFERROR(VLOOKUP($D458,'SAMA Capital Tracker'!$A:$D,4,FALSE()),""))</f>
        <v/>
      </c>
      <c r="H458" s="22"/>
    </row>
    <row r="459" spans="1:8">
      <c r="A459" s="21"/>
      <c r="B459" s="22"/>
      <c r="C459" s="22"/>
      <c r="D459" s="22"/>
      <c r="E459" s="23" t="str">
        <f>IF($D459="","",IFERROR(VLOOKUP($D459,'SAMA Capital Tracker'!$A:$H,8,FALSE()),""))</f>
        <v/>
      </c>
      <c r="F459" s="24"/>
      <c r="G459" s="25" t="str">
        <f>IF($D459="","",IFERROR(VLOOKUP($D459,'SAMA Capital Tracker'!$A:$D,4,FALSE()),""))</f>
        <v/>
      </c>
      <c r="H459" s="22"/>
    </row>
    <row r="460" spans="1:8">
      <c r="A460" s="21"/>
      <c r="B460" s="22"/>
      <c r="C460" s="22"/>
      <c r="D460" s="22"/>
      <c r="E460" s="23" t="str">
        <f>IF($D460="","",IFERROR(VLOOKUP($D460,'SAMA Capital Tracker'!$A:$H,8,FALSE()),""))</f>
        <v/>
      </c>
      <c r="F460" s="24"/>
      <c r="G460" s="25" t="str">
        <f>IF($D460="","",IFERROR(VLOOKUP($D460,'SAMA Capital Tracker'!$A:$D,4,FALSE()),""))</f>
        <v/>
      </c>
      <c r="H460" s="22"/>
    </row>
    <row r="461" spans="1:8">
      <c r="A461" s="21"/>
      <c r="B461" s="22"/>
      <c r="C461" s="22"/>
      <c r="D461" s="22"/>
      <c r="E461" s="23" t="str">
        <f>IF($D461="","",IFERROR(VLOOKUP($D461,'SAMA Capital Tracker'!$A:$H,8,FALSE()),""))</f>
        <v/>
      </c>
      <c r="F461" s="24"/>
      <c r="G461" s="25" t="str">
        <f>IF($D461="","",IFERROR(VLOOKUP($D461,'SAMA Capital Tracker'!$A:$D,4,FALSE()),""))</f>
        <v/>
      </c>
      <c r="H461" s="22"/>
    </row>
    <row r="462" spans="1:8">
      <c r="A462" s="21"/>
      <c r="B462" s="22"/>
      <c r="C462" s="22"/>
      <c r="D462" s="22"/>
      <c r="E462" s="23" t="str">
        <f>IF($D462="","",IFERROR(VLOOKUP($D462,'SAMA Capital Tracker'!$A:$H,8,FALSE()),""))</f>
        <v/>
      </c>
      <c r="F462" s="24"/>
      <c r="G462" s="25" t="str">
        <f>IF($D462="","",IFERROR(VLOOKUP($D462,'SAMA Capital Tracker'!$A:$D,4,FALSE()),""))</f>
        <v/>
      </c>
      <c r="H462" s="22"/>
    </row>
    <row r="463" spans="1:8">
      <c r="A463" s="21"/>
      <c r="B463" s="22"/>
      <c r="C463" s="22"/>
      <c r="D463" s="22"/>
      <c r="E463" s="23" t="str">
        <f>IF($D463="","",IFERROR(VLOOKUP($D463,'SAMA Capital Tracker'!$A:$H,8,FALSE()),""))</f>
        <v/>
      </c>
      <c r="F463" s="24"/>
      <c r="G463" s="25" t="str">
        <f>IF($D463="","",IFERROR(VLOOKUP($D463,'SAMA Capital Tracker'!$A:$D,4,FALSE()),""))</f>
        <v/>
      </c>
      <c r="H463" s="22"/>
    </row>
    <row r="464" spans="1:8">
      <c r="A464" s="21"/>
      <c r="B464" s="22"/>
      <c r="C464" s="22"/>
      <c r="D464" s="22"/>
      <c r="E464" s="23" t="str">
        <f>IF($D464="","",IFERROR(VLOOKUP($D464,'SAMA Capital Tracker'!$A:$H,8,FALSE()),""))</f>
        <v/>
      </c>
      <c r="F464" s="24"/>
      <c r="G464" s="25" t="str">
        <f>IF($D464="","",IFERROR(VLOOKUP($D464,'SAMA Capital Tracker'!$A:$D,4,FALSE()),""))</f>
        <v/>
      </c>
      <c r="H464" s="22"/>
    </row>
    <row r="465" spans="1:8">
      <c r="A465" s="21"/>
      <c r="B465" s="22"/>
      <c r="C465" s="22"/>
      <c r="D465" s="22"/>
      <c r="E465" s="23" t="str">
        <f>IF($D465="","",IFERROR(VLOOKUP($D465,'SAMA Capital Tracker'!$A:$H,8,FALSE()),""))</f>
        <v/>
      </c>
      <c r="F465" s="24"/>
      <c r="G465" s="25" t="str">
        <f>IF($D465="","",IFERROR(VLOOKUP($D465,'SAMA Capital Tracker'!$A:$D,4,FALSE()),""))</f>
        <v/>
      </c>
      <c r="H465" s="22"/>
    </row>
    <row r="466" spans="1:8">
      <c r="A466" s="21"/>
      <c r="B466" s="22"/>
      <c r="C466" s="22"/>
      <c r="D466" s="22"/>
      <c r="E466" s="23" t="str">
        <f>IF($D466="","",IFERROR(VLOOKUP($D466,'SAMA Capital Tracker'!$A:$H,8,FALSE()),""))</f>
        <v/>
      </c>
      <c r="F466" s="24"/>
      <c r="G466" s="25" t="str">
        <f>IF($D466="","",IFERROR(VLOOKUP($D466,'SAMA Capital Tracker'!$A:$D,4,FALSE()),""))</f>
        <v/>
      </c>
      <c r="H466" s="22"/>
    </row>
    <row r="467" spans="1:8">
      <c r="A467" s="21"/>
      <c r="B467" s="22"/>
      <c r="C467" s="22"/>
      <c r="D467" s="22"/>
      <c r="E467" s="23" t="str">
        <f>IF($D467="","",IFERROR(VLOOKUP($D467,'SAMA Capital Tracker'!$A:$H,8,FALSE()),""))</f>
        <v/>
      </c>
      <c r="F467" s="24"/>
      <c r="G467" s="25" t="str">
        <f>IF($D467="","",IFERROR(VLOOKUP($D467,'SAMA Capital Tracker'!$A:$D,4,FALSE()),""))</f>
        <v/>
      </c>
      <c r="H467" s="22"/>
    </row>
    <row r="468" spans="1:8">
      <c r="A468" s="21"/>
      <c r="B468" s="22"/>
      <c r="C468" s="22"/>
      <c r="D468" s="22"/>
      <c r="E468" s="23" t="str">
        <f>IF($D468="","",IFERROR(VLOOKUP($D468,'SAMA Capital Tracker'!$A:$H,8,FALSE()),""))</f>
        <v/>
      </c>
      <c r="F468" s="24"/>
      <c r="G468" s="25" t="str">
        <f>IF($D468="","",IFERROR(VLOOKUP($D468,'SAMA Capital Tracker'!$A:$D,4,FALSE()),""))</f>
        <v/>
      </c>
      <c r="H468" s="22"/>
    </row>
    <row r="469" spans="1:8">
      <c r="A469" s="21"/>
      <c r="B469" s="22"/>
      <c r="C469" s="22"/>
      <c r="D469" s="22"/>
      <c r="E469" s="23" t="str">
        <f>IF($D469="","",IFERROR(VLOOKUP($D469,'SAMA Capital Tracker'!$A:$H,8,FALSE()),""))</f>
        <v/>
      </c>
      <c r="F469" s="24"/>
      <c r="G469" s="25" t="str">
        <f>IF($D469="","",IFERROR(VLOOKUP($D469,'SAMA Capital Tracker'!$A:$D,4,FALSE()),""))</f>
        <v/>
      </c>
      <c r="H469" s="22"/>
    </row>
    <row r="470" spans="1:8">
      <c r="A470" s="21"/>
      <c r="B470" s="22"/>
      <c r="C470" s="22"/>
      <c r="D470" s="22"/>
      <c r="E470" s="23" t="str">
        <f>IF($D470="","",IFERROR(VLOOKUP($D470,'SAMA Capital Tracker'!$A:$H,8,FALSE()),""))</f>
        <v/>
      </c>
      <c r="F470" s="24"/>
      <c r="G470" s="25" t="str">
        <f>IF($D470="","",IFERROR(VLOOKUP($D470,'SAMA Capital Tracker'!$A:$D,4,FALSE()),""))</f>
        <v/>
      </c>
      <c r="H470" s="22"/>
    </row>
    <row r="471" spans="1:8">
      <c r="A471" s="21"/>
      <c r="B471" s="22"/>
      <c r="C471" s="22"/>
      <c r="D471" s="22"/>
      <c r="E471" s="23" t="str">
        <f>IF($D471="","",IFERROR(VLOOKUP($D471,'SAMA Capital Tracker'!$A:$H,8,FALSE()),""))</f>
        <v/>
      </c>
      <c r="F471" s="24"/>
      <c r="G471" s="25" t="str">
        <f>IF($D471="","",IFERROR(VLOOKUP($D471,'SAMA Capital Tracker'!$A:$D,4,FALSE()),""))</f>
        <v/>
      </c>
      <c r="H471" s="22"/>
    </row>
    <row r="472" spans="1:8">
      <c r="A472" s="21"/>
      <c r="B472" s="22"/>
      <c r="C472" s="22"/>
      <c r="D472" s="22"/>
      <c r="E472" s="23" t="str">
        <f>IF($D472="","",IFERROR(VLOOKUP($D472,'SAMA Capital Tracker'!$A:$H,8,FALSE()),""))</f>
        <v/>
      </c>
      <c r="F472" s="24"/>
      <c r="G472" s="25" t="str">
        <f>IF($D472="","",IFERROR(VLOOKUP($D472,'SAMA Capital Tracker'!$A:$D,4,FALSE()),""))</f>
        <v/>
      </c>
      <c r="H472" s="22"/>
    </row>
    <row r="473" spans="1:8">
      <c r="A473" s="21"/>
      <c r="B473" s="22"/>
      <c r="C473" s="22"/>
      <c r="D473" s="22"/>
      <c r="E473" s="23" t="str">
        <f>IF($D473="","",IFERROR(VLOOKUP($D473,'SAMA Capital Tracker'!$A:$H,8,FALSE()),""))</f>
        <v/>
      </c>
      <c r="F473" s="24"/>
      <c r="G473" s="25" t="str">
        <f>IF($D473="","",IFERROR(VLOOKUP($D473,'SAMA Capital Tracker'!$A:$D,4,FALSE()),""))</f>
        <v/>
      </c>
      <c r="H473" s="22"/>
    </row>
    <row r="474" spans="1:8">
      <c r="A474" s="21"/>
      <c r="B474" s="22"/>
      <c r="C474" s="22"/>
      <c r="D474" s="22"/>
      <c r="E474" s="23" t="str">
        <f>IF($D474="","",IFERROR(VLOOKUP($D474,'SAMA Capital Tracker'!$A:$H,8,FALSE()),""))</f>
        <v/>
      </c>
      <c r="F474" s="24"/>
      <c r="G474" s="25" t="str">
        <f>IF($D474="","",IFERROR(VLOOKUP($D474,'SAMA Capital Tracker'!$A:$D,4,FALSE()),""))</f>
        <v/>
      </c>
      <c r="H474" s="22"/>
    </row>
    <row r="475" spans="1:8">
      <c r="A475" s="21"/>
      <c r="B475" s="22"/>
      <c r="C475" s="22"/>
      <c r="D475" s="22"/>
      <c r="E475" s="23" t="str">
        <f>IF($D475="","",IFERROR(VLOOKUP($D475,'SAMA Capital Tracker'!$A:$H,8,FALSE()),""))</f>
        <v/>
      </c>
      <c r="F475" s="24"/>
      <c r="G475" s="25" t="str">
        <f>IF($D475="","",IFERROR(VLOOKUP($D475,'SAMA Capital Tracker'!$A:$D,4,FALSE()),""))</f>
        <v/>
      </c>
      <c r="H475" s="22"/>
    </row>
    <row r="476" spans="1:8">
      <c r="A476" s="21"/>
      <c r="B476" s="22"/>
      <c r="C476" s="22"/>
      <c r="D476" s="22"/>
      <c r="E476" s="23" t="str">
        <f>IF($D476="","",IFERROR(VLOOKUP($D476,'SAMA Capital Tracker'!$A:$H,8,FALSE()),""))</f>
        <v/>
      </c>
      <c r="F476" s="24"/>
      <c r="G476" s="25" t="str">
        <f>IF($D476="","",IFERROR(VLOOKUP($D476,'SAMA Capital Tracker'!$A:$D,4,FALSE()),""))</f>
        <v/>
      </c>
      <c r="H476" s="22"/>
    </row>
    <row r="477" spans="1:8">
      <c r="A477" s="21"/>
      <c r="B477" s="22"/>
      <c r="C477" s="22"/>
      <c r="D477" s="22"/>
      <c r="E477" s="23" t="str">
        <f>IF($D477="","",IFERROR(VLOOKUP($D477,'SAMA Capital Tracker'!$A:$H,8,FALSE()),""))</f>
        <v/>
      </c>
      <c r="F477" s="24"/>
      <c r="G477" s="25" t="str">
        <f>IF($D477="","",IFERROR(VLOOKUP($D477,'SAMA Capital Tracker'!$A:$D,4,FALSE()),""))</f>
        <v/>
      </c>
      <c r="H477" s="22"/>
    </row>
    <row r="478" spans="1:8">
      <c r="A478" s="21"/>
      <c r="B478" s="22"/>
      <c r="C478" s="22"/>
      <c r="D478" s="22"/>
      <c r="E478" s="23" t="str">
        <f>IF($D478="","",IFERROR(VLOOKUP($D478,'SAMA Capital Tracker'!$A:$H,8,FALSE()),""))</f>
        <v/>
      </c>
      <c r="F478" s="24"/>
      <c r="G478" s="25" t="str">
        <f>IF($D478="","",IFERROR(VLOOKUP($D478,'SAMA Capital Tracker'!$A:$D,4,FALSE()),""))</f>
        <v/>
      </c>
      <c r="H478" s="22"/>
    </row>
    <row r="479" spans="1:8">
      <c r="A479" s="21"/>
      <c r="B479" s="22"/>
      <c r="C479" s="22"/>
      <c r="D479" s="22"/>
      <c r="E479" s="23" t="str">
        <f>IF($D479="","",IFERROR(VLOOKUP($D479,'SAMA Capital Tracker'!$A:$H,8,FALSE()),""))</f>
        <v/>
      </c>
      <c r="F479" s="24"/>
      <c r="G479" s="25" t="str">
        <f>IF($D479="","",IFERROR(VLOOKUP($D479,'SAMA Capital Tracker'!$A:$D,4,FALSE()),""))</f>
        <v/>
      </c>
      <c r="H479" s="22"/>
    </row>
    <row r="480" spans="1:8">
      <c r="A480" s="21"/>
      <c r="B480" s="22"/>
      <c r="C480" s="22"/>
      <c r="D480" s="22"/>
      <c r="E480" s="23" t="str">
        <f>IF($D480="","",IFERROR(VLOOKUP($D480,'SAMA Capital Tracker'!$A:$H,8,FALSE()),""))</f>
        <v/>
      </c>
      <c r="F480" s="24"/>
      <c r="G480" s="25" t="str">
        <f>IF($D480="","",IFERROR(VLOOKUP($D480,'SAMA Capital Tracker'!$A:$D,4,FALSE()),""))</f>
        <v/>
      </c>
      <c r="H480" s="22"/>
    </row>
    <row r="481" spans="1:8">
      <c r="A481" s="21"/>
      <c r="B481" s="22"/>
      <c r="C481" s="22"/>
      <c r="D481" s="22"/>
      <c r="E481" s="23" t="str">
        <f>IF($D481="","",IFERROR(VLOOKUP($D481,'SAMA Capital Tracker'!$A:$H,8,FALSE()),""))</f>
        <v/>
      </c>
      <c r="F481" s="24"/>
      <c r="G481" s="25" t="str">
        <f>IF($D481="","",IFERROR(VLOOKUP($D481,'SAMA Capital Tracker'!$A:$D,4,FALSE()),""))</f>
        <v/>
      </c>
      <c r="H481" s="22"/>
    </row>
    <row r="482" spans="1:8">
      <c r="A482" s="21"/>
      <c r="B482" s="22"/>
      <c r="C482" s="22"/>
      <c r="D482" s="22"/>
      <c r="E482" s="23" t="str">
        <f>IF($D482="","",IFERROR(VLOOKUP($D482,'SAMA Capital Tracker'!$A:$H,8,FALSE()),""))</f>
        <v/>
      </c>
      <c r="F482" s="24"/>
      <c r="G482" s="25" t="str">
        <f>IF($D482="","",IFERROR(VLOOKUP($D482,'SAMA Capital Tracker'!$A:$D,4,FALSE()),""))</f>
        <v/>
      </c>
      <c r="H482" s="22"/>
    </row>
    <row r="483" spans="1:8">
      <c r="A483" s="21"/>
      <c r="B483" s="22"/>
      <c r="C483" s="22"/>
      <c r="D483" s="22"/>
      <c r="E483" s="23" t="str">
        <f>IF($D483="","",IFERROR(VLOOKUP($D483,'SAMA Capital Tracker'!$A:$H,8,FALSE()),""))</f>
        <v/>
      </c>
      <c r="F483" s="24"/>
      <c r="G483" s="25" t="str">
        <f>IF($D483="","",IFERROR(VLOOKUP($D483,'SAMA Capital Tracker'!$A:$D,4,FALSE()),""))</f>
        <v/>
      </c>
      <c r="H483" s="22"/>
    </row>
    <row r="484" spans="1:8">
      <c r="A484" s="21"/>
      <c r="B484" s="22"/>
      <c r="C484" s="22"/>
      <c r="D484" s="22"/>
      <c r="E484" s="23" t="str">
        <f>IF($D484="","",IFERROR(VLOOKUP($D484,'SAMA Capital Tracker'!$A:$H,8,FALSE()),""))</f>
        <v/>
      </c>
      <c r="F484" s="24"/>
      <c r="G484" s="25" t="str">
        <f>IF($D484="","",IFERROR(VLOOKUP($D484,'SAMA Capital Tracker'!$A:$D,4,FALSE()),""))</f>
        <v/>
      </c>
      <c r="H484" s="22"/>
    </row>
    <row r="485" spans="1:8">
      <c r="A485" s="21"/>
      <c r="B485" s="22"/>
      <c r="C485" s="22"/>
      <c r="D485" s="22"/>
      <c r="E485" s="23" t="str">
        <f>IF($D485="","",IFERROR(VLOOKUP($D485,'SAMA Capital Tracker'!$A:$H,8,FALSE()),""))</f>
        <v/>
      </c>
      <c r="F485" s="24"/>
      <c r="G485" s="25" t="str">
        <f>IF($D485="","",IFERROR(VLOOKUP($D485,'SAMA Capital Tracker'!$A:$D,4,FALSE()),""))</f>
        <v/>
      </c>
      <c r="H485" s="22"/>
    </row>
    <row r="486" spans="1:8">
      <c r="A486" s="21"/>
      <c r="B486" s="22"/>
      <c r="C486" s="22"/>
      <c r="D486" s="22"/>
      <c r="E486" s="23" t="str">
        <f>IF($D486="","",IFERROR(VLOOKUP($D486,'SAMA Capital Tracker'!$A:$H,8,FALSE()),""))</f>
        <v/>
      </c>
      <c r="F486" s="24"/>
      <c r="G486" s="25" t="str">
        <f>IF($D486="","",IFERROR(VLOOKUP($D486,'SAMA Capital Tracker'!$A:$D,4,FALSE()),""))</f>
        <v/>
      </c>
      <c r="H486" s="22"/>
    </row>
    <row r="487" spans="1:8">
      <c r="A487" s="21"/>
      <c r="B487" s="22"/>
      <c r="C487" s="22"/>
      <c r="D487" s="22"/>
      <c r="E487" s="23" t="str">
        <f>IF($D487="","",IFERROR(VLOOKUP($D487,'SAMA Capital Tracker'!$A:$H,8,FALSE()),""))</f>
        <v/>
      </c>
      <c r="F487" s="24"/>
      <c r="G487" s="25" t="str">
        <f>IF($D487="","",IFERROR(VLOOKUP($D487,'SAMA Capital Tracker'!$A:$D,4,FALSE()),""))</f>
        <v/>
      </c>
      <c r="H487" s="22"/>
    </row>
    <row r="488" spans="1:8">
      <c r="A488" s="21"/>
      <c r="B488" s="22"/>
      <c r="C488" s="22"/>
      <c r="D488" s="22"/>
      <c r="E488" s="23" t="str">
        <f>IF($D488="","",IFERROR(VLOOKUP($D488,'SAMA Capital Tracker'!$A:$H,8,FALSE()),""))</f>
        <v/>
      </c>
      <c r="F488" s="24"/>
      <c r="G488" s="25" t="str">
        <f>IF($D488="","",IFERROR(VLOOKUP($D488,'SAMA Capital Tracker'!$A:$D,4,FALSE()),""))</f>
        <v/>
      </c>
      <c r="H488" s="22"/>
    </row>
    <row r="489" spans="1:8">
      <c r="A489" s="21"/>
      <c r="B489" s="22"/>
      <c r="C489" s="22"/>
      <c r="D489" s="22"/>
      <c r="E489" s="23" t="str">
        <f>IF($D489="","",IFERROR(VLOOKUP($D489,'SAMA Capital Tracker'!$A:$H,8,FALSE()),""))</f>
        <v/>
      </c>
      <c r="F489" s="24"/>
      <c r="G489" s="25" t="str">
        <f>IF($D489="","",IFERROR(VLOOKUP($D489,'SAMA Capital Tracker'!$A:$D,4,FALSE()),""))</f>
        <v/>
      </c>
      <c r="H489" s="22"/>
    </row>
    <row r="490" spans="1:8">
      <c r="A490" s="21"/>
      <c r="B490" s="22"/>
      <c r="C490" s="22"/>
      <c r="D490" s="22"/>
      <c r="E490" s="23" t="str">
        <f>IF($D490="","",IFERROR(VLOOKUP($D490,'SAMA Capital Tracker'!$A:$H,8,FALSE()),""))</f>
        <v/>
      </c>
      <c r="F490" s="24"/>
      <c r="G490" s="25" t="str">
        <f>IF($D490="","",IFERROR(VLOOKUP($D490,'SAMA Capital Tracker'!$A:$D,4,FALSE()),""))</f>
        <v/>
      </c>
      <c r="H490" s="22"/>
    </row>
    <row r="491" spans="1:8">
      <c r="A491" s="21"/>
      <c r="B491" s="22"/>
      <c r="C491" s="22"/>
      <c r="D491" s="22"/>
      <c r="E491" s="23" t="str">
        <f>IF($D491="","",IFERROR(VLOOKUP($D491,'SAMA Capital Tracker'!$A:$H,8,FALSE()),""))</f>
        <v/>
      </c>
      <c r="F491" s="24"/>
      <c r="G491" s="25" t="str">
        <f>IF($D491="","",IFERROR(VLOOKUP($D491,'SAMA Capital Tracker'!$A:$D,4,FALSE()),""))</f>
        <v/>
      </c>
      <c r="H491" s="22"/>
    </row>
    <row r="492" spans="1:8">
      <c r="A492" s="21"/>
      <c r="B492" s="22"/>
      <c r="C492" s="22"/>
      <c r="D492" s="22"/>
      <c r="E492" s="23" t="str">
        <f>IF($D492="","",IFERROR(VLOOKUP($D492,'SAMA Capital Tracker'!$A:$H,8,FALSE()),""))</f>
        <v/>
      </c>
      <c r="F492" s="24"/>
      <c r="G492" s="25" t="str">
        <f>IF($D492="","",IFERROR(VLOOKUP($D492,'SAMA Capital Tracker'!$A:$D,4,FALSE()),""))</f>
        <v/>
      </c>
      <c r="H492" s="22"/>
    </row>
    <row r="493" spans="1:8">
      <c r="A493" s="21"/>
      <c r="B493" s="22"/>
      <c r="C493" s="22"/>
      <c r="D493" s="22"/>
      <c r="E493" s="23" t="str">
        <f>IF($D493="","",IFERROR(VLOOKUP($D493,'SAMA Capital Tracker'!$A:$H,8,FALSE()),""))</f>
        <v/>
      </c>
      <c r="F493" s="24"/>
      <c r="G493" s="25" t="str">
        <f>IF($D493="","",IFERROR(VLOOKUP($D493,'SAMA Capital Tracker'!$A:$D,4,FALSE()),""))</f>
        <v/>
      </c>
      <c r="H493" s="22"/>
    </row>
    <row r="494" spans="1:8">
      <c r="A494" s="21"/>
      <c r="B494" s="22"/>
      <c r="C494" s="22"/>
      <c r="D494" s="22"/>
      <c r="E494" s="23" t="str">
        <f>IF($D494="","",IFERROR(VLOOKUP($D494,'SAMA Capital Tracker'!$A:$H,8,FALSE()),""))</f>
        <v/>
      </c>
      <c r="F494" s="24"/>
      <c r="G494" s="25" t="str">
        <f>IF($D494="","",IFERROR(VLOOKUP($D494,'SAMA Capital Tracker'!$A:$D,4,FALSE()),""))</f>
        <v/>
      </c>
      <c r="H494" s="22"/>
    </row>
    <row r="495" spans="1:8">
      <c r="A495" s="21"/>
      <c r="B495" s="22"/>
      <c r="C495" s="22"/>
      <c r="D495" s="22"/>
      <c r="E495" s="23" t="str">
        <f>IF($D495="","",IFERROR(VLOOKUP($D495,'SAMA Capital Tracker'!$A:$H,8,FALSE()),""))</f>
        <v/>
      </c>
      <c r="F495" s="24"/>
      <c r="G495" s="25" t="str">
        <f>IF($D495="","",IFERROR(VLOOKUP($D495,'SAMA Capital Tracker'!$A:$D,4,FALSE()),""))</f>
        <v/>
      </c>
      <c r="H495" s="22"/>
    </row>
    <row r="496" spans="1:8">
      <c r="A496" s="21"/>
      <c r="B496" s="22"/>
      <c r="C496" s="22"/>
      <c r="D496" s="22"/>
      <c r="E496" s="23" t="str">
        <f>IF($D496="","",IFERROR(VLOOKUP($D496,'SAMA Capital Tracker'!$A:$H,8,FALSE()),""))</f>
        <v/>
      </c>
      <c r="F496" s="24"/>
      <c r="G496" s="25" t="str">
        <f>IF($D496="","",IFERROR(VLOOKUP($D496,'SAMA Capital Tracker'!$A:$D,4,FALSE()),""))</f>
        <v/>
      </c>
      <c r="H496" s="22"/>
    </row>
    <row r="497" spans="1:8">
      <c r="A497" s="21"/>
      <c r="B497" s="22"/>
      <c r="C497" s="22"/>
      <c r="D497" s="22"/>
      <c r="E497" s="23" t="str">
        <f>IF($D497="","",IFERROR(VLOOKUP($D497,'SAMA Capital Tracker'!$A:$H,8,FALSE()),""))</f>
        <v/>
      </c>
      <c r="F497" s="24"/>
      <c r="G497" s="25" t="str">
        <f>IF($D497="","",IFERROR(VLOOKUP($D497,'SAMA Capital Tracker'!$A:$D,4,FALSE()),""))</f>
        <v/>
      </c>
      <c r="H497" s="22"/>
    </row>
    <row r="498" spans="1:8">
      <c r="A498" s="21"/>
      <c r="B498" s="22"/>
      <c r="C498" s="22"/>
      <c r="D498" s="22"/>
      <c r="E498" s="23" t="str">
        <f>IF($D498="","",IFERROR(VLOOKUP($D498,'SAMA Capital Tracker'!$A:$H,8,FALSE()),""))</f>
        <v/>
      </c>
      <c r="F498" s="24"/>
      <c r="G498" s="25" t="str">
        <f>IF($D498="","",IFERROR(VLOOKUP($D498,'SAMA Capital Tracker'!$A:$D,4,FALSE()),""))</f>
        <v/>
      </c>
      <c r="H498" s="22"/>
    </row>
    <row r="499" spans="1:8">
      <c r="A499" s="21"/>
      <c r="B499" s="22"/>
      <c r="C499" s="22"/>
      <c r="D499" s="22"/>
      <c r="E499" s="23" t="str">
        <f>IF($D499="","",IFERROR(VLOOKUP($D499,'SAMA Capital Tracker'!$A:$H,8,FALSE()),""))</f>
        <v/>
      </c>
      <c r="F499" s="24"/>
      <c r="G499" s="25" t="str">
        <f>IF($D499="","",IFERROR(VLOOKUP($D499,'SAMA Capital Tracker'!$A:$D,4,FALSE()),""))</f>
        <v/>
      </c>
      <c r="H499" s="22"/>
    </row>
    <row r="500" spans="1:8">
      <c r="A500" s="21"/>
      <c r="B500" s="22"/>
      <c r="C500" s="22"/>
      <c r="D500" s="22"/>
      <c r="E500" s="23" t="str">
        <f>IF($D500="","",IFERROR(VLOOKUP($D500,'SAMA Capital Tracker'!$A:$H,8,FALSE()),""))</f>
        <v/>
      </c>
      <c r="F500" s="24"/>
      <c r="G500" s="25" t="str">
        <f>IF($D500="","",IFERROR(VLOOKUP($D500,'SAMA Capital Tracker'!$A:$D,4,FALSE()),""))</f>
        <v/>
      </c>
      <c r="H500" s="22"/>
    </row>
    <row r="501" spans="1:8">
      <c r="A501" s="21"/>
      <c r="B501" s="22"/>
      <c r="C501" s="22"/>
      <c r="D501" s="22"/>
      <c r="E501" s="23" t="str">
        <f>IF($D501="","",IFERROR(VLOOKUP($D501,'SAMA Capital Tracker'!$A:$H,8,FALSE()),""))</f>
        <v/>
      </c>
      <c r="F501" s="24"/>
      <c r="G501" s="25" t="str">
        <f>IF($D501="","",IFERROR(VLOOKUP($D501,'SAMA Capital Tracker'!$A:$D,4,FALSE()),""))</f>
        <v/>
      </c>
      <c r="H501" s="22"/>
    </row>
    <row r="502" spans="1:8">
      <c r="A502" s="21"/>
      <c r="B502" s="22"/>
      <c r="C502" s="22"/>
      <c r="D502" s="22"/>
      <c r="E502" s="23" t="str">
        <f>IF($D502="","",IFERROR(VLOOKUP($D502,'SAMA Capital Tracker'!$A:$H,8,FALSE()),""))</f>
        <v/>
      </c>
      <c r="F502" s="24"/>
      <c r="G502" s="25" t="str">
        <f>IF($D502="","",IFERROR(VLOOKUP($D502,'SAMA Capital Tracker'!$A:$D,4,FALSE()),""))</f>
        <v/>
      </c>
      <c r="H502" s="22"/>
    </row>
    <row r="503" spans="1:8">
      <c r="A503" s="21"/>
      <c r="B503" s="22"/>
      <c r="C503" s="22"/>
      <c r="D503" s="22"/>
      <c r="E503" s="23" t="str">
        <f>IF($D503="","",IFERROR(VLOOKUP($D503,'SAMA Capital Tracker'!$A:$H,8,FALSE()),""))</f>
        <v/>
      </c>
      <c r="F503" s="24"/>
      <c r="G503" s="25" t="str">
        <f>IF($D503="","",IFERROR(VLOOKUP($D503,'SAMA Capital Tracker'!$A:$D,4,FALSE()),""))</f>
        <v/>
      </c>
      <c r="H503" s="22"/>
    </row>
    <row r="504" spans="1:8">
      <c r="A504" s="21"/>
      <c r="B504" s="22"/>
      <c r="C504" s="22"/>
      <c r="D504" s="22"/>
      <c r="E504" s="23" t="str">
        <f>IF($D504="","",IFERROR(VLOOKUP($D504,'SAMA Capital Tracker'!$A:$H,8,FALSE()),""))</f>
        <v/>
      </c>
      <c r="F504" s="24"/>
      <c r="G504" s="25" t="str">
        <f>IF($D504="","",IFERROR(VLOOKUP($D504,'SAMA Capital Tracker'!$A:$D,4,FALSE()),""))</f>
        <v/>
      </c>
      <c r="H504" s="22"/>
    </row>
    <row r="505" spans="1:8">
      <c r="A505" s="21"/>
      <c r="B505" s="22"/>
      <c r="C505" s="22"/>
      <c r="D505" s="22"/>
      <c r="E505" s="23" t="str">
        <f>IF($D505="","",IFERROR(VLOOKUP($D505,'SAMA Capital Tracker'!$A:$H,8,FALSE()),""))</f>
        <v/>
      </c>
      <c r="F505" s="24"/>
      <c r="G505" s="25" t="str">
        <f>IF($D505="","",IFERROR(VLOOKUP($D505,'SAMA Capital Tracker'!$A:$D,4,FALSE()),""))</f>
        <v/>
      </c>
      <c r="H505" s="22"/>
    </row>
    <row r="506" spans="1:8">
      <c r="A506" s="21"/>
      <c r="B506" s="22"/>
      <c r="C506" s="22"/>
      <c r="D506" s="22"/>
      <c r="E506" s="23" t="str">
        <f>IF($D506="","",IFERROR(VLOOKUP($D506,'SAMA Capital Tracker'!$A:$H,8,FALSE()),""))</f>
        <v/>
      </c>
      <c r="F506" s="24"/>
      <c r="G506" s="25" t="str">
        <f>IF($D506="","",IFERROR(VLOOKUP($D506,'SAMA Capital Tracker'!$A:$D,4,FALSE()),""))</f>
        <v/>
      </c>
      <c r="H506" s="22"/>
    </row>
    <row r="507" spans="1:8">
      <c r="A507" s="21"/>
      <c r="B507" s="22"/>
      <c r="C507" s="22"/>
      <c r="D507" s="22"/>
      <c r="E507" s="23" t="str">
        <f>IF($D507="","",IFERROR(VLOOKUP($D507,'SAMA Capital Tracker'!$A:$H,8,FALSE()),""))</f>
        <v/>
      </c>
      <c r="F507" s="24"/>
      <c r="G507" s="25" t="str">
        <f>IF($D507="","",IFERROR(VLOOKUP($D507,'SAMA Capital Tracker'!$A:$D,4,FALSE()),""))</f>
        <v/>
      </c>
      <c r="H507" s="22"/>
    </row>
    <row r="508" spans="1:8">
      <c r="A508" s="21"/>
      <c r="B508" s="22"/>
      <c r="C508" s="22"/>
      <c r="D508" s="22"/>
      <c r="E508" s="23" t="str">
        <f>IF($D508="","",IFERROR(VLOOKUP($D508,'SAMA Capital Tracker'!$A:$H,8,FALSE()),""))</f>
        <v/>
      </c>
      <c r="F508" s="24"/>
      <c r="G508" s="25" t="str">
        <f>IF($D508="","",IFERROR(VLOOKUP($D508,'SAMA Capital Tracker'!$A:$D,4,FALSE()),""))</f>
        <v/>
      </c>
      <c r="H508" s="22"/>
    </row>
    <row r="509" spans="1:8">
      <c r="A509" s="21"/>
      <c r="B509" s="22"/>
      <c r="C509" s="22"/>
      <c r="D509" s="22"/>
      <c r="E509" s="23" t="str">
        <f>IF($D509="","",IFERROR(VLOOKUP($D509,'SAMA Capital Tracker'!$A:$H,8,FALSE()),""))</f>
        <v/>
      </c>
      <c r="F509" s="24"/>
      <c r="G509" s="25" t="str">
        <f>IF($D509="","",IFERROR(VLOOKUP($D509,'SAMA Capital Tracker'!$A:$D,4,FALSE()),""))</f>
        <v/>
      </c>
      <c r="H509" s="22"/>
    </row>
    <row r="510" spans="1:8">
      <c r="A510" s="21"/>
      <c r="B510" s="22"/>
      <c r="C510" s="22"/>
      <c r="D510" s="22"/>
      <c r="E510" s="23" t="str">
        <f>IF($D510="","",IFERROR(VLOOKUP($D510,'SAMA Capital Tracker'!$A:$H,8,FALSE()),""))</f>
        <v/>
      </c>
      <c r="F510" s="24"/>
      <c r="G510" s="25" t="str">
        <f>IF($D510="","",IFERROR(VLOOKUP($D510,'SAMA Capital Tracker'!$A:$D,4,FALSE()),""))</f>
        <v/>
      </c>
      <c r="H510" s="22"/>
    </row>
    <row r="511" spans="1:8">
      <c r="A511" s="21"/>
      <c r="B511" s="22"/>
      <c r="C511" s="22"/>
      <c r="D511" s="22"/>
      <c r="E511" s="23" t="str">
        <f>IF($D511="","",IFERROR(VLOOKUP($D511,'SAMA Capital Tracker'!$A:$H,8,FALSE()),""))</f>
        <v/>
      </c>
      <c r="F511" s="24"/>
      <c r="G511" s="25" t="str">
        <f>IF($D511="","",IFERROR(VLOOKUP($D511,'SAMA Capital Tracker'!$A:$D,4,FALSE()),""))</f>
        <v/>
      </c>
      <c r="H511" s="22"/>
    </row>
    <row r="512" spans="1:8">
      <c r="A512" s="21"/>
      <c r="B512" s="22"/>
      <c r="C512" s="22"/>
      <c r="D512" s="22"/>
      <c r="E512" s="23" t="str">
        <f>IF($D512="","",IFERROR(VLOOKUP($D512,'SAMA Capital Tracker'!$A:$H,8,FALSE()),""))</f>
        <v/>
      </c>
      <c r="F512" s="24"/>
      <c r="G512" s="25" t="str">
        <f>IF($D512="","",IFERROR(VLOOKUP($D512,'SAMA Capital Tracker'!$A:$D,4,FALSE()),""))</f>
        <v/>
      </c>
      <c r="H512" s="22"/>
    </row>
    <row r="513" spans="1:8">
      <c r="A513" s="21"/>
      <c r="B513" s="22"/>
      <c r="C513" s="22"/>
      <c r="D513" s="22"/>
      <c r="E513" s="23" t="str">
        <f>IF($D513="","",IFERROR(VLOOKUP($D513,'SAMA Capital Tracker'!$A:$H,8,FALSE()),""))</f>
        <v/>
      </c>
      <c r="F513" s="24"/>
      <c r="G513" s="25" t="str">
        <f>IF($D513="","",IFERROR(VLOOKUP($D513,'SAMA Capital Tracker'!$A:$D,4,FALSE()),""))</f>
        <v/>
      </c>
      <c r="H513" s="22"/>
    </row>
    <row r="514" spans="1:8">
      <c r="A514" s="21"/>
      <c r="B514" s="22"/>
      <c r="C514" s="22"/>
      <c r="D514" s="22"/>
      <c r="E514" s="23" t="str">
        <f>IF($D514="","",IFERROR(VLOOKUP($D514,'SAMA Capital Tracker'!$A:$H,8,FALSE()),""))</f>
        <v/>
      </c>
      <c r="F514" s="24"/>
      <c r="G514" s="25" t="str">
        <f>IF($D514="","",IFERROR(VLOOKUP($D514,'SAMA Capital Tracker'!$A:$D,4,FALSE()),""))</f>
        <v/>
      </c>
      <c r="H514" s="22"/>
    </row>
    <row r="515" spans="1:8">
      <c r="A515" s="21"/>
      <c r="B515" s="22"/>
      <c r="C515" s="22"/>
      <c r="D515" s="22"/>
      <c r="E515" s="23" t="str">
        <f>IF($D515="","",IFERROR(VLOOKUP($D515,'SAMA Capital Tracker'!$A:$H,8,FALSE()),""))</f>
        <v/>
      </c>
      <c r="F515" s="24"/>
      <c r="G515" s="25" t="str">
        <f>IF($D515="","",IFERROR(VLOOKUP($D515,'SAMA Capital Tracker'!$A:$D,4,FALSE()),""))</f>
        <v/>
      </c>
      <c r="H515" s="22"/>
    </row>
    <row r="516" spans="1:8">
      <c r="A516" s="21"/>
      <c r="B516" s="22"/>
      <c r="C516" s="22"/>
      <c r="D516" s="22"/>
      <c r="E516" s="23" t="str">
        <f>IF($D516="","",IFERROR(VLOOKUP($D516,'SAMA Capital Tracker'!$A:$H,8,FALSE()),""))</f>
        <v/>
      </c>
      <c r="F516" s="24"/>
      <c r="G516" s="25" t="str">
        <f>IF($D516="","",IFERROR(VLOOKUP($D516,'SAMA Capital Tracker'!$A:$D,4,FALSE()),""))</f>
        <v/>
      </c>
      <c r="H516" s="22"/>
    </row>
    <row r="517" spans="1:8">
      <c r="A517" s="21"/>
      <c r="B517" s="22"/>
      <c r="C517" s="22"/>
      <c r="D517" s="22"/>
      <c r="E517" s="23" t="str">
        <f>IF($D517="","",IFERROR(VLOOKUP($D517,'SAMA Capital Tracker'!$A:$H,8,FALSE()),""))</f>
        <v/>
      </c>
      <c r="F517" s="24"/>
      <c r="G517" s="25" t="str">
        <f>IF($D517="","",IFERROR(VLOOKUP($D517,'SAMA Capital Tracker'!$A:$D,4,FALSE()),""))</f>
        <v/>
      </c>
      <c r="H517" s="22"/>
    </row>
    <row r="518" spans="1:8">
      <c r="A518" s="21"/>
      <c r="B518" s="22"/>
      <c r="C518" s="22"/>
      <c r="D518" s="22"/>
      <c r="E518" s="23" t="str">
        <f>IF($D518="","",IFERROR(VLOOKUP($D518,'SAMA Capital Tracker'!$A:$H,8,FALSE()),""))</f>
        <v/>
      </c>
      <c r="F518" s="24"/>
      <c r="G518" s="25" t="str">
        <f>IF($D518="","",IFERROR(VLOOKUP($D518,'SAMA Capital Tracker'!$A:$D,4,FALSE()),""))</f>
        <v/>
      </c>
      <c r="H518" s="22"/>
    </row>
    <row r="519" spans="1:8">
      <c r="A519" s="21"/>
      <c r="B519" s="22"/>
      <c r="C519" s="22"/>
      <c r="D519" s="22"/>
      <c r="E519" s="23" t="str">
        <f>IF($D519="","",IFERROR(VLOOKUP($D519,'SAMA Capital Tracker'!$A:$H,8,FALSE()),""))</f>
        <v/>
      </c>
      <c r="F519" s="24"/>
      <c r="G519" s="25" t="str">
        <f>IF($D519="","",IFERROR(VLOOKUP($D519,'SAMA Capital Tracker'!$A:$D,4,FALSE()),""))</f>
        <v/>
      </c>
      <c r="H519" s="22"/>
    </row>
    <row r="520" spans="1:8">
      <c r="A520" s="21"/>
      <c r="B520" s="22"/>
      <c r="C520" s="22"/>
      <c r="D520" s="22"/>
      <c r="E520" s="23" t="str">
        <f>IF($D520="","",IFERROR(VLOOKUP($D520,'SAMA Capital Tracker'!$A:$H,8,FALSE()),""))</f>
        <v/>
      </c>
      <c r="F520" s="24"/>
      <c r="G520" s="25" t="str">
        <f>IF($D520="","",IFERROR(VLOOKUP($D520,'SAMA Capital Tracker'!$A:$D,4,FALSE()),""))</f>
        <v/>
      </c>
      <c r="H520" s="22"/>
    </row>
    <row r="521" spans="1:8">
      <c r="A521" s="21"/>
      <c r="B521" s="22"/>
      <c r="C521" s="22"/>
      <c r="D521" s="22"/>
      <c r="E521" s="23" t="str">
        <f>IF($D521="","",IFERROR(VLOOKUP($D521,'SAMA Capital Tracker'!$A:$H,8,FALSE()),""))</f>
        <v/>
      </c>
      <c r="F521" s="24"/>
      <c r="G521" s="25" t="str">
        <f>IF($D521="","",IFERROR(VLOOKUP($D521,'SAMA Capital Tracker'!$A:$D,4,FALSE()),""))</f>
        <v/>
      </c>
      <c r="H521" s="22"/>
    </row>
    <row r="522" spans="1:8">
      <c r="A522" s="21"/>
      <c r="B522" s="22"/>
      <c r="C522" s="22"/>
      <c r="D522" s="22"/>
      <c r="E522" s="23" t="str">
        <f>IF($D522="","",IFERROR(VLOOKUP($D522,'SAMA Capital Tracker'!$A:$H,8,FALSE()),""))</f>
        <v/>
      </c>
      <c r="F522" s="24"/>
      <c r="G522" s="25" t="str">
        <f>IF($D522="","",IFERROR(VLOOKUP($D522,'SAMA Capital Tracker'!$A:$D,4,FALSE()),""))</f>
        <v/>
      </c>
      <c r="H522" s="22"/>
    </row>
    <row r="523" spans="1:8">
      <c r="A523" s="21"/>
      <c r="B523" s="22"/>
      <c r="C523" s="22"/>
      <c r="D523" s="22"/>
      <c r="E523" s="23" t="str">
        <f>IF($D523="","",IFERROR(VLOOKUP($D523,'SAMA Capital Tracker'!$A:$H,8,FALSE()),""))</f>
        <v/>
      </c>
      <c r="F523" s="24"/>
      <c r="G523" s="25" t="str">
        <f>IF($D523="","",IFERROR(VLOOKUP($D523,'SAMA Capital Tracker'!$A:$D,4,FALSE()),""))</f>
        <v/>
      </c>
      <c r="H523" s="22"/>
    </row>
    <row r="524" spans="1:8">
      <c r="A524" s="21"/>
      <c r="B524" s="22"/>
      <c r="C524" s="22"/>
      <c r="D524" s="22"/>
      <c r="E524" s="23" t="str">
        <f>IF($D524="","",IFERROR(VLOOKUP($D524,'SAMA Capital Tracker'!$A:$H,8,FALSE()),""))</f>
        <v/>
      </c>
      <c r="F524" s="24"/>
      <c r="G524" s="25" t="str">
        <f>IF($D524="","",IFERROR(VLOOKUP($D524,'SAMA Capital Tracker'!$A:$D,4,FALSE()),""))</f>
        <v/>
      </c>
      <c r="H524" s="22"/>
    </row>
    <row r="525" spans="1:8">
      <c r="A525" s="21"/>
      <c r="B525" s="22"/>
      <c r="C525" s="22"/>
      <c r="D525" s="22"/>
      <c r="E525" s="23" t="str">
        <f>IF($D525="","",IFERROR(VLOOKUP($D525,'SAMA Capital Tracker'!$A:$H,8,FALSE()),""))</f>
        <v/>
      </c>
      <c r="F525" s="24"/>
      <c r="G525" s="25" t="str">
        <f>IF($D525="","",IFERROR(VLOOKUP($D525,'SAMA Capital Tracker'!$A:$D,4,FALSE()),""))</f>
        <v/>
      </c>
      <c r="H525" s="22"/>
    </row>
    <row r="526" spans="1:8">
      <c r="A526" s="21"/>
      <c r="B526" s="22"/>
      <c r="C526" s="22"/>
      <c r="D526" s="22"/>
      <c r="E526" s="23" t="str">
        <f>IF($D526="","",IFERROR(VLOOKUP($D526,'SAMA Capital Tracker'!$A:$H,8,FALSE()),""))</f>
        <v/>
      </c>
      <c r="F526" s="24"/>
      <c r="G526" s="25" t="str">
        <f>IF($D526="","",IFERROR(VLOOKUP($D526,'SAMA Capital Tracker'!$A:$D,4,FALSE()),""))</f>
        <v/>
      </c>
      <c r="H526" s="22"/>
    </row>
    <row r="527" spans="1:8">
      <c r="A527" s="21"/>
      <c r="B527" s="22"/>
      <c r="C527" s="22"/>
      <c r="D527" s="22"/>
      <c r="E527" s="23" t="str">
        <f>IF($D527="","",IFERROR(VLOOKUP($D527,'SAMA Capital Tracker'!$A:$H,8,FALSE()),""))</f>
        <v/>
      </c>
      <c r="F527" s="24"/>
      <c r="G527" s="25" t="str">
        <f>IF($D527="","",IFERROR(VLOOKUP($D527,'SAMA Capital Tracker'!$A:$D,4,FALSE()),""))</f>
        <v/>
      </c>
      <c r="H527" s="22"/>
    </row>
    <row r="528" spans="1:8">
      <c r="A528" s="21"/>
      <c r="B528" s="22"/>
      <c r="C528" s="22"/>
      <c r="D528" s="22"/>
      <c r="E528" s="23" t="str">
        <f>IF($D528="","",IFERROR(VLOOKUP($D528,'SAMA Capital Tracker'!$A:$H,8,FALSE()),""))</f>
        <v/>
      </c>
      <c r="F528" s="24"/>
      <c r="G528" s="25" t="str">
        <f>IF($D528="","",IFERROR(VLOOKUP($D528,'SAMA Capital Tracker'!$A:$D,4,FALSE()),""))</f>
        <v/>
      </c>
      <c r="H528" s="22"/>
    </row>
    <row r="529" spans="1:8">
      <c r="A529" s="21"/>
      <c r="B529" s="22"/>
      <c r="C529" s="22"/>
      <c r="D529" s="22"/>
      <c r="E529" s="23" t="str">
        <f>IF($D529="","",IFERROR(VLOOKUP($D529,'SAMA Capital Tracker'!$A:$H,8,FALSE()),""))</f>
        <v/>
      </c>
      <c r="F529" s="24"/>
      <c r="G529" s="25" t="str">
        <f>IF($D529="","",IFERROR(VLOOKUP($D529,'SAMA Capital Tracker'!$A:$D,4,FALSE()),""))</f>
        <v/>
      </c>
      <c r="H529" s="22"/>
    </row>
    <row r="530" spans="1:8">
      <c r="A530" s="21"/>
      <c r="B530" s="22"/>
      <c r="C530" s="22"/>
      <c r="D530" s="22"/>
      <c r="E530" s="23" t="str">
        <f>IF($D530="","",IFERROR(VLOOKUP($D530,'SAMA Capital Tracker'!$A:$H,8,FALSE()),""))</f>
        <v/>
      </c>
      <c r="F530" s="24"/>
      <c r="G530" s="25" t="str">
        <f>IF($D530="","",IFERROR(VLOOKUP($D530,'SAMA Capital Tracker'!$A:$D,4,FALSE()),""))</f>
        <v/>
      </c>
      <c r="H530" s="22"/>
    </row>
    <row r="531" spans="1:8">
      <c r="A531" s="21"/>
      <c r="B531" s="22"/>
      <c r="C531" s="22"/>
      <c r="D531" s="22"/>
      <c r="E531" s="23" t="str">
        <f>IF($D531="","",IFERROR(VLOOKUP($D531,'SAMA Capital Tracker'!$A:$H,8,FALSE()),""))</f>
        <v/>
      </c>
      <c r="F531" s="24"/>
      <c r="G531" s="25" t="str">
        <f>IF($D531="","",IFERROR(VLOOKUP($D531,'SAMA Capital Tracker'!$A:$D,4,FALSE()),""))</f>
        <v/>
      </c>
      <c r="H531" s="22"/>
    </row>
    <row r="532" spans="1:8">
      <c r="A532" s="21"/>
      <c r="B532" s="22"/>
      <c r="C532" s="22"/>
      <c r="D532" s="22"/>
      <c r="E532" s="23" t="str">
        <f>IF($D532="","",IFERROR(VLOOKUP($D532,'SAMA Capital Tracker'!$A:$H,8,FALSE()),""))</f>
        <v/>
      </c>
      <c r="F532" s="24"/>
      <c r="G532" s="25" t="str">
        <f>IF($D532="","",IFERROR(VLOOKUP($D532,'SAMA Capital Tracker'!$A:$D,4,FALSE()),""))</f>
        <v/>
      </c>
      <c r="H532" s="22"/>
    </row>
    <row r="533" spans="1:8">
      <c r="A533" s="21"/>
      <c r="B533" s="22"/>
      <c r="C533" s="22"/>
      <c r="D533" s="22"/>
      <c r="E533" s="23" t="str">
        <f>IF($D533="","",IFERROR(VLOOKUP($D533,'SAMA Capital Tracker'!$A:$H,8,FALSE()),""))</f>
        <v/>
      </c>
      <c r="F533" s="24"/>
      <c r="G533" s="25" t="str">
        <f>IF($D533="","",IFERROR(VLOOKUP($D533,'SAMA Capital Tracker'!$A:$D,4,FALSE()),""))</f>
        <v/>
      </c>
      <c r="H533" s="22"/>
    </row>
    <row r="534" spans="1:8">
      <c r="A534" s="21"/>
      <c r="B534" s="22"/>
      <c r="C534" s="22"/>
      <c r="D534" s="22"/>
      <c r="E534" s="23" t="str">
        <f>IF($D534="","",IFERROR(VLOOKUP($D534,'SAMA Capital Tracker'!$A:$H,8,FALSE()),""))</f>
        <v/>
      </c>
      <c r="F534" s="24"/>
      <c r="G534" s="25" t="str">
        <f>IF($D534="","",IFERROR(VLOOKUP($D534,'SAMA Capital Tracker'!$A:$D,4,FALSE()),""))</f>
        <v/>
      </c>
      <c r="H534" s="22"/>
    </row>
    <row r="535" spans="1:8">
      <c r="A535" s="21"/>
      <c r="B535" s="22"/>
      <c r="C535" s="22"/>
      <c r="D535" s="22"/>
      <c r="E535" s="23" t="str">
        <f>IF($D535="","",IFERROR(VLOOKUP($D535,'SAMA Capital Tracker'!$A:$H,8,FALSE()),""))</f>
        <v/>
      </c>
      <c r="F535" s="24"/>
      <c r="G535" s="25" t="str">
        <f>IF($D535="","",IFERROR(VLOOKUP($D535,'SAMA Capital Tracker'!$A:$D,4,FALSE()),""))</f>
        <v/>
      </c>
      <c r="H535" s="22"/>
    </row>
    <row r="536" spans="1:8">
      <c r="A536" s="21"/>
      <c r="B536" s="22"/>
      <c r="C536" s="22"/>
      <c r="D536" s="22"/>
      <c r="E536" s="23" t="str">
        <f>IF($D536="","",IFERROR(VLOOKUP($D536,'SAMA Capital Tracker'!$A:$H,8,FALSE()),""))</f>
        <v/>
      </c>
      <c r="F536" s="24"/>
      <c r="G536" s="25" t="str">
        <f>IF($D536="","",IFERROR(VLOOKUP($D536,'SAMA Capital Tracker'!$A:$D,4,FALSE()),""))</f>
        <v/>
      </c>
      <c r="H536" s="22"/>
    </row>
    <row r="537" spans="1:8">
      <c r="A537" s="21"/>
      <c r="B537" s="22"/>
      <c r="C537" s="22"/>
      <c r="D537" s="22"/>
      <c r="E537" s="23" t="str">
        <f>IF($D537="","",IFERROR(VLOOKUP($D537,'SAMA Capital Tracker'!$A:$H,8,FALSE()),""))</f>
        <v/>
      </c>
      <c r="F537" s="24"/>
      <c r="G537" s="25" t="str">
        <f>IF($D537="","",IFERROR(VLOOKUP($D537,'SAMA Capital Tracker'!$A:$D,4,FALSE()),""))</f>
        <v/>
      </c>
      <c r="H537" s="22"/>
    </row>
    <row r="538" spans="1:8">
      <c r="A538" s="21"/>
      <c r="B538" s="22"/>
      <c r="C538" s="22"/>
      <c r="D538" s="22"/>
      <c r="E538" s="23" t="str">
        <f>IF($D538="","",IFERROR(VLOOKUP($D538,'SAMA Capital Tracker'!$A:$H,8,FALSE()),""))</f>
        <v/>
      </c>
      <c r="F538" s="24"/>
      <c r="G538" s="25" t="str">
        <f>IF($D538="","",IFERROR(VLOOKUP($D538,'SAMA Capital Tracker'!$A:$D,4,FALSE()),""))</f>
        <v/>
      </c>
      <c r="H538" s="22"/>
    </row>
    <row r="539" spans="1:8">
      <c r="A539" s="21"/>
      <c r="B539" s="22"/>
      <c r="C539" s="22"/>
      <c r="D539" s="22"/>
      <c r="E539" s="23" t="str">
        <f>IF($D539="","",IFERROR(VLOOKUP($D539,'SAMA Capital Tracker'!$A:$H,8,FALSE()),""))</f>
        <v/>
      </c>
      <c r="F539" s="24"/>
      <c r="G539" s="25" t="str">
        <f>IF($D539="","",IFERROR(VLOOKUP($D539,'SAMA Capital Tracker'!$A:$D,4,FALSE()),""))</f>
        <v/>
      </c>
      <c r="H539" s="22"/>
    </row>
    <row r="540" spans="1:8">
      <c r="A540" s="21"/>
      <c r="B540" s="22"/>
      <c r="C540" s="22"/>
      <c r="D540" s="22"/>
      <c r="E540" s="23" t="str">
        <f>IF($D540="","",IFERROR(VLOOKUP($D540,'SAMA Capital Tracker'!$A:$H,8,FALSE()),""))</f>
        <v/>
      </c>
      <c r="F540" s="24"/>
      <c r="G540" s="25" t="str">
        <f>IF($D540="","",IFERROR(VLOOKUP($D540,'SAMA Capital Tracker'!$A:$D,4,FALSE()),""))</f>
        <v/>
      </c>
      <c r="H540" s="22"/>
    </row>
    <row r="541" spans="1:8">
      <c r="A541" s="21"/>
      <c r="B541" s="22"/>
      <c r="C541" s="22"/>
      <c r="D541" s="22"/>
      <c r="E541" s="23" t="str">
        <f>IF($D541="","",IFERROR(VLOOKUP($D541,'SAMA Capital Tracker'!$A:$H,8,FALSE()),""))</f>
        <v/>
      </c>
      <c r="F541" s="24"/>
      <c r="G541" s="25" t="str">
        <f>IF($D541="","",IFERROR(VLOOKUP($D541,'SAMA Capital Tracker'!$A:$D,4,FALSE()),""))</f>
        <v/>
      </c>
      <c r="H541" s="22"/>
    </row>
    <row r="542" spans="1:8">
      <c r="A542" s="21"/>
      <c r="B542" s="22"/>
      <c r="C542" s="22"/>
      <c r="D542" s="22"/>
      <c r="E542" s="23" t="str">
        <f>IF($D542="","",IFERROR(VLOOKUP($D542,'SAMA Capital Tracker'!$A:$H,8,FALSE()),""))</f>
        <v/>
      </c>
      <c r="F542" s="24"/>
      <c r="G542" s="25" t="str">
        <f>IF($D542="","",IFERROR(VLOOKUP($D542,'SAMA Capital Tracker'!$A:$D,4,FALSE()),""))</f>
        <v/>
      </c>
      <c r="H542" s="22"/>
    </row>
    <row r="543" spans="1:8">
      <c r="A543" s="21"/>
      <c r="B543" s="22"/>
      <c r="C543" s="22"/>
      <c r="D543" s="22"/>
      <c r="E543" s="23" t="str">
        <f>IF($D543="","",IFERROR(VLOOKUP($D543,'SAMA Capital Tracker'!$A:$H,8,FALSE()),""))</f>
        <v/>
      </c>
      <c r="F543" s="24"/>
      <c r="G543" s="25" t="str">
        <f>IF($D543="","",IFERROR(VLOOKUP($D543,'SAMA Capital Tracker'!$A:$D,4,FALSE()),""))</f>
        <v/>
      </c>
      <c r="H543" s="22"/>
    </row>
    <row r="544" spans="1:8">
      <c r="A544" s="21"/>
      <c r="B544" s="22"/>
      <c r="C544" s="22"/>
      <c r="D544" s="22"/>
      <c r="E544" s="23" t="str">
        <f>IF($D544="","",IFERROR(VLOOKUP($D544,'SAMA Capital Tracker'!$A:$H,8,FALSE()),""))</f>
        <v/>
      </c>
      <c r="F544" s="24"/>
      <c r="G544" s="25" t="str">
        <f>IF($D544="","",IFERROR(VLOOKUP($D544,'SAMA Capital Tracker'!$A:$D,4,FALSE()),""))</f>
        <v/>
      </c>
      <c r="H544" s="22"/>
    </row>
    <row r="545" spans="1:8">
      <c r="A545" s="21"/>
      <c r="B545" s="22"/>
      <c r="C545" s="22"/>
      <c r="D545" s="22"/>
      <c r="E545" s="23" t="str">
        <f>IF($D545="","",IFERROR(VLOOKUP($D545,'SAMA Capital Tracker'!$A:$H,8,FALSE()),""))</f>
        <v/>
      </c>
      <c r="F545" s="24"/>
      <c r="G545" s="25" t="str">
        <f>IF($D545="","",IFERROR(VLOOKUP($D545,'SAMA Capital Tracker'!$A:$D,4,FALSE()),""))</f>
        <v/>
      </c>
      <c r="H545" s="22"/>
    </row>
    <row r="546" spans="1:8">
      <c r="A546" s="21"/>
      <c r="B546" s="22"/>
      <c r="C546" s="22"/>
      <c r="D546" s="22"/>
      <c r="E546" s="23" t="str">
        <f>IF($D546="","",IFERROR(VLOOKUP($D546,'SAMA Capital Tracker'!$A:$H,8,FALSE()),""))</f>
        <v/>
      </c>
      <c r="F546" s="24"/>
      <c r="G546" s="25" t="str">
        <f>IF($D546="","",IFERROR(VLOOKUP($D546,'SAMA Capital Tracker'!$A:$D,4,FALSE()),""))</f>
        <v/>
      </c>
      <c r="H546" s="22"/>
    </row>
    <row r="547" spans="1:8">
      <c r="A547" s="21"/>
      <c r="B547" s="22"/>
      <c r="C547" s="22"/>
      <c r="D547" s="22"/>
      <c r="E547" s="23" t="str">
        <f>IF($D547="","",IFERROR(VLOOKUP($D547,'SAMA Capital Tracker'!$A:$H,8,FALSE()),""))</f>
        <v/>
      </c>
      <c r="F547" s="24"/>
      <c r="G547" s="25" t="str">
        <f>IF($D547="","",IFERROR(VLOOKUP($D547,'SAMA Capital Tracker'!$A:$D,4,FALSE()),""))</f>
        <v/>
      </c>
      <c r="H547" s="22"/>
    </row>
    <row r="548" spans="1:8">
      <c r="A548" s="21"/>
      <c r="B548" s="22"/>
      <c r="C548" s="22"/>
      <c r="D548" s="22"/>
      <c r="E548" s="23" t="str">
        <f>IF($D548="","",IFERROR(VLOOKUP($D548,'SAMA Capital Tracker'!$A:$H,8,FALSE()),""))</f>
        <v/>
      </c>
      <c r="F548" s="24"/>
      <c r="G548" s="25" t="str">
        <f>IF($D548="","",IFERROR(VLOOKUP($D548,'SAMA Capital Tracker'!$A:$D,4,FALSE()),""))</f>
        <v/>
      </c>
      <c r="H548" s="22"/>
    </row>
    <row r="549" spans="1:8">
      <c r="A549" s="21"/>
      <c r="B549" s="22"/>
      <c r="C549" s="22"/>
      <c r="D549" s="22"/>
      <c r="E549" s="23" t="str">
        <f>IF($D549="","",IFERROR(VLOOKUP($D549,'SAMA Capital Tracker'!$A:$H,8,FALSE()),""))</f>
        <v/>
      </c>
      <c r="F549" s="24"/>
      <c r="G549" s="25" t="str">
        <f>IF($D549="","",IFERROR(VLOOKUP($D549,'SAMA Capital Tracker'!$A:$D,4,FALSE()),""))</f>
        <v/>
      </c>
      <c r="H549" s="22"/>
    </row>
    <row r="550" spans="1:8">
      <c r="A550" s="21"/>
      <c r="B550" s="22"/>
      <c r="C550" s="22"/>
      <c r="D550" s="22"/>
      <c r="E550" s="23" t="str">
        <f>IF($D550="","",IFERROR(VLOOKUP($D550,'SAMA Capital Tracker'!$A:$H,8,FALSE()),""))</f>
        <v/>
      </c>
      <c r="F550" s="24"/>
      <c r="G550" s="25" t="str">
        <f>IF($D550="","",IFERROR(VLOOKUP($D550,'SAMA Capital Tracker'!$A:$D,4,FALSE()),""))</f>
        <v/>
      </c>
      <c r="H550" s="22"/>
    </row>
    <row r="551" spans="1:8">
      <c r="A551" s="21"/>
      <c r="B551" s="22"/>
      <c r="C551" s="22"/>
      <c r="D551" s="22"/>
      <c r="E551" s="23" t="str">
        <f>IF($D551="","",IFERROR(VLOOKUP($D551,'SAMA Capital Tracker'!$A:$H,8,FALSE()),""))</f>
        <v/>
      </c>
      <c r="F551" s="24"/>
      <c r="G551" s="25" t="str">
        <f>IF($D551="","",IFERROR(VLOOKUP($D551,'SAMA Capital Tracker'!$A:$D,4,FALSE()),""))</f>
        <v/>
      </c>
      <c r="H551" s="22"/>
    </row>
    <row r="552" spans="1:8">
      <c r="A552" s="21"/>
      <c r="B552" s="22"/>
      <c r="C552" s="22"/>
      <c r="D552" s="22"/>
      <c r="E552" s="23" t="str">
        <f>IF($D552="","",IFERROR(VLOOKUP($D552,'SAMA Capital Tracker'!$A:$H,8,FALSE()),""))</f>
        <v/>
      </c>
      <c r="F552" s="24"/>
      <c r="G552" s="25" t="str">
        <f>IF($D552="","",IFERROR(VLOOKUP($D552,'SAMA Capital Tracker'!$A:$D,4,FALSE()),""))</f>
        <v/>
      </c>
      <c r="H552" s="22"/>
    </row>
    <row r="553" spans="1:8">
      <c r="A553" s="21"/>
      <c r="B553" s="22"/>
      <c r="C553" s="22"/>
      <c r="D553" s="22"/>
      <c r="E553" s="23" t="str">
        <f>IF($D553="","",IFERROR(VLOOKUP($D553,'SAMA Capital Tracker'!$A:$H,8,FALSE()),""))</f>
        <v/>
      </c>
      <c r="F553" s="24"/>
      <c r="G553" s="25" t="str">
        <f>IF($D553="","",IFERROR(VLOOKUP($D553,'SAMA Capital Tracker'!$A:$D,4,FALSE()),""))</f>
        <v/>
      </c>
      <c r="H553" s="22"/>
    </row>
    <row r="554" spans="1:8">
      <c r="A554" s="21"/>
      <c r="B554" s="22"/>
      <c r="C554" s="22"/>
      <c r="D554" s="22"/>
      <c r="E554" s="23" t="str">
        <f>IF($D554="","",IFERROR(VLOOKUP($D554,'SAMA Capital Tracker'!$A:$H,8,FALSE()),""))</f>
        <v/>
      </c>
      <c r="F554" s="24"/>
      <c r="G554" s="25" t="str">
        <f>IF($D554="","",IFERROR(VLOOKUP($D554,'SAMA Capital Tracker'!$A:$D,4,FALSE()),""))</f>
        <v/>
      </c>
      <c r="H554" s="22"/>
    </row>
    <row r="555" spans="1:8">
      <c r="A555" s="21"/>
      <c r="B555" s="22"/>
      <c r="C555" s="22"/>
      <c r="D555" s="22"/>
      <c r="E555" s="23" t="str">
        <f>IF($D555="","",IFERROR(VLOOKUP($D555,'SAMA Capital Tracker'!$A:$H,8,FALSE()),""))</f>
        <v/>
      </c>
      <c r="F555" s="24"/>
      <c r="G555" s="25" t="str">
        <f>IF($D555="","",IFERROR(VLOOKUP($D555,'SAMA Capital Tracker'!$A:$D,4,FALSE()),""))</f>
        <v/>
      </c>
      <c r="H555" s="22"/>
    </row>
    <row r="556" spans="1:8">
      <c r="A556" s="21"/>
      <c r="B556" s="22"/>
      <c r="C556" s="22"/>
      <c r="D556" s="22"/>
      <c r="E556" s="23" t="str">
        <f>IF($D556="","",IFERROR(VLOOKUP($D556,'SAMA Capital Tracker'!$A:$H,8,FALSE()),""))</f>
        <v/>
      </c>
      <c r="F556" s="24"/>
      <c r="G556" s="25" t="str">
        <f>IF($D556="","",IFERROR(VLOOKUP($D556,'SAMA Capital Tracker'!$A:$D,4,FALSE()),""))</f>
        <v/>
      </c>
      <c r="H556" s="22"/>
    </row>
    <row r="557" spans="1:8">
      <c r="A557" s="21"/>
      <c r="B557" s="22"/>
      <c r="C557" s="22"/>
      <c r="D557" s="22"/>
      <c r="E557" s="23" t="str">
        <f>IF($D557="","",IFERROR(VLOOKUP($D557,'SAMA Capital Tracker'!$A:$H,8,FALSE()),""))</f>
        <v/>
      </c>
      <c r="F557" s="24"/>
      <c r="G557" s="25" t="str">
        <f>IF($D557="","",IFERROR(VLOOKUP($D557,'SAMA Capital Tracker'!$A:$D,4,FALSE()),""))</f>
        <v/>
      </c>
      <c r="H557" s="22"/>
    </row>
    <row r="558" spans="1:8">
      <c r="A558" s="21"/>
      <c r="B558" s="22"/>
      <c r="C558" s="22"/>
      <c r="D558" s="22"/>
      <c r="E558" s="23" t="str">
        <f>IF($D558="","",IFERROR(VLOOKUP($D558,'SAMA Capital Tracker'!$A:$H,8,FALSE()),""))</f>
        <v/>
      </c>
      <c r="F558" s="24"/>
      <c r="G558" s="25" t="str">
        <f>IF($D558="","",IFERROR(VLOOKUP($D558,'SAMA Capital Tracker'!$A:$D,4,FALSE()),""))</f>
        <v/>
      </c>
      <c r="H558" s="22"/>
    </row>
    <row r="559" spans="1:8">
      <c r="A559" s="21"/>
      <c r="B559" s="22"/>
      <c r="C559" s="22"/>
      <c r="D559" s="22"/>
      <c r="E559" s="23" t="str">
        <f>IF($D559="","",IFERROR(VLOOKUP($D559,'SAMA Capital Tracker'!$A:$H,8,FALSE()),""))</f>
        <v/>
      </c>
      <c r="F559" s="24"/>
      <c r="G559" s="25" t="str">
        <f>IF($D559="","",IFERROR(VLOOKUP($D559,'SAMA Capital Tracker'!$A:$D,4,FALSE()),""))</f>
        <v/>
      </c>
      <c r="H559" s="22"/>
    </row>
    <row r="560" spans="1:8">
      <c r="A560" s="21"/>
      <c r="B560" s="22"/>
      <c r="C560" s="22"/>
      <c r="D560" s="22"/>
      <c r="E560" s="23" t="str">
        <f>IF($D560="","",IFERROR(VLOOKUP($D560,'SAMA Capital Tracker'!$A:$H,8,FALSE()),""))</f>
        <v/>
      </c>
      <c r="F560" s="24"/>
      <c r="G560" s="25" t="str">
        <f>IF($D560="","",IFERROR(VLOOKUP($D560,'SAMA Capital Tracker'!$A:$D,4,FALSE()),""))</f>
        <v/>
      </c>
      <c r="H560" s="22"/>
    </row>
    <row r="561" spans="1:8">
      <c r="A561" s="21"/>
      <c r="B561" s="22"/>
      <c r="C561" s="22"/>
      <c r="D561" s="22"/>
      <c r="E561" s="23" t="str">
        <f>IF($D561="","",IFERROR(VLOOKUP($D561,'SAMA Capital Tracker'!$A:$H,8,FALSE()),""))</f>
        <v/>
      </c>
      <c r="F561" s="24"/>
      <c r="G561" s="25" t="str">
        <f>IF($D561="","",IFERROR(VLOOKUP($D561,'SAMA Capital Tracker'!$A:$D,4,FALSE()),""))</f>
        <v/>
      </c>
      <c r="H561" s="22"/>
    </row>
    <row r="562" spans="1:8">
      <c r="A562" s="21"/>
      <c r="B562" s="22"/>
      <c r="C562" s="22"/>
      <c r="D562" s="22"/>
      <c r="E562" s="23" t="str">
        <f>IF($D562="","",IFERROR(VLOOKUP($D562,'SAMA Capital Tracker'!$A:$H,8,FALSE()),""))</f>
        <v/>
      </c>
      <c r="F562" s="24"/>
      <c r="G562" s="25" t="str">
        <f>IF($D562="","",IFERROR(VLOOKUP($D562,'SAMA Capital Tracker'!$A:$D,4,FALSE()),""))</f>
        <v/>
      </c>
      <c r="H562" s="22"/>
    </row>
    <row r="563" spans="1:8">
      <c r="A563" s="21"/>
      <c r="B563" s="22"/>
      <c r="C563" s="22"/>
      <c r="D563" s="22"/>
      <c r="E563" s="23" t="str">
        <f>IF($D563="","",IFERROR(VLOOKUP($D563,'SAMA Capital Tracker'!$A:$H,8,FALSE()),""))</f>
        <v/>
      </c>
      <c r="F563" s="24"/>
      <c r="G563" s="25" t="str">
        <f>IF($D563="","",IFERROR(VLOOKUP($D563,'SAMA Capital Tracker'!$A:$D,4,FALSE()),""))</f>
        <v/>
      </c>
      <c r="H563" s="22"/>
    </row>
    <row r="564" spans="1:8">
      <c r="A564" s="21"/>
      <c r="B564" s="22"/>
      <c r="C564" s="22"/>
      <c r="D564" s="22"/>
      <c r="E564" s="23" t="str">
        <f>IF($D564="","",IFERROR(VLOOKUP($D564,'SAMA Capital Tracker'!$A:$H,8,FALSE()),""))</f>
        <v/>
      </c>
      <c r="F564" s="24"/>
      <c r="G564" s="25" t="str">
        <f>IF($D564="","",IFERROR(VLOOKUP($D564,'SAMA Capital Tracker'!$A:$D,4,FALSE()),""))</f>
        <v/>
      </c>
      <c r="H564" s="22"/>
    </row>
    <row r="565" spans="1:8">
      <c r="A565" s="21"/>
      <c r="B565" s="22"/>
      <c r="C565" s="22"/>
      <c r="D565" s="22"/>
      <c r="E565" s="23" t="str">
        <f>IF($D565="","",IFERROR(VLOOKUP($D565,'SAMA Capital Tracker'!$A:$H,8,FALSE()),""))</f>
        <v/>
      </c>
      <c r="F565" s="24"/>
      <c r="G565" s="25" t="str">
        <f>IF($D565="","",IFERROR(VLOOKUP($D565,'SAMA Capital Tracker'!$A:$D,4,FALSE()),""))</f>
        <v/>
      </c>
      <c r="H565" s="22"/>
    </row>
    <row r="566" spans="1:8">
      <c r="A566" s="21"/>
      <c r="B566" s="22"/>
      <c r="C566" s="22"/>
      <c r="D566" s="22"/>
      <c r="E566" s="23" t="str">
        <f>IF($D566="","",IFERROR(VLOOKUP($D566,'SAMA Capital Tracker'!$A:$H,8,FALSE()),""))</f>
        <v/>
      </c>
      <c r="F566" s="24"/>
      <c r="G566" s="25" t="str">
        <f>IF($D566="","",IFERROR(VLOOKUP($D566,'SAMA Capital Tracker'!$A:$D,4,FALSE()),""))</f>
        <v/>
      </c>
      <c r="H566" s="22"/>
    </row>
    <row r="567" spans="1:8">
      <c r="A567" s="21"/>
      <c r="B567" s="22"/>
      <c r="C567" s="22"/>
      <c r="D567" s="22"/>
      <c r="E567" s="23" t="str">
        <f>IF($D567="","",IFERROR(VLOOKUP($D567,'SAMA Capital Tracker'!$A:$H,8,FALSE()),""))</f>
        <v/>
      </c>
      <c r="F567" s="24"/>
      <c r="G567" s="25" t="str">
        <f>IF($D567="","",IFERROR(VLOOKUP($D567,'SAMA Capital Tracker'!$A:$D,4,FALSE()),""))</f>
        <v/>
      </c>
      <c r="H567" s="22"/>
    </row>
    <row r="568" spans="1:8">
      <c r="A568" s="21"/>
      <c r="B568" s="22"/>
      <c r="C568" s="22"/>
      <c r="D568" s="22"/>
      <c r="E568" s="23" t="str">
        <f>IF($D568="","",IFERROR(VLOOKUP($D568,'SAMA Capital Tracker'!$A:$H,8,FALSE()),""))</f>
        <v/>
      </c>
      <c r="F568" s="24"/>
      <c r="G568" s="25" t="str">
        <f>IF($D568="","",IFERROR(VLOOKUP($D568,'SAMA Capital Tracker'!$A:$D,4,FALSE()),""))</f>
        <v/>
      </c>
      <c r="H568" s="22"/>
    </row>
    <row r="569" spans="1:8">
      <c r="A569" s="21"/>
      <c r="B569" s="22"/>
      <c r="C569" s="22"/>
      <c r="D569" s="22"/>
      <c r="E569" s="23" t="str">
        <f>IF($D569="","",IFERROR(VLOOKUP($D569,'SAMA Capital Tracker'!$A:$H,8,FALSE()),""))</f>
        <v/>
      </c>
      <c r="F569" s="24"/>
      <c r="G569" s="25" t="str">
        <f>IF($D569="","",IFERROR(VLOOKUP($D569,'SAMA Capital Tracker'!$A:$D,4,FALSE()),""))</f>
        <v/>
      </c>
      <c r="H569" s="22"/>
    </row>
    <row r="570" spans="1:8">
      <c r="A570" s="21"/>
      <c r="B570" s="22"/>
      <c r="C570" s="22"/>
      <c r="D570" s="22"/>
      <c r="E570" s="23" t="str">
        <f>IF($D570="","",IFERROR(VLOOKUP($D570,'SAMA Capital Tracker'!$A:$H,8,FALSE()),""))</f>
        <v/>
      </c>
      <c r="F570" s="24"/>
      <c r="G570" s="25" t="str">
        <f>IF($D570="","",IFERROR(VLOOKUP($D570,'SAMA Capital Tracker'!$A:$D,4,FALSE()),""))</f>
        <v/>
      </c>
      <c r="H570" s="22"/>
    </row>
    <row r="571" spans="1:8">
      <c r="A571" s="21"/>
      <c r="B571" s="22"/>
      <c r="C571" s="22"/>
      <c r="D571" s="22"/>
      <c r="E571" s="23" t="str">
        <f>IF($D571="","",IFERROR(VLOOKUP($D571,'SAMA Capital Tracker'!$A:$H,8,FALSE()),""))</f>
        <v/>
      </c>
      <c r="F571" s="24"/>
      <c r="G571" s="25" t="str">
        <f>IF($D571="","",IFERROR(VLOOKUP($D571,'SAMA Capital Tracker'!$A:$D,4,FALSE()),""))</f>
        <v/>
      </c>
      <c r="H571" s="22"/>
    </row>
    <row r="572" spans="1:8">
      <c r="A572" s="21"/>
      <c r="B572" s="22"/>
      <c r="C572" s="22"/>
      <c r="D572" s="22"/>
      <c r="E572" s="23" t="str">
        <f>IF($D572="","",IFERROR(VLOOKUP($D572,'SAMA Capital Tracker'!$A:$H,8,FALSE()),""))</f>
        <v/>
      </c>
      <c r="F572" s="24"/>
      <c r="G572" s="25" t="str">
        <f>IF($D572="","",IFERROR(VLOOKUP($D572,'SAMA Capital Tracker'!$A:$D,4,FALSE()),""))</f>
        <v/>
      </c>
      <c r="H572" s="22"/>
    </row>
    <row r="573" spans="1:8">
      <c r="A573" s="21"/>
      <c r="B573" s="22"/>
      <c r="C573" s="22"/>
      <c r="D573" s="22"/>
      <c r="E573" s="23" t="str">
        <f>IF($D573="","",IFERROR(VLOOKUP($D573,'SAMA Capital Tracker'!$A:$H,8,FALSE()),""))</f>
        <v/>
      </c>
      <c r="F573" s="24"/>
      <c r="G573" s="25" t="str">
        <f>IF($D573="","",IFERROR(VLOOKUP($D573,'SAMA Capital Tracker'!$A:$D,4,FALSE()),""))</f>
        <v/>
      </c>
      <c r="H573" s="22"/>
    </row>
    <row r="574" spans="1:8">
      <c r="A574" s="21"/>
      <c r="B574" s="22"/>
      <c r="C574" s="22"/>
      <c r="D574" s="22"/>
      <c r="E574" s="23" t="str">
        <f>IF($D574="","",IFERROR(VLOOKUP($D574,'SAMA Capital Tracker'!$A:$H,8,FALSE()),""))</f>
        <v/>
      </c>
      <c r="F574" s="24"/>
      <c r="G574" s="25" t="str">
        <f>IF($D574="","",IFERROR(VLOOKUP($D574,'SAMA Capital Tracker'!$A:$D,4,FALSE()),""))</f>
        <v/>
      </c>
      <c r="H574" s="22"/>
    </row>
    <row r="575" spans="1:8">
      <c r="A575" s="21"/>
      <c r="B575" s="22"/>
      <c r="C575" s="22"/>
      <c r="D575" s="22"/>
      <c r="E575" s="23" t="str">
        <f>IF($D575="","",IFERROR(VLOOKUP($D575,'SAMA Capital Tracker'!$A:$H,8,FALSE()),""))</f>
        <v/>
      </c>
      <c r="F575" s="24"/>
      <c r="G575" s="25" t="str">
        <f>IF($D575="","",IFERROR(VLOOKUP($D575,'SAMA Capital Tracker'!$A:$D,4,FALSE()),""))</f>
        <v/>
      </c>
      <c r="H575" s="22"/>
    </row>
    <row r="576" spans="1:8">
      <c r="A576" s="21"/>
      <c r="B576" s="22"/>
      <c r="C576" s="22"/>
      <c r="D576" s="22"/>
      <c r="E576" s="23" t="str">
        <f>IF($D576="","",IFERROR(VLOOKUP($D576,'SAMA Capital Tracker'!$A:$H,8,FALSE()),""))</f>
        <v/>
      </c>
      <c r="F576" s="24"/>
      <c r="G576" s="25" t="str">
        <f>IF($D576="","",IFERROR(VLOOKUP($D576,'SAMA Capital Tracker'!$A:$D,4,FALSE()),""))</f>
        <v/>
      </c>
      <c r="H576" s="22"/>
    </row>
    <row r="577" spans="1:8">
      <c r="A577" s="21"/>
      <c r="B577" s="22"/>
      <c r="C577" s="22"/>
      <c r="D577" s="22"/>
      <c r="E577" s="23" t="str">
        <f>IF($D577="","",IFERROR(VLOOKUP($D577,'SAMA Capital Tracker'!$A:$H,8,FALSE()),""))</f>
        <v/>
      </c>
      <c r="F577" s="24"/>
      <c r="G577" s="25" t="str">
        <f>IF($D577="","",IFERROR(VLOOKUP($D577,'SAMA Capital Tracker'!$A:$D,4,FALSE()),""))</f>
        <v/>
      </c>
      <c r="H577" s="22"/>
    </row>
    <row r="578" spans="1:8">
      <c r="A578" s="21"/>
      <c r="B578" s="22"/>
      <c r="C578" s="22"/>
      <c r="D578" s="22"/>
      <c r="E578" s="23" t="str">
        <f>IF($D578="","",IFERROR(VLOOKUP($D578,'SAMA Capital Tracker'!$A:$H,8,FALSE()),""))</f>
        <v/>
      </c>
      <c r="F578" s="24"/>
      <c r="G578" s="25" t="str">
        <f>IF($D578="","",IFERROR(VLOOKUP($D578,'SAMA Capital Tracker'!$A:$D,4,FALSE()),""))</f>
        <v/>
      </c>
      <c r="H578" s="22"/>
    </row>
    <row r="579" spans="1:8">
      <c r="A579" s="21"/>
      <c r="B579" s="22"/>
      <c r="C579" s="22"/>
      <c r="D579" s="22"/>
      <c r="E579" s="23" t="str">
        <f>IF($D579="","",IFERROR(VLOOKUP($D579,'SAMA Capital Tracker'!$A:$H,8,FALSE()),""))</f>
        <v/>
      </c>
      <c r="F579" s="24"/>
      <c r="G579" s="25" t="str">
        <f>IF($D579="","",IFERROR(VLOOKUP($D579,'SAMA Capital Tracker'!$A:$D,4,FALSE()),""))</f>
        <v/>
      </c>
      <c r="H579" s="22"/>
    </row>
    <row r="580" spans="1:8">
      <c r="A580" s="21"/>
      <c r="B580" s="22"/>
      <c r="C580" s="22"/>
      <c r="D580" s="22"/>
      <c r="E580" s="23" t="str">
        <f>IF($D580="","",IFERROR(VLOOKUP($D580,'SAMA Capital Tracker'!$A:$H,8,FALSE()),""))</f>
        <v/>
      </c>
      <c r="F580" s="24"/>
      <c r="G580" s="25" t="str">
        <f>IF($D580="","",IFERROR(VLOOKUP($D580,'SAMA Capital Tracker'!$A:$D,4,FALSE()),""))</f>
        <v/>
      </c>
      <c r="H580" s="22"/>
    </row>
    <row r="581" spans="1:8">
      <c r="A581" s="21"/>
      <c r="B581" s="22"/>
      <c r="C581" s="22"/>
      <c r="D581" s="22"/>
      <c r="E581" s="23" t="str">
        <f>IF($D581="","",IFERROR(VLOOKUP($D581,'SAMA Capital Tracker'!$A:$H,8,FALSE()),""))</f>
        <v/>
      </c>
      <c r="F581" s="24"/>
      <c r="G581" s="25" t="str">
        <f>IF($D581="","",IFERROR(VLOOKUP($D581,'SAMA Capital Tracker'!$A:$D,4,FALSE()),""))</f>
        <v/>
      </c>
      <c r="H581" s="22"/>
    </row>
    <row r="582" spans="1:8">
      <c r="A582" s="21"/>
      <c r="B582" s="22"/>
      <c r="C582" s="22"/>
      <c r="D582" s="22"/>
      <c r="E582" s="23" t="str">
        <f>IF($D582="","",IFERROR(VLOOKUP($D582,'SAMA Capital Tracker'!$A:$H,8,FALSE()),""))</f>
        <v/>
      </c>
      <c r="F582" s="24"/>
      <c r="G582" s="25" t="str">
        <f>IF($D582="","",IFERROR(VLOOKUP($D582,'SAMA Capital Tracker'!$A:$D,4,FALSE()),""))</f>
        <v/>
      </c>
      <c r="H582" s="22"/>
    </row>
    <row r="583" spans="1:8">
      <c r="A583" s="21"/>
      <c r="B583" s="22"/>
      <c r="C583" s="22"/>
      <c r="D583" s="22"/>
      <c r="E583" s="23" t="str">
        <f>IF($D583="","",IFERROR(VLOOKUP($D583,'SAMA Capital Tracker'!$A:$H,8,FALSE()),""))</f>
        <v/>
      </c>
      <c r="F583" s="24"/>
      <c r="G583" s="25" t="str">
        <f>IF($D583="","",IFERROR(VLOOKUP($D583,'SAMA Capital Tracker'!$A:$D,4,FALSE()),""))</f>
        <v/>
      </c>
      <c r="H583" s="22"/>
    </row>
    <row r="584" spans="1:8">
      <c r="A584" s="21"/>
      <c r="B584" s="22"/>
      <c r="C584" s="22"/>
      <c r="D584" s="22"/>
      <c r="E584" s="23" t="str">
        <f>IF($D584="","",IFERROR(VLOOKUP($D584,'SAMA Capital Tracker'!$A:$H,8,FALSE()),""))</f>
        <v/>
      </c>
      <c r="F584" s="24"/>
      <c r="G584" s="25" t="str">
        <f>IF($D584="","",IFERROR(VLOOKUP($D584,'SAMA Capital Tracker'!$A:$D,4,FALSE()),""))</f>
        <v/>
      </c>
      <c r="H584" s="22"/>
    </row>
    <row r="585" spans="1:8">
      <c r="A585" s="21"/>
      <c r="B585" s="22"/>
      <c r="C585" s="22"/>
      <c r="D585" s="22"/>
      <c r="E585" s="23" t="str">
        <f>IF($D585="","",IFERROR(VLOOKUP($D585,'SAMA Capital Tracker'!$A:$H,8,FALSE()),""))</f>
        <v/>
      </c>
      <c r="F585" s="24"/>
      <c r="G585" s="25" t="str">
        <f>IF($D585="","",IFERROR(VLOOKUP($D585,'SAMA Capital Tracker'!$A:$D,4,FALSE()),""))</f>
        <v/>
      </c>
      <c r="H585" s="22"/>
    </row>
    <row r="586" spans="1:8">
      <c r="A586" s="21"/>
      <c r="B586" s="22"/>
      <c r="C586" s="22"/>
      <c r="D586" s="22"/>
      <c r="E586" s="23" t="str">
        <f>IF($D586="","",IFERROR(VLOOKUP($D586,'SAMA Capital Tracker'!$A:$H,8,FALSE()),""))</f>
        <v/>
      </c>
      <c r="F586" s="24"/>
      <c r="G586" s="25" t="str">
        <f>IF($D586="","",IFERROR(VLOOKUP($D586,'SAMA Capital Tracker'!$A:$D,4,FALSE()),""))</f>
        <v/>
      </c>
      <c r="H586" s="22"/>
    </row>
    <row r="587" spans="1:8">
      <c r="A587" s="21"/>
      <c r="B587" s="22"/>
      <c r="C587" s="22"/>
      <c r="D587" s="22"/>
      <c r="E587" s="23" t="str">
        <f>IF($D587="","",IFERROR(VLOOKUP($D587,'SAMA Capital Tracker'!$A:$H,8,FALSE()),""))</f>
        <v/>
      </c>
      <c r="F587" s="24"/>
      <c r="G587" s="25" t="str">
        <f>IF($D587="","",IFERROR(VLOOKUP($D587,'SAMA Capital Tracker'!$A:$D,4,FALSE()),""))</f>
        <v/>
      </c>
      <c r="H587" s="22"/>
    </row>
    <row r="588" spans="1:8">
      <c r="A588" s="21"/>
      <c r="B588" s="22"/>
      <c r="C588" s="22"/>
      <c r="D588" s="22"/>
      <c r="E588" s="23" t="str">
        <f>IF($D588="","",IFERROR(VLOOKUP($D588,'SAMA Capital Tracker'!$A:$H,8,FALSE()),""))</f>
        <v/>
      </c>
      <c r="F588" s="24"/>
      <c r="G588" s="25" t="str">
        <f>IF($D588="","",IFERROR(VLOOKUP($D588,'SAMA Capital Tracker'!$A:$D,4,FALSE()),""))</f>
        <v/>
      </c>
      <c r="H588" s="22"/>
    </row>
    <row r="589" spans="1:8">
      <c r="A589" s="21"/>
      <c r="B589" s="22"/>
      <c r="C589" s="22"/>
      <c r="D589" s="22"/>
      <c r="E589" s="23" t="str">
        <f>IF($D589="","",IFERROR(VLOOKUP($D589,'SAMA Capital Tracker'!$A:$H,8,FALSE()),""))</f>
        <v/>
      </c>
      <c r="F589" s="24"/>
      <c r="G589" s="25" t="str">
        <f>IF($D589="","",IFERROR(VLOOKUP($D589,'SAMA Capital Tracker'!$A:$D,4,FALSE()),""))</f>
        <v/>
      </c>
      <c r="H589" s="22"/>
    </row>
    <row r="590" spans="1:8">
      <c r="A590" s="21"/>
      <c r="B590" s="22"/>
      <c r="C590" s="22"/>
      <c r="D590" s="22"/>
      <c r="E590" s="23" t="str">
        <f>IF($D590="","",IFERROR(VLOOKUP($D590,'SAMA Capital Tracker'!$A:$H,8,FALSE()),""))</f>
        <v/>
      </c>
      <c r="F590" s="24"/>
      <c r="G590" s="25" t="str">
        <f>IF($D590="","",IFERROR(VLOOKUP($D590,'SAMA Capital Tracker'!$A:$D,4,FALSE()),""))</f>
        <v/>
      </c>
      <c r="H590" s="22"/>
    </row>
    <row r="591" spans="1:8">
      <c r="A591" s="21"/>
      <c r="B591" s="22"/>
      <c r="C591" s="22"/>
      <c r="D591" s="22"/>
      <c r="E591" s="23" t="str">
        <f>IF($D591="","",IFERROR(VLOOKUP($D591,'SAMA Capital Tracker'!$A:$H,8,FALSE()),""))</f>
        <v/>
      </c>
      <c r="F591" s="24"/>
      <c r="G591" s="25" t="str">
        <f>IF($D591="","",IFERROR(VLOOKUP($D591,'SAMA Capital Tracker'!$A:$D,4,FALSE()),""))</f>
        <v/>
      </c>
      <c r="H591" s="22"/>
    </row>
    <row r="592" spans="1:8">
      <c r="A592" s="21"/>
      <c r="B592" s="22"/>
      <c r="C592" s="22"/>
      <c r="D592" s="22"/>
      <c r="E592" s="23" t="str">
        <f>IF($D592="","",IFERROR(VLOOKUP($D592,'SAMA Capital Tracker'!$A:$H,8,FALSE()),""))</f>
        <v/>
      </c>
      <c r="F592" s="24"/>
      <c r="G592" s="25" t="str">
        <f>IF($D592="","",IFERROR(VLOOKUP($D592,'SAMA Capital Tracker'!$A:$D,4,FALSE()),""))</f>
        <v/>
      </c>
      <c r="H592" s="22"/>
    </row>
    <row r="593" spans="1:8">
      <c r="A593" s="21"/>
      <c r="B593" s="22"/>
      <c r="C593" s="22"/>
      <c r="D593" s="22"/>
      <c r="E593" s="23" t="str">
        <f>IF($D593="","",IFERROR(VLOOKUP($D593,'SAMA Capital Tracker'!$A:$H,8,FALSE()),""))</f>
        <v/>
      </c>
      <c r="F593" s="24"/>
      <c r="G593" s="25" t="str">
        <f>IF($D593="","",IFERROR(VLOOKUP($D593,'SAMA Capital Tracker'!$A:$D,4,FALSE()),""))</f>
        <v/>
      </c>
      <c r="H593" s="22"/>
    </row>
    <row r="594" spans="1:8">
      <c r="A594" s="21"/>
      <c r="B594" s="22"/>
      <c r="C594" s="22"/>
      <c r="D594" s="22"/>
      <c r="E594" s="23" t="str">
        <f>IF($D594="","",IFERROR(VLOOKUP($D594,'SAMA Capital Tracker'!$A:$H,8,FALSE()),""))</f>
        <v/>
      </c>
      <c r="F594" s="24"/>
      <c r="G594" s="25" t="str">
        <f>IF($D594="","",IFERROR(VLOOKUP($D594,'SAMA Capital Tracker'!$A:$D,4,FALSE()),""))</f>
        <v/>
      </c>
      <c r="H594" s="22"/>
    </row>
    <row r="595" spans="1:8">
      <c r="A595" s="21"/>
      <c r="B595" s="22"/>
      <c r="C595" s="22"/>
      <c r="D595" s="22"/>
      <c r="E595" s="23" t="str">
        <f>IF($D595="","",IFERROR(VLOOKUP($D595,'SAMA Capital Tracker'!$A:$H,8,FALSE()),""))</f>
        <v/>
      </c>
      <c r="F595" s="24"/>
      <c r="G595" s="25" t="str">
        <f>IF($D595="","",IFERROR(VLOOKUP($D595,'SAMA Capital Tracker'!$A:$D,4,FALSE()),""))</f>
        <v/>
      </c>
      <c r="H595" s="22"/>
    </row>
    <row r="596" spans="1:8">
      <c r="A596" s="21"/>
      <c r="B596" s="22"/>
      <c r="C596" s="22"/>
      <c r="D596" s="22"/>
      <c r="E596" s="23" t="str">
        <f>IF($D596="","",IFERROR(VLOOKUP($D596,'SAMA Capital Tracker'!$A:$H,8,FALSE()),""))</f>
        <v/>
      </c>
      <c r="F596" s="24"/>
      <c r="G596" s="25" t="str">
        <f>IF($D596="","",IFERROR(VLOOKUP($D596,'SAMA Capital Tracker'!$A:$D,4,FALSE()),""))</f>
        <v/>
      </c>
      <c r="H596" s="22"/>
    </row>
    <row r="597" spans="1:8">
      <c r="A597" s="21"/>
      <c r="B597" s="22"/>
      <c r="C597" s="22"/>
      <c r="D597" s="22"/>
      <c r="E597" s="23" t="str">
        <f>IF($D597="","",IFERROR(VLOOKUP($D597,'SAMA Capital Tracker'!$A:$H,8,FALSE()),""))</f>
        <v/>
      </c>
      <c r="F597" s="24"/>
      <c r="G597" s="25" t="str">
        <f>IF($D597="","",IFERROR(VLOOKUP($D597,'SAMA Capital Tracker'!$A:$D,4,FALSE()),""))</f>
        <v/>
      </c>
      <c r="H597" s="22"/>
    </row>
    <row r="598" spans="1:8">
      <c r="A598" s="21"/>
      <c r="B598" s="22"/>
      <c r="C598" s="22"/>
      <c r="D598" s="22"/>
      <c r="E598" s="23" t="str">
        <f>IF($D598="","",IFERROR(VLOOKUP($D598,'SAMA Capital Tracker'!$A:$H,8,FALSE()),""))</f>
        <v/>
      </c>
      <c r="F598" s="24"/>
      <c r="G598" s="25" t="str">
        <f>IF($D598="","",IFERROR(VLOOKUP($D598,'SAMA Capital Tracker'!$A:$D,4,FALSE()),""))</f>
        <v/>
      </c>
      <c r="H598" s="22"/>
    </row>
    <row r="599" spans="1:8">
      <c r="A599" s="21"/>
      <c r="B599" s="22"/>
      <c r="C599" s="22"/>
      <c r="D599" s="22"/>
      <c r="E599" s="23" t="str">
        <f>IF($D599="","",IFERROR(VLOOKUP($D599,'SAMA Capital Tracker'!$A:$H,8,FALSE()),""))</f>
        <v/>
      </c>
      <c r="F599" s="24"/>
      <c r="G599" s="25" t="str">
        <f>IF($D599="","",IFERROR(VLOOKUP($D599,'SAMA Capital Tracker'!$A:$D,4,FALSE()),""))</f>
        <v/>
      </c>
      <c r="H599" s="22"/>
    </row>
    <row r="600" spans="1:8">
      <c r="A600" s="21"/>
      <c r="B600" s="22"/>
      <c r="C600" s="22"/>
      <c r="D600" s="22"/>
      <c r="E600" s="23" t="str">
        <f>IF($D600="","",IFERROR(VLOOKUP($D600,'SAMA Capital Tracker'!$A:$H,8,FALSE()),""))</f>
        <v/>
      </c>
      <c r="F600" s="24"/>
      <c r="G600" s="25" t="str">
        <f>IF($D600="","",IFERROR(VLOOKUP($D600,'SAMA Capital Tracker'!$A:$D,4,FALSE()),""))</f>
        <v/>
      </c>
      <c r="H600" s="22"/>
    </row>
    <row r="601" spans="1:8">
      <c r="A601" s="21"/>
      <c r="B601" s="22"/>
      <c r="C601" s="22"/>
      <c r="D601" s="22"/>
      <c r="E601" s="23" t="str">
        <f>IF($D601="","",IFERROR(VLOOKUP($D601,'SAMA Capital Tracker'!$A:$H,8,FALSE()),""))</f>
        <v/>
      </c>
      <c r="F601" s="24"/>
      <c r="G601" s="25" t="str">
        <f>IF($D601="","",IFERROR(VLOOKUP($D601,'SAMA Capital Tracker'!$A:$D,4,FALSE()),""))</f>
        <v/>
      </c>
      <c r="H601" s="22"/>
    </row>
    <row r="602" spans="1:8">
      <c r="A602" s="21"/>
      <c r="B602" s="22"/>
      <c r="C602" s="22"/>
      <c r="D602" s="22"/>
      <c r="E602" s="23" t="str">
        <f>IF($D602="","",IFERROR(VLOOKUP($D602,'SAMA Capital Tracker'!$A:$H,8,FALSE()),""))</f>
        <v/>
      </c>
      <c r="F602" s="24"/>
      <c r="G602" s="25" t="str">
        <f>IF($D602="","",IFERROR(VLOOKUP($D602,'SAMA Capital Tracker'!$A:$D,4,FALSE()),""))</f>
        <v/>
      </c>
      <c r="H602" s="22"/>
    </row>
    <row r="603" spans="1:8">
      <c r="A603" s="21"/>
      <c r="B603" s="22"/>
      <c r="C603" s="22"/>
      <c r="D603" s="22"/>
      <c r="E603" s="23" t="str">
        <f>IF($D603="","",IFERROR(VLOOKUP($D603,'SAMA Capital Tracker'!$A:$H,8,FALSE()),""))</f>
        <v/>
      </c>
      <c r="F603" s="24"/>
      <c r="G603" s="25" t="str">
        <f>IF($D603="","",IFERROR(VLOOKUP($D603,'SAMA Capital Tracker'!$A:$D,4,FALSE()),""))</f>
        <v/>
      </c>
      <c r="H603" s="22"/>
    </row>
    <row r="604" spans="1:8">
      <c r="A604" s="21"/>
      <c r="B604" s="22"/>
      <c r="C604" s="22"/>
      <c r="D604" s="22"/>
      <c r="E604" s="23" t="str">
        <f>IF($D604="","",IFERROR(VLOOKUP($D604,'SAMA Capital Tracker'!$A:$H,8,FALSE()),""))</f>
        <v/>
      </c>
      <c r="F604" s="24"/>
      <c r="G604" s="25" t="str">
        <f>IF($D604="","",IFERROR(VLOOKUP($D604,'SAMA Capital Tracker'!$A:$D,4,FALSE()),""))</f>
        <v/>
      </c>
      <c r="H604" s="22"/>
    </row>
    <row r="605" spans="1:8">
      <c r="A605" s="21"/>
      <c r="B605" s="22"/>
      <c r="C605" s="22"/>
      <c r="D605" s="22"/>
      <c r="E605" s="23" t="str">
        <f>IF($D605="","",IFERROR(VLOOKUP($D605,'SAMA Capital Tracker'!$A:$H,8,FALSE()),""))</f>
        <v/>
      </c>
      <c r="F605" s="24"/>
      <c r="G605" s="25" t="str">
        <f>IF($D605="","",IFERROR(VLOOKUP($D605,'SAMA Capital Tracker'!$A:$D,4,FALSE()),""))</f>
        <v/>
      </c>
      <c r="H605" s="22"/>
    </row>
    <row r="606" spans="1:8">
      <c r="A606" s="21"/>
      <c r="B606" s="22"/>
      <c r="C606" s="22"/>
      <c r="D606" s="22"/>
      <c r="E606" s="23" t="str">
        <f>IF($D606="","",IFERROR(VLOOKUP($D606,'SAMA Capital Tracker'!$A:$H,8,FALSE()),""))</f>
        <v/>
      </c>
      <c r="F606" s="24"/>
      <c r="G606" s="25" t="str">
        <f>IF($D606="","",IFERROR(VLOOKUP($D606,'SAMA Capital Tracker'!$A:$D,4,FALSE()),""))</f>
        <v/>
      </c>
      <c r="H606" s="22"/>
    </row>
    <row r="607" spans="1:8">
      <c r="A607" s="21"/>
      <c r="B607" s="22"/>
      <c r="C607" s="22"/>
      <c r="D607" s="22"/>
      <c r="E607" s="23" t="str">
        <f>IF($D607="","",IFERROR(VLOOKUP($D607,'SAMA Capital Tracker'!$A:$H,8,FALSE()),""))</f>
        <v/>
      </c>
      <c r="F607" s="24"/>
      <c r="G607" s="25" t="str">
        <f>IF($D607="","",IFERROR(VLOOKUP($D607,'SAMA Capital Tracker'!$A:$D,4,FALSE()),""))</f>
        <v/>
      </c>
      <c r="H607" s="22"/>
    </row>
    <row r="608" spans="1:8">
      <c r="A608" s="21"/>
      <c r="B608" s="22"/>
      <c r="C608" s="22"/>
      <c r="D608" s="22"/>
      <c r="E608" s="23" t="str">
        <f>IF($D608="","",IFERROR(VLOOKUP($D608,'SAMA Capital Tracker'!$A:$H,8,FALSE()),""))</f>
        <v/>
      </c>
      <c r="F608" s="24"/>
      <c r="G608" s="25" t="str">
        <f>IF($D608="","",IFERROR(VLOOKUP($D608,'SAMA Capital Tracker'!$A:$D,4,FALSE()),""))</f>
        <v/>
      </c>
      <c r="H608" s="22"/>
    </row>
    <row r="609" spans="1:8">
      <c r="A609" s="21"/>
      <c r="B609" s="22"/>
      <c r="C609" s="22"/>
      <c r="D609" s="22"/>
      <c r="E609" s="23" t="str">
        <f>IF($D609="","",IFERROR(VLOOKUP($D609,'SAMA Capital Tracker'!$A:$H,8,FALSE()),""))</f>
        <v/>
      </c>
      <c r="F609" s="24"/>
      <c r="G609" s="25" t="str">
        <f>IF($D609="","",IFERROR(VLOOKUP($D609,'SAMA Capital Tracker'!$A:$D,4,FALSE()),""))</f>
        <v/>
      </c>
      <c r="H609" s="22"/>
    </row>
    <row r="610" spans="1:8">
      <c r="A610" s="21"/>
      <c r="B610" s="22"/>
      <c r="C610" s="22"/>
      <c r="D610" s="22"/>
      <c r="E610" s="23" t="str">
        <f>IF($D610="","",IFERROR(VLOOKUP($D610,'SAMA Capital Tracker'!$A:$H,8,FALSE()),""))</f>
        <v/>
      </c>
      <c r="F610" s="24"/>
      <c r="G610" s="25" t="str">
        <f>IF($D610="","",IFERROR(VLOOKUP($D610,'SAMA Capital Tracker'!$A:$D,4,FALSE()),""))</f>
        <v/>
      </c>
      <c r="H610" s="22"/>
    </row>
    <row r="611" spans="1:8">
      <c r="A611" s="21"/>
      <c r="B611" s="22"/>
      <c r="C611" s="22"/>
      <c r="D611" s="22"/>
      <c r="E611" s="23" t="str">
        <f>IF($D611="","",IFERROR(VLOOKUP($D611,'SAMA Capital Tracker'!$A:$H,8,FALSE()),""))</f>
        <v/>
      </c>
      <c r="F611" s="24"/>
      <c r="G611" s="25" t="str">
        <f>IF($D611="","",IFERROR(VLOOKUP($D611,'SAMA Capital Tracker'!$A:$D,4,FALSE()),""))</f>
        <v/>
      </c>
      <c r="H611" s="22"/>
    </row>
    <row r="612" spans="1:8">
      <c r="A612" s="21"/>
      <c r="B612" s="22"/>
      <c r="C612" s="22"/>
      <c r="D612" s="22"/>
      <c r="E612" s="23" t="str">
        <f>IF($D612="","",IFERROR(VLOOKUP($D612,'SAMA Capital Tracker'!$A:$H,8,FALSE()),""))</f>
        <v/>
      </c>
      <c r="F612" s="24"/>
      <c r="G612" s="25" t="str">
        <f>IF($D612="","",IFERROR(VLOOKUP($D612,'SAMA Capital Tracker'!$A:$D,4,FALSE()),""))</f>
        <v/>
      </c>
      <c r="H612" s="22"/>
    </row>
    <row r="613" spans="1:8">
      <c r="A613" s="21"/>
      <c r="B613" s="22"/>
      <c r="C613" s="22"/>
      <c r="D613" s="22"/>
      <c r="E613" s="23" t="str">
        <f>IF($D613="","",IFERROR(VLOOKUP($D613,'SAMA Capital Tracker'!$A:$H,8,FALSE()),""))</f>
        <v/>
      </c>
      <c r="F613" s="24"/>
      <c r="G613" s="25" t="str">
        <f>IF($D613="","",IFERROR(VLOOKUP($D613,'SAMA Capital Tracker'!$A:$D,4,FALSE()),""))</f>
        <v/>
      </c>
      <c r="H613" s="22"/>
    </row>
    <row r="614" spans="1:8">
      <c r="A614" s="21"/>
      <c r="B614" s="22"/>
      <c r="C614" s="22"/>
      <c r="D614" s="22"/>
      <c r="E614" s="23" t="str">
        <f>IF($D614="","",IFERROR(VLOOKUP($D614,'SAMA Capital Tracker'!$A:$H,8,FALSE()),""))</f>
        <v/>
      </c>
      <c r="F614" s="24"/>
      <c r="G614" s="25" t="str">
        <f>IF($D614="","",IFERROR(VLOOKUP($D614,'SAMA Capital Tracker'!$A:$D,4,FALSE()),""))</f>
        <v/>
      </c>
      <c r="H614" s="22"/>
    </row>
    <row r="615" spans="1:8">
      <c r="A615" s="21"/>
      <c r="B615" s="22"/>
      <c r="C615" s="22"/>
      <c r="D615" s="22"/>
      <c r="E615" s="23" t="str">
        <f>IF($D615="","",IFERROR(VLOOKUP($D615,'SAMA Capital Tracker'!$A:$H,8,FALSE()),""))</f>
        <v/>
      </c>
      <c r="F615" s="24"/>
      <c r="G615" s="25" t="str">
        <f>IF($D615="","",IFERROR(VLOOKUP($D615,'SAMA Capital Tracker'!$A:$D,4,FALSE()),""))</f>
        <v/>
      </c>
      <c r="H615" s="22"/>
    </row>
    <row r="616" spans="1:8">
      <c r="A616" s="21"/>
      <c r="B616" s="22"/>
      <c r="C616" s="22"/>
      <c r="D616" s="22"/>
      <c r="E616" s="23" t="str">
        <f>IF($D616="","",IFERROR(VLOOKUP($D616,'SAMA Capital Tracker'!$A:$H,8,FALSE()),""))</f>
        <v/>
      </c>
      <c r="F616" s="24"/>
      <c r="G616" s="25" t="str">
        <f>IF($D616="","",IFERROR(VLOOKUP($D616,'SAMA Capital Tracker'!$A:$D,4,FALSE()),""))</f>
        <v/>
      </c>
      <c r="H616" s="22"/>
    </row>
    <row r="617" spans="1:8">
      <c r="A617" s="21"/>
      <c r="B617" s="22"/>
      <c r="C617" s="22"/>
      <c r="D617" s="22"/>
      <c r="E617" s="23" t="str">
        <f>IF($D617="","",IFERROR(VLOOKUP($D617,'SAMA Capital Tracker'!$A:$H,8,FALSE()),""))</f>
        <v/>
      </c>
      <c r="F617" s="24"/>
      <c r="G617" s="25" t="str">
        <f>IF($D617="","",IFERROR(VLOOKUP($D617,'SAMA Capital Tracker'!$A:$D,4,FALSE()),""))</f>
        <v/>
      </c>
      <c r="H617" s="22"/>
    </row>
    <row r="618" spans="1:8">
      <c r="A618" s="21"/>
      <c r="B618" s="22"/>
      <c r="C618" s="22"/>
      <c r="D618" s="22"/>
      <c r="E618" s="23" t="str">
        <f>IF($D618="","",IFERROR(VLOOKUP($D618,'SAMA Capital Tracker'!$A:$H,8,FALSE()),""))</f>
        <v/>
      </c>
      <c r="F618" s="24"/>
      <c r="G618" s="25" t="str">
        <f>IF($D618="","",IFERROR(VLOOKUP($D618,'SAMA Capital Tracker'!$A:$D,4,FALSE()),""))</f>
        <v/>
      </c>
      <c r="H618" s="22"/>
    </row>
    <row r="619" spans="1:8">
      <c r="A619" s="21"/>
      <c r="B619" s="22"/>
      <c r="C619" s="22"/>
      <c r="D619" s="22"/>
      <c r="E619" s="23" t="str">
        <f>IF($D619="","",IFERROR(VLOOKUP($D619,'SAMA Capital Tracker'!$A:$H,8,FALSE()),""))</f>
        <v/>
      </c>
      <c r="F619" s="24"/>
      <c r="G619" s="25" t="str">
        <f>IF($D619="","",IFERROR(VLOOKUP($D619,'SAMA Capital Tracker'!$A:$D,4,FALSE()),""))</f>
        <v/>
      </c>
      <c r="H619" s="22"/>
    </row>
    <row r="620" spans="1:8">
      <c r="A620" s="21"/>
      <c r="B620" s="22"/>
      <c r="C620" s="22"/>
      <c r="D620" s="22"/>
      <c r="E620" s="23" t="str">
        <f>IF($D620="","",IFERROR(VLOOKUP($D620,'SAMA Capital Tracker'!$A:$H,8,FALSE()),""))</f>
        <v/>
      </c>
      <c r="F620" s="24"/>
      <c r="G620" s="25" t="str">
        <f>IF($D620="","",IFERROR(VLOOKUP($D620,'SAMA Capital Tracker'!$A:$D,4,FALSE()),""))</f>
        <v/>
      </c>
      <c r="H620" s="22"/>
    </row>
    <row r="621" spans="1:8">
      <c r="A621" s="21"/>
      <c r="B621" s="22"/>
      <c r="C621" s="22"/>
      <c r="D621" s="22"/>
      <c r="E621" s="23" t="str">
        <f>IF($D621="","",IFERROR(VLOOKUP($D621,'SAMA Capital Tracker'!$A:$H,8,FALSE()),""))</f>
        <v/>
      </c>
      <c r="F621" s="24"/>
      <c r="G621" s="25" t="str">
        <f>IF($D621="","",IFERROR(VLOOKUP($D621,'SAMA Capital Tracker'!$A:$D,4,FALSE()),""))</f>
        <v/>
      </c>
      <c r="H621" s="22"/>
    </row>
    <row r="622" spans="1:8">
      <c r="A622" s="21"/>
      <c r="B622" s="22"/>
      <c r="C622" s="22"/>
      <c r="D622" s="22"/>
      <c r="E622" s="23" t="str">
        <f>IF($D622="","",IFERROR(VLOOKUP($D622,'SAMA Capital Tracker'!$A:$H,8,FALSE()),""))</f>
        <v/>
      </c>
      <c r="F622" s="24"/>
      <c r="G622" s="25" t="str">
        <f>IF($D622="","",IFERROR(VLOOKUP($D622,'SAMA Capital Tracker'!$A:$D,4,FALSE()),""))</f>
        <v/>
      </c>
      <c r="H622" s="22"/>
    </row>
    <row r="623" spans="1:8">
      <c r="A623" s="21"/>
      <c r="B623" s="22"/>
      <c r="C623" s="22"/>
      <c r="D623" s="22"/>
      <c r="E623" s="23" t="str">
        <f>IF($D623="","",IFERROR(VLOOKUP($D623,'SAMA Capital Tracker'!$A:$H,8,FALSE()),""))</f>
        <v/>
      </c>
      <c r="F623" s="24"/>
      <c r="G623" s="25" t="str">
        <f>IF($D623="","",IFERROR(VLOOKUP($D623,'SAMA Capital Tracker'!$A:$D,4,FALSE()),""))</f>
        <v/>
      </c>
      <c r="H623" s="22"/>
    </row>
    <row r="624" spans="1:8">
      <c r="A624" s="21"/>
      <c r="B624" s="22"/>
      <c r="C624" s="22"/>
      <c r="D624" s="22"/>
      <c r="E624" s="23" t="str">
        <f>IF($D624="","",IFERROR(VLOOKUP($D624,'SAMA Capital Tracker'!$A:$H,8,FALSE()),""))</f>
        <v/>
      </c>
      <c r="F624" s="24"/>
      <c r="G624" s="25" t="str">
        <f>IF($D624="","",IFERROR(VLOOKUP($D624,'SAMA Capital Tracker'!$A:$D,4,FALSE()),""))</f>
        <v/>
      </c>
      <c r="H624" s="22"/>
    </row>
    <row r="625" spans="1:8">
      <c r="A625" s="21"/>
      <c r="B625" s="22"/>
      <c r="C625" s="22"/>
      <c r="D625" s="22"/>
      <c r="E625" s="23" t="str">
        <f>IF($D625="","",IFERROR(VLOOKUP($D625,'SAMA Capital Tracker'!$A:$H,8,FALSE()),""))</f>
        <v/>
      </c>
      <c r="F625" s="24"/>
      <c r="G625" s="25" t="str">
        <f>IF($D625="","",IFERROR(VLOOKUP($D625,'SAMA Capital Tracker'!$A:$D,4,FALSE()),""))</f>
        <v/>
      </c>
      <c r="H625" s="22"/>
    </row>
    <row r="626" spans="1:8">
      <c r="A626" s="21"/>
      <c r="B626" s="22"/>
      <c r="C626" s="22"/>
      <c r="D626" s="22"/>
      <c r="E626" s="23" t="str">
        <f>IF($D626="","",IFERROR(VLOOKUP($D626,'SAMA Capital Tracker'!$A:$H,8,FALSE()),""))</f>
        <v/>
      </c>
      <c r="F626" s="24"/>
      <c r="G626" s="25" t="str">
        <f>IF($D626="","",IFERROR(VLOOKUP($D626,'SAMA Capital Tracker'!$A:$D,4,FALSE()),""))</f>
        <v/>
      </c>
      <c r="H626" s="22"/>
    </row>
    <row r="627" spans="1:8">
      <c r="A627" s="21"/>
      <c r="B627" s="22"/>
      <c r="C627" s="22"/>
      <c r="D627" s="22"/>
      <c r="E627" s="23" t="str">
        <f>IF($D627="","",IFERROR(VLOOKUP($D627,'SAMA Capital Tracker'!$A:$H,8,FALSE()),""))</f>
        <v/>
      </c>
      <c r="F627" s="24"/>
      <c r="G627" s="25" t="str">
        <f>IF($D627="","",IFERROR(VLOOKUP($D627,'SAMA Capital Tracker'!$A:$D,4,FALSE()),""))</f>
        <v/>
      </c>
      <c r="H627" s="22"/>
    </row>
    <row r="628" spans="1:8">
      <c r="A628" s="21"/>
      <c r="B628" s="22"/>
      <c r="C628" s="22"/>
      <c r="D628" s="22"/>
      <c r="E628" s="23" t="str">
        <f>IF($D628="","",IFERROR(VLOOKUP($D628,'SAMA Capital Tracker'!$A:$H,8,FALSE()),""))</f>
        <v/>
      </c>
      <c r="F628" s="24"/>
      <c r="G628" s="25" t="str">
        <f>IF($D628="","",IFERROR(VLOOKUP($D628,'SAMA Capital Tracker'!$A:$D,4,FALSE()),""))</f>
        <v/>
      </c>
      <c r="H628" s="22"/>
    </row>
    <row r="629" spans="1:8">
      <c r="A629" s="21"/>
      <c r="B629" s="22"/>
      <c r="C629" s="22"/>
      <c r="D629" s="22"/>
      <c r="E629" s="23" t="str">
        <f>IF($D629="","",IFERROR(VLOOKUP($D629,'SAMA Capital Tracker'!$A:$H,8,FALSE()),""))</f>
        <v/>
      </c>
      <c r="F629" s="24"/>
      <c r="G629" s="25" t="str">
        <f>IF($D629="","",IFERROR(VLOOKUP($D629,'SAMA Capital Tracker'!$A:$D,4,FALSE()),""))</f>
        <v/>
      </c>
      <c r="H629" s="22"/>
    </row>
    <row r="630" spans="1:8">
      <c r="A630" s="21"/>
      <c r="B630" s="22"/>
      <c r="C630" s="22"/>
      <c r="D630" s="22"/>
      <c r="E630" s="23" t="str">
        <f>IF($D630="","",IFERROR(VLOOKUP($D630,'SAMA Capital Tracker'!$A:$H,8,FALSE()),""))</f>
        <v/>
      </c>
      <c r="F630" s="24"/>
      <c r="G630" s="25" t="str">
        <f>IF($D630="","",IFERROR(VLOOKUP($D630,'SAMA Capital Tracker'!$A:$D,4,FALSE()),""))</f>
        <v/>
      </c>
      <c r="H630" s="22"/>
    </row>
    <row r="631" spans="1:8">
      <c r="A631" s="21"/>
      <c r="B631" s="22"/>
      <c r="C631" s="22"/>
      <c r="D631" s="22"/>
      <c r="E631" s="23" t="str">
        <f>IF($D631="","",IFERROR(VLOOKUP($D631,'SAMA Capital Tracker'!$A:$H,8,FALSE()),""))</f>
        <v/>
      </c>
      <c r="F631" s="24"/>
      <c r="G631" s="25" t="str">
        <f>IF($D631="","",IFERROR(VLOOKUP($D631,'SAMA Capital Tracker'!$A:$D,4,FALSE()),""))</f>
        <v/>
      </c>
      <c r="H631" s="22"/>
    </row>
    <row r="632" spans="1:8">
      <c r="A632" s="21"/>
      <c r="B632" s="22"/>
      <c r="C632" s="22"/>
      <c r="D632" s="22"/>
      <c r="E632" s="23" t="str">
        <f>IF($D632="","",IFERROR(VLOOKUP($D632,'SAMA Capital Tracker'!$A:$H,8,FALSE()),""))</f>
        <v/>
      </c>
      <c r="F632" s="24"/>
      <c r="G632" s="25" t="str">
        <f>IF($D632="","",IFERROR(VLOOKUP($D632,'SAMA Capital Tracker'!$A:$D,4,FALSE()),""))</f>
        <v/>
      </c>
      <c r="H632" s="22"/>
    </row>
    <row r="633" spans="1:8">
      <c r="A633" s="21"/>
      <c r="B633" s="22"/>
      <c r="C633" s="22"/>
      <c r="D633" s="22"/>
      <c r="E633" s="23" t="str">
        <f>IF($D633="","",IFERROR(VLOOKUP($D633,'SAMA Capital Tracker'!$A:$H,8,FALSE()),""))</f>
        <v/>
      </c>
      <c r="F633" s="24"/>
      <c r="G633" s="25" t="str">
        <f>IF($D633="","",IFERROR(VLOOKUP($D633,'SAMA Capital Tracker'!$A:$D,4,FALSE()),""))</f>
        <v/>
      </c>
      <c r="H633" s="22"/>
    </row>
    <row r="634" spans="1:8">
      <c r="A634" s="21"/>
      <c r="B634" s="22"/>
      <c r="C634" s="22"/>
      <c r="D634" s="22"/>
      <c r="E634" s="23" t="str">
        <f>IF($D634="","",IFERROR(VLOOKUP($D634,'SAMA Capital Tracker'!$A:$H,8,FALSE()),""))</f>
        <v/>
      </c>
      <c r="F634" s="24"/>
      <c r="G634" s="25" t="str">
        <f>IF($D634="","",IFERROR(VLOOKUP($D634,'SAMA Capital Tracker'!$A:$D,4,FALSE()),""))</f>
        <v/>
      </c>
      <c r="H634" s="22"/>
    </row>
    <row r="635" spans="1:8">
      <c r="A635" s="21"/>
      <c r="B635" s="22"/>
      <c r="C635" s="22"/>
      <c r="D635" s="22"/>
      <c r="E635" s="23" t="str">
        <f>IF($D635="","",IFERROR(VLOOKUP($D635,'SAMA Capital Tracker'!$A:$H,8,FALSE()),""))</f>
        <v/>
      </c>
      <c r="F635" s="24"/>
      <c r="G635" s="25" t="str">
        <f>IF($D635="","",IFERROR(VLOOKUP($D635,'SAMA Capital Tracker'!$A:$D,4,FALSE()),""))</f>
        <v/>
      </c>
      <c r="H635" s="22"/>
    </row>
    <row r="636" spans="1:8">
      <c r="A636" s="21"/>
      <c r="B636" s="22"/>
      <c r="C636" s="22"/>
      <c r="D636" s="22"/>
      <c r="E636" s="23" t="str">
        <f>IF($D636="","",IFERROR(VLOOKUP($D636,'SAMA Capital Tracker'!$A:$H,8,FALSE()),""))</f>
        <v/>
      </c>
      <c r="F636" s="24"/>
      <c r="G636" s="25" t="str">
        <f>IF($D636="","",IFERROR(VLOOKUP($D636,'SAMA Capital Tracker'!$A:$D,4,FALSE()),""))</f>
        <v/>
      </c>
      <c r="H636" s="22"/>
    </row>
    <row r="637" spans="1:8">
      <c r="A637" s="21"/>
      <c r="B637" s="22"/>
      <c r="C637" s="22"/>
      <c r="D637" s="22"/>
      <c r="E637" s="23" t="str">
        <f>IF($D637="","",IFERROR(VLOOKUP($D637,'SAMA Capital Tracker'!$A:$H,8,FALSE()),""))</f>
        <v/>
      </c>
      <c r="F637" s="24"/>
      <c r="G637" s="25" t="str">
        <f>IF($D637="","",IFERROR(VLOOKUP($D637,'SAMA Capital Tracker'!$A:$D,4,FALSE()),""))</f>
        <v/>
      </c>
      <c r="H637" s="22"/>
    </row>
    <row r="638" spans="1:8">
      <c r="A638" s="21"/>
      <c r="B638" s="22"/>
      <c r="C638" s="22"/>
      <c r="D638" s="22"/>
      <c r="E638" s="23" t="str">
        <f>IF($D638="","",IFERROR(VLOOKUP($D638,'SAMA Capital Tracker'!$A:$H,8,FALSE()),""))</f>
        <v/>
      </c>
      <c r="F638" s="24"/>
      <c r="G638" s="25" t="str">
        <f>IF($D638="","",IFERROR(VLOOKUP($D638,'SAMA Capital Tracker'!$A:$D,4,FALSE()),""))</f>
        <v/>
      </c>
      <c r="H638" s="22"/>
    </row>
    <row r="639" spans="1:8">
      <c r="A639" s="21"/>
      <c r="B639" s="22"/>
      <c r="C639" s="22"/>
      <c r="D639" s="22"/>
      <c r="E639" s="23" t="str">
        <f>IF($D639="","",IFERROR(VLOOKUP($D639,'SAMA Capital Tracker'!$A:$H,8,FALSE()),""))</f>
        <v/>
      </c>
      <c r="F639" s="24"/>
      <c r="G639" s="25" t="str">
        <f>IF($D639="","",IFERROR(VLOOKUP($D639,'SAMA Capital Tracker'!$A:$D,4,FALSE()),""))</f>
        <v/>
      </c>
      <c r="H639" s="22"/>
    </row>
    <row r="640" spans="1:8">
      <c r="A640" s="21"/>
      <c r="B640" s="22"/>
      <c r="C640" s="22"/>
      <c r="D640" s="22"/>
      <c r="E640" s="23" t="str">
        <f>IF($D640="","",IFERROR(VLOOKUP($D640,'SAMA Capital Tracker'!$A:$H,8,FALSE()),""))</f>
        <v/>
      </c>
      <c r="F640" s="24"/>
      <c r="G640" s="25" t="str">
        <f>IF($D640="","",IFERROR(VLOOKUP($D640,'SAMA Capital Tracker'!$A:$D,4,FALSE()),""))</f>
        <v/>
      </c>
      <c r="H640" s="22"/>
    </row>
    <row r="641" spans="1:8">
      <c r="A641" s="21"/>
      <c r="B641" s="22"/>
      <c r="C641" s="22"/>
      <c r="D641" s="22"/>
      <c r="E641" s="23" t="str">
        <f>IF($D641="","",IFERROR(VLOOKUP($D641,'SAMA Capital Tracker'!$A:$H,8,FALSE()),""))</f>
        <v/>
      </c>
      <c r="F641" s="24"/>
      <c r="G641" s="25" t="str">
        <f>IF($D641="","",IFERROR(VLOOKUP($D641,'SAMA Capital Tracker'!$A:$D,4,FALSE()),""))</f>
        <v/>
      </c>
      <c r="H641" s="22"/>
    </row>
    <row r="642" spans="1:8">
      <c r="A642" s="21"/>
      <c r="B642" s="22"/>
      <c r="C642" s="22"/>
      <c r="D642" s="22"/>
      <c r="E642" s="23" t="str">
        <f>IF($D642="","",IFERROR(VLOOKUP($D642,'SAMA Capital Tracker'!$A:$H,8,FALSE()),""))</f>
        <v/>
      </c>
      <c r="F642" s="24"/>
      <c r="G642" s="25" t="str">
        <f>IF($D642="","",IFERROR(VLOOKUP($D642,'SAMA Capital Tracker'!$A:$D,4,FALSE()),""))</f>
        <v/>
      </c>
      <c r="H642" s="22"/>
    </row>
    <row r="643" spans="1:8">
      <c r="A643" s="21"/>
      <c r="B643" s="22"/>
      <c r="C643" s="22"/>
      <c r="D643" s="22"/>
      <c r="E643" s="23" t="str">
        <f>IF($D643="","",IFERROR(VLOOKUP($D643,'SAMA Capital Tracker'!$A:$H,8,FALSE()),""))</f>
        <v/>
      </c>
      <c r="F643" s="24"/>
      <c r="G643" s="25" t="str">
        <f>IF($D643="","",IFERROR(VLOOKUP($D643,'SAMA Capital Tracker'!$A:$D,4,FALSE()),""))</f>
        <v/>
      </c>
      <c r="H643" s="22"/>
    </row>
    <row r="644" spans="1:8">
      <c r="A644" s="21"/>
      <c r="B644" s="22"/>
      <c r="C644" s="22"/>
      <c r="D644" s="22"/>
      <c r="E644" s="23" t="str">
        <f>IF($D644="","",IFERROR(VLOOKUP($D644,'SAMA Capital Tracker'!$A:$H,8,FALSE()),""))</f>
        <v/>
      </c>
      <c r="F644" s="24"/>
      <c r="G644" s="25" t="str">
        <f>IF($D644="","",IFERROR(VLOOKUP($D644,'SAMA Capital Tracker'!$A:$D,4,FALSE()),""))</f>
        <v/>
      </c>
      <c r="H644" s="22"/>
    </row>
    <row r="645" spans="1:8">
      <c r="A645" s="21"/>
      <c r="B645" s="22"/>
      <c r="C645" s="22"/>
      <c r="D645" s="22"/>
      <c r="E645" s="23" t="str">
        <f>IF($D645="","",IFERROR(VLOOKUP($D645,'SAMA Capital Tracker'!$A:$H,8,FALSE()),""))</f>
        <v/>
      </c>
      <c r="F645" s="24"/>
      <c r="G645" s="25" t="str">
        <f>IF($D645="","",IFERROR(VLOOKUP($D645,'SAMA Capital Tracker'!$A:$D,4,FALSE()),""))</f>
        <v/>
      </c>
      <c r="H645" s="22"/>
    </row>
    <row r="646" spans="1:8">
      <c r="A646" s="21"/>
      <c r="B646" s="22"/>
      <c r="C646" s="22"/>
      <c r="D646" s="22"/>
      <c r="E646" s="23" t="str">
        <f>IF($D646="","",IFERROR(VLOOKUP($D646,'SAMA Capital Tracker'!$A:$H,8,FALSE()),""))</f>
        <v/>
      </c>
      <c r="F646" s="24"/>
      <c r="G646" s="25" t="str">
        <f>IF($D646="","",IFERROR(VLOOKUP($D646,'SAMA Capital Tracker'!$A:$D,4,FALSE()),""))</f>
        <v/>
      </c>
      <c r="H646" s="22"/>
    </row>
    <row r="647" spans="1:8">
      <c r="A647" s="21"/>
      <c r="B647" s="22"/>
      <c r="C647" s="22"/>
      <c r="D647" s="22"/>
      <c r="E647" s="23" t="str">
        <f>IF($D647="","",IFERROR(VLOOKUP($D647,'SAMA Capital Tracker'!$A:$H,8,FALSE()),""))</f>
        <v/>
      </c>
      <c r="F647" s="24"/>
      <c r="G647" s="25" t="str">
        <f>IF($D647="","",IFERROR(VLOOKUP($D647,'SAMA Capital Tracker'!$A:$D,4,FALSE()),""))</f>
        <v/>
      </c>
      <c r="H647" s="22"/>
    </row>
    <row r="648" spans="1:8">
      <c r="A648" s="21"/>
      <c r="B648" s="22"/>
      <c r="C648" s="22"/>
      <c r="D648" s="22"/>
      <c r="E648" s="23" t="str">
        <f>IF($D648="","",IFERROR(VLOOKUP($D648,'SAMA Capital Tracker'!$A:$H,8,FALSE()),""))</f>
        <v/>
      </c>
      <c r="F648" s="24"/>
      <c r="G648" s="25" t="str">
        <f>IF($D648="","",IFERROR(VLOOKUP($D648,'SAMA Capital Tracker'!$A:$D,4,FALSE()),""))</f>
        <v/>
      </c>
      <c r="H648" s="22"/>
    </row>
    <row r="649" spans="1:8">
      <c r="A649" s="21"/>
      <c r="B649" s="22"/>
      <c r="C649" s="22"/>
      <c r="D649" s="22"/>
      <c r="E649" s="23" t="str">
        <f>IF($D649="","",IFERROR(VLOOKUP($D649,'SAMA Capital Tracker'!$A:$H,8,FALSE()),""))</f>
        <v/>
      </c>
      <c r="F649" s="24"/>
      <c r="G649" s="25" t="str">
        <f>IF($D649="","",IFERROR(VLOOKUP($D649,'SAMA Capital Tracker'!$A:$D,4,FALSE()),""))</f>
        <v/>
      </c>
      <c r="H649" s="22"/>
    </row>
    <row r="650" spans="1:8">
      <c r="A650" s="21"/>
      <c r="B650" s="22"/>
      <c r="C650" s="22"/>
      <c r="D650" s="22"/>
      <c r="E650" s="23" t="str">
        <f>IF($D650="","",IFERROR(VLOOKUP($D650,'SAMA Capital Tracker'!$A:$H,8,FALSE()),""))</f>
        <v/>
      </c>
      <c r="F650" s="24"/>
      <c r="G650" s="25" t="str">
        <f>IF($D650="","",IFERROR(VLOOKUP($D650,'SAMA Capital Tracker'!$A:$D,4,FALSE()),""))</f>
        <v/>
      </c>
      <c r="H650" s="22"/>
    </row>
    <row r="651" spans="1:8">
      <c r="A651" s="21"/>
      <c r="B651" s="22"/>
      <c r="C651" s="22"/>
      <c r="D651" s="22"/>
      <c r="E651" s="23" t="str">
        <f>IF($D651="","",IFERROR(VLOOKUP($D651,'SAMA Capital Tracker'!$A:$H,8,FALSE()),""))</f>
        <v/>
      </c>
      <c r="F651" s="24"/>
      <c r="G651" s="25" t="str">
        <f>IF($D651="","",IFERROR(VLOOKUP($D651,'SAMA Capital Tracker'!$A:$D,4,FALSE()),""))</f>
        <v/>
      </c>
      <c r="H651" s="22"/>
    </row>
    <row r="652" spans="1:8">
      <c r="A652" s="21"/>
      <c r="B652" s="22"/>
      <c r="C652" s="22"/>
      <c r="D652" s="22"/>
      <c r="E652" s="23" t="str">
        <f>IF($D652="","",IFERROR(VLOOKUP($D652,'SAMA Capital Tracker'!$A:$H,8,FALSE()),""))</f>
        <v/>
      </c>
      <c r="F652" s="24"/>
      <c r="G652" s="25" t="str">
        <f>IF($D652="","",IFERROR(VLOOKUP($D652,'SAMA Capital Tracker'!$A:$D,4,FALSE()),""))</f>
        <v/>
      </c>
      <c r="H652" s="22"/>
    </row>
    <row r="653" spans="1:8">
      <c r="A653" s="21"/>
      <c r="B653" s="22"/>
      <c r="C653" s="22"/>
      <c r="D653" s="22"/>
      <c r="E653" s="23" t="str">
        <f>IF($D653="","",IFERROR(VLOOKUP($D653,'SAMA Capital Tracker'!$A:$H,8,FALSE()),""))</f>
        <v/>
      </c>
      <c r="F653" s="24"/>
      <c r="G653" s="25" t="str">
        <f>IF($D653="","",IFERROR(VLOOKUP($D653,'SAMA Capital Tracker'!$A:$D,4,FALSE()),""))</f>
        <v/>
      </c>
      <c r="H653" s="22"/>
    </row>
    <row r="654" spans="1:8">
      <c r="A654" s="21"/>
      <c r="B654" s="22"/>
      <c r="C654" s="22"/>
      <c r="D654" s="22"/>
      <c r="E654" s="23" t="str">
        <f>IF($D654="","",IFERROR(VLOOKUP($D654,'SAMA Capital Tracker'!$A:$H,8,FALSE()),""))</f>
        <v/>
      </c>
      <c r="F654" s="24"/>
      <c r="G654" s="25" t="str">
        <f>IF($D654="","",IFERROR(VLOOKUP($D654,'SAMA Capital Tracker'!$A:$D,4,FALSE()),""))</f>
        <v/>
      </c>
      <c r="H654" s="22"/>
    </row>
    <row r="655" spans="1:8">
      <c r="A655" s="21"/>
      <c r="B655" s="22"/>
      <c r="C655" s="22"/>
      <c r="D655" s="22"/>
      <c r="E655" s="23" t="str">
        <f>IF($D655="","",IFERROR(VLOOKUP($D655,'SAMA Capital Tracker'!$A:$H,8,FALSE()),""))</f>
        <v/>
      </c>
      <c r="F655" s="24"/>
      <c r="G655" s="25" t="str">
        <f>IF($D655="","",IFERROR(VLOOKUP($D655,'SAMA Capital Tracker'!$A:$D,4,FALSE()),""))</f>
        <v/>
      </c>
      <c r="H655" s="22"/>
    </row>
    <row r="656" spans="1:8">
      <c r="A656" s="21"/>
      <c r="B656" s="22"/>
      <c r="C656" s="22"/>
      <c r="D656" s="22"/>
      <c r="E656" s="23" t="str">
        <f>IF($D656="","",IFERROR(VLOOKUP($D656,'SAMA Capital Tracker'!$A:$H,8,FALSE()),""))</f>
        <v/>
      </c>
      <c r="F656" s="24"/>
      <c r="G656" s="25" t="str">
        <f>IF($D656="","",IFERROR(VLOOKUP($D656,'SAMA Capital Tracker'!$A:$D,4,FALSE()),""))</f>
        <v/>
      </c>
      <c r="H656" s="22"/>
    </row>
    <row r="657" spans="1:8">
      <c r="A657" s="21"/>
      <c r="B657" s="22"/>
      <c r="C657" s="22"/>
      <c r="D657" s="22"/>
      <c r="E657" s="23" t="str">
        <f>IF($D657="","",IFERROR(VLOOKUP($D657,'SAMA Capital Tracker'!$A:$H,8,FALSE()),""))</f>
        <v/>
      </c>
      <c r="F657" s="24"/>
      <c r="G657" s="25" t="str">
        <f>IF($D657="","",IFERROR(VLOOKUP($D657,'SAMA Capital Tracker'!$A:$D,4,FALSE()),""))</f>
        <v/>
      </c>
      <c r="H657" s="22"/>
    </row>
    <row r="658" spans="1:8">
      <c r="A658" s="21"/>
      <c r="B658" s="22"/>
      <c r="C658" s="22"/>
      <c r="D658" s="22"/>
      <c r="E658" s="23" t="str">
        <f>IF($D658="","",IFERROR(VLOOKUP($D658,'SAMA Capital Tracker'!$A:$H,8,FALSE()),""))</f>
        <v/>
      </c>
      <c r="F658" s="24"/>
      <c r="G658" s="25" t="str">
        <f>IF($D658="","",IFERROR(VLOOKUP($D658,'SAMA Capital Tracker'!$A:$D,4,FALSE()),""))</f>
        <v/>
      </c>
      <c r="H658" s="22"/>
    </row>
    <row r="659" spans="1:8">
      <c r="A659" s="21"/>
      <c r="B659" s="22"/>
      <c r="C659" s="22"/>
      <c r="D659" s="22"/>
      <c r="E659" s="23" t="str">
        <f>IF($D659="","",IFERROR(VLOOKUP($D659,'SAMA Capital Tracker'!$A:$H,8,FALSE()),""))</f>
        <v/>
      </c>
      <c r="F659" s="24"/>
      <c r="G659" s="25" t="str">
        <f>IF($D659="","",IFERROR(VLOOKUP($D659,'SAMA Capital Tracker'!$A:$D,4,FALSE()),""))</f>
        <v/>
      </c>
      <c r="H659" s="22"/>
    </row>
    <row r="660" spans="1:8">
      <c r="A660" s="21"/>
      <c r="B660" s="22"/>
      <c r="C660" s="22"/>
      <c r="D660" s="22"/>
      <c r="E660" s="23" t="str">
        <f>IF($D660="","",IFERROR(VLOOKUP($D660,'SAMA Capital Tracker'!$A:$H,8,FALSE()),""))</f>
        <v/>
      </c>
      <c r="F660" s="24"/>
      <c r="G660" s="25" t="str">
        <f>IF($D660="","",IFERROR(VLOOKUP($D660,'SAMA Capital Tracker'!$A:$D,4,FALSE()),""))</f>
        <v/>
      </c>
      <c r="H660" s="22"/>
    </row>
    <row r="661" spans="1:8">
      <c r="A661" s="21"/>
      <c r="B661" s="22"/>
      <c r="C661" s="22"/>
      <c r="D661" s="22"/>
      <c r="E661" s="23" t="str">
        <f>IF($D661="","",IFERROR(VLOOKUP($D661,'SAMA Capital Tracker'!$A:$H,8,FALSE()),""))</f>
        <v/>
      </c>
      <c r="F661" s="24"/>
      <c r="G661" s="25" t="str">
        <f>IF($D661="","",IFERROR(VLOOKUP($D661,'SAMA Capital Tracker'!$A:$D,4,FALSE()),""))</f>
        <v/>
      </c>
      <c r="H661" s="22"/>
    </row>
    <row r="662" spans="1:8">
      <c r="A662" s="21"/>
      <c r="B662" s="22"/>
      <c r="C662" s="22"/>
      <c r="D662" s="22"/>
      <c r="E662" s="23" t="str">
        <f>IF($D662="","",IFERROR(VLOOKUP($D662,'SAMA Capital Tracker'!$A:$H,8,FALSE()),""))</f>
        <v/>
      </c>
      <c r="F662" s="24"/>
      <c r="G662" s="25" t="str">
        <f>IF($D662="","",IFERROR(VLOOKUP($D662,'SAMA Capital Tracker'!$A:$D,4,FALSE()),""))</f>
        <v/>
      </c>
      <c r="H662" s="22"/>
    </row>
    <row r="663" spans="1:8">
      <c r="A663" s="21"/>
      <c r="B663" s="22"/>
      <c r="C663" s="22"/>
      <c r="D663" s="22"/>
      <c r="E663" s="23" t="str">
        <f>IF($D663="","",IFERROR(VLOOKUP($D663,'SAMA Capital Tracker'!$A:$H,8,FALSE()),""))</f>
        <v/>
      </c>
      <c r="F663" s="24"/>
      <c r="G663" s="25" t="str">
        <f>IF($D663="","",IFERROR(VLOOKUP($D663,'SAMA Capital Tracker'!$A:$D,4,FALSE()),""))</f>
        <v/>
      </c>
      <c r="H663" s="22"/>
    </row>
    <row r="664" spans="1:8">
      <c r="A664" s="21"/>
      <c r="B664" s="22"/>
      <c r="C664" s="22"/>
      <c r="D664" s="22"/>
      <c r="E664" s="23" t="str">
        <f>IF($D664="","",IFERROR(VLOOKUP($D664,'SAMA Capital Tracker'!$A:$H,8,FALSE()),""))</f>
        <v/>
      </c>
      <c r="F664" s="24"/>
      <c r="G664" s="25" t="str">
        <f>IF($D664="","",IFERROR(VLOOKUP($D664,'SAMA Capital Tracker'!$A:$D,4,FALSE()),""))</f>
        <v/>
      </c>
      <c r="H664" s="22"/>
    </row>
    <row r="665" spans="1:8">
      <c r="A665" s="21"/>
      <c r="B665" s="22"/>
      <c r="C665" s="22"/>
      <c r="D665" s="22"/>
      <c r="E665" s="23" t="str">
        <f>IF($D665="","",IFERROR(VLOOKUP($D665,'SAMA Capital Tracker'!$A:$H,8,FALSE()),""))</f>
        <v/>
      </c>
      <c r="F665" s="24"/>
      <c r="G665" s="25" t="str">
        <f>IF($D665="","",IFERROR(VLOOKUP($D665,'SAMA Capital Tracker'!$A:$D,4,FALSE()),""))</f>
        <v/>
      </c>
      <c r="H665" s="22"/>
    </row>
    <row r="666" spans="1:8">
      <c r="A666" s="21"/>
      <c r="B666" s="22"/>
      <c r="C666" s="22"/>
      <c r="D666" s="22"/>
      <c r="E666" s="23" t="str">
        <f>IF($D666="","",IFERROR(VLOOKUP($D666,'SAMA Capital Tracker'!$A:$H,8,FALSE()),""))</f>
        <v/>
      </c>
      <c r="F666" s="24"/>
      <c r="G666" s="25" t="str">
        <f>IF($D666="","",IFERROR(VLOOKUP($D666,'SAMA Capital Tracker'!$A:$D,4,FALSE()),""))</f>
        <v/>
      </c>
      <c r="H666" s="22"/>
    </row>
    <row r="667" spans="1:8">
      <c r="A667" s="21"/>
      <c r="B667" s="22"/>
      <c r="C667" s="22"/>
      <c r="D667" s="22"/>
      <c r="E667" s="23" t="str">
        <f>IF($D667="","",IFERROR(VLOOKUP($D667,'SAMA Capital Tracker'!$A:$H,8,FALSE()),""))</f>
        <v/>
      </c>
      <c r="F667" s="24"/>
      <c r="G667" s="25" t="str">
        <f>IF($D667="","",IFERROR(VLOOKUP($D667,'SAMA Capital Tracker'!$A:$D,4,FALSE()),""))</f>
        <v/>
      </c>
      <c r="H667" s="22"/>
    </row>
    <row r="668" spans="1:8">
      <c r="A668" s="21"/>
      <c r="B668" s="22"/>
      <c r="C668" s="22"/>
      <c r="D668" s="22"/>
      <c r="E668" s="23" t="str">
        <f>IF($D668="","",IFERROR(VLOOKUP($D668,'SAMA Capital Tracker'!$A:$H,8,FALSE()),""))</f>
        <v/>
      </c>
      <c r="F668" s="24"/>
      <c r="G668" s="25" t="str">
        <f>IF($D668="","",IFERROR(VLOOKUP($D668,'SAMA Capital Tracker'!$A:$D,4,FALSE()),""))</f>
        <v/>
      </c>
      <c r="H668" s="22"/>
    </row>
    <row r="669" spans="1:8">
      <c r="A669" s="21"/>
      <c r="B669" s="22"/>
      <c r="C669" s="22"/>
      <c r="D669" s="22"/>
      <c r="E669" s="23" t="str">
        <f>IF($D669="","",IFERROR(VLOOKUP($D669,'SAMA Capital Tracker'!$A:$H,8,FALSE()),""))</f>
        <v/>
      </c>
      <c r="F669" s="24"/>
      <c r="G669" s="25" t="str">
        <f>IF($D669="","",IFERROR(VLOOKUP($D669,'SAMA Capital Tracker'!$A:$D,4,FALSE()),""))</f>
        <v/>
      </c>
      <c r="H669" s="22"/>
    </row>
    <row r="670" spans="1:8">
      <c r="A670" s="21"/>
      <c r="B670" s="22"/>
      <c r="C670" s="22"/>
      <c r="D670" s="22"/>
      <c r="E670" s="23" t="str">
        <f>IF($D670="","",IFERROR(VLOOKUP($D670,'SAMA Capital Tracker'!$A:$H,8,FALSE()),""))</f>
        <v/>
      </c>
      <c r="F670" s="24"/>
      <c r="G670" s="25" t="str">
        <f>IF($D670="","",IFERROR(VLOOKUP($D670,'SAMA Capital Tracker'!$A:$D,4,FALSE()),""))</f>
        <v/>
      </c>
      <c r="H670" s="22"/>
    </row>
    <row r="671" spans="1:8">
      <c r="A671" s="21"/>
      <c r="B671" s="22"/>
      <c r="C671" s="22"/>
      <c r="D671" s="22"/>
      <c r="E671" s="23" t="str">
        <f>IF($D671="","",IFERROR(VLOOKUP($D671,'SAMA Capital Tracker'!$A:$H,8,FALSE()),""))</f>
        <v/>
      </c>
      <c r="F671" s="24"/>
      <c r="G671" s="25" t="str">
        <f>IF($D671="","",IFERROR(VLOOKUP($D671,'SAMA Capital Tracker'!$A:$D,4,FALSE()),""))</f>
        <v/>
      </c>
      <c r="H671" s="22"/>
    </row>
    <row r="672" spans="1:8">
      <c r="A672" s="21"/>
      <c r="B672" s="22"/>
      <c r="C672" s="22"/>
      <c r="D672" s="22"/>
      <c r="E672" s="23" t="str">
        <f>IF($D672="","",IFERROR(VLOOKUP($D672,'SAMA Capital Tracker'!$A:$H,8,FALSE()),""))</f>
        <v/>
      </c>
      <c r="F672" s="24"/>
      <c r="G672" s="25" t="str">
        <f>IF($D672="","",IFERROR(VLOOKUP($D672,'SAMA Capital Tracker'!$A:$D,4,FALSE()),""))</f>
        <v/>
      </c>
      <c r="H672" s="22"/>
    </row>
    <row r="673" spans="1:8">
      <c r="A673" s="21"/>
      <c r="B673" s="22"/>
      <c r="C673" s="22"/>
      <c r="D673" s="22"/>
      <c r="E673" s="23" t="str">
        <f>IF($D673="","",IFERROR(VLOOKUP($D673,'SAMA Capital Tracker'!$A:$H,8,FALSE()),""))</f>
        <v/>
      </c>
      <c r="F673" s="24"/>
      <c r="G673" s="25" t="str">
        <f>IF($D673="","",IFERROR(VLOOKUP($D673,'SAMA Capital Tracker'!$A:$D,4,FALSE()),""))</f>
        <v/>
      </c>
      <c r="H673" s="22"/>
    </row>
    <row r="674" spans="1:8">
      <c r="A674" s="21"/>
      <c r="B674" s="22"/>
      <c r="C674" s="22"/>
      <c r="D674" s="22"/>
      <c r="E674" s="23" t="str">
        <f>IF($D674="","",IFERROR(VLOOKUP($D674,'SAMA Capital Tracker'!$A:$H,8,FALSE()),""))</f>
        <v/>
      </c>
      <c r="F674" s="24"/>
      <c r="G674" s="25" t="str">
        <f>IF($D674="","",IFERROR(VLOOKUP($D674,'SAMA Capital Tracker'!$A:$D,4,FALSE()),""))</f>
        <v/>
      </c>
      <c r="H674" s="22"/>
    </row>
    <row r="675" spans="1:8">
      <c r="A675" s="21"/>
      <c r="B675" s="22"/>
      <c r="C675" s="22"/>
      <c r="D675" s="22"/>
      <c r="E675" s="23" t="str">
        <f>IF($D675="","",IFERROR(VLOOKUP($D675,'SAMA Capital Tracker'!$A:$H,8,FALSE()),""))</f>
        <v/>
      </c>
      <c r="F675" s="24"/>
      <c r="G675" s="25" t="str">
        <f>IF($D675="","",IFERROR(VLOOKUP($D675,'SAMA Capital Tracker'!$A:$D,4,FALSE()),""))</f>
        <v/>
      </c>
      <c r="H675" s="22"/>
    </row>
    <row r="676" spans="1:8">
      <c r="A676" s="21"/>
      <c r="B676" s="22"/>
      <c r="C676" s="22"/>
      <c r="D676" s="22"/>
      <c r="E676" s="23" t="str">
        <f>IF($D676="","",IFERROR(VLOOKUP($D676,'SAMA Capital Tracker'!$A:$H,8,FALSE()),""))</f>
        <v/>
      </c>
      <c r="F676" s="24"/>
      <c r="G676" s="25" t="str">
        <f>IF($D676="","",IFERROR(VLOOKUP($D676,'SAMA Capital Tracker'!$A:$D,4,FALSE()),""))</f>
        <v/>
      </c>
      <c r="H676" s="22"/>
    </row>
    <row r="677" spans="1:8">
      <c r="A677" s="21"/>
      <c r="B677" s="22"/>
      <c r="C677" s="22"/>
      <c r="D677" s="22"/>
      <c r="E677" s="23" t="str">
        <f>IF($D677="","",IFERROR(VLOOKUP($D677,'SAMA Capital Tracker'!$A:$H,8,FALSE()),""))</f>
        <v/>
      </c>
      <c r="F677" s="24"/>
      <c r="G677" s="25" t="str">
        <f>IF($D677="","",IFERROR(VLOOKUP($D677,'SAMA Capital Tracker'!$A:$D,4,FALSE()),""))</f>
        <v/>
      </c>
      <c r="H677" s="22"/>
    </row>
    <row r="678" spans="1:8">
      <c r="A678" s="21"/>
      <c r="B678" s="22"/>
      <c r="C678" s="22"/>
      <c r="D678" s="22"/>
      <c r="E678" s="23" t="str">
        <f>IF($D678="","",IFERROR(VLOOKUP($D678,'SAMA Capital Tracker'!$A:$H,8,FALSE()),""))</f>
        <v/>
      </c>
      <c r="F678" s="24"/>
      <c r="G678" s="25" t="str">
        <f>IF($D678="","",IFERROR(VLOOKUP($D678,'SAMA Capital Tracker'!$A:$D,4,FALSE()),""))</f>
        <v/>
      </c>
      <c r="H678" s="22"/>
    </row>
    <row r="679" spans="1:8">
      <c r="A679" s="21"/>
      <c r="B679" s="22"/>
      <c r="C679" s="22"/>
      <c r="D679" s="22"/>
      <c r="E679" s="23" t="str">
        <f>IF($D679="","",IFERROR(VLOOKUP($D679,'SAMA Capital Tracker'!$A:$H,8,FALSE()),""))</f>
        <v/>
      </c>
      <c r="F679" s="24"/>
      <c r="G679" s="25" t="str">
        <f>IF($D679="","",IFERROR(VLOOKUP($D679,'SAMA Capital Tracker'!$A:$D,4,FALSE()),""))</f>
        <v/>
      </c>
      <c r="H679" s="22"/>
    </row>
    <row r="680" spans="1:8">
      <c r="A680" s="21"/>
      <c r="B680" s="22"/>
      <c r="C680" s="22"/>
      <c r="D680" s="22"/>
      <c r="E680" s="23" t="str">
        <f>IF($D680="","",IFERROR(VLOOKUP($D680,'SAMA Capital Tracker'!$A:$H,8,FALSE()),""))</f>
        <v/>
      </c>
      <c r="F680" s="24"/>
      <c r="G680" s="25" t="str">
        <f>IF($D680="","",IFERROR(VLOOKUP($D680,'SAMA Capital Tracker'!$A:$D,4,FALSE()),""))</f>
        <v/>
      </c>
      <c r="H680" s="22"/>
    </row>
    <row r="681" spans="1:8">
      <c r="A681" s="21"/>
      <c r="B681" s="22"/>
      <c r="C681" s="22"/>
      <c r="D681" s="22"/>
      <c r="E681" s="23" t="str">
        <f>IF($D681="","",IFERROR(VLOOKUP($D681,'SAMA Capital Tracker'!$A:$H,8,FALSE()),""))</f>
        <v/>
      </c>
      <c r="F681" s="24"/>
      <c r="G681" s="25" t="str">
        <f>IF($D681="","",IFERROR(VLOOKUP($D681,'SAMA Capital Tracker'!$A:$D,4,FALSE()),""))</f>
        <v/>
      </c>
      <c r="H681" s="22"/>
    </row>
    <row r="682" spans="1:8">
      <c r="A682" s="21"/>
      <c r="B682" s="22"/>
      <c r="C682" s="22"/>
      <c r="D682" s="22"/>
      <c r="E682" s="23" t="str">
        <f>IF($D682="","",IFERROR(VLOOKUP($D682,'SAMA Capital Tracker'!$A:$H,8,FALSE()),""))</f>
        <v/>
      </c>
      <c r="F682" s="24"/>
      <c r="G682" s="25" t="str">
        <f>IF($D682="","",IFERROR(VLOOKUP($D682,'SAMA Capital Tracker'!$A:$D,4,FALSE()),""))</f>
        <v/>
      </c>
      <c r="H682" s="22"/>
    </row>
    <row r="683" spans="1:8">
      <c r="A683" s="21"/>
      <c r="B683" s="22"/>
      <c r="C683" s="22"/>
      <c r="D683" s="22"/>
      <c r="E683" s="23" t="str">
        <f>IF($D683="","",IFERROR(VLOOKUP($D683,'SAMA Capital Tracker'!$A:$H,8,FALSE()),""))</f>
        <v/>
      </c>
      <c r="F683" s="24"/>
      <c r="G683" s="25" t="str">
        <f>IF($D683="","",IFERROR(VLOOKUP($D683,'SAMA Capital Tracker'!$A:$D,4,FALSE()),""))</f>
        <v/>
      </c>
      <c r="H683" s="22"/>
    </row>
    <row r="684" spans="1:8">
      <c r="A684" s="21"/>
      <c r="B684" s="22"/>
      <c r="C684" s="22"/>
      <c r="D684" s="22"/>
      <c r="E684" s="23" t="str">
        <f>IF($D684="","",IFERROR(VLOOKUP($D684,'SAMA Capital Tracker'!$A:$H,8,FALSE()),""))</f>
        <v/>
      </c>
      <c r="F684" s="24"/>
      <c r="G684" s="25" t="str">
        <f>IF($D684="","",IFERROR(VLOOKUP($D684,'SAMA Capital Tracker'!$A:$D,4,FALSE()),""))</f>
        <v/>
      </c>
      <c r="H684" s="22"/>
    </row>
    <row r="685" spans="1:8">
      <c r="A685" s="21"/>
      <c r="B685" s="22"/>
      <c r="C685" s="22"/>
      <c r="D685" s="22"/>
      <c r="E685" s="23" t="str">
        <f>IF($D685="","",IFERROR(VLOOKUP($D685,'SAMA Capital Tracker'!$A:$H,8,FALSE()),""))</f>
        <v/>
      </c>
      <c r="F685" s="24"/>
      <c r="G685" s="25" t="str">
        <f>IF($D685="","",IFERROR(VLOOKUP($D685,'SAMA Capital Tracker'!$A:$D,4,FALSE()),""))</f>
        <v/>
      </c>
      <c r="H685" s="22"/>
    </row>
    <row r="686" spans="1:8">
      <c r="A686" s="21"/>
      <c r="B686" s="22"/>
      <c r="C686" s="22"/>
      <c r="D686" s="22"/>
      <c r="E686" s="23" t="str">
        <f>IF($D686="","",IFERROR(VLOOKUP($D686,'SAMA Capital Tracker'!$A:$H,8,FALSE()),""))</f>
        <v/>
      </c>
      <c r="F686" s="24"/>
      <c r="G686" s="25" t="str">
        <f>IF($D686="","",IFERROR(VLOOKUP($D686,'SAMA Capital Tracker'!$A:$D,4,FALSE()),""))</f>
        <v/>
      </c>
      <c r="H686" s="22"/>
    </row>
    <row r="687" spans="1:8">
      <c r="A687" s="21"/>
      <c r="B687" s="22"/>
      <c r="C687" s="22"/>
      <c r="D687" s="22"/>
      <c r="E687" s="23" t="str">
        <f>IF($D687="","",IFERROR(VLOOKUP($D687,'SAMA Capital Tracker'!$A:$H,8,FALSE()),""))</f>
        <v/>
      </c>
      <c r="F687" s="24"/>
      <c r="G687" s="25" t="str">
        <f>IF($D687="","",IFERROR(VLOOKUP($D687,'SAMA Capital Tracker'!$A:$D,4,FALSE()),""))</f>
        <v/>
      </c>
      <c r="H687" s="22"/>
    </row>
    <row r="688" spans="1:8">
      <c r="A688" s="21"/>
      <c r="B688" s="22"/>
      <c r="C688" s="22"/>
      <c r="D688" s="22"/>
      <c r="E688" s="23" t="str">
        <f>IF($D688="","",IFERROR(VLOOKUP($D688,'SAMA Capital Tracker'!$A:$H,8,FALSE()),""))</f>
        <v/>
      </c>
      <c r="F688" s="24"/>
      <c r="G688" s="25" t="str">
        <f>IF($D688="","",IFERROR(VLOOKUP($D688,'SAMA Capital Tracker'!$A:$D,4,FALSE()),""))</f>
        <v/>
      </c>
      <c r="H688" s="22"/>
    </row>
    <row r="689" spans="1:8">
      <c r="A689" s="21"/>
      <c r="B689" s="22"/>
      <c r="C689" s="22"/>
      <c r="D689" s="22"/>
      <c r="E689" s="23" t="str">
        <f>IF($D689="","",IFERROR(VLOOKUP($D689,'SAMA Capital Tracker'!$A:$H,8,FALSE()),""))</f>
        <v/>
      </c>
      <c r="F689" s="24"/>
      <c r="G689" s="25" t="str">
        <f>IF($D689="","",IFERROR(VLOOKUP($D689,'SAMA Capital Tracker'!$A:$D,4,FALSE()),""))</f>
        <v/>
      </c>
      <c r="H689" s="22"/>
    </row>
    <row r="690" spans="1:8">
      <c r="A690" s="21"/>
      <c r="B690" s="22"/>
      <c r="C690" s="22"/>
      <c r="D690" s="22"/>
      <c r="E690" s="23" t="str">
        <f>IF($D690="","",IFERROR(VLOOKUP($D690,'SAMA Capital Tracker'!$A:$H,8,FALSE()),""))</f>
        <v/>
      </c>
      <c r="F690" s="24"/>
      <c r="G690" s="25" t="str">
        <f>IF($D690="","",IFERROR(VLOOKUP($D690,'SAMA Capital Tracker'!$A:$D,4,FALSE()),""))</f>
        <v/>
      </c>
      <c r="H690" s="22"/>
    </row>
    <row r="691" spans="1:8">
      <c r="A691" s="21"/>
      <c r="B691" s="22"/>
      <c r="C691" s="22"/>
      <c r="D691" s="22"/>
      <c r="E691" s="23" t="str">
        <f>IF($D691="","",IFERROR(VLOOKUP($D691,'SAMA Capital Tracker'!$A:$H,8,FALSE()),""))</f>
        <v/>
      </c>
      <c r="F691" s="24"/>
      <c r="G691" s="25" t="str">
        <f>IF($D691="","",IFERROR(VLOOKUP($D691,'SAMA Capital Tracker'!$A:$D,4,FALSE()),""))</f>
        <v/>
      </c>
      <c r="H691" s="22"/>
    </row>
    <row r="692" spans="1:8">
      <c r="A692" s="21"/>
      <c r="B692" s="22"/>
      <c r="C692" s="22"/>
      <c r="D692" s="22"/>
      <c r="E692" s="23" t="str">
        <f>IF($D692="","",IFERROR(VLOOKUP($D692,'SAMA Capital Tracker'!$A:$H,8,FALSE()),""))</f>
        <v/>
      </c>
      <c r="F692" s="24"/>
      <c r="G692" s="25" t="str">
        <f>IF($D692="","",IFERROR(VLOOKUP($D692,'SAMA Capital Tracker'!$A:$D,4,FALSE()),""))</f>
        <v/>
      </c>
      <c r="H692" s="22"/>
    </row>
    <row r="693" spans="1:8">
      <c r="A693" s="21"/>
      <c r="B693" s="22"/>
      <c r="C693" s="22"/>
      <c r="D693" s="22"/>
      <c r="E693" s="23" t="str">
        <f>IF($D693="","",IFERROR(VLOOKUP($D693,'SAMA Capital Tracker'!$A:$H,8,FALSE()),""))</f>
        <v/>
      </c>
      <c r="F693" s="24"/>
      <c r="G693" s="25" t="str">
        <f>IF($D693="","",IFERROR(VLOOKUP($D693,'SAMA Capital Tracker'!$A:$D,4,FALSE()),""))</f>
        <v/>
      </c>
      <c r="H693" s="22"/>
    </row>
    <row r="694" spans="1:8">
      <c r="A694" s="21"/>
      <c r="B694" s="22"/>
      <c r="C694" s="22"/>
      <c r="D694" s="22"/>
      <c r="E694" s="23" t="str">
        <f>IF($D694="","",IFERROR(VLOOKUP($D694,'SAMA Capital Tracker'!$A:$H,8,FALSE()),""))</f>
        <v/>
      </c>
      <c r="F694" s="24"/>
      <c r="G694" s="25" t="str">
        <f>IF($D694="","",IFERROR(VLOOKUP($D694,'SAMA Capital Tracker'!$A:$D,4,FALSE()),""))</f>
        <v/>
      </c>
      <c r="H694" s="22"/>
    </row>
    <row r="695" spans="1:8">
      <c r="A695" s="21"/>
      <c r="B695" s="22"/>
      <c r="C695" s="22"/>
      <c r="D695" s="22"/>
      <c r="E695" s="23" t="str">
        <f>IF($D695="","",IFERROR(VLOOKUP($D695,'SAMA Capital Tracker'!$A:$H,8,FALSE()),""))</f>
        <v/>
      </c>
      <c r="F695" s="24"/>
      <c r="G695" s="25" t="str">
        <f>IF($D695="","",IFERROR(VLOOKUP($D695,'SAMA Capital Tracker'!$A:$D,4,FALSE()),""))</f>
        <v/>
      </c>
      <c r="H695" s="22"/>
    </row>
    <row r="696" spans="1:8">
      <c r="A696" s="21"/>
      <c r="B696" s="22"/>
      <c r="C696" s="22"/>
      <c r="D696" s="22"/>
      <c r="E696" s="23" t="str">
        <f>IF($D696="","",IFERROR(VLOOKUP($D696,'SAMA Capital Tracker'!$A:$H,8,FALSE()),""))</f>
        <v/>
      </c>
      <c r="F696" s="24"/>
      <c r="G696" s="25" t="str">
        <f>IF($D696="","",IFERROR(VLOOKUP($D696,'SAMA Capital Tracker'!$A:$D,4,FALSE()),""))</f>
        <v/>
      </c>
      <c r="H696" s="22"/>
    </row>
    <row r="697" spans="1:8">
      <c r="A697" s="21"/>
      <c r="B697" s="22"/>
      <c r="C697" s="22"/>
      <c r="D697" s="22"/>
      <c r="E697" s="23" t="str">
        <f>IF($D697="","",IFERROR(VLOOKUP($D697,'SAMA Capital Tracker'!$A:$H,8,FALSE()),""))</f>
        <v/>
      </c>
      <c r="F697" s="24"/>
      <c r="G697" s="25" t="str">
        <f>IF($D697="","",IFERROR(VLOOKUP($D697,'SAMA Capital Tracker'!$A:$D,4,FALSE()),""))</f>
        <v/>
      </c>
      <c r="H697" s="22"/>
    </row>
    <row r="698" spans="1:8">
      <c r="A698" s="21"/>
      <c r="B698" s="22"/>
      <c r="C698" s="22"/>
      <c r="D698" s="22"/>
      <c r="E698" s="23" t="str">
        <f>IF($D698="","",IFERROR(VLOOKUP($D698,'SAMA Capital Tracker'!$A:$H,8,FALSE()),""))</f>
        <v/>
      </c>
      <c r="F698" s="24"/>
      <c r="G698" s="25" t="str">
        <f>IF($D698="","",IFERROR(VLOOKUP($D698,'SAMA Capital Tracker'!$A:$D,4,FALSE()),""))</f>
        <v/>
      </c>
      <c r="H698" s="22"/>
    </row>
    <row r="699" spans="1:8">
      <c r="A699" s="21"/>
      <c r="B699" s="22"/>
      <c r="C699" s="22"/>
      <c r="D699" s="22"/>
      <c r="E699" s="23" t="str">
        <f>IF($D699="","",IFERROR(VLOOKUP($D699,'SAMA Capital Tracker'!$A:$H,8,FALSE()),""))</f>
        <v/>
      </c>
      <c r="F699" s="24"/>
      <c r="G699" s="25" t="str">
        <f>IF($D699="","",IFERROR(VLOOKUP($D699,'SAMA Capital Tracker'!$A:$D,4,FALSE()),""))</f>
        <v/>
      </c>
      <c r="H699" s="22"/>
    </row>
    <row r="700" spans="1:8">
      <c r="A700" s="21"/>
      <c r="B700" s="22"/>
      <c r="C700" s="22"/>
      <c r="D700" s="22"/>
      <c r="E700" s="23" t="str">
        <f>IF($D700="","",IFERROR(VLOOKUP($D700,'SAMA Capital Tracker'!$A:$H,8,FALSE()),""))</f>
        <v/>
      </c>
      <c r="F700" s="24"/>
      <c r="G700" s="25" t="str">
        <f>IF($D700="","",IFERROR(VLOOKUP($D700,'SAMA Capital Tracker'!$A:$D,4,FALSE()),""))</f>
        <v/>
      </c>
      <c r="H700" s="22"/>
    </row>
    <row r="701" spans="1:8">
      <c r="A701" s="21"/>
      <c r="B701" s="22"/>
      <c r="C701" s="22"/>
      <c r="D701" s="22"/>
      <c r="E701" s="23" t="str">
        <f>IF($D701="","",IFERROR(VLOOKUP($D701,'SAMA Capital Tracker'!$A:$H,8,FALSE()),""))</f>
        <v/>
      </c>
      <c r="F701" s="24"/>
      <c r="G701" s="25" t="str">
        <f>IF($D701="","",IFERROR(VLOOKUP($D701,'SAMA Capital Tracker'!$A:$D,4,FALSE()),""))</f>
        <v/>
      </c>
      <c r="H701" s="22"/>
    </row>
    <row r="702" spans="1:8">
      <c r="A702" s="21"/>
      <c r="B702" s="22"/>
      <c r="C702" s="22"/>
      <c r="D702" s="22"/>
      <c r="E702" s="23" t="str">
        <f>IF($D702="","",IFERROR(VLOOKUP($D702,'SAMA Capital Tracker'!$A:$H,8,FALSE()),""))</f>
        <v/>
      </c>
      <c r="F702" s="24"/>
      <c r="G702" s="25" t="str">
        <f>IF($D702="","",IFERROR(VLOOKUP($D702,'SAMA Capital Tracker'!$A:$D,4,FALSE()),""))</f>
        <v/>
      </c>
      <c r="H702" s="22"/>
    </row>
    <row r="703" spans="1:8">
      <c r="A703" s="21"/>
      <c r="B703" s="22"/>
      <c r="C703" s="22"/>
      <c r="D703" s="22"/>
      <c r="E703" s="23" t="str">
        <f>IF($D703="","",IFERROR(VLOOKUP($D703,'SAMA Capital Tracker'!$A:$H,8,FALSE()),""))</f>
        <v/>
      </c>
      <c r="F703" s="24"/>
      <c r="G703" s="25" t="str">
        <f>IF($D703="","",IFERROR(VLOOKUP($D703,'SAMA Capital Tracker'!$A:$D,4,FALSE()),""))</f>
        <v/>
      </c>
      <c r="H703" s="22"/>
    </row>
    <row r="704" spans="1:8">
      <c r="A704" s="21"/>
      <c r="B704" s="22"/>
      <c r="C704" s="22"/>
      <c r="D704" s="22"/>
      <c r="E704" s="23" t="str">
        <f>IF($D704="","",IFERROR(VLOOKUP($D704,'SAMA Capital Tracker'!$A:$H,8,FALSE()),""))</f>
        <v/>
      </c>
      <c r="F704" s="24"/>
      <c r="G704" s="25" t="str">
        <f>IF($D704="","",IFERROR(VLOOKUP($D704,'SAMA Capital Tracker'!$A:$D,4,FALSE()),""))</f>
        <v/>
      </c>
      <c r="H704" s="22"/>
    </row>
    <row r="705" spans="1:8">
      <c r="A705" s="21"/>
      <c r="B705" s="22"/>
      <c r="C705" s="22"/>
      <c r="D705" s="22"/>
      <c r="E705" s="23" t="str">
        <f>IF($D705="","",IFERROR(VLOOKUP($D705,'SAMA Capital Tracker'!$A:$H,8,FALSE()),""))</f>
        <v/>
      </c>
      <c r="F705" s="24"/>
      <c r="G705" s="25" t="str">
        <f>IF($D705="","",IFERROR(VLOOKUP($D705,'SAMA Capital Tracker'!$A:$D,4,FALSE()),""))</f>
        <v/>
      </c>
      <c r="H705" s="22"/>
    </row>
    <row r="706" spans="1:8">
      <c r="A706" s="21"/>
      <c r="B706" s="22"/>
      <c r="C706" s="22"/>
      <c r="D706" s="22"/>
      <c r="E706" s="23" t="str">
        <f>IF($D706="","",IFERROR(VLOOKUP($D706,'SAMA Capital Tracker'!$A:$H,8,FALSE()),""))</f>
        <v/>
      </c>
      <c r="F706" s="24"/>
      <c r="G706" s="25" t="str">
        <f>IF($D706="","",IFERROR(VLOOKUP($D706,'SAMA Capital Tracker'!$A:$D,4,FALSE()),""))</f>
        <v/>
      </c>
      <c r="H706" s="22"/>
    </row>
    <row r="707" spans="1:8">
      <c r="A707" s="21"/>
      <c r="B707" s="22"/>
      <c r="C707" s="22"/>
      <c r="D707" s="22"/>
      <c r="E707" s="23" t="str">
        <f>IF($D707="","",IFERROR(VLOOKUP($D707,'SAMA Capital Tracker'!$A:$H,8,FALSE()),""))</f>
        <v/>
      </c>
      <c r="F707" s="24"/>
      <c r="G707" s="25" t="str">
        <f>IF($D707="","",IFERROR(VLOOKUP($D707,'SAMA Capital Tracker'!$A:$D,4,FALSE()),""))</f>
        <v/>
      </c>
      <c r="H707" s="22"/>
    </row>
    <row r="708" spans="1:8">
      <c r="A708" s="21"/>
      <c r="B708" s="22"/>
      <c r="C708" s="22"/>
      <c r="D708" s="22"/>
      <c r="E708" s="23" t="str">
        <f>IF($D708="","",IFERROR(VLOOKUP($D708,'SAMA Capital Tracker'!$A:$H,8,FALSE()),""))</f>
        <v/>
      </c>
      <c r="F708" s="24"/>
      <c r="G708" s="25" t="str">
        <f>IF($D708="","",IFERROR(VLOOKUP($D708,'SAMA Capital Tracker'!$A:$D,4,FALSE()),""))</f>
        <v/>
      </c>
      <c r="H708" s="22"/>
    </row>
    <row r="709" spans="1:8">
      <c r="A709" s="21"/>
      <c r="B709" s="22"/>
      <c r="C709" s="22"/>
      <c r="D709" s="22"/>
      <c r="E709" s="23" t="str">
        <f>IF($D709="","",IFERROR(VLOOKUP($D709,'SAMA Capital Tracker'!$A:$H,8,FALSE()),""))</f>
        <v/>
      </c>
      <c r="F709" s="24"/>
      <c r="G709" s="25" t="str">
        <f>IF($D709="","",IFERROR(VLOOKUP($D709,'SAMA Capital Tracker'!$A:$D,4,FALSE()),""))</f>
        <v/>
      </c>
      <c r="H709" s="22"/>
    </row>
    <row r="710" spans="1:8">
      <c r="A710" s="21"/>
      <c r="B710" s="22"/>
      <c r="C710" s="22"/>
      <c r="D710" s="22"/>
      <c r="E710" s="23" t="str">
        <f>IF($D710="","",IFERROR(VLOOKUP($D710,'SAMA Capital Tracker'!$A:$H,8,FALSE()),""))</f>
        <v/>
      </c>
      <c r="F710" s="24"/>
      <c r="G710" s="25" t="str">
        <f>IF($D710="","",IFERROR(VLOOKUP($D710,'SAMA Capital Tracker'!$A:$D,4,FALSE()),""))</f>
        <v/>
      </c>
      <c r="H710" s="22"/>
    </row>
    <row r="711" spans="1:8">
      <c r="A711" s="21"/>
      <c r="B711" s="22"/>
      <c r="C711" s="22"/>
      <c r="D711" s="22"/>
      <c r="E711" s="23" t="str">
        <f>IF($D711="","",IFERROR(VLOOKUP($D711,'SAMA Capital Tracker'!$A:$H,8,FALSE()),""))</f>
        <v/>
      </c>
      <c r="F711" s="24"/>
      <c r="G711" s="25" t="str">
        <f>IF($D711="","",IFERROR(VLOOKUP($D711,'SAMA Capital Tracker'!$A:$D,4,FALSE()),""))</f>
        <v/>
      </c>
      <c r="H711" s="22"/>
    </row>
    <row r="712" spans="1:8">
      <c r="A712" s="21"/>
      <c r="B712" s="22"/>
      <c r="C712" s="22"/>
      <c r="D712" s="22"/>
      <c r="E712" s="23" t="str">
        <f>IF($D712="","",IFERROR(VLOOKUP($D712,'SAMA Capital Tracker'!$A:$H,8,FALSE()),""))</f>
        <v/>
      </c>
      <c r="F712" s="24"/>
      <c r="G712" s="25" t="str">
        <f>IF($D712="","",IFERROR(VLOOKUP($D712,'SAMA Capital Tracker'!$A:$D,4,FALSE()),""))</f>
        <v/>
      </c>
      <c r="H712" s="22"/>
    </row>
    <row r="713" spans="1:8">
      <c r="A713" s="21"/>
      <c r="B713" s="22"/>
      <c r="C713" s="22"/>
      <c r="D713" s="22"/>
      <c r="E713" s="23" t="str">
        <f>IF($D713="","",IFERROR(VLOOKUP($D713,'SAMA Capital Tracker'!$A:$H,8,FALSE()),""))</f>
        <v/>
      </c>
      <c r="F713" s="24"/>
      <c r="G713" s="25" t="str">
        <f>IF($D713="","",IFERROR(VLOOKUP($D713,'SAMA Capital Tracker'!$A:$D,4,FALSE()),""))</f>
        <v/>
      </c>
      <c r="H713" s="22"/>
    </row>
    <row r="714" spans="1:8">
      <c r="A714" s="21"/>
      <c r="B714" s="22"/>
      <c r="C714" s="22"/>
      <c r="D714" s="22"/>
      <c r="E714" s="23" t="str">
        <f>IF($D714="","",IFERROR(VLOOKUP($D714,'SAMA Capital Tracker'!$A:$H,8,FALSE()),""))</f>
        <v/>
      </c>
      <c r="F714" s="24"/>
      <c r="G714" s="25" t="str">
        <f>IF($D714="","",IFERROR(VLOOKUP($D714,'SAMA Capital Tracker'!$A:$D,4,FALSE()),""))</f>
        <v/>
      </c>
      <c r="H714" s="22"/>
    </row>
    <row r="715" spans="1:8">
      <c r="A715" s="21"/>
      <c r="B715" s="22"/>
      <c r="C715" s="22"/>
      <c r="D715" s="22"/>
      <c r="E715" s="23" t="str">
        <f>IF($D715="","",IFERROR(VLOOKUP($D715,'SAMA Capital Tracker'!$A:$H,8,FALSE()),""))</f>
        <v/>
      </c>
      <c r="F715" s="24"/>
      <c r="G715" s="25" t="str">
        <f>IF($D715="","",IFERROR(VLOOKUP($D715,'SAMA Capital Tracker'!$A:$D,4,FALSE()),""))</f>
        <v/>
      </c>
      <c r="H715" s="22"/>
    </row>
    <row r="716" spans="1:8">
      <c r="A716" s="21"/>
      <c r="B716" s="22"/>
      <c r="C716" s="22"/>
      <c r="D716" s="22"/>
      <c r="E716" s="23" t="str">
        <f>IF($D716="","",IFERROR(VLOOKUP($D716,'SAMA Capital Tracker'!$A:$H,8,FALSE()),""))</f>
        <v/>
      </c>
      <c r="F716" s="24"/>
      <c r="G716" s="25" t="str">
        <f>IF($D716="","",IFERROR(VLOOKUP($D716,'SAMA Capital Tracker'!$A:$D,4,FALSE()),""))</f>
        <v/>
      </c>
      <c r="H716" s="22"/>
    </row>
    <row r="717" spans="1:8">
      <c r="A717" s="21"/>
      <c r="B717" s="22"/>
      <c r="C717" s="22"/>
      <c r="D717" s="22"/>
      <c r="E717" s="23" t="str">
        <f>IF($D717="","",IFERROR(VLOOKUP($D717,'SAMA Capital Tracker'!$A:$H,8,FALSE()),""))</f>
        <v/>
      </c>
      <c r="F717" s="24"/>
      <c r="G717" s="25" t="str">
        <f>IF($D717="","",IFERROR(VLOOKUP($D717,'SAMA Capital Tracker'!$A:$D,4,FALSE()),""))</f>
        <v/>
      </c>
      <c r="H717" s="22"/>
    </row>
    <row r="718" spans="1:8">
      <c r="A718" s="21"/>
      <c r="B718" s="22"/>
      <c r="C718" s="22"/>
      <c r="D718" s="22"/>
      <c r="E718" s="23" t="str">
        <f>IF($D718="","",IFERROR(VLOOKUP($D718,'SAMA Capital Tracker'!$A:$H,8,FALSE()),""))</f>
        <v/>
      </c>
      <c r="F718" s="24"/>
      <c r="G718" s="25" t="str">
        <f>IF($D718="","",IFERROR(VLOOKUP($D718,'SAMA Capital Tracker'!$A:$D,4,FALSE()),""))</f>
        <v/>
      </c>
      <c r="H718" s="22"/>
    </row>
    <row r="719" spans="1:8">
      <c r="A719" s="21"/>
      <c r="B719" s="22"/>
      <c r="C719" s="22"/>
      <c r="D719" s="22"/>
      <c r="E719" s="23" t="str">
        <f>IF($D719="","",IFERROR(VLOOKUP($D719,'SAMA Capital Tracker'!$A:$H,8,FALSE()),""))</f>
        <v/>
      </c>
      <c r="F719" s="24"/>
      <c r="G719" s="25" t="str">
        <f>IF($D719="","",IFERROR(VLOOKUP($D719,'SAMA Capital Tracker'!$A:$D,4,FALSE()),""))</f>
        <v/>
      </c>
      <c r="H719" s="22"/>
    </row>
    <row r="720" spans="1:8">
      <c r="A720" s="21"/>
      <c r="B720" s="22"/>
      <c r="C720" s="22"/>
      <c r="D720" s="22"/>
      <c r="E720" s="23" t="str">
        <f>IF($D720="","",IFERROR(VLOOKUP($D720,'SAMA Capital Tracker'!$A:$H,8,FALSE()),""))</f>
        <v/>
      </c>
      <c r="F720" s="24"/>
      <c r="G720" s="25" t="str">
        <f>IF($D720="","",IFERROR(VLOOKUP($D720,'SAMA Capital Tracker'!$A:$D,4,FALSE()),""))</f>
        <v/>
      </c>
      <c r="H720" s="22"/>
    </row>
    <row r="721" spans="1:8">
      <c r="A721" s="21"/>
      <c r="B721" s="22"/>
      <c r="C721" s="22"/>
      <c r="D721" s="22"/>
      <c r="E721" s="23" t="str">
        <f>IF($D721="","",IFERROR(VLOOKUP($D721,'SAMA Capital Tracker'!$A:$H,8,FALSE()),""))</f>
        <v/>
      </c>
      <c r="F721" s="24"/>
      <c r="G721" s="25" t="str">
        <f>IF($D721="","",IFERROR(VLOOKUP($D721,'SAMA Capital Tracker'!$A:$D,4,FALSE()),""))</f>
        <v/>
      </c>
      <c r="H721" s="22"/>
    </row>
    <row r="722" spans="1:8">
      <c r="A722" s="21"/>
      <c r="B722" s="22"/>
      <c r="C722" s="22"/>
      <c r="D722" s="22"/>
      <c r="E722" s="23" t="str">
        <f>IF($D722="","",IFERROR(VLOOKUP($D722,'SAMA Capital Tracker'!$A:$H,8,FALSE()),""))</f>
        <v/>
      </c>
      <c r="F722" s="24"/>
      <c r="G722" s="25" t="str">
        <f>IF($D722="","",IFERROR(VLOOKUP($D722,'SAMA Capital Tracker'!$A:$D,4,FALSE()),""))</f>
        <v/>
      </c>
      <c r="H722" s="22"/>
    </row>
    <row r="723" spans="1:8">
      <c r="A723" s="21"/>
      <c r="B723" s="22"/>
      <c r="C723" s="22"/>
      <c r="D723" s="22"/>
      <c r="E723" s="23" t="str">
        <f>IF($D723="","",IFERROR(VLOOKUP($D723,'SAMA Capital Tracker'!$A:$H,8,FALSE()),""))</f>
        <v/>
      </c>
      <c r="F723" s="24"/>
      <c r="G723" s="25" t="str">
        <f>IF($D723="","",IFERROR(VLOOKUP($D723,'SAMA Capital Tracker'!$A:$D,4,FALSE()),""))</f>
        <v/>
      </c>
      <c r="H723" s="22"/>
    </row>
    <row r="724" spans="1:8">
      <c r="A724" s="21"/>
      <c r="B724" s="22"/>
      <c r="C724" s="22"/>
      <c r="D724" s="22"/>
      <c r="E724" s="23" t="str">
        <f>IF($D724="","",IFERROR(VLOOKUP($D724,'SAMA Capital Tracker'!$A:$H,8,FALSE()),""))</f>
        <v/>
      </c>
      <c r="F724" s="24"/>
      <c r="G724" s="25" t="str">
        <f>IF($D724="","",IFERROR(VLOOKUP($D724,'SAMA Capital Tracker'!$A:$D,4,FALSE()),""))</f>
        <v/>
      </c>
      <c r="H724" s="22"/>
    </row>
    <row r="725" spans="1:8">
      <c r="A725" s="21"/>
      <c r="B725" s="22"/>
      <c r="C725" s="22"/>
      <c r="D725" s="22"/>
      <c r="E725" s="23" t="str">
        <f>IF($D725="","",IFERROR(VLOOKUP($D725,'SAMA Capital Tracker'!$A:$H,8,FALSE()),""))</f>
        <v/>
      </c>
      <c r="F725" s="24"/>
      <c r="G725" s="25" t="str">
        <f>IF($D725="","",IFERROR(VLOOKUP($D725,'SAMA Capital Tracker'!$A:$D,4,FALSE()),""))</f>
        <v/>
      </c>
      <c r="H725" s="22"/>
    </row>
    <row r="726" spans="1:8">
      <c r="A726" s="21"/>
      <c r="B726" s="22"/>
      <c r="C726" s="22"/>
      <c r="D726" s="22"/>
      <c r="E726" s="23" t="str">
        <f>IF($D726="","",IFERROR(VLOOKUP($D726,'SAMA Capital Tracker'!$A:$H,8,FALSE()),""))</f>
        <v/>
      </c>
      <c r="F726" s="24"/>
      <c r="G726" s="25" t="str">
        <f>IF($D726="","",IFERROR(VLOOKUP($D726,'SAMA Capital Tracker'!$A:$D,4,FALSE()),""))</f>
        <v/>
      </c>
      <c r="H726" s="22"/>
    </row>
    <row r="727" spans="1:8">
      <c r="A727" s="21"/>
      <c r="B727" s="22"/>
      <c r="C727" s="22"/>
      <c r="D727" s="22"/>
      <c r="E727" s="23" t="str">
        <f>IF($D727="","",IFERROR(VLOOKUP($D727,'SAMA Capital Tracker'!$A:$H,8,FALSE()),""))</f>
        <v/>
      </c>
      <c r="F727" s="24"/>
      <c r="G727" s="25" t="str">
        <f>IF($D727="","",IFERROR(VLOOKUP($D727,'SAMA Capital Tracker'!$A:$D,4,FALSE()),""))</f>
        <v/>
      </c>
      <c r="H727" s="22"/>
    </row>
    <row r="728" spans="1:8">
      <c r="A728" s="21"/>
      <c r="B728" s="22"/>
      <c r="C728" s="22"/>
      <c r="D728" s="22"/>
      <c r="E728" s="23" t="str">
        <f>IF($D728="","",IFERROR(VLOOKUP($D728,'SAMA Capital Tracker'!$A:$H,8,FALSE()),""))</f>
        <v/>
      </c>
      <c r="F728" s="24"/>
      <c r="G728" s="25" t="str">
        <f>IF($D728="","",IFERROR(VLOOKUP($D728,'SAMA Capital Tracker'!$A:$D,4,FALSE()),""))</f>
        <v/>
      </c>
      <c r="H728" s="22"/>
    </row>
    <row r="729" spans="1:8">
      <c r="A729" s="21"/>
      <c r="B729" s="22"/>
      <c r="C729" s="22"/>
      <c r="D729" s="22"/>
      <c r="E729" s="23" t="str">
        <f>IF($D729="","",IFERROR(VLOOKUP($D729,'SAMA Capital Tracker'!$A:$H,8,FALSE()),""))</f>
        <v/>
      </c>
      <c r="F729" s="24"/>
      <c r="G729" s="25" t="str">
        <f>IF($D729="","",IFERROR(VLOOKUP($D729,'SAMA Capital Tracker'!$A:$D,4,FALSE()),""))</f>
        <v/>
      </c>
      <c r="H729" s="22"/>
    </row>
    <row r="730" spans="1:8">
      <c r="A730" s="21"/>
      <c r="B730" s="22"/>
      <c r="C730" s="22"/>
      <c r="D730" s="22"/>
      <c r="E730" s="23" t="str">
        <f>IF($D730="","",IFERROR(VLOOKUP($D730,'SAMA Capital Tracker'!$A:$H,8,FALSE()),""))</f>
        <v/>
      </c>
      <c r="F730" s="24"/>
      <c r="G730" s="25" t="str">
        <f>IF($D730="","",IFERROR(VLOOKUP($D730,'SAMA Capital Tracker'!$A:$D,4,FALSE()),""))</f>
        <v/>
      </c>
      <c r="H730" s="22"/>
    </row>
    <row r="731" spans="1:8">
      <c r="A731" s="21"/>
      <c r="B731" s="22"/>
      <c r="C731" s="22"/>
      <c r="D731" s="22"/>
      <c r="E731" s="23" t="str">
        <f>IF($D731="","",IFERROR(VLOOKUP($D731,'SAMA Capital Tracker'!$A:$H,8,FALSE()),""))</f>
        <v/>
      </c>
      <c r="F731" s="24"/>
      <c r="G731" s="25" t="str">
        <f>IF($D731="","",IFERROR(VLOOKUP($D731,'SAMA Capital Tracker'!$A:$D,4,FALSE()),""))</f>
        <v/>
      </c>
      <c r="H731" s="22"/>
    </row>
    <row r="732" spans="1:8">
      <c r="A732" s="21"/>
      <c r="B732" s="22"/>
      <c r="C732" s="22"/>
      <c r="D732" s="22"/>
      <c r="E732" s="23" t="str">
        <f>IF($D732="","",IFERROR(VLOOKUP($D732,'SAMA Capital Tracker'!$A:$H,8,FALSE()),""))</f>
        <v/>
      </c>
      <c r="F732" s="24"/>
      <c r="G732" s="25" t="str">
        <f>IF($D732="","",IFERROR(VLOOKUP($D732,'SAMA Capital Tracker'!$A:$D,4,FALSE()),""))</f>
        <v/>
      </c>
      <c r="H732" s="22"/>
    </row>
    <row r="733" spans="1:8">
      <c r="A733" s="21"/>
      <c r="B733" s="22"/>
      <c r="C733" s="22"/>
      <c r="D733" s="22"/>
      <c r="E733" s="23" t="str">
        <f>IF($D733="","",IFERROR(VLOOKUP($D733,'SAMA Capital Tracker'!$A:$H,8,FALSE()),""))</f>
        <v/>
      </c>
      <c r="F733" s="24"/>
      <c r="G733" s="25" t="str">
        <f>IF($D733="","",IFERROR(VLOOKUP($D733,'SAMA Capital Tracker'!$A:$D,4,FALSE()),""))</f>
        <v/>
      </c>
      <c r="H733" s="22"/>
    </row>
    <row r="734" spans="1:8">
      <c r="A734" s="21"/>
      <c r="B734" s="22"/>
      <c r="C734" s="22"/>
      <c r="D734" s="22"/>
      <c r="E734" s="23" t="str">
        <f>IF($D734="","",IFERROR(VLOOKUP($D734,'SAMA Capital Tracker'!$A:$H,8,FALSE()),""))</f>
        <v/>
      </c>
      <c r="F734" s="24"/>
      <c r="G734" s="25" t="str">
        <f>IF($D734="","",IFERROR(VLOOKUP($D734,'SAMA Capital Tracker'!$A:$D,4,FALSE()),""))</f>
        <v/>
      </c>
      <c r="H734" s="22"/>
    </row>
    <row r="735" spans="1:8">
      <c r="A735" s="21"/>
      <c r="B735" s="22"/>
      <c r="C735" s="22"/>
      <c r="D735" s="22"/>
      <c r="E735" s="23" t="str">
        <f>IF($D735="","",IFERROR(VLOOKUP($D735,'SAMA Capital Tracker'!$A:$H,8,FALSE()),""))</f>
        <v/>
      </c>
      <c r="F735" s="24"/>
      <c r="G735" s="25" t="str">
        <f>IF($D735="","",IFERROR(VLOOKUP($D735,'SAMA Capital Tracker'!$A:$D,4,FALSE()),""))</f>
        <v/>
      </c>
      <c r="H735" s="22"/>
    </row>
    <row r="736" spans="1:8">
      <c r="A736" s="21"/>
      <c r="B736" s="22"/>
      <c r="C736" s="22"/>
      <c r="D736" s="22"/>
      <c r="E736" s="23" t="str">
        <f>IF($D736="","",IFERROR(VLOOKUP($D736,'SAMA Capital Tracker'!$A:$H,8,FALSE()),""))</f>
        <v/>
      </c>
      <c r="F736" s="24"/>
      <c r="G736" s="25" t="str">
        <f>IF($D736="","",IFERROR(VLOOKUP($D736,'SAMA Capital Tracker'!$A:$D,4,FALSE()),""))</f>
        <v/>
      </c>
      <c r="H736" s="22"/>
    </row>
    <row r="737" spans="1:8">
      <c r="A737" s="21"/>
      <c r="B737" s="22"/>
      <c r="C737" s="22"/>
      <c r="D737" s="22"/>
      <c r="E737" s="23" t="str">
        <f>IF($D737="","",IFERROR(VLOOKUP($D737,'SAMA Capital Tracker'!$A:$H,8,FALSE()),""))</f>
        <v/>
      </c>
      <c r="F737" s="24"/>
      <c r="G737" s="25" t="str">
        <f>IF($D737="","",IFERROR(VLOOKUP($D737,'SAMA Capital Tracker'!$A:$D,4,FALSE()),""))</f>
        <v/>
      </c>
      <c r="H737" s="22"/>
    </row>
    <row r="738" spans="1:8">
      <c r="A738" s="21"/>
      <c r="B738" s="22"/>
      <c r="C738" s="22"/>
      <c r="D738" s="22"/>
      <c r="E738" s="23" t="str">
        <f>IF($D738="","",IFERROR(VLOOKUP($D738,'SAMA Capital Tracker'!$A:$H,8,FALSE()),""))</f>
        <v/>
      </c>
      <c r="F738" s="24"/>
      <c r="G738" s="25" t="str">
        <f>IF($D738="","",IFERROR(VLOOKUP($D738,'SAMA Capital Tracker'!$A:$D,4,FALSE()),""))</f>
        <v/>
      </c>
      <c r="H738" s="22"/>
    </row>
    <row r="739" spans="1:8">
      <c r="A739" s="21"/>
      <c r="B739" s="22"/>
      <c r="C739" s="22"/>
      <c r="D739" s="22"/>
      <c r="E739" s="23" t="str">
        <f>IF($D739="","",IFERROR(VLOOKUP($D739,'SAMA Capital Tracker'!$A:$H,8,FALSE()),""))</f>
        <v/>
      </c>
      <c r="F739" s="24"/>
      <c r="G739" s="25" t="str">
        <f>IF($D739="","",IFERROR(VLOOKUP($D739,'SAMA Capital Tracker'!$A:$D,4,FALSE()),""))</f>
        <v/>
      </c>
      <c r="H739" s="22"/>
    </row>
    <row r="740" spans="1:8">
      <c r="A740" s="21"/>
      <c r="B740" s="22"/>
      <c r="C740" s="22"/>
      <c r="D740" s="22"/>
      <c r="E740" s="23" t="str">
        <f>IF($D740="","",IFERROR(VLOOKUP($D740,'SAMA Capital Tracker'!$A:$H,8,FALSE()),""))</f>
        <v/>
      </c>
      <c r="F740" s="24"/>
      <c r="G740" s="25" t="str">
        <f>IF($D740="","",IFERROR(VLOOKUP($D740,'SAMA Capital Tracker'!$A:$D,4,FALSE()),""))</f>
        <v/>
      </c>
      <c r="H740" s="22"/>
    </row>
    <row r="741" spans="1:8">
      <c r="A741" s="21"/>
      <c r="B741" s="22"/>
      <c r="C741" s="22"/>
      <c r="D741" s="22"/>
      <c r="E741" s="23" t="str">
        <f>IF($D741="","",IFERROR(VLOOKUP($D741,'SAMA Capital Tracker'!$A:$H,8,FALSE()),""))</f>
        <v/>
      </c>
      <c r="F741" s="24"/>
      <c r="G741" s="25" t="str">
        <f>IF($D741="","",IFERROR(VLOOKUP($D741,'SAMA Capital Tracker'!$A:$D,4,FALSE()),""))</f>
        <v/>
      </c>
      <c r="H741" s="22"/>
    </row>
    <row r="742" spans="1:8">
      <c r="A742" s="21"/>
      <c r="B742" s="22"/>
      <c r="C742" s="22"/>
      <c r="D742" s="22"/>
      <c r="E742" s="23" t="str">
        <f>IF($D742="","",IFERROR(VLOOKUP($D742,'SAMA Capital Tracker'!$A:$H,8,FALSE()),""))</f>
        <v/>
      </c>
      <c r="F742" s="24"/>
      <c r="G742" s="25" t="str">
        <f>IF($D742="","",IFERROR(VLOOKUP($D742,'SAMA Capital Tracker'!$A:$D,4,FALSE()),""))</f>
        <v/>
      </c>
      <c r="H742" s="22"/>
    </row>
    <row r="743" spans="1:8">
      <c r="A743" s="21"/>
      <c r="B743" s="22"/>
      <c r="C743" s="22"/>
      <c r="D743" s="22"/>
      <c r="E743" s="23" t="str">
        <f>IF($D743="","",IFERROR(VLOOKUP($D743,'SAMA Capital Tracker'!$A:$H,8,FALSE()),""))</f>
        <v/>
      </c>
      <c r="F743" s="24"/>
      <c r="G743" s="25" t="str">
        <f>IF($D743="","",IFERROR(VLOOKUP($D743,'SAMA Capital Tracker'!$A:$D,4,FALSE()),""))</f>
        <v/>
      </c>
      <c r="H743" s="22"/>
    </row>
    <row r="744" spans="1:8">
      <c r="A744" s="21"/>
      <c r="B744" s="22"/>
      <c r="C744" s="22"/>
      <c r="D744" s="22"/>
      <c r="E744" s="23" t="str">
        <f>IF($D744="","",IFERROR(VLOOKUP($D744,'SAMA Capital Tracker'!$A:$H,8,FALSE()),""))</f>
        <v/>
      </c>
      <c r="F744" s="24"/>
      <c r="G744" s="25" t="str">
        <f>IF($D744="","",IFERROR(VLOOKUP($D744,'SAMA Capital Tracker'!$A:$D,4,FALSE()),""))</f>
        <v/>
      </c>
      <c r="H744" s="22"/>
    </row>
    <row r="745" spans="1:8">
      <c r="A745" s="21"/>
      <c r="B745" s="22"/>
      <c r="C745" s="22"/>
      <c r="D745" s="22"/>
      <c r="E745" s="23" t="str">
        <f>IF($D745="","",IFERROR(VLOOKUP($D745,'SAMA Capital Tracker'!$A:$H,8,FALSE()),""))</f>
        <v/>
      </c>
      <c r="F745" s="24"/>
      <c r="G745" s="25" t="str">
        <f>IF($D745="","",IFERROR(VLOOKUP($D745,'SAMA Capital Tracker'!$A:$D,4,FALSE()),""))</f>
        <v/>
      </c>
      <c r="H745" s="22"/>
    </row>
    <row r="746" spans="1:8">
      <c r="A746" s="21"/>
      <c r="B746" s="22"/>
      <c r="C746" s="22"/>
      <c r="D746" s="22"/>
      <c r="E746" s="23" t="str">
        <f>IF($D746="","",IFERROR(VLOOKUP($D746,'SAMA Capital Tracker'!$A:$H,8,FALSE()),""))</f>
        <v/>
      </c>
      <c r="F746" s="24"/>
      <c r="G746" s="25" t="str">
        <f>IF($D746="","",IFERROR(VLOOKUP($D746,'SAMA Capital Tracker'!$A:$D,4,FALSE()),""))</f>
        <v/>
      </c>
      <c r="H746" s="22"/>
    </row>
    <row r="747" spans="1:8">
      <c r="A747" s="21"/>
      <c r="B747" s="22"/>
      <c r="C747" s="22"/>
      <c r="D747" s="22"/>
      <c r="E747" s="23" t="str">
        <f>IF($D747="","",IFERROR(VLOOKUP($D747,'SAMA Capital Tracker'!$A:$H,8,FALSE()),""))</f>
        <v/>
      </c>
      <c r="F747" s="24"/>
      <c r="G747" s="25" t="str">
        <f>IF($D747="","",IFERROR(VLOOKUP($D747,'SAMA Capital Tracker'!$A:$D,4,FALSE()),""))</f>
        <v/>
      </c>
      <c r="H747" s="22"/>
    </row>
    <row r="748" spans="1:8">
      <c r="A748" s="21"/>
      <c r="B748" s="22"/>
      <c r="C748" s="22"/>
      <c r="D748" s="22"/>
      <c r="E748" s="23" t="str">
        <f>IF($D748="","",IFERROR(VLOOKUP($D748,'SAMA Capital Tracker'!$A:$H,8,FALSE()),""))</f>
        <v/>
      </c>
      <c r="F748" s="24"/>
      <c r="G748" s="25" t="str">
        <f>IF($D748="","",IFERROR(VLOOKUP($D748,'SAMA Capital Tracker'!$A:$D,4,FALSE()),""))</f>
        <v/>
      </c>
      <c r="H748" s="22"/>
    </row>
    <row r="749" spans="1:8">
      <c r="A749" s="21"/>
      <c r="B749" s="22"/>
      <c r="C749" s="22"/>
      <c r="D749" s="22"/>
      <c r="E749" s="23" t="str">
        <f>IF($D749="","",IFERROR(VLOOKUP($D749,'SAMA Capital Tracker'!$A:$H,8,FALSE()),""))</f>
        <v/>
      </c>
      <c r="F749" s="24"/>
      <c r="G749" s="25" t="str">
        <f>IF($D749="","",IFERROR(VLOOKUP($D749,'SAMA Capital Tracker'!$A:$D,4,FALSE()),""))</f>
        <v/>
      </c>
      <c r="H749" s="22"/>
    </row>
    <row r="750" spans="1:8">
      <c r="A750" s="21"/>
      <c r="B750" s="22"/>
      <c r="C750" s="22"/>
      <c r="D750" s="22"/>
      <c r="E750" s="23" t="str">
        <f>IF($D750="","",IFERROR(VLOOKUP($D750,'SAMA Capital Tracker'!$A:$H,8,FALSE()),""))</f>
        <v/>
      </c>
      <c r="F750" s="24"/>
      <c r="G750" s="25" t="str">
        <f>IF($D750="","",IFERROR(VLOOKUP($D750,'SAMA Capital Tracker'!$A:$D,4,FALSE()),""))</f>
        <v/>
      </c>
      <c r="H750" s="22"/>
    </row>
    <row r="751" spans="1:8">
      <c r="A751" s="21"/>
      <c r="B751" s="22"/>
      <c r="C751" s="22"/>
      <c r="D751" s="22"/>
      <c r="E751" s="23" t="str">
        <f>IF($D751="","",IFERROR(VLOOKUP($D751,'SAMA Capital Tracker'!$A:$H,8,FALSE()),""))</f>
        <v/>
      </c>
      <c r="F751" s="24"/>
      <c r="G751" s="25" t="str">
        <f>IF($D751="","",IFERROR(VLOOKUP($D751,'SAMA Capital Tracker'!$A:$D,4,FALSE()),""))</f>
        <v/>
      </c>
      <c r="H751" s="22"/>
    </row>
    <row r="752" spans="1:8">
      <c r="A752" s="21"/>
      <c r="B752" s="22"/>
      <c r="C752" s="22"/>
      <c r="D752" s="22"/>
      <c r="E752" s="23" t="str">
        <f>IF($D752="","",IFERROR(VLOOKUP($D752,'SAMA Capital Tracker'!$A:$H,8,FALSE()),""))</f>
        <v/>
      </c>
      <c r="F752" s="24"/>
      <c r="G752" s="25" t="str">
        <f>IF($D752="","",IFERROR(VLOOKUP($D752,'SAMA Capital Tracker'!$A:$D,4,FALSE()),""))</f>
        <v/>
      </c>
      <c r="H752" s="22"/>
    </row>
    <row r="753" spans="1:8">
      <c r="A753" s="21"/>
      <c r="B753" s="22"/>
      <c r="C753" s="22"/>
      <c r="D753" s="22"/>
      <c r="E753" s="23" t="str">
        <f>IF($D753="","",IFERROR(VLOOKUP($D753,'SAMA Capital Tracker'!$A:$H,8,FALSE()),""))</f>
        <v/>
      </c>
      <c r="F753" s="24"/>
      <c r="G753" s="25" t="str">
        <f>IF($D753="","",IFERROR(VLOOKUP($D753,'SAMA Capital Tracker'!$A:$D,4,FALSE()),""))</f>
        <v/>
      </c>
      <c r="H753" s="22"/>
    </row>
    <row r="754" spans="1:8">
      <c r="A754" s="21"/>
      <c r="B754" s="22"/>
      <c r="C754" s="22"/>
      <c r="D754" s="22"/>
      <c r="E754" s="23" t="str">
        <f>IF($D754="","",IFERROR(VLOOKUP($D754,'SAMA Capital Tracker'!$A:$H,8,FALSE()),""))</f>
        <v/>
      </c>
      <c r="F754" s="24"/>
      <c r="G754" s="25" t="str">
        <f>IF($D754="","",IFERROR(VLOOKUP($D754,'SAMA Capital Tracker'!$A:$D,4,FALSE()),""))</f>
        <v/>
      </c>
      <c r="H754" s="22"/>
    </row>
    <row r="755" spans="1:8">
      <c r="A755" s="21"/>
      <c r="B755" s="22"/>
      <c r="C755" s="22"/>
      <c r="D755" s="22"/>
      <c r="E755" s="23" t="str">
        <f>IF($D755="","",IFERROR(VLOOKUP($D755,'SAMA Capital Tracker'!$A:$H,8,FALSE()),""))</f>
        <v/>
      </c>
      <c r="F755" s="24"/>
      <c r="G755" s="25" t="str">
        <f>IF($D755="","",IFERROR(VLOOKUP($D755,'SAMA Capital Tracker'!$A:$D,4,FALSE()),""))</f>
        <v/>
      </c>
      <c r="H755" s="22"/>
    </row>
    <row r="756" spans="1:8">
      <c r="A756" s="21"/>
      <c r="B756" s="22"/>
      <c r="C756" s="22"/>
      <c r="D756" s="22"/>
      <c r="E756" s="23" t="str">
        <f>IF($D756="","",IFERROR(VLOOKUP($D756,'SAMA Capital Tracker'!$A:$H,8,FALSE()),""))</f>
        <v/>
      </c>
      <c r="F756" s="24"/>
      <c r="G756" s="25" t="str">
        <f>IF($D756="","",IFERROR(VLOOKUP($D756,'SAMA Capital Tracker'!$A:$D,4,FALSE()),""))</f>
        <v/>
      </c>
      <c r="H756" s="22"/>
    </row>
    <row r="757" spans="1:8">
      <c r="A757" s="21"/>
      <c r="B757" s="22"/>
      <c r="C757" s="22"/>
      <c r="D757" s="22"/>
      <c r="E757" s="23" t="str">
        <f>IF($D757="","",IFERROR(VLOOKUP($D757,'SAMA Capital Tracker'!$A:$H,8,FALSE()),""))</f>
        <v/>
      </c>
      <c r="F757" s="24"/>
      <c r="G757" s="25" t="str">
        <f>IF($D757="","",IFERROR(VLOOKUP($D757,'SAMA Capital Tracker'!$A:$D,4,FALSE()),""))</f>
        <v/>
      </c>
      <c r="H757" s="22"/>
    </row>
    <row r="758" spans="1:8">
      <c r="A758" s="21"/>
      <c r="B758" s="22"/>
      <c r="C758" s="22"/>
      <c r="D758" s="22"/>
      <c r="E758" s="23" t="str">
        <f>IF($D758="","",IFERROR(VLOOKUP($D758,'SAMA Capital Tracker'!$A:$H,8,FALSE()),""))</f>
        <v/>
      </c>
      <c r="F758" s="24"/>
      <c r="G758" s="25" t="str">
        <f>IF($D758="","",IFERROR(VLOOKUP($D758,'SAMA Capital Tracker'!$A:$D,4,FALSE()),""))</f>
        <v/>
      </c>
      <c r="H758" s="22"/>
    </row>
    <row r="759" spans="1:8">
      <c r="A759" s="21"/>
      <c r="B759" s="22"/>
      <c r="C759" s="22"/>
      <c r="D759" s="22"/>
      <c r="E759" s="23" t="str">
        <f>IF($D759="","",IFERROR(VLOOKUP($D759,'SAMA Capital Tracker'!$A:$H,8,FALSE()),""))</f>
        <v/>
      </c>
      <c r="F759" s="24"/>
      <c r="G759" s="25" t="str">
        <f>IF($D759="","",IFERROR(VLOOKUP($D759,'SAMA Capital Tracker'!$A:$D,4,FALSE()),""))</f>
        <v/>
      </c>
      <c r="H759" s="22"/>
    </row>
    <row r="760" spans="1:8">
      <c r="A760" s="21"/>
      <c r="B760" s="22"/>
      <c r="C760" s="22"/>
      <c r="D760" s="22"/>
      <c r="E760" s="23" t="str">
        <f>IF($D760="","",IFERROR(VLOOKUP($D760,'SAMA Capital Tracker'!$A:$H,8,FALSE()),""))</f>
        <v/>
      </c>
      <c r="F760" s="24"/>
      <c r="G760" s="25" t="str">
        <f>IF($D760="","",IFERROR(VLOOKUP($D760,'SAMA Capital Tracker'!$A:$D,4,FALSE()),""))</f>
        <v/>
      </c>
      <c r="H760" s="22"/>
    </row>
    <row r="761" spans="1:8">
      <c r="A761" s="21"/>
      <c r="B761" s="22"/>
      <c r="C761" s="22"/>
      <c r="D761" s="22"/>
      <c r="E761" s="23" t="str">
        <f>IF($D761="","",IFERROR(VLOOKUP($D761,'SAMA Capital Tracker'!$A:$H,8,FALSE()),""))</f>
        <v/>
      </c>
      <c r="F761" s="24"/>
      <c r="G761" s="25" t="str">
        <f>IF($D761="","",IFERROR(VLOOKUP($D761,'SAMA Capital Tracker'!$A:$D,4,FALSE()),""))</f>
        <v/>
      </c>
      <c r="H761" s="22"/>
    </row>
    <row r="762" spans="1:8">
      <c r="A762" s="21"/>
      <c r="B762" s="22"/>
      <c r="C762" s="22"/>
      <c r="D762" s="22"/>
      <c r="E762" s="23" t="str">
        <f>IF($D762="","",IFERROR(VLOOKUP($D762,'SAMA Capital Tracker'!$A:$H,8,FALSE()),""))</f>
        <v/>
      </c>
      <c r="F762" s="24"/>
      <c r="G762" s="25" t="str">
        <f>IF($D762="","",IFERROR(VLOOKUP($D762,'SAMA Capital Tracker'!$A:$D,4,FALSE()),""))</f>
        <v/>
      </c>
      <c r="H762" s="22"/>
    </row>
    <row r="763" spans="1:8">
      <c r="A763" s="21"/>
      <c r="B763" s="22"/>
      <c r="C763" s="22"/>
      <c r="D763" s="22"/>
      <c r="E763" s="23" t="str">
        <f>IF($D763="","",IFERROR(VLOOKUP($D763,'SAMA Capital Tracker'!$A:$H,8,FALSE()),""))</f>
        <v/>
      </c>
      <c r="F763" s="24"/>
      <c r="G763" s="25" t="str">
        <f>IF($D763="","",IFERROR(VLOOKUP($D763,'SAMA Capital Tracker'!$A:$D,4,FALSE()),""))</f>
        <v/>
      </c>
      <c r="H763" s="22"/>
    </row>
    <row r="764" spans="1:8">
      <c r="A764" s="21"/>
      <c r="B764" s="22"/>
      <c r="C764" s="22"/>
      <c r="D764" s="22"/>
      <c r="E764" s="23" t="str">
        <f>IF($D764="","",IFERROR(VLOOKUP($D764,'SAMA Capital Tracker'!$A:$H,8,FALSE()),""))</f>
        <v/>
      </c>
      <c r="F764" s="24"/>
      <c r="G764" s="25" t="str">
        <f>IF($D764="","",IFERROR(VLOOKUP($D764,'SAMA Capital Tracker'!$A:$D,4,FALSE()),""))</f>
        <v/>
      </c>
      <c r="H764" s="22"/>
    </row>
    <row r="765" spans="1:8">
      <c r="A765" s="21"/>
      <c r="B765" s="22"/>
      <c r="C765" s="22"/>
      <c r="D765" s="22"/>
      <c r="E765" s="23" t="str">
        <f>IF($D765="","",IFERROR(VLOOKUP($D765,'SAMA Capital Tracker'!$A:$H,8,FALSE()),""))</f>
        <v/>
      </c>
      <c r="F765" s="24"/>
      <c r="G765" s="25" t="str">
        <f>IF($D765="","",IFERROR(VLOOKUP($D765,'SAMA Capital Tracker'!$A:$D,4,FALSE()),""))</f>
        <v/>
      </c>
      <c r="H765" s="22"/>
    </row>
    <row r="766" spans="1:8">
      <c r="A766" s="21"/>
      <c r="B766" s="22"/>
      <c r="C766" s="22"/>
      <c r="D766" s="22"/>
      <c r="E766" s="23" t="str">
        <f>IF($D766="","",IFERROR(VLOOKUP($D766,'SAMA Capital Tracker'!$A:$H,8,FALSE()),""))</f>
        <v/>
      </c>
      <c r="F766" s="24"/>
      <c r="G766" s="25" t="str">
        <f>IF($D766="","",IFERROR(VLOOKUP($D766,'SAMA Capital Tracker'!$A:$D,4,FALSE()),""))</f>
        <v/>
      </c>
      <c r="H766" s="22"/>
    </row>
    <row r="767" spans="1:8">
      <c r="A767" s="21"/>
      <c r="B767" s="22"/>
      <c r="C767" s="22"/>
      <c r="D767" s="22"/>
      <c r="E767" s="23" t="str">
        <f>IF($D767="","",IFERROR(VLOOKUP($D767,'SAMA Capital Tracker'!$A:$H,8,FALSE()),""))</f>
        <v/>
      </c>
      <c r="F767" s="24"/>
      <c r="G767" s="25" t="str">
        <f>IF($D767="","",IFERROR(VLOOKUP($D767,'SAMA Capital Tracker'!$A:$D,4,FALSE()),""))</f>
        <v/>
      </c>
      <c r="H767" s="22"/>
    </row>
    <row r="768" spans="1:8">
      <c r="A768" s="21"/>
      <c r="B768" s="22"/>
      <c r="C768" s="22"/>
      <c r="D768" s="22"/>
      <c r="E768" s="23" t="str">
        <f>IF($D768="","",IFERROR(VLOOKUP($D768,'SAMA Capital Tracker'!$A:$H,8,FALSE()),""))</f>
        <v/>
      </c>
      <c r="F768" s="24"/>
      <c r="G768" s="25" t="str">
        <f>IF($D768="","",IFERROR(VLOOKUP($D768,'SAMA Capital Tracker'!$A:$D,4,FALSE()),""))</f>
        <v/>
      </c>
      <c r="H768" s="22"/>
    </row>
    <row r="769" spans="1:8">
      <c r="A769" s="21"/>
      <c r="B769" s="22"/>
      <c r="C769" s="22"/>
      <c r="D769" s="22"/>
      <c r="E769" s="23" t="str">
        <f>IF($D769="","",IFERROR(VLOOKUP($D769,'SAMA Capital Tracker'!$A:$H,8,FALSE()),""))</f>
        <v/>
      </c>
      <c r="F769" s="24"/>
      <c r="G769" s="25" t="str">
        <f>IF($D769="","",IFERROR(VLOOKUP($D769,'SAMA Capital Tracker'!$A:$D,4,FALSE()),""))</f>
        <v/>
      </c>
      <c r="H769" s="22"/>
    </row>
    <row r="770" spans="1:8">
      <c r="A770" s="21"/>
      <c r="B770" s="22"/>
      <c r="C770" s="22"/>
      <c r="D770" s="22"/>
      <c r="E770" s="23" t="str">
        <f>IF($D770="","",IFERROR(VLOOKUP($D770,'SAMA Capital Tracker'!$A:$H,8,FALSE()),""))</f>
        <v/>
      </c>
      <c r="F770" s="24"/>
      <c r="G770" s="25" t="str">
        <f>IF($D770="","",IFERROR(VLOOKUP($D770,'SAMA Capital Tracker'!$A:$D,4,FALSE()),""))</f>
        <v/>
      </c>
      <c r="H770" s="22"/>
    </row>
    <row r="771" spans="1:8">
      <c r="A771" s="21"/>
      <c r="B771" s="22"/>
      <c r="C771" s="22"/>
      <c r="D771" s="22"/>
      <c r="E771" s="23" t="str">
        <f>IF($D771="","",IFERROR(VLOOKUP($D771,'SAMA Capital Tracker'!$A:$H,8,FALSE()),""))</f>
        <v/>
      </c>
      <c r="F771" s="24"/>
      <c r="G771" s="25" t="str">
        <f>IF($D771="","",IFERROR(VLOOKUP($D771,'SAMA Capital Tracker'!$A:$D,4,FALSE()),""))</f>
        <v/>
      </c>
      <c r="H771" s="22"/>
    </row>
    <row r="772" spans="1:8">
      <c r="A772" s="21"/>
      <c r="B772" s="22"/>
      <c r="C772" s="22"/>
      <c r="D772" s="22"/>
      <c r="E772" s="23" t="str">
        <f>IF($D772="","",IFERROR(VLOOKUP($D772,'SAMA Capital Tracker'!$A:$H,8,FALSE()),""))</f>
        <v/>
      </c>
      <c r="F772" s="24"/>
      <c r="G772" s="25" t="str">
        <f>IF($D772="","",IFERROR(VLOOKUP($D772,'SAMA Capital Tracker'!$A:$D,4,FALSE()),""))</f>
        <v/>
      </c>
      <c r="H772" s="22"/>
    </row>
    <row r="773" spans="1:8">
      <c r="A773" s="21"/>
      <c r="B773" s="22"/>
      <c r="C773" s="22"/>
      <c r="D773" s="22"/>
      <c r="E773" s="23" t="str">
        <f>IF($D773="","",IFERROR(VLOOKUP($D773,'SAMA Capital Tracker'!$A:$H,8,FALSE()),""))</f>
        <v/>
      </c>
      <c r="F773" s="24"/>
      <c r="G773" s="25" t="str">
        <f>IF($D773="","",IFERROR(VLOOKUP($D773,'SAMA Capital Tracker'!$A:$D,4,FALSE()),""))</f>
        <v/>
      </c>
      <c r="H773" s="22"/>
    </row>
    <row r="774" spans="1:8">
      <c r="A774" s="21"/>
      <c r="B774" s="22"/>
      <c r="C774" s="22"/>
      <c r="D774" s="22"/>
      <c r="E774" s="23" t="str">
        <f>IF($D774="","",IFERROR(VLOOKUP($D774,'SAMA Capital Tracker'!$A:$H,8,FALSE()),""))</f>
        <v/>
      </c>
      <c r="F774" s="24"/>
      <c r="G774" s="25" t="str">
        <f>IF($D774="","",IFERROR(VLOOKUP($D774,'SAMA Capital Tracker'!$A:$D,4,FALSE()),""))</f>
        <v/>
      </c>
      <c r="H774" s="22"/>
    </row>
    <row r="775" spans="1:8">
      <c r="A775" s="21"/>
      <c r="B775" s="22"/>
      <c r="C775" s="22"/>
      <c r="D775" s="22"/>
      <c r="E775" s="23" t="str">
        <f>IF($D775="","",IFERROR(VLOOKUP($D775,'SAMA Capital Tracker'!$A:$H,8,FALSE()),""))</f>
        <v/>
      </c>
      <c r="F775" s="24"/>
      <c r="G775" s="25" t="str">
        <f>IF($D775="","",IFERROR(VLOOKUP($D775,'SAMA Capital Tracker'!$A:$D,4,FALSE()),""))</f>
        <v/>
      </c>
      <c r="H775" s="22"/>
    </row>
    <row r="776" spans="1:8">
      <c r="A776" s="21"/>
      <c r="B776" s="22"/>
      <c r="C776" s="22"/>
      <c r="D776" s="22"/>
      <c r="E776" s="23" t="str">
        <f>IF($D776="","",IFERROR(VLOOKUP($D776,'SAMA Capital Tracker'!$A:$H,8,FALSE()),""))</f>
        <v/>
      </c>
      <c r="F776" s="24"/>
      <c r="G776" s="25" t="str">
        <f>IF($D776="","",IFERROR(VLOOKUP($D776,'SAMA Capital Tracker'!$A:$D,4,FALSE()),""))</f>
        <v/>
      </c>
      <c r="H776" s="22"/>
    </row>
    <row r="777" spans="1:8">
      <c r="A777" s="21"/>
      <c r="B777" s="22"/>
      <c r="C777" s="22"/>
      <c r="D777" s="22"/>
      <c r="E777" s="23" t="str">
        <f>IF($D777="","",IFERROR(VLOOKUP($D777,'SAMA Capital Tracker'!$A:$H,8,FALSE()),""))</f>
        <v/>
      </c>
      <c r="F777" s="24"/>
      <c r="G777" s="25" t="str">
        <f>IF($D777="","",IFERROR(VLOOKUP($D777,'SAMA Capital Tracker'!$A:$D,4,FALSE()),""))</f>
        <v/>
      </c>
      <c r="H777" s="22"/>
    </row>
    <row r="778" spans="1:8">
      <c r="A778" s="21"/>
      <c r="B778" s="22"/>
      <c r="C778" s="22"/>
      <c r="D778" s="22"/>
      <c r="E778" s="23" t="str">
        <f>IF($D778="","",IFERROR(VLOOKUP($D778,'SAMA Capital Tracker'!$A:$H,8,FALSE()),""))</f>
        <v/>
      </c>
      <c r="F778" s="24"/>
      <c r="G778" s="25" t="str">
        <f>IF($D778="","",IFERROR(VLOOKUP($D778,'SAMA Capital Tracker'!$A:$D,4,FALSE()),""))</f>
        <v/>
      </c>
      <c r="H778" s="22"/>
    </row>
    <row r="779" spans="1:8">
      <c r="A779" s="21"/>
      <c r="B779" s="22"/>
      <c r="C779" s="22"/>
      <c r="D779" s="22"/>
      <c r="E779" s="23" t="str">
        <f>IF($D779="","",IFERROR(VLOOKUP($D779,'SAMA Capital Tracker'!$A:$H,8,FALSE()),""))</f>
        <v/>
      </c>
      <c r="F779" s="24"/>
      <c r="G779" s="25" t="str">
        <f>IF($D779="","",IFERROR(VLOOKUP($D779,'SAMA Capital Tracker'!$A:$D,4,FALSE()),""))</f>
        <v/>
      </c>
      <c r="H779" s="22"/>
    </row>
    <row r="780" spans="1:8">
      <c r="A780" s="21"/>
      <c r="B780" s="22"/>
      <c r="C780" s="22"/>
      <c r="D780" s="22"/>
      <c r="E780" s="23" t="str">
        <f>IF($D780="","",IFERROR(VLOOKUP($D780,'SAMA Capital Tracker'!$A:$H,8,FALSE()),""))</f>
        <v/>
      </c>
      <c r="F780" s="24"/>
      <c r="G780" s="25" t="str">
        <f>IF($D780="","",IFERROR(VLOOKUP($D780,'SAMA Capital Tracker'!$A:$D,4,FALSE()),""))</f>
        <v/>
      </c>
      <c r="H780" s="22"/>
    </row>
    <row r="781" spans="1:8">
      <c r="A781" s="21"/>
      <c r="B781" s="22"/>
      <c r="C781" s="22"/>
      <c r="D781" s="22"/>
      <c r="E781" s="23" t="str">
        <f>IF($D781="","",IFERROR(VLOOKUP($D781,'SAMA Capital Tracker'!$A:$H,8,FALSE()),""))</f>
        <v/>
      </c>
      <c r="F781" s="24"/>
      <c r="G781" s="25" t="str">
        <f>IF($D781="","",IFERROR(VLOOKUP($D781,'SAMA Capital Tracker'!$A:$D,4,FALSE()),""))</f>
        <v/>
      </c>
      <c r="H781" s="22"/>
    </row>
    <row r="782" spans="1:8">
      <c r="A782" s="21"/>
      <c r="B782" s="22"/>
      <c r="C782" s="22"/>
      <c r="D782" s="22"/>
      <c r="E782" s="23" t="str">
        <f>IF($D782="","",IFERROR(VLOOKUP($D782,'SAMA Capital Tracker'!$A:$H,8,FALSE()),""))</f>
        <v/>
      </c>
      <c r="F782" s="24"/>
      <c r="G782" s="25" t="str">
        <f>IF($D782="","",IFERROR(VLOOKUP($D782,'SAMA Capital Tracker'!$A:$D,4,FALSE()),""))</f>
        <v/>
      </c>
      <c r="H782" s="22"/>
    </row>
    <row r="783" spans="1:8">
      <c r="A783" s="21"/>
      <c r="B783" s="22"/>
      <c r="C783" s="22"/>
      <c r="D783" s="22"/>
      <c r="E783" s="23" t="str">
        <f>IF($D783="","",IFERROR(VLOOKUP($D783,'SAMA Capital Tracker'!$A:$H,8,FALSE()),""))</f>
        <v/>
      </c>
      <c r="F783" s="24"/>
      <c r="G783" s="25" t="str">
        <f>IF($D783="","",IFERROR(VLOOKUP($D783,'SAMA Capital Tracker'!$A:$D,4,FALSE()),""))</f>
        <v/>
      </c>
      <c r="H783" s="22"/>
    </row>
    <row r="784" spans="1:8">
      <c r="A784" s="21"/>
      <c r="B784" s="22"/>
      <c r="C784" s="22"/>
      <c r="D784" s="22"/>
      <c r="E784" s="23" t="str">
        <f>IF($D784="","",IFERROR(VLOOKUP($D784,'SAMA Capital Tracker'!$A:$H,8,FALSE()),""))</f>
        <v/>
      </c>
      <c r="F784" s="24"/>
      <c r="G784" s="25" t="str">
        <f>IF($D784="","",IFERROR(VLOOKUP($D784,'SAMA Capital Tracker'!$A:$D,4,FALSE()),""))</f>
        <v/>
      </c>
      <c r="H784" s="22"/>
    </row>
    <row r="785" spans="1:8">
      <c r="A785" s="21"/>
      <c r="B785" s="22"/>
      <c r="C785" s="22"/>
      <c r="D785" s="22"/>
      <c r="E785" s="23" t="str">
        <f>IF($D785="","",IFERROR(VLOOKUP($D785,'SAMA Capital Tracker'!$A:$H,8,FALSE()),""))</f>
        <v/>
      </c>
      <c r="F785" s="24"/>
      <c r="G785" s="25" t="str">
        <f>IF($D785="","",IFERROR(VLOOKUP($D785,'SAMA Capital Tracker'!$A:$D,4,FALSE()),""))</f>
        <v/>
      </c>
      <c r="H785" s="22"/>
    </row>
    <row r="786" spans="1:8">
      <c r="A786" s="21"/>
      <c r="B786" s="22"/>
      <c r="C786" s="22"/>
      <c r="D786" s="22"/>
      <c r="E786" s="23" t="str">
        <f>IF($D786="","",IFERROR(VLOOKUP($D786,'SAMA Capital Tracker'!$A:$H,8,FALSE()),""))</f>
        <v/>
      </c>
      <c r="F786" s="24"/>
      <c r="G786" s="25" t="str">
        <f>IF($D786="","",IFERROR(VLOOKUP($D786,'SAMA Capital Tracker'!$A:$D,4,FALSE()),""))</f>
        <v/>
      </c>
      <c r="H786" s="22"/>
    </row>
    <row r="787" spans="1:8">
      <c r="A787" s="21"/>
      <c r="B787" s="22"/>
      <c r="C787" s="22"/>
      <c r="D787" s="22"/>
      <c r="E787" s="23" t="str">
        <f>IF($D787="","",IFERROR(VLOOKUP($D787,'SAMA Capital Tracker'!$A:$H,8,FALSE()),""))</f>
        <v/>
      </c>
      <c r="F787" s="24"/>
      <c r="G787" s="25" t="str">
        <f>IF($D787="","",IFERROR(VLOOKUP($D787,'SAMA Capital Tracker'!$A:$D,4,FALSE()),""))</f>
        <v/>
      </c>
      <c r="H787" s="22"/>
    </row>
    <row r="788" spans="1:8">
      <c r="A788" s="21"/>
      <c r="B788" s="22"/>
      <c r="C788" s="22"/>
      <c r="D788" s="22"/>
      <c r="E788" s="23" t="str">
        <f>IF($D788="","",IFERROR(VLOOKUP($D788,'SAMA Capital Tracker'!$A:$H,8,FALSE()),""))</f>
        <v/>
      </c>
      <c r="F788" s="24"/>
      <c r="G788" s="25" t="str">
        <f>IF($D788="","",IFERROR(VLOOKUP($D788,'SAMA Capital Tracker'!$A:$D,4,FALSE()),""))</f>
        <v/>
      </c>
      <c r="H788" s="22"/>
    </row>
    <row r="789" spans="1:8">
      <c r="A789" s="21"/>
      <c r="B789" s="22"/>
      <c r="C789" s="22"/>
      <c r="D789" s="22"/>
      <c r="E789" s="23" t="str">
        <f>IF($D789="","",IFERROR(VLOOKUP($D789,'SAMA Capital Tracker'!$A:$H,8,FALSE()),""))</f>
        <v/>
      </c>
      <c r="F789" s="24"/>
      <c r="G789" s="25" t="str">
        <f>IF($D789="","",IFERROR(VLOOKUP($D789,'SAMA Capital Tracker'!$A:$D,4,FALSE()),""))</f>
        <v/>
      </c>
      <c r="H789" s="22"/>
    </row>
    <row r="790" spans="1:8">
      <c r="A790" s="21"/>
      <c r="B790" s="22"/>
      <c r="C790" s="22"/>
      <c r="D790" s="22"/>
      <c r="E790" s="23" t="str">
        <f>IF($D790="","",IFERROR(VLOOKUP($D790,'SAMA Capital Tracker'!$A:$H,8,FALSE()),""))</f>
        <v/>
      </c>
      <c r="F790" s="24"/>
      <c r="G790" s="25" t="str">
        <f>IF($D790="","",IFERROR(VLOOKUP($D790,'SAMA Capital Tracker'!$A:$D,4,FALSE()),""))</f>
        <v/>
      </c>
      <c r="H790" s="22"/>
    </row>
    <row r="791" spans="1:8">
      <c r="A791" s="21"/>
      <c r="B791" s="22"/>
      <c r="C791" s="22"/>
      <c r="D791" s="22"/>
      <c r="E791" s="23" t="str">
        <f>IF($D791="","",IFERROR(VLOOKUP($D791,'SAMA Capital Tracker'!$A:$H,8,FALSE()),""))</f>
        <v/>
      </c>
      <c r="F791" s="24"/>
      <c r="G791" s="25" t="str">
        <f>IF($D791="","",IFERROR(VLOOKUP($D791,'SAMA Capital Tracker'!$A:$D,4,FALSE()),""))</f>
        <v/>
      </c>
      <c r="H791" s="22"/>
    </row>
    <row r="792" spans="1:8">
      <c r="A792" s="21"/>
      <c r="B792" s="22"/>
      <c r="C792" s="22"/>
      <c r="D792" s="22"/>
      <c r="E792" s="23" t="str">
        <f>IF($D792="","",IFERROR(VLOOKUP($D792,'SAMA Capital Tracker'!$A:$H,8,FALSE()),""))</f>
        <v/>
      </c>
      <c r="F792" s="24"/>
      <c r="G792" s="25" t="str">
        <f>IF($D792="","",IFERROR(VLOOKUP($D792,'SAMA Capital Tracker'!$A:$D,4,FALSE()),""))</f>
        <v/>
      </c>
      <c r="H792" s="22"/>
    </row>
    <row r="793" spans="1:8">
      <c r="A793" s="21"/>
      <c r="B793" s="22"/>
      <c r="C793" s="22"/>
      <c r="D793" s="22"/>
      <c r="E793" s="23" t="str">
        <f>IF($D793="","",IFERROR(VLOOKUP($D793,'SAMA Capital Tracker'!$A:$H,8,FALSE()),""))</f>
        <v/>
      </c>
      <c r="F793" s="24"/>
      <c r="G793" s="25" t="str">
        <f>IF($D793="","",IFERROR(VLOOKUP($D793,'SAMA Capital Tracker'!$A:$D,4,FALSE()),""))</f>
        <v/>
      </c>
      <c r="H793" s="22"/>
    </row>
    <row r="794" spans="1:8">
      <c r="A794" s="21"/>
      <c r="B794" s="22"/>
      <c r="C794" s="22"/>
      <c r="D794" s="22"/>
      <c r="E794" s="23" t="str">
        <f>IF($D794="","",IFERROR(VLOOKUP($D794,'SAMA Capital Tracker'!$A:$H,8,FALSE()),""))</f>
        <v/>
      </c>
      <c r="F794" s="24"/>
      <c r="G794" s="25" t="str">
        <f>IF($D794="","",IFERROR(VLOOKUP($D794,'SAMA Capital Tracker'!$A:$D,4,FALSE()),""))</f>
        <v/>
      </c>
      <c r="H794" s="22"/>
    </row>
    <row r="795" spans="1:8">
      <c r="A795" s="21"/>
      <c r="B795" s="22"/>
      <c r="C795" s="22"/>
      <c r="D795" s="22"/>
      <c r="E795" s="23" t="str">
        <f>IF($D795="","",IFERROR(VLOOKUP($D795,'SAMA Capital Tracker'!$A:$H,8,FALSE()),""))</f>
        <v/>
      </c>
      <c r="F795" s="24"/>
      <c r="G795" s="25" t="str">
        <f>IF($D795="","",IFERROR(VLOOKUP($D795,'SAMA Capital Tracker'!$A:$D,4,FALSE()),""))</f>
        <v/>
      </c>
      <c r="H795" s="22"/>
    </row>
    <row r="796" spans="1:8">
      <c r="A796" s="21"/>
      <c r="B796" s="22"/>
      <c r="C796" s="22"/>
      <c r="D796" s="22"/>
      <c r="E796" s="23" t="str">
        <f>IF($D796="","",IFERROR(VLOOKUP($D796,'SAMA Capital Tracker'!$A:$H,8,FALSE()),""))</f>
        <v/>
      </c>
      <c r="F796" s="24"/>
      <c r="G796" s="25" t="str">
        <f>IF($D796="","",IFERROR(VLOOKUP($D796,'SAMA Capital Tracker'!$A:$D,4,FALSE()),""))</f>
        <v/>
      </c>
      <c r="H796" s="22"/>
    </row>
    <row r="797" spans="1:8">
      <c r="A797" s="21"/>
      <c r="B797" s="22"/>
      <c r="C797" s="22"/>
      <c r="D797" s="22"/>
      <c r="E797" s="23" t="str">
        <f>IF($D797="","",IFERROR(VLOOKUP($D797,'SAMA Capital Tracker'!$A:$H,8,FALSE()),""))</f>
        <v/>
      </c>
      <c r="F797" s="24"/>
      <c r="G797" s="25" t="str">
        <f>IF($D797="","",IFERROR(VLOOKUP($D797,'SAMA Capital Tracker'!$A:$D,4,FALSE()),""))</f>
        <v/>
      </c>
      <c r="H797" s="22"/>
    </row>
    <row r="798" spans="1:8">
      <c r="A798" s="21"/>
      <c r="B798" s="22"/>
      <c r="C798" s="22"/>
      <c r="D798" s="22"/>
      <c r="E798" s="23" t="str">
        <f>IF($D798="","",IFERROR(VLOOKUP($D798,'SAMA Capital Tracker'!$A:$H,8,FALSE()),""))</f>
        <v/>
      </c>
      <c r="F798" s="24"/>
      <c r="G798" s="25" t="str">
        <f>IF($D798="","",IFERROR(VLOOKUP($D798,'SAMA Capital Tracker'!$A:$D,4,FALSE()),""))</f>
        <v/>
      </c>
      <c r="H798" s="22"/>
    </row>
    <row r="799" spans="1:8">
      <c r="A799" s="21"/>
      <c r="B799" s="22"/>
      <c r="C799" s="22"/>
      <c r="D799" s="22"/>
      <c r="E799" s="23" t="str">
        <f>IF($D799="","",IFERROR(VLOOKUP($D799,'SAMA Capital Tracker'!$A:$H,8,FALSE()),""))</f>
        <v/>
      </c>
      <c r="F799" s="24"/>
      <c r="G799" s="25" t="str">
        <f>IF($D799="","",IFERROR(VLOOKUP($D799,'SAMA Capital Tracker'!$A:$D,4,FALSE()),""))</f>
        <v/>
      </c>
      <c r="H799" s="22"/>
    </row>
    <row r="800" spans="1:8">
      <c r="A800" s="21"/>
      <c r="B800" s="22"/>
      <c r="C800" s="22"/>
      <c r="D800" s="22"/>
      <c r="E800" s="23" t="str">
        <f>IF($D800="","",IFERROR(VLOOKUP($D800,'SAMA Capital Tracker'!$A:$H,8,FALSE()),""))</f>
        <v/>
      </c>
      <c r="F800" s="24"/>
      <c r="G800" s="25" t="str">
        <f>IF($D800="","",IFERROR(VLOOKUP($D800,'SAMA Capital Tracker'!$A:$D,4,FALSE()),""))</f>
        <v/>
      </c>
      <c r="H800" s="22"/>
    </row>
    <row r="801" spans="1:8">
      <c r="A801" s="21"/>
      <c r="B801" s="22"/>
      <c r="C801" s="22"/>
      <c r="D801" s="22"/>
      <c r="E801" s="23" t="str">
        <f>IF($D801="","",IFERROR(VLOOKUP($D801,'SAMA Capital Tracker'!$A:$H,8,FALSE()),""))</f>
        <v/>
      </c>
      <c r="F801" s="24"/>
      <c r="G801" s="25" t="str">
        <f>IF($D801="","",IFERROR(VLOOKUP($D801,'SAMA Capital Tracker'!$A:$D,4,FALSE()),""))</f>
        <v/>
      </c>
      <c r="H801" s="22"/>
    </row>
    <row r="802" spans="1:8">
      <c r="A802" s="21"/>
      <c r="B802" s="22"/>
      <c r="C802" s="22"/>
      <c r="D802" s="22"/>
      <c r="E802" s="23" t="str">
        <f>IF($D802="","",IFERROR(VLOOKUP($D802,'SAMA Capital Tracker'!$A:$H,8,FALSE()),""))</f>
        <v/>
      </c>
      <c r="F802" s="24"/>
      <c r="G802" s="25" t="str">
        <f>IF($D802="","",IFERROR(VLOOKUP($D802,'SAMA Capital Tracker'!$A:$D,4,FALSE()),""))</f>
        <v/>
      </c>
      <c r="H802" s="22"/>
    </row>
    <row r="803" spans="1:8">
      <c r="A803" s="21"/>
      <c r="B803" s="22"/>
      <c r="C803" s="22"/>
      <c r="D803" s="22"/>
      <c r="E803" s="23" t="str">
        <f>IF($D803="","",IFERROR(VLOOKUP($D803,'SAMA Capital Tracker'!$A:$H,8,FALSE()),""))</f>
        <v/>
      </c>
      <c r="F803" s="24"/>
      <c r="G803" s="25" t="str">
        <f>IF($D803="","",IFERROR(VLOOKUP($D803,'SAMA Capital Tracker'!$A:$D,4,FALSE()),""))</f>
        <v/>
      </c>
      <c r="H803" s="22"/>
    </row>
    <row r="804" spans="1:8">
      <c r="A804" s="21"/>
      <c r="B804" s="22"/>
      <c r="C804" s="22"/>
      <c r="D804" s="22"/>
      <c r="E804" s="23" t="str">
        <f>IF($D804="","",IFERROR(VLOOKUP($D804,'SAMA Capital Tracker'!$A:$H,8,FALSE()),""))</f>
        <v/>
      </c>
      <c r="F804" s="24"/>
      <c r="G804" s="25" t="str">
        <f>IF($D804="","",IFERROR(VLOOKUP($D804,'SAMA Capital Tracker'!$A:$D,4,FALSE()),""))</f>
        <v/>
      </c>
      <c r="H804" s="22"/>
    </row>
    <row r="805" spans="1:8">
      <c r="A805" s="21"/>
      <c r="B805" s="22"/>
      <c r="C805" s="22"/>
      <c r="D805" s="22"/>
      <c r="E805" s="23" t="str">
        <f>IF($D805="","",IFERROR(VLOOKUP($D805,'SAMA Capital Tracker'!$A:$H,8,FALSE()),""))</f>
        <v/>
      </c>
      <c r="F805" s="24"/>
      <c r="G805" s="25" t="str">
        <f>IF($D805="","",IFERROR(VLOOKUP($D805,'SAMA Capital Tracker'!$A:$D,4,FALSE()),""))</f>
        <v/>
      </c>
      <c r="H805" s="22"/>
    </row>
    <row r="806" spans="1:8">
      <c r="A806" s="21"/>
      <c r="B806" s="22"/>
      <c r="C806" s="22"/>
      <c r="D806" s="22"/>
      <c r="E806" s="23" t="str">
        <f>IF($D806="","",IFERROR(VLOOKUP($D806,'SAMA Capital Tracker'!$A:$H,8,FALSE()),""))</f>
        <v/>
      </c>
      <c r="F806" s="24"/>
      <c r="G806" s="25" t="str">
        <f>IF($D806="","",IFERROR(VLOOKUP($D806,'SAMA Capital Tracker'!$A:$D,4,FALSE()),""))</f>
        <v/>
      </c>
      <c r="H806" s="22"/>
    </row>
    <row r="807" spans="1:8">
      <c r="A807" s="21"/>
      <c r="B807" s="22"/>
      <c r="C807" s="22"/>
      <c r="D807" s="22"/>
      <c r="E807" s="23" t="str">
        <f>IF($D807="","",IFERROR(VLOOKUP($D807,'SAMA Capital Tracker'!$A:$H,8,FALSE()),""))</f>
        <v/>
      </c>
      <c r="F807" s="24"/>
      <c r="G807" s="25" t="str">
        <f>IF($D807="","",IFERROR(VLOOKUP($D807,'SAMA Capital Tracker'!$A:$D,4,FALSE()),""))</f>
        <v/>
      </c>
      <c r="H807" s="22"/>
    </row>
    <row r="808" spans="1:8">
      <c r="A808" s="21"/>
      <c r="B808" s="22"/>
      <c r="C808" s="22"/>
      <c r="D808" s="22"/>
      <c r="E808" s="23" t="str">
        <f>IF($D808="","",IFERROR(VLOOKUP($D808,'SAMA Capital Tracker'!$A:$H,8,FALSE()),""))</f>
        <v/>
      </c>
      <c r="F808" s="24"/>
      <c r="G808" s="25" t="str">
        <f>IF($D808="","",IFERROR(VLOOKUP($D808,'SAMA Capital Tracker'!$A:$D,4,FALSE()),""))</f>
        <v/>
      </c>
      <c r="H808" s="22"/>
    </row>
    <row r="809" spans="1:8">
      <c r="A809" s="21"/>
      <c r="B809" s="22"/>
      <c r="C809" s="22"/>
      <c r="D809" s="22"/>
      <c r="E809" s="23" t="str">
        <f>IF($D809="","",IFERROR(VLOOKUP($D809,'SAMA Capital Tracker'!$A:$H,8,FALSE()),""))</f>
        <v/>
      </c>
      <c r="F809" s="24"/>
      <c r="G809" s="25" t="str">
        <f>IF($D809="","",IFERROR(VLOOKUP($D809,'SAMA Capital Tracker'!$A:$D,4,FALSE()),""))</f>
        <v/>
      </c>
      <c r="H809" s="22"/>
    </row>
    <row r="810" spans="1:8">
      <c r="A810" s="21"/>
      <c r="B810" s="22"/>
      <c r="C810" s="22"/>
      <c r="D810" s="22"/>
      <c r="E810" s="23" t="str">
        <f>IF($D810="","",IFERROR(VLOOKUP($D810,'SAMA Capital Tracker'!$A:$H,8,FALSE()),""))</f>
        <v/>
      </c>
      <c r="F810" s="24"/>
      <c r="G810" s="25" t="str">
        <f>IF($D810="","",IFERROR(VLOOKUP($D810,'SAMA Capital Tracker'!$A:$D,4,FALSE()),""))</f>
        <v/>
      </c>
      <c r="H810" s="22"/>
    </row>
    <row r="811" spans="1:8">
      <c r="A811" s="21"/>
      <c r="B811" s="22"/>
      <c r="C811" s="22"/>
      <c r="D811" s="22"/>
      <c r="E811" s="23" t="str">
        <f>IF($D811="","",IFERROR(VLOOKUP($D811,'SAMA Capital Tracker'!$A:$H,8,FALSE()),""))</f>
        <v/>
      </c>
      <c r="F811" s="24"/>
      <c r="G811" s="25" t="str">
        <f>IF($D811="","",IFERROR(VLOOKUP($D811,'SAMA Capital Tracker'!$A:$D,4,FALSE()),""))</f>
        <v/>
      </c>
      <c r="H811" s="22"/>
    </row>
    <row r="812" spans="1:8">
      <c r="A812" s="21"/>
      <c r="B812" s="22"/>
      <c r="C812" s="22"/>
      <c r="D812" s="22"/>
      <c r="E812" s="23" t="str">
        <f>IF($D812="","",IFERROR(VLOOKUP($D812,'SAMA Capital Tracker'!$A:$H,8,FALSE()),""))</f>
        <v/>
      </c>
      <c r="F812" s="24"/>
      <c r="G812" s="25" t="str">
        <f>IF($D812="","",IFERROR(VLOOKUP($D812,'SAMA Capital Tracker'!$A:$D,4,FALSE()),""))</f>
        <v/>
      </c>
      <c r="H812" s="22"/>
    </row>
    <row r="813" spans="1:8">
      <c r="A813" s="21"/>
      <c r="B813" s="22"/>
      <c r="C813" s="22"/>
      <c r="D813" s="22"/>
      <c r="E813" s="23" t="str">
        <f>IF($D813="","",IFERROR(VLOOKUP($D813,'SAMA Capital Tracker'!$A:$H,8,FALSE()),""))</f>
        <v/>
      </c>
      <c r="F813" s="24"/>
      <c r="G813" s="25" t="str">
        <f>IF($D813="","",IFERROR(VLOOKUP($D813,'SAMA Capital Tracker'!$A:$D,4,FALSE()),""))</f>
        <v/>
      </c>
      <c r="H813" s="22"/>
    </row>
    <row r="814" spans="1:8">
      <c r="A814" s="21"/>
      <c r="B814" s="22"/>
      <c r="C814" s="22"/>
      <c r="D814" s="22"/>
      <c r="E814" s="23" t="str">
        <f>IF($D814="","",IFERROR(VLOOKUP($D814,'SAMA Capital Tracker'!$A:$H,8,FALSE()),""))</f>
        <v/>
      </c>
      <c r="F814" s="24"/>
      <c r="G814" s="25" t="str">
        <f>IF($D814="","",IFERROR(VLOOKUP($D814,'SAMA Capital Tracker'!$A:$D,4,FALSE()),""))</f>
        <v/>
      </c>
      <c r="H814" s="22"/>
    </row>
    <row r="815" spans="1:8">
      <c r="A815" s="21"/>
      <c r="B815" s="22"/>
      <c r="C815" s="22"/>
      <c r="D815" s="22"/>
      <c r="E815" s="23" t="str">
        <f>IF($D815="","",IFERROR(VLOOKUP($D815,'SAMA Capital Tracker'!$A:$H,8,FALSE()),""))</f>
        <v/>
      </c>
      <c r="F815" s="24"/>
      <c r="G815" s="25" t="str">
        <f>IF($D815="","",IFERROR(VLOOKUP($D815,'SAMA Capital Tracker'!$A:$D,4,FALSE()),""))</f>
        <v/>
      </c>
      <c r="H815" s="22"/>
    </row>
    <row r="816" spans="1:8">
      <c r="A816" s="21"/>
      <c r="B816" s="22"/>
      <c r="C816" s="22"/>
      <c r="D816" s="22"/>
      <c r="E816" s="23" t="str">
        <f>IF($D816="","",IFERROR(VLOOKUP($D816,'SAMA Capital Tracker'!$A:$H,8,FALSE()),""))</f>
        <v/>
      </c>
      <c r="F816" s="24"/>
      <c r="G816" s="25" t="str">
        <f>IF($D816="","",IFERROR(VLOOKUP($D816,'SAMA Capital Tracker'!$A:$D,4,FALSE()),""))</f>
        <v/>
      </c>
      <c r="H816" s="22"/>
    </row>
    <row r="817" spans="1:8">
      <c r="A817" s="21"/>
      <c r="B817" s="22"/>
      <c r="C817" s="22"/>
      <c r="D817" s="22"/>
      <c r="E817" s="23" t="str">
        <f>IF($D817="","",IFERROR(VLOOKUP($D817,'SAMA Capital Tracker'!$A:$H,8,FALSE()),""))</f>
        <v/>
      </c>
      <c r="F817" s="24"/>
      <c r="G817" s="25" t="str">
        <f>IF($D817="","",IFERROR(VLOOKUP($D817,'SAMA Capital Tracker'!$A:$D,4,FALSE()),""))</f>
        <v/>
      </c>
      <c r="H817" s="22"/>
    </row>
    <row r="818" spans="1:8">
      <c r="A818" s="21"/>
      <c r="B818" s="22"/>
      <c r="C818" s="22"/>
      <c r="D818" s="22"/>
      <c r="E818" s="23" t="str">
        <f>IF($D818="","",IFERROR(VLOOKUP($D818,'SAMA Capital Tracker'!$A:$H,8,FALSE()),""))</f>
        <v/>
      </c>
      <c r="F818" s="24"/>
      <c r="G818" s="25" t="str">
        <f>IF($D818="","",IFERROR(VLOOKUP($D818,'SAMA Capital Tracker'!$A:$D,4,FALSE()),""))</f>
        <v/>
      </c>
      <c r="H818" s="22"/>
    </row>
    <row r="819" spans="1:8">
      <c r="A819" s="21"/>
      <c r="B819" s="22"/>
      <c r="C819" s="22"/>
      <c r="D819" s="22"/>
      <c r="E819" s="23" t="str">
        <f>IF($D819="","",IFERROR(VLOOKUP($D819,'SAMA Capital Tracker'!$A:$H,8,FALSE()),""))</f>
        <v/>
      </c>
      <c r="F819" s="24"/>
      <c r="G819" s="25" t="str">
        <f>IF($D819="","",IFERROR(VLOOKUP($D819,'SAMA Capital Tracker'!$A:$D,4,FALSE()),""))</f>
        <v/>
      </c>
      <c r="H819" s="22"/>
    </row>
    <row r="820" spans="1:8">
      <c r="A820" s="21"/>
      <c r="B820" s="22"/>
      <c r="C820" s="22"/>
      <c r="D820" s="22"/>
      <c r="E820" s="23" t="str">
        <f>IF($D820="","",IFERROR(VLOOKUP($D820,'SAMA Capital Tracker'!$A:$H,8,FALSE()),""))</f>
        <v/>
      </c>
      <c r="F820" s="24"/>
      <c r="G820" s="25" t="str">
        <f>IF($D820="","",IFERROR(VLOOKUP($D820,'SAMA Capital Tracker'!$A:$D,4,FALSE()),""))</f>
        <v/>
      </c>
      <c r="H820" s="22"/>
    </row>
    <row r="821" spans="1:8">
      <c r="A821" s="21"/>
      <c r="B821" s="22"/>
      <c r="C821" s="22"/>
      <c r="D821" s="22"/>
      <c r="E821" s="23" t="str">
        <f>IF($D821="","",IFERROR(VLOOKUP($D821,'SAMA Capital Tracker'!$A:$H,8,FALSE()),""))</f>
        <v/>
      </c>
      <c r="F821" s="24"/>
      <c r="G821" s="25" t="str">
        <f>IF($D821="","",IFERROR(VLOOKUP($D821,'SAMA Capital Tracker'!$A:$D,4,FALSE()),""))</f>
        <v/>
      </c>
      <c r="H821" s="22"/>
    </row>
    <row r="822" spans="1:8">
      <c r="A822" s="21"/>
      <c r="B822" s="22"/>
      <c r="C822" s="22"/>
      <c r="D822" s="22"/>
      <c r="E822" s="23" t="str">
        <f>IF($D822="","",IFERROR(VLOOKUP($D822,'SAMA Capital Tracker'!$A:$H,8,FALSE()),""))</f>
        <v/>
      </c>
      <c r="F822" s="24"/>
      <c r="G822" s="25" t="str">
        <f>IF($D822="","",IFERROR(VLOOKUP($D822,'SAMA Capital Tracker'!$A:$D,4,FALSE()),""))</f>
        <v/>
      </c>
      <c r="H822" s="22"/>
    </row>
    <row r="823" spans="1:8">
      <c r="A823" s="21"/>
      <c r="B823" s="22"/>
      <c r="C823" s="22"/>
      <c r="D823" s="22"/>
      <c r="E823" s="23" t="str">
        <f>IF($D823="","",IFERROR(VLOOKUP($D823,'SAMA Capital Tracker'!$A:$H,8,FALSE()),""))</f>
        <v/>
      </c>
      <c r="F823" s="24"/>
      <c r="G823" s="25" t="str">
        <f>IF($D823="","",IFERROR(VLOOKUP($D823,'SAMA Capital Tracker'!$A:$D,4,FALSE()),""))</f>
        <v/>
      </c>
      <c r="H823" s="22"/>
    </row>
    <row r="824" spans="1:8">
      <c r="A824" s="21"/>
      <c r="B824" s="22"/>
      <c r="C824" s="22"/>
      <c r="D824" s="22"/>
      <c r="E824" s="23" t="str">
        <f>IF($D824="","",IFERROR(VLOOKUP($D824,'SAMA Capital Tracker'!$A:$H,8,FALSE()),""))</f>
        <v/>
      </c>
      <c r="F824" s="24"/>
      <c r="G824" s="25" t="str">
        <f>IF($D824="","",IFERROR(VLOOKUP($D824,'SAMA Capital Tracker'!$A:$D,4,FALSE()),""))</f>
        <v/>
      </c>
      <c r="H824" s="22"/>
    </row>
    <row r="825" spans="1:8">
      <c r="A825" s="21"/>
      <c r="B825" s="22"/>
      <c r="C825" s="22"/>
      <c r="D825" s="22"/>
      <c r="E825" s="23" t="str">
        <f>IF($D825="","",IFERROR(VLOOKUP($D825,'SAMA Capital Tracker'!$A:$H,8,FALSE()),""))</f>
        <v/>
      </c>
      <c r="F825" s="24"/>
      <c r="G825" s="25" t="str">
        <f>IF($D825="","",IFERROR(VLOOKUP($D825,'SAMA Capital Tracker'!$A:$D,4,FALSE()),""))</f>
        <v/>
      </c>
      <c r="H825" s="22"/>
    </row>
    <row r="826" spans="1:8">
      <c r="A826" s="21"/>
      <c r="B826" s="22"/>
      <c r="C826" s="22"/>
      <c r="D826" s="22"/>
      <c r="E826" s="23" t="str">
        <f>IF($D826="","",IFERROR(VLOOKUP($D826,'SAMA Capital Tracker'!$A:$H,8,FALSE()),""))</f>
        <v/>
      </c>
      <c r="F826" s="24"/>
      <c r="G826" s="25" t="str">
        <f>IF($D826="","",IFERROR(VLOOKUP($D826,'SAMA Capital Tracker'!$A:$D,4,FALSE()),""))</f>
        <v/>
      </c>
      <c r="H826" s="22"/>
    </row>
    <row r="827" spans="1:8">
      <c r="A827" s="21"/>
      <c r="B827" s="22"/>
      <c r="C827" s="22"/>
      <c r="D827" s="22"/>
      <c r="E827" s="23" t="str">
        <f>IF($D827="","",IFERROR(VLOOKUP($D827,'SAMA Capital Tracker'!$A:$H,8,FALSE()),""))</f>
        <v/>
      </c>
      <c r="F827" s="24"/>
      <c r="G827" s="25" t="str">
        <f>IF($D827="","",IFERROR(VLOOKUP($D827,'SAMA Capital Tracker'!$A:$D,4,FALSE()),""))</f>
        <v/>
      </c>
      <c r="H827" s="22"/>
    </row>
    <row r="828" spans="1:8">
      <c r="A828" s="21"/>
      <c r="B828" s="22"/>
      <c r="C828" s="22"/>
      <c r="D828" s="22"/>
      <c r="E828" s="23" t="str">
        <f>IF($D828="","",IFERROR(VLOOKUP($D828,'SAMA Capital Tracker'!$A:$H,8,FALSE()),""))</f>
        <v/>
      </c>
      <c r="F828" s="24"/>
      <c r="G828" s="25" t="str">
        <f>IF($D828="","",IFERROR(VLOOKUP($D828,'SAMA Capital Tracker'!$A:$D,4,FALSE()),""))</f>
        <v/>
      </c>
      <c r="H828" s="22"/>
    </row>
    <row r="829" spans="1:8">
      <c r="A829" s="21"/>
      <c r="B829" s="22"/>
      <c r="C829" s="22"/>
      <c r="D829" s="22"/>
      <c r="E829" s="23" t="str">
        <f>IF($D829="","",IFERROR(VLOOKUP($D829,'SAMA Capital Tracker'!$A:$H,8,FALSE()),""))</f>
        <v/>
      </c>
      <c r="F829" s="24"/>
      <c r="G829" s="25" t="str">
        <f>IF($D829="","",IFERROR(VLOOKUP($D829,'SAMA Capital Tracker'!$A:$D,4,FALSE()),""))</f>
        <v/>
      </c>
      <c r="H829" s="22"/>
    </row>
    <row r="830" spans="1:8">
      <c r="A830" s="21"/>
      <c r="B830" s="22"/>
      <c r="C830" s="22"/>
      <c r="D830" s="22"/>
      <c r="E830" s="23" t="str">
        <f>IF($D830="","",IFERROR(VLOOKUP($D830,'SAMA Capital Tracker'!$A:$H,8,FALSE()),""))</f>
        <v/>
      </c>
      <c r="F830" s="24"/>
      <c r="G830" s="25" t="str">
        <f>IF($D830="","",IFERROR(VLOOKUP($D830,'SAMA Capital Tracker'!$A:$D,4,FALSE()),""))</f>
        <v/>
      </c>
      <c r="H830" s="22"/>
    </row>
    <row r="831" spans="1:8">
      <c r="A831" s="21"/>
      <c r="B831" s="22"/>
      <c r="C831" s="22"/>
      <c r="D831" s="22"/>
      <c r="E831" s="23" t="str">
        <f>IF($D831="","",IFERROR(VLOOKUP($D831,'SAMA Capital Tracker'!$A:$H,8,FALSE()),""))</f>
        <v/>
      </c>
      <c r="F831" s="24"/>
      <c r="G831" s="25" t="str">
        <f>IF($D831="","",IFERROR(VLOOKUP($D831,'SAMA Capital Tracker'!$A:$D,4,FALSE()),""))</f>
        <v/>
      </c>
      <c r="H831" s="22"/>
    </row>
    <row r="832" spans="1:8">
      <c r="A832" s="21"/>
      <c r="B832" s="22"/>
      <c r="C832" s="22"/>
      <c r="D832" s="22"/>
      <c r="E832" s="23" t="str">
        <f>IF($D832="","",IFERROR(VLOOKUP($D832,'SAMA Capital Tracker'!$A:$H,8,FALSE()),""))</f>
        <v/>
      </c>
      <c r="F832" s="24"/>
      <c r="G832" s="25" t="str">
        <f>IF($D832="","",IFERROR(VLOOKUP($D832,'SAMA Capital Tracker'!$A:$D,4,FALSE()),""))</f>
        <v/>
      </c>
      <c r="H832" s="22"/>
    </row>
    <row r="833" spans="1:8">
      <c r="A833" s="21"/>
      <c r="B833" s="22"/>
      <c r="C833" s="22"/>
      <c r="D833" s="22"/>
      <c r="E833" s="23" t="str">
        <f>IF($D833="","",IFERROR(VLOOKUP($D833,'SAMA Capital Tracker'!$A:$H,8,FALSE()),""))</f>
        <v/>
      </c>
      <c r="F833" s="24"/>
      <c r="G833" s="25" t="str">
        <f>IF($D833="","",IFERROR(VLOOKUP($D833,'SAMA Capital Tracker'!$A:$D,4,FALSE()),""))</f>
        <v/>
      </c>
      <c r="H833" s="22"/>
    </row>
    <row r="834" spans="1:8">
      <c r="A834" s="21"/>
      <c r="B834" s="22"/>
      <c r="C834" s="22"/>
      <c r="D834" s="22"/>
      <c r="E834" s="23" t="str">
        <f>IF($D834="","",IFERROR(VLOOKUP($D834,'SAMA Capital Tracker'!$A:$H,8,FALSE()),""))</f>
        <v/>
      </c>
      <c r="F834" s="24"/>
      <c r="G834" s="25" t="str">
        <f>IF($D834="","",IFERROR(VLOOKUP($D834,'SAMA Capital Tracker'!$A:$D,4,FALSE()),""))</f>
        <v/>
      </c>
      <c r="H834" s="22"/>
    </row>
    <row r="835" spans="1:8">
      <c r="A835" s="21"/>
      <c r="B835" s="22"/>
      <c r="C835" s="22"/>
      <c r="D835" s="22"/>
      <c r="E835" s="23" t="str">
        <f>IF($D835="","",IFERROR(VLOOKUP($D835,'SAMA Capital Tracker'!$A:$H,8,FALSE()),""))</f>
        <v/>
      </c>
      <c r="F835" s="24"/>
      <c r="G835" s="25" t="str">
        <f>IF($D835="","",IFERROR(VLOOKUP($D835,'SAMA Capital Tracker'!$A:$D,4,FALSE()),""))</f>
        <v/>
      </c>
      <c r="H835" s="22"/>
    </row>
    <row r="836" spans="1:8">
      <c r="A836" s="21"/>
      <c r="B836" s="22"/>
      <c r="C836" s="22"/>
      <c r="D836" s="22"/>
      <c r="E836" s="23" t="str">
        <f>IF($D836="","",IFERROR(VLOOKUP($D836,'SAMA Capital Tracker'!$A:$H,8,FALSE()),""))</f>
        <v/>
      </c>
      <c r="F836" s="24"/>
      <c r="G836" s="25" t="str">
        <f>IF($D836="","",IFERROR(VLOOKUP($D836,'SAMA Capital Tracker'!$A:$D,4,FALSE()),""))</f>
        <v/>
      </c>
      <c r="H836" s="22"/>
    </row>
    <row r="837" spans="1:8">
      <c r="A837" s="21"/>
      <c r="B837" s="22"/>
      <c r="C837" s="22"/>
      <c r="D837" s="22"/>
      <c r="E837" s="23" t="str">
        <f>IF($D837="","",IFERROR(VLOOKUP($D837,'SAMA Capital Tracker'!$A:$H,8,FALSE()),""))</f>
        <v/>
      </c>
      <c r="F837" s="24"/>
      <c r="G837" s="25" t="str">
        <f>IF($D837="","",IFERROR(VLOOKUP($D837,'SAMA Capital Tracker'!$A:$D,4,FALSE()),""))</f>
        <v/>
      </c>
      <c r="H837" s="22"/>
    </row>
    <row r="838" spans="1:8">
      <c r="A838" s="21"/>
      <c r="B838" s="22"/>
      <c r="C838" s="22"/>
      <c r="D838" s="22"/>
      <c r="E838" s="23" t="str">
        <f>IF($D838="","",IFERROR(VLOOKUP($D838,'SAMA Capital Tracker'!$A:$H,8,FALSE()),""))</f>
        <v/>
      </c>
      <c r="F838" s="24"/>
      <c r="G838" s="25" t="str">
        <f>IF($D838="","",IFERROR(VLOOKUP($D838,'SAMA Capital Tracker'!$A:$D,4,FALSE()),""))</f>
        <v/>
      </c>
      <c r="H838" s="22"/>
    </row>
    <row r="839" spans="1:8">
      <c r="A839" s="21"/>
      <c r="B839" s="22"/>
      <c r="C839" s="22"/>
      <c r="D839" s="22"/>
      <c r="E839" s="23" t="str">
        <f>IF($D839="","",IFERROR(VLOOKUP($D839,'SAMA Capital Tracker'!$A:$H,8,FALSE()),""))</f>
        <v/>
      </c>
      <c r="F839" s="24"/>
      <c r="G839" s="25" t="str">
        <f>IF($D839="","",IFERROR(VLOOKUP($D839,'SAMA Capital Tracker'!$A:$D,4,FALSE()),""))</f>
        <v/>
      </c>
      <c r="H839" s="22"/>
    </row>
    <row r="840" spans="1:8">
      <c r="A840" s="21"/>
      <c r="B840" s="22"/>
      <c r="C840" s="22"/>
      <c r="D840" s="22"/>
      <c r="E840" s="23" t="str">
        <f>IF($D840="","",IFERROR(VLOOKUP($D840,'SAMA Capital Tracker'!$A:$H,8,FALSE()),""))</f>
        <v/>
      </c>
      <c r="F840" s="24"/>
      <c r="G840" s="25" t="str">
        <f>IF($D840="","",IFERROR(VLOOKUP($D840,'SAMA Capital Tracker'!$A:$D,4,FALSE()),""))</f>
        <v/>
      </c>
      <c r="H840" s="22"/>
    </row>
    <row r="841" spans="1:8">
      <c r="A841" s="21"/>
      <c r="B841" s="22"/>
      <c r="C841" s="22"/>
      <c r="D841" s="22"/>
      <c r="E841" s="23" t="str">
        <f>IF($D841="","",IFERROR(VLOOKUP($D841,'SAMA Capital Tracker'!$A:$H,8,FALSE()),""))</f>
        <v/>
      </c>
      <c r="F841" s="24"/>
      <c r="G841" s="25" t="str">
        <f>IF($D841="","",IFERROR(VLOOKUP($D841,'SAMA Capital Tracker'!$A:$D,4,FALSE()),""))</f>
        <v/>
      </c>
      <c r="H841" s="22"/>
    </row>
    <row r="842" spans="1:8">
      <c r="A842" s="21"/>
      <c r="B842" s="22"/>
      <c r="C842" s="22"/>
      <c r="D842" s="22"/>
      <c r="E842" s="23" t="str">
        <f>IF($D842="","",IFERROR(VLOOKUP($D842,'SAMA Capital Tracker'!$A:$H,8,FALSE()),""))</f>
        <v/>
      </c>
      <c r="F842" s="24"/>
      <c r="G842" s="25" t="str">
        <f>IF($D842="","",IFERROR(VLOOKUP($D842,'SAMA Capital Tracker'!$A:$D,4,FALSE()),""))</f>
        <v/>
      </c>
      <c r="H842" s="22"/>
    </row>
    <row r="843" spans="1:8">
      <c r="A843" s="21"/>
      <c r="B843" s="22"/>
      <c r="C843" s="22"/>
      <c r="D843" s="22"/>
      <c r="E843" s="23" t="str">
        <f>IF($D843="","",IFERROR(VLOOKUP($D843,'SAMA Capital Tracker'!$A:$H,8,FALSE()),""))</f>
        <v/>
      </c>
      <c r="F843" s="24"/>
      <c r="G843" s="25" t="str">
        <f>IF($D843="","",IFERROR(VLOOKUP($D843,'SAMA Capital Tracker'!$A:$D,4,FALSE()),""))</f>
        <v/>
      </c>
      <c r="H843" s="22"/>
    </row>
    <row r="844" spans="1:8">
      <c r="A844" s="21"/>
      <c r="B844" s="22"/>
      <c r="C844" s="22"/>
      <c r="D844" s="22"/>
      <c r="E844" s="23" t="str">
        <f>IF($D844="","",IFERROR(VLOOKUP($D844,'SAMA Capital Tracker'!$A:$H,8,FALSE()),""))</f>
        <v/>
      </c>
      <c r="F844" s="24"/>
      <c r="G844" s="25" t="str">
        <f>IF($D844="","",IFERROR(VLOOKUP($D844,'SAMA Capital Tracker'!$A:$D,4,FALSE()),""))</f>
        <v/>
      </c>
      <c r="H844" s="22"/>
    </row>
    <row r="845" spans="1:8">
      <c r="A845" s="21"/>
      <c r="B845" s="22"/>
      <c r="C845" s="22"/>
      <c r="D845" s="22"/>
      <c r="E845" s="23" t="str">
        <f>IF($D845="","",IFERROR(VLOOKUP($D845,'SAMA Capital Tracker'!$A:$H,8,FALSE()),""))</f>
        <v/>
      </c>
      <c r="F845" s="24"/>
      <c r="G845" s="25" t="str">
        <f>IF($D845="","",IFERROR(VLOOKUP($D845,'SAMA Capital Tracker'!$A:$D,4,FALSE()),""))</f>
        <v/>
      </c>
      <c r="H845" s="22"/>
    </row>
    <row r="846" spans="1:8">
      <c r="A846" s="21"/>
      <c r="B846" s="22"/>
      <c r="C846" s="22"/>
      <c r="D846" s="22"/>
      <c r="E846" s="23" t="str">
        <f>IF($D846="","",IFERROR(VLOOKUP($D846,'SAMA Capital Tracker'!$A:$H,8,FALSE()),""))</f>
        <v/>
      </c>
      <c r="F846" s="24"/>
      <c r="G846" s="25" t="str">
        <f>IF($D846="","",IFERROR(VLOOKUP($D846,'SAMA Capital Tracker'!$A:$D,4,FALSE()),""))</f>
        <v/>
      </c>
      <c r="H846" s="22"/>
    </row>
    <row r="847" spans="1:8">
      <c r="A847" s="21"/>
      <c r="B847" s="22"/>
      <c r="C847" s="22"/>
      <c r="D847" s="22"/>
      <c r="E847" s="23" t="str">
        <f>IF($D847="","",IFERROR(VLOOKUP($D847,'SAMA Capital Tracker'!$A:$H,8,FALSE()),""))</f>
        <v/>
      </c>
      <c r="F847" s="24"/>
      <c r="G847" s="25" t="str">
        <f>IF($D847="","",IFERROR(VLOOKUP($D847,'SAMA Capital Tracker'!$A:$D,4,FALSE()),""))</f>
        <v/>
      </c>
      <c r="H847" s="22"/>
    </row>
    <row r="848" spans="1:8">
      <c r="A848" s="21"/>
      <c r="B848" s="22"/>
      <c r="C848" s="22"/>
      <c r="D848" s="22"/>
      <c r="E848" s="23" t="str">
        <f>IF($D848="","",IFERROR(VLOOKUP($D848,'SAMA Capital Tracker'!$A:$H,8,FALSE()),""))</f>
        <v/>
      </c>
      <c r="F848" s="24"/>
      <c r="G848" s="25" t="str">
        <f>IF($D848="","",IFERROR(VLOOKUP($D848,'SAMA Capital Tracker'!$A:$D,4,FALSE()),""))</f>
        <v/>
      </c>
      <c r="H848" s="22"/>
    </row>
    <row r="849" spans="1:8">
      <c r="A849" s="21"/>
      <c r="B849" s="22"/>
      <c r="C849" s="22"/>
      <c r="D849" s="22"/>
      <c r="E849" s="23" t="str">
        <f>IF($D849="","",IFERROR(VLOOKUP($D849,'SAMA Capital Tracker'!$A:$H,8,FALSE()),""))</f>
        <v/>
      </c>
      <c r="F849" s="24"/>
      <c r="G849" s="25" t="str">
        <f>IF($D849="","",IFERROR(VLOOKUP($D849,'SAMA Capital Tracker'!$A:$D,4,FALSE()),""))</f>
        <v/>
      </c>
      <c r="H849" s="22"/>
    </row>
    <row r="850" spans="1:8">
      <c r="A850" s="21"/>
      <c r="B850" s="22"/>
      <c r="C850" s="22"/>
      <c r="D850" s="22"/>
      <c r="E850" s="23" t="str">
        <f>IF($D850="","",IFERROR(VLOOKUP($D850,'SAMA Capital Tracker'!$A:$H,8,FALSE()),""))</f>
        <v/>
      </c>
      <c r="F850" s="24"/>
      <c r="G850" s="25" t="str">
        <f>IF($D850="","",IFERROR(VLOOKUP($D850,'SAMA Capital Tracker'!$A:$D,4,FALSE()),""))</f>
        <v/>
      </c>
      <c r="H850" s="22"/>
    </row>
    <row r="851" spans="1:8">
      <c r="A851" s="21"/>
      <c r="B851" s="22"/>
      <c r="C851" s="22"/>
      <c r="D851" s="22"/>
      <c r="E851" s="23" t="str">
        <f>IF($D851="","",IFERROR(VLOOKUP($D851,'SAMA Capital Tracker'!$A:$H,8,FALSE()),""))</f>
        <v/>
      </c>
      <c r="F851" s="24"/>
      <c r="G851" s="25" t="str">
        <f>IF($D851="","",IFERROR(VLOOKUP($D851,'SAMA Capital Tracker'!$A:$D,4,FALSE()),""))</f>
        <v/>
      </c>
      <c r="H851" s="22"/>
    </row>
    <row r="852" spans="1:8">
      <c r="A852" s="21"/>
      <c r="B852" s="22"/>
      <c r="C852" s="22"/>
      <c r="D852" s="22"/>
      <c r="E852" s="23" t="str">
        <f>IF($D852="","",IFERROR(VLOOKUP($D852,'SAMA Capital Tracker'!$A:$H,8,FALSE()),""))</f>
        <v/>
      </c>
      <c r="F852" s="24"/>
      <c r="G852" s="25" t="str">
        <f>IF($D852="","",IFERROR(VLOOKUP($D852,'SAMA Capital Tracker'!$A:$D,4,FALSE()),""))</f>
        <v/>
      </c>
      <c r="H852" s="22"/>
    </row>
    <row r="853" spans="1:8">
      <c r="A853" s="21"/>
      <c r="B853" s="22"/>
      <c r="C853" s="22"/>
      <c r="D853" s="22"/>
      <c r="E853" s="23" t="str">
        <f>IF($D853="","",IFERROR(VLOOKUP($D853,'SAMA Capital Tracker'!$A:$H,8,FALSE()),""))</f>
        <v/>
      </c>
      <c r="F853" s="24"/>
      <c r="G853" s="25" t="str">
        <f>IF($D853="","",IFERROR(VLOOKUP($D853,'SAMA Capital Tracker'!$A:$D,4,FALSE()),""))</f>
        <v/>
      </c>
      <c r="H853" s="22"/>
    </row>
    <row r="854" spans="1:8">
      <c r="A854" s="21"/>
      <c r="B854" s="22"/>
      <c r="C854" s="22"/>
      <c r="D854" s="22"/>
      <c r="E854" s="23" t="str">
        <f>IF($D854="","",IFERROR(VLOOKUP($D854,'SAMA Capital Tracker'!$A:$H,8,FALSE()),""))</f>
        <v/>
      </c>
      <c r="F854" s="24"/>
      <c r="G854" s="25" t="str">
        <f>IF($D854="","",IFERROR(VLOOKUP($D854,'SAMA Capital Tracker'!$A:$D,4,FALSE()),""))</f>
        <v/>
      </c>
      <c r="H854" s="22"/>
    </row>
    <row r="855" spans="1:8">
      <c r="A855" s="21"/>
      <c r="B855" s="22"/>
      <c r="C855" s="22"/>
      <c r="D855" s="22"/>
      <c r="E855" s="23" t="str">
        <f>IF($D855="","",IFERROR(VLOOKUP($D855,'SAMA Capital Tracker'!$A:$H,8,FALSE()),""))</f>
        <v/>
      </c>
      <c r="F855" s="24"/>
      <c r="G855" s="25" t="str">
        <f>IF($D855="","",IFERROR(VLOOKUP($D855,'SAMA Capital Tracker'!$A:$D,4,FALSE()),""))</f>
        <v/>
      </c>
      <c r="H855" s="22"/>
    </row>
    <row r="856" spans="1:8">
      <c r="A856" s="21"/>
      <c r="B856" s="22"/>
      <c r="C856" s="22"/>
      <c r="D856" s="22"/>
      <c r="E856" s="23" t="str">
        <f>IF($D856="","",IFERROR(VLOOKUP($D856,'SAMA Capital Tracker'!$A:$H,8,FALSE()),""))</f>
        <v/>
      </c>
      <c r="F856" s="24"/>
      <c r="G856" s="25" t="str">
        <f>IF($D856="","",IFERROR(VLOOKUP($D856,'SAMA Capital Tracker'!$A:$D,4,FALSE()),""))</f>
        <v/>
      </c>
      <c r="H856" s="22"/>
    </row>
    <row r="857" spans="1:8">
      <c r="A857" s="21"/>
      <c r="B857" s="22"/>
      <c r="C857" s="22"/>
      <c r="D857" s="22"/>
      <c r="E857" s="23" t="str">
        <f>IF($D857="","",IFERROR(VLOOKUP($D857,'SAMA Capital Tracker'!$A:$H,8,FALSE()),""))</f>
        <v/>
      </c>
      <c r="F857" s="24"/>
      <c r="G857" s="25" t="str">
        <f>IF($D857="","",IFERROR(VLOOKUP($D857,'SAMA Capital Tracker'!$A:$D,4,FALSE()),""))</f>
        <v/>
      </c>
      <c r="H857" s="22"/>
    </row>
    <row r="858" spans="1:8">
      <c r="A858" s="21"/>
      <c r="B858" s="22"/>
      <c r="C858" s="22"/>
      <c r="D858" s="22"/>
      <c r="E858" s="23" t="str">
        <f>IF($D858="","",IFERROR(VLOOKUP($D858,'SAMA Capital Tracker'!$A:$H,8,FALSE()),""))</f>
        <v/>
      </c>
      <c r="F858" s="24"/>
      <c r="G858" s="25" t="str">
        <f>IF($D858="","",IFERROR(VLOOKUP($D858,'SAMA Capital Tracker'!$A:$D,4,FALSE()),""))</f>
        <v/>
      </c>
      <c r="H858" s="22"/>
    </row>
    <row r="859" spans="1:8">
      <c r="A859" s="21"/>
      <c r="B859" s="22"/>
      <c r="C859" s="22"/>
      <c r="D859" s="22"/>
      <c r="E859" s="23" t="str">
        <f>IF($D859="","",IFERROR(VLOOKUP($D859,'SAMA Capital Tracker'!$A:$H,8,FALSE()),""))</f>
        <v/>
      </c>
      <c r="F859" s="24"/>
      <c r="G859" s="25" t="str">
        <f>IF($D859="","",IFERROR(VLOOKUP($D859,'SAMA Capital Tracker'!$A:$D,4,FALSE()),""))</f>
        <v/>
      </c>
      <c r="H859" s="22"/>
    </row>
    <row r="860" spans="1:8">
      <c r="A860" s="21"/>
      <c r="B860" s="22"/>
      <c r="C860" s="22"/>
      <c r="D860" s="22"/>
      <c r="E860" s="23" t="str">
        <f>IF($D860="","",IFERROR(VLOOKUP($D860,'SAMA Capital Tracker'!$A:$H,8,FALSE()),""))</f>
        <v/>
      </c>
      <c r="F860" s="24"/>
      <c r="G860" s="25" t="str">
        <f>IF($D860="","",IFERROR(VLOOKUP($D860,'SAMA Capital Tracker'!$A:$D,4,FALSE()),""))</f>
        <v/>
      </c>
      <c r="H860" s="22"/>
    </row>
    <row r="861" spans="1:8">
      <c r="A861" s="21"/>
      <c r="B861" s="22"/>
      <c r="C861" s="22"/>
      <c r="D861" s="22"/>
      <c r="E861" s="23" t="str">
        <f>IF($D861="","",IFERROR(VLOOKUP($D861,'SAMA Capital Tracker'!$A:$H,8,FALSE()),""))</f>
        <v/>
      </c>
      <c r="F861" s="24"/>
      <c r="G861" s="25" t="str">
        <f>IF($D861="","",IFERROR(VLOOKUP($D861,'SAMA Capital Tracker'!$A:$D,4,FALSE()),""))</f>
        <v/>
      </c>
      <c r="H861" s="22"/>
    </row>
    <row r="862" spans="1:8">
      <c r="A862" s="21"/>
      <c r="B862" s="22"/>
      <c r="C862" s="22"/>
      <c r="D862" s="22"/>
      <c r="E862" s="23" t="str">
        <f>IF($D862="","",IFERROR(VLOOKUP($D862,'SAMA Capital Tracker'!$A:$H,8,FALSE()),""))</f>
        <v/>
      </c>
      <c r="F862" s="24"/>
      <c r="G862" s="25" t="str">
        <f>IF($D862="","",IFERROR(VLOOKUP($D862,'SAMA Capital Tracker'!$A:$D,4,FALSE()),""))</f>
        <v/>
      </c>
      <c r="H862" s="22"/>
    </row>
    <row r="863" spans="1:8">
      <c r="A863" s="21"/>
      <c r="B863" s="22"/>
      <c r="C863" s="22"/>
      <c r="D863" s="22"/>
      <c r="E863" s="23" t="str">
        <f>IF($D863="","",IFERROR(VLOOKUP($D863,'SAMA Capital Tracker'!$A:$H,8,FALSE()),""))</f>
        <v/>
      </c>
      <c r="F863" s="24"/>
      <c r="G863" s="25" t="str">
        <f>IF($D863="","",IFERROR(VLOOKUP($D863,'SAMA Capital Tracker'!$A:$D,4,FALSE()),""))</f>
        <v/>
      </c>
      <c r="H863" s="22"/>
    </row>
    <row r="864" spans="1:8">
      <c r="A864" s="21"/>
      <c r="B864" s="22"/>
      <c r="C864" s="22"/>
      <c r="D864" s="22"/>
      <c r="E864" s="23" t="str">
        <f>IF($D864="","",IFERROR(VLOOKUP($D864,'SAMA Capital Tracker'!$A:$H,8,FALSE()),""))</f>
        <v/>
      </c>
      <c r="F864" s="24"/>
      <c r="G864" s="25" t="str">
        <f>IF($D864="","",IFERROR(VLOOKUP($D864,'SAMA Capital Tracker'!$A:$D,4,FALSE()),""))</f>
        <v/>
      </c>
      <c r="H864" s="22"/>
    </row>
    <row r="865" spans="1:8">
      <c r="A865" s="21"/>
      <c r="B865" s="22"/>
      <c r="C865" s="22"/>
      <c r="D865" s="22"/>
      <c r="E865" s="23" t="str">
        <f>IF($D865="","",IFERROR(VLOOKUP($D865,'SAMA Capital Tracker'!$A:$H,8,FALSE()),""))</f>
        <v/>
      </c>
      <c r="F865" s="24"/>
      <c r="G865" s="25" t="str">
        <f>IF($D865="","",IFERROR(VLOOKUP($D865,'SAMA Capital Tracker'!$A:$D,4,FALSE()),""))</f>
        <v/>
      </c>
      <c r="H865" s="22"/>
    </row>
    <row r="866" spans="1:8">
      <c r="A866" s="21"/>
      <c r="B866" s="22"/>
      <c r="C866" s="22"/>
      <c r="D866" s="22"/>
      <c r="E866" s="23" t="str">
        <f>IF($D866="","",IFERROR(VLOOKUP($D866,'SAMA Capital Tracker'!$A:$H,8,FALSE()),""))</f>
        <v/>
      </c>
      <c r="F866" s="24"/>
      <c r="G866" s="25" t="str">
        <f>IF($D866="","",IFERROR(VLOOKUP($D866,'SAMA Capital Tracker'!$A:$D,4,FALSE()),""))</f>
        <v/>
      </c>
      <c r="H866" s="22"/>
    </row>
    <row r="867" spans="1:8">
      <c r="A867" s="21"/>
      <c r="B867" s="22"/>
      <c r="C867" s="22"/>
      <c r="D867" s="22"/>
      <c r="E867" s="23" t="str">
        <f>IF($D867="","",IFERROR(VLOOKUP($D867,'SAMA Capital Tracker'!$A:$H,8,FALSE()),""))</f>
        <v/>
      </c>
      <c r="F867" s="24"/>
      <c r="G867" s="25" t="str">
        <f>IF($D867="","",IFERROR(VLOOKUP($D867,'SAMA Capital Tracker'!$A:$D,4,FALSE()),""))</f>
        <v/>
      </c>
      <c r="H867" s="22"/>
    </row>
    <row r="868" spans="1:8">
      <c r="A868" s="21"/>
      <c r="B868" s="22"/>
      <c r="C868" s="22"/>
      <c r="D868" s="22"/>
      <c r="E868" s="23" t="str">
        <f>IF($D868="","",IFERROR(VLOOKUP($D868,'SAMA Capital Tracker'!$A:$H,8,FALSE()),""))</f>
        <v/>
      </c>
      <c r="F868" s="24"/>
      <c r="G868" s="25" t="str">
        <f>IF($D868="","",IFERROR(VLOOKUP($D868,'SAMA Capital Tracker'!$A:$D,4,FALSE()),""))</f>
        <v/>
      </c>
      <c r="H868" s="22"/>
    </row>
    <row r="869" spans="1:8">
      <c r="A869" s="21"/>
      <c r="B869" s="22"/>
      <c r="C869" s="22"/>
      <c r="D869" s="22"/>
      <c r="E869" s="23" t="str">
        <f>IF($D869="","",IFERROR(VLOOKUP($D869,'SAMA Capital Tracker'!$A:$H,8,FALSE()),""))</f>
        <v/>
      </c>
      <c r="F869" s="24"/>
      <c r="G869" s="25" t="str">
        <f>IF($D869="","",IFERROR(VLOOKUP($D869,'SAMA Capital Tracker'!$A:$D,4,FALSE()),""))</f>
        <v/>
      </c>
      <c r="H869" s="22"/>
    </row>
    <row r="870" spans="1:8">
      <c r="A870" s="21"/>
      <c r="B870" s="22"/>
      <c r="C870" s="22"/>
      <c r="D870" s="22"/>
      <c r="E870" s="23" t="str">
        <f>IF($D870="","",IFERROR(VLOOKUP($D870,'SAMA Capital Tracker'!$A:$H,8,FALSE()),""))</f>
        <v/>
      </c>
      <c r="F870" s="24"/>
      <c r="G870" s="25" t="str">
        <f>IF($D870="","",IFERROR(VLOOKUP($D870,'SAMA Capital Tracker'!$A:$D,4,FALSE()),""))</f>
        <v/>
      </c>
      <c r="H870" s="22"/>
    </row>
    <row r="871" spans="1:8">
      <c r="A871" s="21"/>
      <c r="B871" s="22"/>
      <c r="C871" s="22"/>
      <c r="D871" s="22"/>
      <c r="E871" s="23" t="str">
        <f>IF($D871="","",IFERROR(VLOOKUP($D871,'SAMA Capital Tracker'!$A:$H,8,FALSE()),""))</f>
        <v/>
      </c>
      <c r="F871" s="24"/>
      <c r="G871" s="25" t="str">
        <f>IF($D871="","",IFERROR(VLOOKUP($D871,'SAMA Capital Tracker'!$A:$D,4,FALSE()),""))</f>
        <v/>
      </c>
      <c r="H871" s="22"/>
    </row>
    <row r="872" spans="1:8">
      <c r="A872" s="21"/>
      <c r="B872" s="22"/>
      <c r="C872" s="22"/>
      <c r="D872" s="22"/>
      <c r="E872" s="23" t="str">
        <f>IF($D872="","",IFERROR(VLOOKUP($D872,'SAMA Capital Tracker'!$A:$H,8,FALSE()),""))</f>
        <v/>
      </c>
      <c r="F872" s="24"/>
      <c r="G872" s="25" t="str">
        <f>IF($D872="","",IFERROR(VLOOKUP($D872,'SAMA Capital Tracker'!$A:$D,4,FALSE()),""))</f>
        <v/>
      </c>
      <c r="H872" s="22"/>
    </row>
    <row r="873" spans="1:8">
      <c r="A873" s="21"/>
      <c r="B873" s="22"/>
      <c r="C873" s="22"/>
      <c r="D873" s="22"/>
      <c r="E873" s="23" t="str">
        <f>IF($D873="","",IFERROR(VLOOKUP($D873,'SAMA Capital Tracker'!$A:$H,8,FALSE()),""))</f>
        <v/>
      </c>
      <c r="F873" s="24"/>
      <c r="G873" s="25" t="str">
        <f>IF($D873="","",IFERROR(VLOOKUP($D873,'SAMA Capital Tracker'!$A:$D,4,FALSE()),""))</f>
        <v/>
      </c>
      <c r="H873" s="22"/>
    </row>
    <row r="874" spans="1:8">
      <c r="A874" s="21"/>
      <c r="B874" s="22"/>
      <c r="C874" s="22"/>
      <c r="D874" s="22"/>
      <c r="E874" s="23" t="str">
        <f>IF($D874="","",IFERROR(VLOOKUP($D874,'SAMA Capital Tracker'!$A:$H,8,FALSE()),""))</f>
        <v/>
      </c>
      <c r="F874" s="24"/>
      <c r="G874" s="25" t="str">
        <f>IF($D874="","",IFERROR(VLOOKUP($D874,'SAMA Capital Tracker'!$A:$D,4,FALSE()),""))</f>
        <v/>
      </c>
      <c r="H874" s="22"/>
    </row>
    <row r="875" spans="1:8">
      <c r="A875" s="21"/>
      <c r="B875" s="22"/>
      <c r="C875" s="22"/>
      <c r="D875" s="22"/>
      <c r="E875" s="23" t="str">
        <f>IF($D875="","",IFERROR(VLOOKUP($D875,'SAMA Capital Tracker'!$A:$H,8,FALSE()),""))</f>
        <v/>
      </c>
      <c r="F875" s="24"/>
      <c r="G875" s="25" t="str">
        <f>IF($D875="","",IFERROR(VLOOKUP($D875,'SAMA Capital Tracker'!$A:$D,4,FALSE()),""))</f>
        <v/>
      </c>
      <c r="H875" s="22"/>
    </row>
    <row r="876" spans="1:8">
      <c r="A876" s="21"/>
      <c r="B876" s="22"/>
      <c r="C876" s="22"/>
      <c r="D876" s="22"/>
      <c r="E876" s="23" t="str">
        <f>IF($D876="","",IFERROR(VLOOKUP($D876,'SAMA Capital Tracker'!$A:$H,8,FALSE()),""))</f>
        <v/>
      </c>
      <c r="F876" s="24"/>
      <c r="G876" s="25" t="str">
        <f>IF($D876="","",IFERROR(VLOOKUP($D876,'SAMA Capital Tracker'!$A:$D,4,FALSE()),""))</f>
        <v/>
      </c>
      <c r="H876" s="22"/>
    </row>
    <row r="877" spans="1:8">
      <c r="A877" s="21"/>
      <c r="B877" s="22"/>
      <c r="C877" s="22"/>
      <c r="D877" s="22"/>
      <c r="E877" s="23" t="str">
        <f>IF($D877="","",IFERROR(VLOOKUP($D877,'SAMA Capital Tracker'!$A:$H,8,FALSE()),""))</f>
        <v/>
      </c>
      <c r="F877" s="24"/>
      <c r="G877" s="25" t="str">
        <f>IF($D877="","",IFERROR(VLOOKUP($D877,'SAMA Capital Tracker'!$A:$D,4,FALSE()),""))</f>
        <v/>
      </c>
      <c r="H877" s="22"/>
    </row>
    <row r="878" spans="1:8">
      <c r="A878" s="21"/>
      <c r="B878" s="22"/>
      <c r="C878" s="22"/>
      <c r="D878" s="22"/>
      <c r="E878" s="23" t="str">
        <f>IF($D878="","",IFERROR(VLOOKUP($D878,'SAMA Capital Tracker'!$A:$H,8,FALSE()),""))</f>
        <v/>
      </c>
      <c r="F878" s="24"/>
      <c r="G878" s="25" t="str">
        <f>IF($D878="","",IFERROR(VLOOKUP($D878,'SAMA Capital Tracker'!$A:$D,4,FALSE()),""))</f>
        <v/>
      </c>
      <c r="H878" s="22"/>
    </row>
    <row r="879" spans="1:8">
      <c r="A879" s="21"/>
      <c r="B879" s="22"/>
      <c r="C879" s="22"/>
      <c r="D879" s="22"/>
      <c r="E879" s="23" t="str">
        <f>IF($D879="","",IFERROR(VLOOKUP($D879,'SAMA Capital Tracker'!$A:$H,8,FALSE()),""))</f>
        <v/>
      </c>
      <c r="F879" s="24"/>
      <c r="G879" s="25" t="str">
        <f>IF($D879="","",IFERROR(VLOOKUP($D879,'SAMA Capital Tracker'!$A:$D,4,FALSE()),""))</f>
        <v/>
      </c>
      <c r="H879" s="22"/>
    </row>
    <row r="880" spans="1:8">
      <c r="A880" s="21"/>
      <c r="B880" s="22"/>
      <c r="C880" s="22"/>
      <c r="D880" s="22"/>
      <c r="E880" s="23" t="str">
        <f>IF($D880="","",IFERROR(VLOOKUP($D880,'SAMA Capital Tracker'!$A:$H,8,FALSE()),""))</f>
        <v/>
      </c>
      <c r="F880" s="24"/>
      <c r="G880" s="25" t="str">
        <f>IF($D880="","",IFERROR(VLOOKUP($D880,'SAMA Capital Tracker'!$A:$D,4,FALSE()),""))</f>
        <v/>
      </c>
      <c r="H880" s="22"/>
    </row>
    <row r="881" spans="1:8">
      <c r="A881" s="21"/>
      <c r="B881" s="22"/>
      <c r="C881" s="22"/>
      <c r="D881" s="22"/>
      <c r="E881" s="23" t="str">
        <f>IF($D881="","",IFERROR(VLOOKUP($D881,'SAMA Capital Tracker'!$A:$H,8,FALSE()),""))</f>
        <v/>
      </c>
      <c r="F881" s="24"/>
      <c r="G881" s="25" t="str">
        <f>IF($D881="","",IFERROR(VLOOKUP($D881,'SAMA Capital Tracker'!$A:$D,4,FALSE()),""))</f>
        <v/>
      </c>
      <c r="H881" s="22"/>
    </row>
    <row r="882" spans="1:8">
      <c r="A882" s="21"/>
      <c r="B882" s="22"/>
      <c r="C882" s="22"/>
      <c r="D882" s="22"/>
      <c r="E882" s="23" t="str">
        <f>IF($D882="","",IFERROR(VLOOKUP($D882,'SAMA Capital Tracker'!$A:$H,8,FALSE()),""))</f>
        <v/>
      </c>
      <c r="F882" s="24"/>
      <c r="G882" s="25" t="str">
        <f>IF($D882="","",IFERROR(VLOOKUP($D882,'SAMA Capital Tracker'!$A:$D,4,FALSE()),""))</f>
        <v/>
      </c>
      <c r="H882" s="22"/>
    </row>
    <row r="883" spans="1:8">
      <c r="A883" s="21"/>
      <c r="B883" s="22"/>
      <c r="C883" s="22"/>
      <c r="D883" s="22"/>
      <c r="E883" s="23" t="str">
        <f>IF($D883="","",IFERROR(VLOOKUP($D883,'SAMA Capital Tracker'!$A:$H,8,FALSE()),""))</f>
        <v/>
      </c>
      <c r="F883" s="24"/>
      <c r="G883" s="25" t="str">
        <f>IF($D883="","",IFERROR(VLOOKUP($D883,'SAMA Capital Tracker'!$A:$D,4,FALSE()),""))</f>
        <v/>
      </c>
      <c r="H883" s="22"/>
    </row>
    <row r="884" spans="1:8">
      <c r="A884" s="21"/>
      <c r="B884" s="22"/>
      <c r="C884" s="22"/>
      <c r="D884" s="22"/>
      <c r="E884" s="23" t="str">
        <f>IF($D884="","",IFERROR(VLOOKUP($D884,'SAMA Capital Tracker'!$A:$H,8,FALSE()),""))</f>
        <v/>
      </c>
      <c r="F884" s="24"/>
      <c r="G884" s="25" t="str">
        <f>IF($D884="","",IFERROR(VLOOKUP($D884,'SAMA Capital Tracker'!$A:$D,4,FALSE()),""))</f>
        <v/>
      </c>
      <c r="H884" s="22"/>
    </row>
    <row r="885" spans="1:8">
      <c r="A885" s="21"/>
      <c r="B885" s="22"/>
      <c r="C885" s="22"/>
      <c r="D885" s="22"/>
      <c r="E885" s="23" t="str">
        <f>IF($D885="","",IFERROR(VLOOKUP($D885,'SAMA Capital Tracker'!$A:$H,8,FALSE()),""))</f>
        <v/>
      </c>
      <c r="F885" s="24"/>
      <c r="G885" s="25" t="str">
        <f>IF($D885="","",IFERROR(VLOOKUP($D885,'SAMA Capital Tracker'!$A:$D,4,FALSE()),""))</f>
        <v/>
      </c>
      <c r="H885" s="22"/>
    </row>
    <row r="886" spans="1:8">
      <c r="A886" s="21"/>
      <c r="B886" s="22"/>
      <c r="C886" s="22"/>
      <c r="D886" s="22"/>
      <c r="E886" s="23" t="str">
        <f>IF($D886="","",IFERROR(VLOOKUP($D886,'SAMA Capital Tracker'!$A:$H,8,FALSE()),""))</f>
        <v/>
      </c>
      <c r="F886" s="24"/>
      <c r="G886" s="25" t="str">
        <f>IF($D886="","",IFERROR(VLOOKUP($D886,'SAMA Capital Tracker'!$A:$D,4,FALSE()),""))</f>
        <v/>
      </c>
      <c r="H886" s="22"/>
    </row>
    <row r="887" spans="1:8">
      <c r="A887" s="21"/>
      <c r="B887" s="22"/>
      <c r="C887" s="22"/>
      <c r="D887" s="22"/>
      <c r="E887" s="23" t="str">
        <f>IF($D887="","",IFERROR(VLOOKUP($D887,'SAMA Capital Tracker'!$A:$H,8,FALSE()),""))</f>
        <v/>
      </c>
      <c r="F887" s="24"/>
      <c r="G887" s="25" t="str">
        <f>IF($D887="","",IFERROR(VLOOKUP($D887,'SAMA Capital Tracker'!$A:$D,4,FALSE()),""))</f>
        <v/>
      </c>
      <c r="H887" s="22"/>
    </row>
    <row r="888" spans="1:8">
      <c r="A888" s="21"/>
      <c r="B888" s="22"/>
      <c r="C888" s="22"/>
      <c r="D888" s="22"/>
      <c r="E888" s="23" t="str">
        <f>IF($D888="","",IFERROR(VLOOKUP($D888,'SAMA Capital Tracker'!$A:$H,8,FALSE()),""))</f>
        <v/>
      </c>
      <c r="F888" s="24"/>
      <c r="G888" s="25" t="str">
        <f>IF($D888="","",IFERROR(VLOOKUP($D888,'SAMA Capital Tracker'!$A:$D,4,FALSE()),""))</f>
        <v/>
      </c>
      <c r="H888" s="22"/>
    </row>
    <row r="889" spans="1:8">
      <c r="A889" s="21"/>
      <c r="B889" s="22"/>
      <c r="C889" s="22"/>
      <c r="D889" s="22"/>
      <c r="E889" s="23" t="str">
        <f>IF($D889="","",IFERROR(VLOOKUP($D889,'SAMA Capital Tracker'!$A:$H,8,FALSE()),""))</f>
        <v/>
      </c>
      <c r="F889" s="24"/>
      <c r="G889" s="25" t="str">
        <f>IF($D889="","",IFERROR(VLOOKUP($D889,'SAMA Capital Tracker'!$A:$D,4,FALSE()),""))</f>
        <v/>
      </c>
      <c r="H889" s="22"/>
    </row>
    <row r="890" spans="1:8">
      <c r="A890" s="21"/>
      <c r="B890" s="22"/>
      <c r="C890" s="22"/>
      <c r="D890" s="22"/>
      <c r="E890" s="23" t="str">
        <f>IF($D890="","",IFERROR(VLOOKUP($D890,'SAMA Capital Tracker'!$A:$H,8,FALSE()),""))</f>
        <v/>
      </c>
      <c r="F890" s="24"/>
      <c r="G890" s="25" t="str">
        <f>IF($D890="","",IFERROR(VLOOKUP($D890,'SAMA Capital Tracker'!$A:$D,4,FALSE()),""))</f>
        <v/>
      </c>
      <c r="H890" s="22"/>
    </row>
    <row r="891" spans="1:8">
      <c r="A891" s="21"/>
      <c r="B891" s="22"/>
      <c r="C891" s="22"/>
      <c r="D891" s="22"/>
      <c r="E891" s="23" t="str">
        <f>IF($D891="","",IFERROR(VLOOKUP($D891,'SAMA Capital Tracker'!$A:$H,8,FALSE()),""))</f>
        <v/>
      </c>
      <c r="F891" s="24"/>
      <c r="G891" s="25" t="str">
        <f>IF($D891="","",IFERROR(VLOOKUP($D891,'SAMA Capital Tracker'!$A:$D,4,FALSE()),""))</f>
        <v/>
      </c>
      <c r="H891" s="22"/>
    </row>
    <row r="892" spans="1:8">
      <c r="A892" s="21"/>
      <c r="B892" s="22"/>
      <c r="C892" s="22"/>
      <c r="D892" s="22"/>
      <c r="E892" s="23" t="str">
        <f>IF($D892="","",IFERROR(VLOOKUP($D892,'SAMA Capital Tracker'!$A:$H,8,FALSE()),""))</f>
        <v/>
      </c>
      <c r="F892" s="24"/>
      <c r="G892" s="25" t="str">
        <f>IF($D892="","",IFERROR(VLOOKUP($D892,'SAMA Capital Tracker'!$A:$D,4,FALSE()),""))</f>
        <v/>
      </c>
      <c r="H892" s="22"/>
    </row>
    <row r="893" spans="1:8">
      <c r="A893" s="21"/>
      <c r="B893" s="22"/>
      <c r="C893" s="22"/>
      <c r="D893" s="22"/>
      <c r="E893" s="23" t="str">
        <f>IF($D893="","",IFERROR(VLOOKUP($D893,'SAMA Capital Tracker'!$A:$H,8,FALSE()),""))</f>
        <v/>
      </c>
      <c r="F893" s="24"/>
      <c r="G893" s="25" t="str">
        <f>IF($D893="","",IFERROR(VLOOKUP($D893,'SAMA Capital Tracker'!$A:$D,4,FALSE()),""))</f>
        <v/>
      </c>
      <c r="H893" s="22"/>
    </row>
    <row r="894" spans="1:8">
      <c r="A894" s="21"/>
      <c r="B894" s="22"/>
      <c r="C894" s="22"/>
      <c r="D894" s="22"/>
      <c r="E894" s="23" t="str">
        <f>IF($D894="","",IFERROR(VLOOKUP($D894,'SAMA Capital Tracker'!$A:$H,8,FALSE()),""))</f>
        <v/>
      </c>
      <c r="F894" s="24"/>
      <c r="G894" s="25" t="str">
        <f>IF($D894="","",IFERROR(VLOOKUP($D894,'SAMA Capital Tracker'!$A:$D,4,FALSE()),""))</f>
        <v/>
      </c>
      <c r="H894" s="22"/>
    </row>
    <row r="895" spans="1:8">
      <c r="A895" s="21"/>
      <c r="B895" s="22"/>
      <c r="C895" s="22"/>
      <c r="D895" s="22"/>
      <c r="E895" s="23" t="str">
        <f>IF($D895="","",IFERROR(VLOOKUP($D895,'SAMA Capital Tracker'!$A:$H,8,FALSE()),""))</f>
        <v/>
      </c>
      <c r="F895" s="24"/>
      <c r="G895" s="25" t="str">
        <f>IF($D895="","",IFERROR(VLOOKUP($D895,'SAMA Capital Tracker'!$A:$D,4,FALSE()),""))</f>
        <v/>
      </c>
      <c r="H895" s="22"/>
    </row>
    <row r="896" spans="1:8">
      <c r="A896" s="21"/>
      <c r="B896" s="22"/>
      <c r="C896" s="22"/>
      <c r="D896" s="22"/>
      <c r="E896" s="23" t="str">
        <f>IF($D896="","",IFERROR(VLOOKUP($D896,'SAMA Capital Tracker'!$A:$H,8,FALSE()),""))</f>
        <v/>
      </c>
      <c r="F896" s="24"/>
      <c r="G896" s="25" t="str">
        <f>IF($D896="","",IFERROR(VLOOKUP($D896,'SAMA Capital Tracker'!$A:$D,4,FALSE()),""))</f>
        <v/>
      </c>
      <c r="H896" s="22"/>
    </row>
    <row r="897" spans="1:8">
      <c r="A897" s="21"/>
      <c r="B897" s="22"/>
      <c r="C897" s="22"/>
      <c r="D897" s="22"/>
      <c r="E897" s="23" t="str">
        <f>IF($D897="","",IFERROR(VLOOKUP($D897,'SAMA Capital Tracker'!$A:$H,8,FALSE()),""))</f>
        <v/>
      </c>
      <c r="F897" s="24"/>
      <c r="G897" s="25" t="str">
        <f>IF($D897="","",IFERROR(VLOOKUP($D897,'SAMA Capital Tracker'!$A:$D,4,FALSE()),""))</f>
        <v/>
      </c>
      <c r="H897" s="22"/>
    </row>
    <row r="898" spans="1:8">
      <c r="A898" s="21"/>
      <c r="B898" s="22"/>
      <c r="C898" s="22"/>
      <c r="D898" s="22"/>
      <c r="E898" s="23" t="str">
        <f>IF($D898="","",IFERROR(VLOOKUP($D898,'SAMA Capital Tracker'!$A:$H,8,FALSE()),""))</f>
        <v/>
      </c>
      <c r="F898" s="24"/>
      <c r="G898" s="25" t="str">
        <f>IF($D898="","",IFERROR(VLOOKUP($D898,'SAMA Capital Tracker'!$A:$D,4,FALSE()),""))</f>
        <v/>
      </c>
      <c r="H898" s="22"/>
    </row>
    <row r="899" spans="1:8">
      <c r="A899" s="21"/>
      <c r="B899" s="22"/>
      <c r="C899" s="22"/>
      <c r="D899" s="22"/>
      <c r="E899" s="23" t="str">
        <f>IF($D899="","",IFERROR(VLOOKUP($D899,'SAMA Capital Tracker'!$A:$H,8,FALSE()),""))</f>
        <v/>
      </c>
      <c r="F899" s="24"/>
      <c r="G899" s="25" t="str">
        <f>IF($D899="","",IFERROR(VLOOKUP($D899,'SAMA Capital Tracker'!$A:$D,4,FALSE()),""))</f>
        <v/>
      </c>
      <c r="H899" s="22"/>
    </row>
    <row r="900" spans="1:8">
      <c r="A900" s="21"/>
      <c r="B900" s="22"/>
      <c r="C900" s="22"/>
      <c r="D900" s="22"/>
      <c r="E900" s="23" t="str">
        <f>IF($D900="","",IFERROR(VLOOKUP($D900,'SAMA Capital Tracker'!$A:$H,8,FALSE()),""))</f>
        <v/>
      </c>
      <c r="F900" s="24"/>
      <c r="G900" s="25" t="str">
        <f>IF($D900="","",IFERROR(VLOOKUP($D900,'SAMA Capital Tracker'!$A:$D,4,FALSE()),""))</f>
        <v/>
      </c>
      <c r="H900" s="22"/>
    </row>
    <row r="901" spans="1:8">
      <c r="A901" s="21"/>
      <c r="B901" s="22"/>
      <c r="C901" s="22"/>
      <c r="D901" s="22"/>
      <c r="E901" s="23" t="str">
        <f>IF($D901="","",IFERROR(VLOOKUP($D901,'SAMA Capital Tracker'!$A:$H,8,FALSE()),""))</f>
        <v/>
      </c>
      <c r="F901" s="24"/>
      <c r="G901" s="25" t="str">
        <f>IF($D901="","",IFERROR(VLOOKUP($D901,'SAMA Capital Tracker'!$A:$D,4,FALSE()),""))</f>
        <v/>
      </c>
      <c r="H901" s="22"/>
    </row>
    <row r="902" spans="1:8">
      <c r="A902" s="21"/>
      <c r="B902" s="22"/>
      <c r="C902" s="22"/>
      <c r="D902" s="22"/>
      <c r="E902" s="23" t="str">
        <f>IF($D902="","",IFERROR(VLOOKUP($D902,'SAMA Capital Tracker'!$A:$H,8,FALSE()),""))</f>
        <v/>
      </c>
      <c r="F902" s="24"/>
      <c r="G902" s="25" t="str">
        <f>IF($D902="","",IFERROR(VLOOKUP($D902,'SAMA Capital Tracker'!$A:$D,4,FALSE()),""))</f>
        <v/>
      </c>
      <c r="H902" s="22"/>
    </row>
    <row r="903" spans="1:8">
      <c r="A903" s="21"/>
      <c r="B903" s="22"/>
      <c r="C903" s="22"/>
      <c r="D903" s="22"/>
      <c r="E903" s="23" t="str">
        <f>IF($D903="","",IFERROR(VLOOKUP($D903,'SAMA Capital Tracker'!$A:$H,8,FALSE()),""))</f>
        <v/>
      </c>
      <c r="F903" s="24"/>
      <c r="G903" s="25" t="str">
        <f>IF($D903="","",IFERROR(VLOOKUP($D903,'SAMA Capital Tracker'!$A:$D,4,FALSE()),""))</f>
        <v/>
      </c>
      <c r="H903" s="22"/>
    </row>
    <row r="904" spans="1:8">
      <c r="A904" s="21"/>
      <c r="B904" s="22"/>
      <c r="C904" s="22"/>
      <c r="D904" s="22"/>
      <c r="E904" s="23" t="str">
        <f>IF($D904="","",IFERROR(VLOOKUP($D904,'SAMA Capital Tracker'!$A:$H,8,FALSE()),""))</f>
        <v/>
      </c>
      <c r="F904" s="24"/>
      <c r="G904" s="25" t="str">
        <f>IF($D904="","",IFERROR(VLOOKUP($D904,'SAMA Capital Tracker'!$A:$D,4,FALSE()),""))</f>
        <v/>
      </c>
      <c r="H904" s="22"/>
    </row>
    <row r="905" spans="1:8">
      <c r="A905" s="21"/>
      <c r="B905" s="22"/>
      <c r="C905" s="22"/>
      <c r="D905" s="22"/>
      <c r="E905" s="23" t="str">
        <f>IF($D905="","",IFERROR(VLOOKUP($D905,'SAMA Capital Tracker'!$A:$H,8,FALSE()),""))</f>
        <v/>
      </c>
      <c r="F905" s="24"/>
      <c r="G905" s="25" t="str">
        <f>IF($D905="","",IFERROR(VLOOKUP($D905,'SAMA Capital Tracker'!$A:$D,4,FALSE()),""))</f>
        <v/>
      </c>
      <c r="H905" s="22"/>
    </row>
    <row r="906" spans="1:8">
      <c r="A906" s="21"/>
      <c r="B906" s="22"/>
      <c r="C906" s="22"/>
      <c r="D906" s="22"/>
      <c r="E906" s="23" t="str">
        <f>IF($D906="","",IFERROR(VLOOKUP($D906,'SAMA Capital Tracker'!$A:$H,8,FALSE()),""))</f>
        <v/>
      </c>
      <c r="F906" s="24"/>
      <c r="G906" s="25" t="str">
        <f>IF($D906="","",IFERROR(VLOOKUP($D906,'SAMA Capital Tracker'!$A:$D,4,FALSE()),""))</f>
        <v/>
      </c>
      <c r="H906" s="22"/>
    </row>
    <row r="907" spans="1:8">
      <c r="A907" s="21"/>
      <c r="B907" s="22"/>
      <c r="C907" s="22"/>
      <c r="D907" s="22"/>
      <c r="E907" s="23" t="str">
        <f>IF($D907="","",IFERROR(VLOOKUP($D907,'SAMA Capital Tracker'!$A:$H,8,FALSE()),""))</f>
        <v/>
      </c>
      <c r="F907" s="24"/>
      <c r="G907" s="25" t="str">
        <f>IF($D907="","",IFERROR(VLOOKUP($D907,'SAMA Capital Tracker'!$A:$D,4,FALSE()),""))</f>
        <v/>
      </c>
      <c r="H907" s="22"/>
    </row>
    <row r="908" spans="1:8">
      <c r="A908" s="21"/>
      <c r="B908" s="22"/>
      <c r="C908" s="22"/>
      <c r="D908" s="22"/>
      <c r="E908" s="23" t="str">
        <f>IF($D908="","",IFERROR(VLOOKUP($D908,'SAMA Capital Tracker'!$A:$H,8,FALSE()),""))</f>
        <v/>
      </c>
      <c r="F908" s="24"/>
      <c r="G908" s="25" t="str">
        <f>IF($D908="","",IFERROR(VLOOKUP($D908,'SAMA Capital Tracker'!$A:$D,4,FALSE()),""))</f>
        <v/>
      </c>
      <c r="H908" s="22"/>
    </row>
    <row r="909" spans="1:8">
      <c r="A909" s="21"/>
      <c r="B909" s="22"/>
      <c r="C909" s="22"/>
      <c r="D909" s="22"/>
      <c r="E909" s="23" t="str">
        <f>IF($D909="","",IFERROR(VLOOKUP($D909,'SAMA Capital Tracker'!$A:$H,8,FALSE()),""))</f>
        <v/>
      </c>
      <c r="F909" s="24"/>
      <c r="G909" s="25" t="str">
        <f>IF($D909="","",IFERROR(VLOOKUP($D909,'SAMA Capital Tracker'!$A:$D,4,FALSE()),""))</f>
        <v/>
      </c>
      <c r="H909" s="22"/>
    </row>
    <row r="910" spans="1:8">
      <c r="A910" s="21"/>
      <c r="B910" s="22"/>
      <c r="C910" s="22"/>
      <c r="D910" s="22"/>
      <c r="E910" s="23" t="str">
        <f>IF($D910="","",IFERROR(VLOOKUP($D910,'SAMA Capital Tracker'!$A:$H,8,FALSE()),""))</f>
        <v/>
      </c>
      <c r="F910" s="24"/>
      <c r="G910" s="25" t="str">
        <f>IF($D910="","",IFERROR(VLOOKUP($D910,'SAMA Capital Tracker'!$A:$D,4,FALSE()),""))</f>
        <v/>
      </c>
      <c r="H910" s="22"/>
    </row>
    <row r="911" spans="1:8">
      <c r="A911" s="21"/>
      <c r="B911" s="22"/>
      <c r="C911" s="22"/>
      <c r="D911" s="22"/>
      <c r="E911" s="23" t="str">
        <f>IF($D911="","",IFERROR(VLOOKUP($D911,'SAMA Capital Tracker'!$A:$H,8,FALSE()),""))</f>
        <v/>
      </c>
      <c r="F911" s="24"/>
      <c r="G911" s="25" t="str">
        <f>IF($D911="","",IFERROR(VLOOKUP($D911,'SAMA Capital Tracker'!$A:$D,4,FALSE()),""))</f>
        <v/>
      </c>
      <c r="H911" s="22"/>
    </row>
    <row r="912" spans="1:8">
      <c r="A912" s="21"/>
      <c r="B912" s="22"/>
      <c r="C912" s="22"/>
      <c r="D912" s="22"/>
      <c r="E912" s="23" t="str">
        <f>IF($D912="","",IFERROR(VLOOKUP($D912,'SAMA Capital Tracker'!$A:$H,8,FALSE()),""))</f>
        <v/>
      </c>
      <c r="F912" s="24"/>
      <c r="G912" s="25" t="str">
        <f>IF($D912="","",IFERROR(VLOOKUP($D912,'SAMA Capital Tracker'!$A:$D,4,FALSE()),""))</f>
        <v/>
      </c>
      <c r="H912" s="22"/>
    </row>
    <row r="913" spans="1:8">
      <c r="A913" s="21"/>
      <c r="B913" s="22"/>
      <c r="C913" s="22"/>
      <c r="D913" s="22"/>
      <c r="E913" s="23" t="str">
        <f>IF($D913="","",IFERROR(VLOOKUP($D913,'SAMA Capital Tracker'!$A:$H,8,FALSE()),""))</f>
        <v/>
      </c>
      <c r="F913" s="24"/>
      <c r="G913" s="25" t="str">
        <f>IF($D913="","",IFERROR(VLOOKUP($D913,'SAMA Capital Tracker'!$A:$D,4,FALSE()),""))</f>
        <v/>
      </c>
      <c r="H913" s="22"/>
    </row>
    <row r="914" spans="1:8">
      <c r="A914" s="21"/>
      <c r="B914" s="22"/>
      <c r="C914" s="22"/>
      <c r="D914" s="22"/>
      <c r="E914" s="23" t="str">
        <f>IF($D914="","",IFERROR(VLOOKUP($D914,'SAMA Capital Tracker'!$A:$H,8,FALSE()),""))</f>
        <v/>
      </c>
      <c r="F914" s="24"/>
      <c r="G914" s="25" t="str">
        <f>IF($D914="","",IFERROR(VLOOKUP($D914,'SAMA Capital Tracker'!$A:$D,4,FALSE()),""))</f>
        <v/>
      </c>
      <c r="H914" s="22"/>
    </row>
    <row r="915" spans="1:8">
      <c r="A915" s="21"/>
      <c r="B915" s="22"/>
      <c r="C915" s="22"/>
      <c r="D915" s="22"/>
      <c r="E915" s="23" t="str">
        <f>IF($D915="","",IFERROR(VLOOKUP($D915,'SAMA Capital Tracker'!$A:$H,8,FALSE()),""))</f>
        <v/>
      </c>
      <c r="F915" s="24"/>
      <c r="G915" s="25" t="str">
        <f>IF($D915="","",IFERROR(VLOOKUP($D915,'SAMA Capital Tracker'!$A:$D,4,FALSE()),""))</f>
        <v/>
      </c>
      <c r="H915" s="22"/>
    </row>
    <row r="916" spans="1:8">
      <c r="A916" s="21"/>
      <c r="B916" s="22"/>
      <c r="C916" s="22"/>
      <c r="D916" s="22"/>
      <c r="E916" s="23" t="str">
        <f>IF($D916="","",IFERROR(VLOOKUP($D916,'SAMA Capital Tracker'!$A:$H,8,FALSE()),""))</f>
        <v/>
      </c>
      <c r="F916" s="24"/>
      <c r="G916" s="25" t="str">
        <f>IF($D916="","",IFERROR(VLOOKUP($D916,'SAMA Capital Tracker'!$A:$D,4,FALSE()),""))</f>
        <v/>
      </c>
      <c r="H916" s="22"/>
    </row>
    <row r="917" spans="1:8">
      <c r="A917" s="21"/>
      <c r="B917" s="22"/>
      <c r="C917" s="22"/>
      <c r="D917" s="22"/>
      <c r="E917" s="23" t="str">
        <f>IF($D917="","",IFERROR(VLOOKUP($D917,'SAMA Capital Tracker'!$A:$H,8,FALSE()),""))</f>
        <v/>
      </c>
      <c r="F917" s="24"/>
      <c r="G917" s="25" t="str">
        <f>IF($D917="","",IFERROR(VLOOKUP($D917,'SAMA Capital Tracker'!$A:$D,4,FALSE()),""))</f>
        <v/>
      </c>
      <c r="H917" s="22"/>
    </row>
    <row r="918" spans="1:8">
      <c r="A918" s="21"/>
      <c r="B918" s="22"/>
      <c r="C918" s="22"/>
      <c r="D918" s="22"/>
      <c r="E918" s="23" t="str">
        <f>IF($D918="","",IFERROR(VLOOKUP($D918,'SAMA Capital Tracker'!$A:$H,8,FALSE()),""))</f>
        <v/>
      </c>
      <c r="F918" s="24"/>
      <c r="G918" s="25" t="str">
        <f>IF($D918="","",IFERROR(VLOOKUP($D918,'SAMA Capital Tracker'!$A:$D,4,FALSE()),""))</f>
        <v/>
      </c>
      <c r="H918" s="22"/>
    </row>
    <row r="919" spans="1:8">
      <c r="A919" s="21"/>
      <c r="B919" s="22"/>
      <c r="C919" s="22"/>
      <c r="D919" s="22"/>
      <c r="E919" s="23" t="str">
        <f>IF($D919="","",IFERROR(VLOOKUP($D919,'SAMA Capital Tracker'!$A:$H,8,FALSE()),""))</f>
        <v/>
      </c>
      <c r="F919" s="24"/>
      <c r="G919" s="25" t="str">
        <f>IF($D919="","",IFERROR(VLOOKUP($D919,'SAMA Capital Tracker'!$A:$D,4,FALSE()),""))</f>
        <v/>
      </c>
      <c r="H919" s="22"/>
    </row>
    <row r="920" spans="1:8">
      <c r="A920" s="21"/>
      <c r="B920" s="22"/>
      <c r="C920" s="22"/>
      <c r="D920" s="22"/>
      <c r="E920" s="23" t="str">
        <f>IF($D920="","",IFERROR(VLOOKUP($D920,'SAMA Capital Tracker'!$A:$H,8,FALSE()),""))</f>
        <v/>
      </c>
      <c r="F920" s="24"/>
      <c r="G920" s="25" t="str">
        <f>IF($D920="","",IFERROR(VLOOKUP($D920,'SAMA Capital Tracker'!$A:$D,4,FALSE()),""))</f>
        <v/>
      </c>
      <c r="H920" s="22"/>
    </row>
    <row r="921" spans="1:8">
      <c r="A921" s="21"/>
      <c r="B921" s="22"/>
      <c r="C921" s="22"/>
      <c r="D921" s="22"/>
      <c r="E921" s="23" t="str">
        <f>IF($D921="","",IFERROR(VLOOKUP($D921,'SAMA Capital Tracker'!$A:$H,8,FALSE()),""))</f>
        <v/>
      </c>
      <c r="F921" s="24"/>
      <c r="G921" s="25" t="str">
        <f>IF($D921="","",IFERROR(VLOOKUP($D921,'SAMA Capital Tracker'!$A:$D,4,FALSE()),""))</f>
        <v/>
      </c>
      <c r="H921" s="22"/>
    </row>
    <row r="922" spans="1:8">
      <c r="A922" s="21"/>
      <c r="B922" s="22"/>
      <c r="C922" s="22"/>
      <c r="D922" s="22"/>
      <c r="E922" s="23" t="str">
        <f>IF($D922="","",IFERROR(VLOOKUP($D922,'SAMA Capital Tracker'!$A:$H,8,FALSE()),""))</f>
        <v/>
      </c>
      <c r="F922" s="24"/>
      <c r="G922" s="25" t="str">
        <f>IF($D922="","",IFERROR(VLOOKUP($D922,'SAMA Capital Tracker'!$A:$D,4,FALSE()),""))</f>
        <v/>
      </c>
      <c r="H922" s="22"/>
    </row>
    <row r="923" spans="1:8">
      <c r="A923" s="21"/>
      <c r="B923" s="22"/>
      <c r="C923" s="22"/>
      <c r="D923" s="22"/>
      <c r="E923" s="23" t="str">
        <f>IF($D923="","",IFERROR(VLOOKUP($D923,'SAMA Capital Tracker'!$A:$H,8,FALSE()),""))</f>
        <v/>
      </c>
      <c r="F923" s="24"/>
      <c r="G923" s="25" t="str">
        <f>IF($D923="","",IFERROR(VLOOKUP($D923,'SAMA Capital Tracker'!$A:$D,4,FALSE()),""))</f>
        <v/>
      </c>
      <c r="H923" s="22"/>
    </row>
    <row r="924" spans="1:8">
      <c r="A924" s="21"/>
      <c r="B924" s="22"/>
      <c r="C924" s="22"/>
      <c r="D924" s="22"/>
      <c r="E924" s="23" t="str">
        <f>IF($D924="","",IFERROR(VLOOKUP($D924,'SAMA Capital Tracker'!$A:$H,8,FALSE()),""))</f>
        <v/>
      </c>
      <c r="F924" s="24"/>
      <c r="G924" s="25" t="str">
        <f>IF($D924="","",IFERROR(VLOOKUP($D924,'SAMA Capital Tracker'!$A:$D,4,FALSE()),""))</f>
        <v/>
      </c>
      <c r="H924" s="22"/>
    </row>
    <row r="925" spans="1:8">
      <c r="A925" s="21"/>
      <c r="B925" s="22"/>
      <c r="C925" s="22"/>
      <c r="D925" s="22"/>
      <c r="E925" s="23" t="str">
        <f>IF($D925="","",IFERROR(VLOOKUP($D925,'SAMA Capital Tracker'!$A:$H,8,FALSE()),""))</f>
        <v/>
      </c>
      <c r="F925" s="24"/>
      <c r="G925" s="25" t="str">
        <f>IF($D925="","",IFERROR(VLOOKUP($D925,'SAMA Capital Tracker'!$A:$D,4,FALSE()),""))</f>
        <v/>
      </c>
      <c r="H925" s="22"/>
    </row>
    <row r="926" spans="1:8">
      <c r="A926" s="21"/>
      <c r="B926" s="22"/>
      <c r="C926" s="22"/>
      <c r="D926" s="22"/>
      <c r="E926" s="23" t="str">
        <f>IF($D926="","",IFERROR(VLOOKUP($D926,'SAMA Capital Tracker'!$A:$H,8,FALSE()),""))</f>
        <v/>
      </c>
      <c r="F926" s="24"/>
      <c r="G926" s="25" t="str">
        <f>IF($D926="","",IFERROR(VLOOKUP($D926,'SAMA Capital Tracker'!$A:$D,4,FALSE()),""))</f>
        <v/>
      </c>
      <c r="H926" s="22"/>
    </row>
    <row r="927" spans="1:8">
      <c r="A927" s="21"/>
      <c r="B927" s="22"/>
      <c r="C927" s="22"/>
      <c r="D927" s="22"/>
      <c r="E927" s="23" t="str">
        <f>IF($D927="","",IFERROR(VLOOKUP($D927,'SAMA Capital Tracker'!$A:$H,8,FALSE()),""))</f>
        <v/>
      </c>
      <c r="F927" s="24"/>
      <c r="G927" s="25" t="str">
        <f>IF($D927="","",IFERROR(VLOOKUP($D927,'SAMA Capital Tracker'!$A:$D,4,FALSE()),""))</f>
        <v/>
      </c>
      <c r="H927" s="22"/>
    </row>
    <row r="928" spans="1:8">
      <c r="A928" s="21"/>
      <c r="B928" s="22"/>
      <c r="C928" s="22"/>
      <c r="D928" s="22"/>
      <c r="E928" s="23" t="str">
        <f>IF($D928="","",IFERROR(VLOOKUP($D928,'SAMA Capital Tracker'!$A:$H,8,FALSE()),""))</f>
        <v/>
      </c>
      <c r="F928" s="24"/>
      <c r="G928" s="25" t="str">
        <f>IF($D928="","",IFERROR(VLOOKUP($D928,'SAMA Capital Tracker'!$A:$D,4,FALSE()),""))</f>
        <v/>
      </c>
      <c r="H928" s="22"/>
    </row>
    <row r="929" spans="1:8">
      <c r="A929" s="21"/>
      <c r="B929" s="22"/>
      <c r="C929" s="22"/>
      <c r="D929" s="22"/>
      <c r="E929" s="23" t="str">
        <f>IF($D929="","",IFERROR(VLOOKUP($D929,'SAMA Capital Tracker'!$A:$H,8,FALSE()),""))</f>
        <v/>
      </c>
      <c r="F929" s="24"/>
      <c r="G929" s="25" t="str">
        <f>IF($D929="","",IFERROR(VLOOKUP($D929,'SAMA Capital Tracker'!$A:$D,4,FALSE()),""))</f>
        <v/>
      </c>
      <c r="H929" s="22"/>
    </row>
    <row r="930" spans="1:8">
      <c r="A930" s="21"/>
      <c r="B930" s="22"/>
      <c r="C930" s="22"/>
      <c r="D930" s="22"/>
      <c r="E930" s="23" t="str">
        <f>IF($D930="","",IFERROR(VLOOKUP($D930,'SAMA Capital Tracker'!$A:$H,8,FALSE()),""))</f>
        <v/>
      </c>
      <c r="F930" s="24"/>
      <c r="G930" s="25" t="str">
        <f>IF($D930="","",IFERROR(VLOOKUP($D930,'SAMA Capital Tracker'!$A:$D,4,FALSE()),""))</f>
        <v/>
      </c>
      <c r="H930" s="22"/>
    </row>
    <row r="931" spans="1:8">
      <c r="A931" s="21"/>
      <c r="B931" s="22"/>
      <c r="C931" s="22"/>
      <c r="D931" s="22"/>
      <c r="E931" s="23" t="str">
        <f>IF($D931="","",IFERROR(VLOOKUP($D931,'SAMA Capital Tracker'!$A:$H,8,FALSE()),""))</f>
        <v/>
      </c>
      <c r="F931" s="24"/>
      <c r="G931" s="25" t="str">
        <f>IF($D931="","",IFERROR(VLOOKUP($D931,'SAMA Capital Tracker'!$A:$D,4,FALSE()),""))</f>
        <v/>
      </c>
      <c r="H931" s="22"/>
    </row>
    <row r="932" spans="1:8">
      <c r="A932" s="21"/>
      <c r="B932" s="22"/>
      <c r="C932" s="22"/>
      <c r="D932" s="22"/>
      <c r="E932" s="23" t="str">
        <f>IF($D932="","",IFERROR(VLOOKUP($D932,'SAMA Capital Tracker'!$A:$H,8,FALSE()),""))</f>
        <v/>
      </c>
      <c r="F932" s="24"/>
      <c r="G932" s="25" t="str">
        <f>IF($D932="","",IFERROR(VLOOKUP($D932,'SAMA Capital Tracker'!$A:$D,4,FALSE()),""))</f>
        <v/>
      </c>
      <c r="H932" s="22"/>
    </row>
    <row r="933" spans="1:8">
      <c r="A933" s="21"/>
      <c r="B933" s="22"/>
      <c r="C933" s="22"/>
      <c r="D933" s="22"/>
      <c r="E933" s="23" t="str">
        <f>IF($D933="","",IFERROR(VLOOKUP($D933,'SAMA Capital Tracker'!$A:$H,8,FALSE()),""))</f>
        <v/>
      </c>
      <c r="F933" s="24"/>
      <c r="G933" s="25" t="str">
        <f>IF($D933="","",IFERROR(VLOOKUP($D933,'SAMA Capital Tracker'!$A:$D,4,FALSE()),""))</f>
        <v/>
      </c>
      <c r="H933" s="22"/>
    </row>
    <row r="934" spans="1:8">
      <c r="A934" s="21"/>
      <c r="B934" s="22"/>
      <c r="C934" s="22"/>
      <c r="D934" s="22"/>
      <c r="E934" s="23" t="str">
        <f>IF($D934="","",IFERROR(VLOOKUP($D934,'SAMA Capital Tracker'!$A:$H,8,FALSE()),""))</f>
        <v/>
      </c>
      <c r="F934" s="24"/>
      <c r="G934" s="25" t="str">
        <f>IF($D934="","",IFERROR(VLOOKUP($D934,'SAMA Capital Tracker'!$A:$D,4,FALSE()),""))</f>
        <v/>
      </c>
      <c r="H934" s="22"/>
    </row>
    <row r="935" spans="1:8">
      <c r="A935" s="21"/>
      <c r="B935" s="22"/>
      <c r="C935" s="22"/>
      <c r="D935" s="22"/>
      <c r="E935" s="23" t="str">
        <f>IF($D935="","",IFERROR(VLOOKUP($D935,'SAMA Capital Tracker'!$A:$H,8,FALSE()),""))</f>
        <v/>
      </c>
      <c r="F935" s="24"/>
      <c r="G935" s="25" t="str">
        <f>IF($D935="","",IFERROR(VLOOKUP($D935,'SAMA Capital Tracker'!$A:$D,4,FALSE()),""))</f>
        <v/>
      </c>
      <c r="H935" s="22"/>
    </row>
    <row r="936" spans="1:8">
      <c r="A936" s="21"/>
      <c r="B936" s="22"/>
      <c r="C936" s="22"/>
      <c r="D936" s="22"/>
      <c r="E936" s="23" t="str">
        <f>IF($D936="","",IFERROR(VLOOKUP($D936,'SAMA Capital Tracker'!$A:$H,8,FALSE()),""))</f>
        <v/>
      </c>
      <c r="F936" s="24"/>
      <c r="G936" s="25" t="str">
        <f>IF($D936="","",IFERROR(VLOOKUP($D936,'SAMA Capital Tracker'!$A:$D,4,FALSE()),""))</f>
        <v/>
      </c>
      <c r="H936" s="22"/>
    </row>
    <row r="937" spans="1:8">
      <c r="A937" s="21"/>
      <c r="B937" s="22"/>
      <c r="C937" s="22"/>
      <c r="D937" s="22"/>
      <c r="E937" s="23" t="str">
        <f>IF($D937="","",IFERROR(VLOOKUP($D937,'SAMA Capital Tracker'!$A:$H,8,FALSE()),""))</f>
        <v/>
      </c>
      <c r="F937" s="24"/>
      <c r="G937" s="25" t="str">
        <f>IF($D937="","",IFERROR(VLOOKUP($D937,'SAMA Capital Tracker'!$A:$D,4,FALSE()),""))</f>
        <v/>
      </c>
      <c r="H937" s="22"/>
    </row>
    <row r="938" spans="1:8">
      <c r="A938" s="21"/>
      <c r="B938" s="22"/>
      <c r="C938" s="22"/>
      <c r="D938" s="22"/>
      <c r="E938" s="23" t="str">
        <f>IF($D938="","",IFERROR(VLOOKUP($D938,'SAMA Capital Tracker'!$A:$H,8,FALSE()),""))</f>
        <v/>
      </c>
      <c r="F938" s="24"/>
      <c r="G938" s="25" t="str">
        <f>IF($D938="","",IFERROR(VLOOKUP($D938,'SAMA Capital Tracker'!$A:$D,4,FALSE()),""))</f>
        <v/>
      </c>
      <c r="H938" s="22"/>
    </row>
    <row r="939" spans="1:8">
      <c r="A939" s="21"/>
      <c r="B939" s="22"/>
      <c r="C939" s="22"/>
      <c r="D939" s="22"/>
      <c r="E939" s="23" t="str">
        <f>IF($D939="","",IFERROR(VLOOKUP($D939,'SAMA Capital Tracker'!$A:$H,8,FALSE()),""))</f>
        <v/>
      </c>
      <c r="F939" s="24"/>
      <c r="G939" s="25" t="str">
        <f>IF($D939="","",IFERROR(VLOOKUP($D939,'SAMA Capital Tracker'!$A:$D,4,FALSE()),""))</f>
        <v/>
      </c>
      <c r="H939" s="22"/>
    </row>
    <row r="940" spans="1:8">
      <c r="A940" s="21"/>
      <c r="B940" s="22"/>
      <c r="C940" s="22"/>
      <c r="D940" s="22"/>
      <c r="E940" s="23" t="str">
        <f>IF($D940="","",IFERROR(VLOOKUP($D940,'SAMA Capital Tracker'!$A:$H,8,FALSE()),""))</f>
        <v/>
      </c>
      <c r="F940" s="24"/>
      <c r="G940" s="25" t="str">
        <f>IF($D940="","",IFERROR(VLOOKUP($D940,'SAMA Capital Tracker'!$A:$D,4,FALSE()),""))</f>
        <v/>
      </c>
      <c r="H940" s="22"/>
    </row>
    <row r="941" spans="1:8">
      <c r="A941" s="21"/>
      <c r="B941" s="22"/>
      <c r="C941" s="22"/>
      <c r="D941" s="22"/>
      <c r="E941" s="23" t="str">
        <f>IF($D941="","",IFERROR(VLOOKUP($D941,'SAMA Capital Tracker'!$A:$H,8,FALSE()),""))</f>
        <v/>
      </c>
      <c r="F941" s="24"/>
      <c r="G941" s="25" t="str">
        <f>IF($D941="","",IFERROR(VLOOKUP($D941,'SAMA Capital Tracker'!$A:$D,4,FALSE()),""))</f>
        <v/>
      </c>
      <c r="H941" s="22"/>
    </row>
    <row r="942" spans="1:8">
      <c r="A942" s="21"/>
      <c r="B942" s="22"/>
      <c r="C942" s="22"/>
      <c r="D942" s="22"/>
      <c r="E942" s="23" t="str">
        <f>IF($D942="","",IFERROR(VLOOKUP($D942,'SAMA Capital Tracker'!$A:$H,8,FALSE()),""))</f>
        <v/>
      </c>
      <c r="F942" s="24"/>
      <c r="G942" s="25" t="str">
        <f>IF($D942="","",IFERROR(VLOOKUP($D942,'SAMA Capital Tracker'!$A:$D,4,FALSE()),""))</f>
        <v/>
      </c>
      <c r="H942" s="22"/>
    </row>
    <row r="943" spans="1:8">
      <c r="A943" s="21"/>
      <c r="B943" s="22"/>
      <c r="C943" s="22"/>
      <c r="D943" s="22"/>
      <c r="E943" s="23" t="str">
        <f>IF($D943="","",IFERROR(VLOOKUP($D943,'SAMA Capital Tracker'!$A:$H,8,FALSE()),""))</f>
        <v/>
      </c>
      <c r="F943" s="24"/>
      <c r="G943" s="25" t="str">
        <f>IF($D943="","",IFERROR(VLOOKUP($D943,'SAMA Capital Tracker'!$A:$D,4,FALSE()),""))</f>
        <v/>
      </c>
      <c r="H943" s="22"/>
    </row>
    <row r="944" spans="1:8">
      <c r="A944" s="21"/>
      <c r="B944" s="22"/>
      <c r="C944" s="22"/>
      <c r="D944" s="22"/>
      <c r="E944" s="23" t="str">
        <f>IF($D944="","",IFERROR(VLOOKUP($D944,'SAMA Capital Tracker'!$A:$H,8,FALSE()),""))</f>
        <v/>
      </c>
      <c r="F944" s="24"/>
      <c r="G944" s="25" t="str">
        <f>IF($D944="","",IFERROR(VLOOKUP($D944,'SAMA Capital Tracker'!$A:$D,4,FALSE()),""))</f>
        <v/>
      </c>
      <c r="H944" s="22"/>
    </row>
    <row r="945" spans="1:8">
      <c r="A945" s="21"/>
      <c r="B945" s="22"/>
      <c r="C945" s="22"/>
      <c r="D945" s="22"/>
      <c r="E945" s="23" t="str">
        <f>IF($D945="","",IFERROR(VLOOKUP($D945,'SAMA Capital Tracker'!$A:$H,8,FALSE()),""))</f>
        <v/>
      </c>
      <c r="F945" s="24"/>
      <c r="G945" s="25" t="str">
        <f>IF($D945="","",IFERROR(VLOOKUP($D945,'SAMA Capital Tracker'!$A:$D,4,FALSE()),""))</f>
        <v/>
      </c>
      <c r="H945" s="22"/>
    </row>
    <row r="946" spans="1:8">
      <c r="A946" s="21"/>
      <c r="B946" s="22"/>
      <c r="C946" s="22"/>
      <c r="D946" s="22"/>
      <c r="E946" s="23" t="str">
        <f>IF($D946="","",IFERROR(VLOOKUP($D946,'SAMA Capital Tracker'!$A:$H,8,FALSE()),""))</f>
        <v/>
      </c>
      <c r="F946" s="24"/>
      <c r="G946" s="25" t="str">
        <f>IF($D946="","",IFERROR(VLOOKUP($D946,'SAMA Capital Tracker'!$A:$D,4,FALSE()),""))</f>
        <v/>
      </c>
      <c r="H946" s="22"/>
    </row>
    <row r="947" spans="1:8">
      <c r="A947" s="21"/>
      <c r="B947" s="22"/>
      <c r="C947" s="22"/>
      <c r="D947" s="22"/>
      <c r="E947" s="23" t="str">
        <f>IF($D947="","",IFERROR(VLOOKUP($D947,'SAMA Capital Tracker'!$A:$H,8,FALSE()),""))</f>
        <v/>
      </c>
      <c r="F947" s="24"/>
      <c r="G947" s="25" t="str">
        <f>IF($D947="","",IFERROR(VLOOKUP($D947,'SAMA Capital Tracker'!$A:$D,4,FALSE()),""))</f>
        <v/>
      </c>
      <c r="H947" s="22"/>
    </row>
    <row r="948" spans="1:8">
      <c r="A948" s="21"/>
      <c r="B948" s="22"/>
      <c r="C948" s="22"/>
      <c r="D948" s="22"/>
      <c r="E948" s="23" t="str">
        <f>IF($D948="","",IFERROR(VLOOKUP($D948,'SAMA Capital Tracker'!$A:$H,8,FALSE()),""))</f>
        <v/>
      </c>
      <c r="F948" s="24"/>
      <c r="G948" s="25" t="str">
        <f>IF($D948="","",IFERROR(VLOOKUP($D948,'SAMA Capital Tracker'!$A:$D,4,FALSE()),""))</f>
        <v/>
      </c>
      <c r="H948" s="22"/>
    </row>
    <row r="949" spans="1:8">
      <c r="A949" s="21"/>
      <c r="B949" s="22"/>
      <c r="C949" s="22"/>
      <c r="D949" s="22"/>
      <c r="E949" s="23" t="str">
        <f>IF($D949="","",IFERROR(VLOOKUP($D949,'SAMA Capital Tracker'!$A:$H,8,FALSE()),""))</f>
        <v/>
      </c>
      <c r="F949" s="24"/>
      <c r="G949" s="25" t="str">
        <f>IF($D949="","",IFERROR(VLOOKUP($D949,'SAMA Capital Tracker'!$A:$D,4,FALSE()),""))</f>
        <v/>
      </c>
      <c r="H949" s="22"/>
    </row>
    <row r="950" spans="1:8">
      <c r="A950" s="21"/>
      <c r="B950" s="22"/>
      <c r="C950" s="22"/>
      <c r="D950" s="22"/>
      <c r="E950" s="23" t="str">
        <f>IF($D950="","",IFERROR(VLOOKUP($D950,'SAMA Capital Tracker'!$A:$H,8,FALSE()),""))</f>
        <v/>
      </c>
      <c r="F950" s="24"/>
      <c r="G950" s="25" t="str">
        <f>IF($D950="","",IFERROR(VLOOKUP($D950,'SAMA Capital Tracker'!$A:$D,4,FALSE()),""))</f>
        <v/>
      </c>
      <c r="H950" s="22"/>
    </row>
    <row r="951" spans="1:8">
      <c r="A951" s="21"/>
      <c r="B951" s="22"/>
      <c r="C951" s="22"/>
      <c r="D951" s="22"/>
      <c r="E951" s="23" t="str">
        <f>IF($D951="","",IFERROR(VLOOKUP($D951,'SAMA Capital Tracker'!$A:$H,8,FALSE()),""))</f>
        <v/>
      </c>
      <c r="F951" s="24"/>
      <c r="G951" s="25" t="str">
        <f>IF($D951="","",IFERROR(VLOOKUP($D951,'SAMA Capital Tracker'!$A:$D,4,FALSE()),""))</f>
        <v/>
      </c>
      <c r="H951" s="22"/>
    </row>
    <row r="952" spans="1:8">
      <c r="A952" s="21"/>
      <c r="B952" s="22"/>
      <c r="C952" s="22"/>
      <c r="D952" s="22"/>
      <c r="E952" s="23" t="str">
        <f>IF($D952="","",IFERROR(VLOOKUP($D952,'SAMA Capital Tracker'!$A:$H,8,FALSE()),""))</f>
        <v/>
      </c>
      <c r="F952" s="24"/>
      <c r="G952" s="25" t="str">
        <f>IF($D952="","",IFERROR(VLOOKUP($D952,'SAMA Capital Tracker'!$A:$D,4,FALSE()),""))</f>
        <v/>
      </c>
      <c r="H952" s="22"/>
    </row>
    <row r="953" spans="1:8">
      <c r="A953" s="21"/>
      <c r="B953" s="22"/>
      <c r="C953" s="22"/>
      <c r="D953" s="22"/>
      <c r="E953" s="23" t="str">
        <f>IF($D953="","",IFERROR(VLOOKUP($D953,'SAMA Capital Tracker'!$A:$H,8,FALSE()),""))</f>
        <v/>
      </c>
      <c r="F953" s="24"/>
      <c r="G953" s="25" t="str">
        <f>IF($D953="","",IFERROR(VLOOKUP($D953,'SAMA Capital Tracker'!$A:$D,4,FALSE()),""))</f>
        <v/>
      </c>
      <c r="H953" s="22"/>
    </row>
    <row r="954" spans="1:8">
      <c r="A954" s="21"/>
      <c r="B954" s="22"/>
      <c r="C954" s="22"/>
      <c r="D954" s="22"/>
      <c r="E954" s="23" t="str">
        <f>IF($D954="","",IFERROR(VLOOKUP($D954,'SAMA Capital Tracker'!$A:$H,8,FALSE()),""))</f>
        <v/>
      </c>
      <c r="F954" s="24"/>
      <c r="G954" s="25" t="str">
        <f>IF($D954="","",IFERROR(VLOOKUP($D954,'SAMA Capital Tracker'!$A:$D,4,FALSE()),""))</f>
        <v/>
      </c>
      <c r="H954" s="22"/>
    </row>
    <row r="955" spans="1:8">
      <c r="A955" s="21"/>
      <c r="B955" s="22"/>
      <c r="C955" s="22"/>
      <c r="D955" s="22"/>
      <c r="E955" s="23" t="str">
        <f>IF($D955="","",IFERROR(VLOOKUP($D955,'SAMA Capital Tracker'!$A:$H,8,FALSE()),""))</f>
        <v/>
      </c>
      <c r="F955" s="24"/>
      <c r="G955" s="25" t="str">
        <f>IF($D955="","",IFERROR(VLOOKUP($D955,'SAMA Capital Tracker'!$A:$D,4,FALSE()),""))</f>
        <v/>
      </c>
      <c r="H955" s="22"/>
    </row>
    <row r="956" spans="1:8">
      <c r="A956" s="21"/>
      <c r="B956" s="22"/>
      <c r="C956" s="22"/>
      <c r="D956" s="22"/>
      <c r="E956" s="23" t="str">
        <f>IF($D956="","",IFERROR(VLOOKUP($D956,'SAMA Capital Tracker'!$A:$H,8,FALSE()),""))</f>
        <v/>
      </c>
      <c r="F956" s="24"/>
      <c r="G956" s="25" t="str">
        <f>IF($D956="","",IFERROR(VLOOKUP($D956,'SAMA Capital Tracker'!$A:$D,4,FALSE()),""))</f>
        <v/>
      </c>
      <c r="H956" s="22"/>
    </row>
    <row r="957" spans="1:8">
      <c r="A957" s="21"/>
      <c r="B957" s="22"/>
      <c r="C957" s="22"/>
      <c r="D957" s="22"/>
      <c r="E957" s="23" t="str">
        <f>IF($D957="","",IFERROR(VLOOKUP($D957,'SAMA Capital Tracker'!$A:$H,8,FALSE()),""))</f>
        <v/>
      </c>
      <c r="F957" s="24"/>
      <c r="G957" s="25" t="str">
        <f>IF($D957="","",IFERROR(VLOOKUP($D957,'SAMA Capital Tracker'!$A:$D,4,FALSE()),""))</f>
        <v/>
      </c>
      <c r="H957" s="22"/>
    </row>
    <row r="958" spans="1:8">
      <c r="A958" s="21"/>
      <c r="B958" s="22"/>
      <c r="C958" s="22"/>
      <c r="D958" s="22"/>
      <c r="E958" s="23" t="str">
        <f>IF($D958="","",IFERROR(VLOOKUP($D958,'SAMA Capital Tracker'!$A:$H,8,FALSE()),""))</f>
        <v/>
      </c>
      <c r="F958" s="24"/>
      <c r="G958" s="25" t="str">
        <f>IF($D958="","",IFERROR(VLOOKUP($D958,'SAMA Capital Tracker'!$A:$D,4,FALSE()),""))</f>
        <v/>
      </c>
      <c r="H958" s="22"/>
    </row>
    <row r="959" spans="1:8">
      <c r="A959" s="21"/>
      <c r="B959" s="22"/>
      <c r="C959" s="22"/>
      <c r="D959" s="22"/>
      <c r="E959" s="23" t="str">
        <f>IF($D959="","",IFERROR(VLOOKUP($D959,'SAMA Capital Tracker'!$A:$H,8,FALSE()),""))</f>
        <v/>
      </c>
      <c r="F959" s="24"/>
      <c r="G959" s="25" t="str">
        <f>IF($D959="","",IFERROR(VLOOKUP($D959,'SAMA Capital Tracker'!$A:$D,4,FALSE()),""))</f>
        <v/>
      </c>
      <c r="H959" s="22"/>
    </row>
    <row r="960" spans="1:8">
      <c r="A960" s="21"/>
      <c r="B960" s="22"/>
      <c r="C960" s="22"/>
      <c r="D960" s="22"/>
      <c r="E960" s="23" t="str">
        <f>IF($D960="","",IFERROR(VLOOKUP($D960,'SAMA Capital Tracker'!$A:$H,8,FALSE()),""))</f>
        <v/>
      </c>
      <c r="F960" s="24"/>
      <c r="G960" s="25" t="str">
        <f>IF($D960="","",IFERROR(VLOOKUP($D960,'SAMA Capital Tracker'!$A:$D,4,FALSE()),""))</f>
        <v/>
      </c>
      <c r="H960" s="22"/>
    </row>
    <row r="961" spans="1:8">
      <c r="A961" s="21"/>
      <c r="B961" s="22"/>
      <c r="C961" s="22"/>
      <c r="D961" s="22"/>
      <c r="E961" s="23" t="str">
        <f>IF($D961="","",IFERROR(VLOOKUP($D961,'SAMA Capital Tracker'!$A:$H,8,FALSE()),""))</f>
        <v/>
      </c>
      <c r="F961" s="24"/>
      <c r="G961" s="25" t="str">
        <f>IF($D961="","",IFERROR(VLOOKUP($D961,'SAMA Capital Tracker'!$A:$D,4,FALSE()),""))</f>
        <v/>
      </c>
      <c r="H961" s="22"/>
    </row>
    <row r="962" spans="1:8">
      <c r="A962" s="21"/>
      <c r="B962" s="22"/>
      <c r="C962" s="22"/>
      <c r="D962" s="22"/>
      <c r="E962" s="23" t="str">
        <f>IF($D962="","",IFERROR(VLOOKUP($D962,'SAMA Capital Tracker'!$A:$H,8,FALSE()),""))</f>
        <v/>
      </c>
      <c r="F962" s="24"/>
      <c r="G962" s="25" t="str">
        <f>IF($D962="","",IFERROR(VLOOKUP($D962,'SAMA Capital Tracker'!$A:$D,4,FALSE()),""))</f>
        <v/>
      </c>
      <c r="H962" s="22"/>
    </row>
    <row r="963" spans="1:8">
      <c r="A963" s="21"/>
      <c r="B963" s="22"/>
      <c r="C963" s="22"/>
      <c r="D963" s="22"/>
      <c r="E963" s="23" t="str">
        <f>IF($D963="","",IFERROR(VLOOKUP($D963,'SAMA Capital Tracker'!$A:$H,8,FALSE()),""))</f>
        <v/>
      </c>
      <c r="F963" s="24"/>
      <c r="G963" s="25" t="str">
        <f>IF($D963="","",IFERROR(VLOOKUP($D963,'SAMA Capital Tracker'!$A:$D,4,FALSE()),""))</f>
        <v/>
      </c>
      <c r="H963" s="22"/>
    </row>
    <row r="964" spans="1:8">
      <c r="A964" s="21"/>
      <c r="B964" s="22"/>
      <c r="C964" s="22"/>
      <c r="D964" s="22"/>
      <c r="E964" s="23" t="str">
        <f>IF($D964="","",IFERROR(VLOOKUP($D964,'SAMA Capital Tracker'!$A:$H,8,FALSE()),""))</f>
        <v/>
      </c>
      <c r="F964" s="24"/>
      <c r="G964" s="25" t="str">
        <f>IF($D964="","",IFERROR(VLOOKUP($D964,'SAMA Capital Tracker'!$A:$D,4,FALSE()),""))</f>
        <v/>
      </c>
      <c r="H964" s="22"/>
    </row>
    <row r="965" spans="1:8">
      <c r="A965" s="21"/>
      <c r="B965" s="22"/>
      <c r="C965" s="22"/>
      <c r="D965" s="22"/>
      <c r="E965" s="23" t="str">
        <f>IF($D965="","",IFERROR(VLOOKUP($D965,'SAMA Capital Tracker'!$A:$H,8,FALSE()),""))</f>
        <v/>
      </c>
      <c r="F965" s="24"/>
      <c r="G965" s="25" t="str">
        <f>IF($D965="","",IFERROR(VLOOKUP($D965,'SAMA Capital Tracker'!$A:$D,4,FALSE()),""))</f>
        <v/>
      </c>
      <c r="H965" s="22"/>
    </row>
    <row r="966" spans="1:8">
      <c r="A966" s="21"/>
      <c r="B966" s="22"/>
      <c r="C966" s="22"/>
      <c r="D966" s="22"/>
      <c r="E966" s="23" t="str">
        <f>IF($D966="","",IFERROR(VLOOKUP($D966,'SAMA Capital Tracker'!$A:$H,8,FALSE()),""))</f>
        <v/>
      </c>
      <c r="F966" s="24"/>
      <c r="G966" s="25" t="str">
        <f>IF($D966="","",IFERROR(VLOOKUP($D966,'SAMA Capital Tracker'!$A:$D,4,FALSE()),""))</f>
        <v/>
      </c>
      <c r="H966" s="22"/>
    </row>
    <row r="967" spans="1:8">
      <c r="A967" s="21"/>
      <c r="B967" s="22"/>
      <c r="C967" s="22"/>
      <c r="D967" s="22"/>
      <c r="E967" s="23" t="str">
        <f>IF($D967="","",IFERROR(VLOOKUP($D967,'SAMA Capital Tracker'!$A:$H,8,FALSE()),""))</f>
        <v/>
      </c>
      <c r="F967" s="24"/>
      <c r="G967" s="25" t="str">
        <f>IF($D967="","",IFERROR(VLOOKUP($D967,'SAMA Capital Tracker'!$A:$D,4,FALSE()),""))</f>
        <v/>
      </c>
      <c r="H967" s="22"/>
    </row>
    <row r="968" spans="1:8">
      <c r="A968" s="21"/>
      <c r="B968" s="22"/>
      <c r="C968" s="22"/>
      <c r="D968" s="22"/>
      <c r="E968" s="23" t="str">
        <f>IF($D968="","",IFERROR(VLOOKUP($D968,'SAMA Capital Tracker'!$A:$H,8,FALSE()),""))</f>
        <v/>
      </c>
      <c r="F968" s="24"/>
      <c r="G968" s="25" t="str">
        <f>IF($D968="","",IFERROR(VLOOKUP($D968,'SAMA Capital Tracker'!$A:$D,4,FALSE()),""))</f>
        <v/>
      </c>
      <c r="H968" s="22"/>
    </row>
    <row r="969" spans="1:8">
      <c r="A969" s="21"/>
      <c r="B969" s="22"/>
      <c r="C969" s="22"/>
      <c r="D969" s="22"/>
      <c r="E969" s="23" t="str">
        <f>IF($D969="","",IFERROR(VLOOKUP($D969,'SAMA Capital Tracker'!$A:$H,8,FALSE()),""))</f>
        <v/>
      </c>
      <c r="F969" s="24"/>
      <c r="G969" s="25" t="str">
        <f>IF($D969="","",IFERROR(VLOOKUP($D969,'SAMA Capital Tracker'!$A:$D,4,FALSE()),""))</f>
        <v/>
      </c>
      <c r="H969" s="22"/>
    </row>
    <row r="970" spans="1:8">
      <c r="A970" s="21"/>
      <c r="B970" s="22"/>
      <c r="C970" s="22"/>
      <c r="D970" s="22"/>
      <c r="E970" s="23" t="str">
        <f>IF($D970="","",IFERROR(VLOOKUP($D970,'SAMA Capital Tracker'!$A:$H,8,FALSE()),""))</f>
        <v/>
      </c>
      <c r="F970" s="24"/>
      <c r="G970" s="25" t="str">
        <f>IF($D970="","",IFERROR(VLOOKUP($D970,'SAMA Capital Tracker'!$A:$D,4,FALSE()),""))</f>
        <v/>
      </c>
      <c r="H970" s="22"/>
    </row>
    <row r="971" spans="1:8">
      <c r="A971" s="21"/>
      <c r="B971" s="22"/>
      <c r="C971" s="22"/>
      <c r="D971" s="22"/>
      <c r="E971" s="23" t="str">
        <f>IF($D971="","",IFERROR(VLOOKUP($D971,'SAMA Capital Tracker'!$A:$H,8,FALSE()),""))</f>
        <v/>
      </c>
      <c r="F971" s="24"/>
      <c r="G971" s="25" t="str">
        <f>IF($D971="","",IFERROR(VLOOKUP($D971,'SAMA Capital Tracker'!$A:$D,4,FALSE()),""))</f>
        <v/>
      </c>
      <c r="H971" s="22"/>
    </row>
    <row r="972" spans="1:8">
      <c r="A972" s="21"/>
      <c r="B972" s="22"/>
      <c r="C972" s="22"/>
      <c r="D972" s="22"/>
      <c r="E972" s="23" t="str">
        <f>IF($D972="","",IFERROR(VLOOKUP($D972,'SAMA Capital Tracker'!$A:$H,8,FALSE()),""))</f>
        <v/>
      </c>
      <c r="F972" s="24"/>
      <c r="G972" s="25" t="str">
        <f>IF($D972="","",IFERROR(VLOOKUP($D972,'SAMA Capital Tracker'!$A:$D,4,FALSE()),""))</f>
        <v/>
      </c>
      <c r="H972" s="22"/>
    </row>
    <row r="973" spans="1:8">
      <c r="A973" s="21"/>
      <c r="B973" s="22"/>
      <c r="C973" s="22"/>
      <c r="D973" s="22"/>
      <c r="E973" s="23" t="str">
        <f>IF($D973="","",IFERROR(VLOOKUP($D973,'SAMA Capital Tracker'!$A:$H,8,FALSE()),""))</f>
        <v/>
      </c>
      <c r="F973" s="24"/>
      <c r="G973" s="25" t="str">
        <f>IF($D973="","",IFERROR(VLOOKUP($D973,'SAMA Capital Tracker'!$A:$D,4,FALSE()),""))</f>
        <v/>
      </c>
      <c r="H973" s="22"/>
    </row>
    <row r="974" spans="1:8">
      <c r="A974" s="21"/>
      <c r="B974" s="22"/>
      <c r="C974" s="22"/>
      <c r="D974" s="22"/>
      <c r="E974" s="23" t="str">
        <f>IF($D974="","",IFERROR(VLOOKUP($D974,'SAMA Capital Tracker'!$A:$H,8,FALSE()),""))</f>
        <v/>
      </c>
      <c r="F974" s="24"/>
      <c r="G974" s="25" t="str">
        <f>IF($D974="","",IFERROR(VLOOKUP($D974,'SAMA Capital Tracker'!$A:$D,4,FALSE()),""))</f>
        <v/>
      </c>
      <c r="H974" s="22"/>
    </row>
    <row r="975" spans="1:8">
      <c r="A975" s="21"/>
      <c r="B975" s="22"/>
      <c r="C975" s="22"/>
      <c r="D975" s="22"/>
      <c r="E975" s="23" t="str">
        <f>IF($D975="","",IFERROR(VLOOKUP($D975,'SAMA Capital Tracker'!$A:$H,8,FALSE()),""))</f>
        <v/>
      </c>
      <c r="F975" s="24"/>
      <c r="G975" s="25" t="str">
        <f>IF($D975="","",IFERROR(VLOOKUP($D975,'SAMA Capital Tracker'!$A:$D,4,FALSE()),""))</f>
        <v/>
      </c>
      <c r="H975" s="22"/>
    </row>
    <row r="976" spans="1:8">
      <c r="A976" s="21"/>
      <c r="B976" s="22"/>
      <c r="C976" s="22"/>
      <c r="D976" s="22"/>
      <c r="E976" s="23" t="str">
        <f>IF($D976="","",IFERROR(VLOOKUP($D976,'SAMA Capital Tracker'!$A:$H,8,FALSE()),""))</f>
        <v/>
      </c>
      <c r="F976" s="24"/>
      <c r="G976" s="25" t="str">
        <f>IF($D976="","",IFERROR(VLOOKUP($D976,'SAMA Capital Tracker'!$A:$D,4,FALSE()),""))</f>
        <v/>
      </c>
      <c r="H976" s="22"/>
    </row>
    <row r="977" spans="1:8">
      <c r="A977" s="21"/>
      <c r="B977" s="22"/>
      <c r="C977" s="22"/>
      <c r="D977" s="22"/>
      <c r="E977" s="23" t="str">
        <f>IF($D977="","",IFERROR(VLOOKUP($D977,'SAMA Capital Tracker'!$A:$H,8,FALSE()),""))</f>
        <v/>
      </c>
      <c r="F977" s="24"/>
      <c r="G977" s="25" t="str">
        <f>IF($D977="","",IFERROR(VLOOKUP($D977,'SAMA Capital Tracker'!$A:$D,4,FALSE()),""))</f>
        <v/>
      </c>
      <c r="H977" s="22"/>
    </row>
    <row r="978" spans="1:8">
      <c r="A978" s="21"/>
      <c r="B978" s="22"/>
      <c r="C978" s="22"/>
      <c r="D978" s="22"/>
      <c r="E978" s="23" t="str">
        <f>IF($D978="","",IFERROR(VLOOKUP($D978,'SAMA Capital Tracker'!$A:$H,8,FALSE()),""))</f>
        <v/>
      </c>
      <c r="F978" s="24"/>
      <c r="G978" s="25" t="str">
        <f>IF($D978="","",IFERROR(VLOOKUP($D978,'SAMA Capital Tracker'!$A:$D,4,FALSE()),""))</f>
        <v/>
      </c>
      <c r="H978" s="22"/>
    </row>
    <row r="979" spans="1:8">
      <c r="A979" s="21"/>
      <c r="B979" s="22"/>
      <c r="C979" s="22"/>
      <c r="D979" s="22"/>
      <c r="E979" s="23" t="str">
        <f>IF($D979="","",IFERROR(VLOOKUP($D979,'SAMA Capital Tracker'!$A:$H,8,FALSE()),""))</f>
        <v/>
      </c>
      <c r="F979" s="24"/>
      <c r="G979" s="25" t="str">
        <f>IF($D979="","",IFERROR(VLOOKUP($D979,'SAMA Capital Tracker'!$A:$D,4,FALSE()),""))</f>
        <v/>
      </c>
      <c r="H979" s="22"/>
    </row>
    <row r="980" spans="1:8">
      <c r="A980" s="21"/>
      <c r="B980" s="22"/>
      <c r="C980" s="22"/>
      <c r="D980" s="22"/>
      <c r="E980" s="23" t="str">
        <f>IF($D980="","",IFERROR(VLOOKUP($D980,'SAMA Capital Tracker'!$A:$H,8,FALSE()),""))</f>
        <v/>
      </c>
      <c r="F980" s="24"/>
      <c r="G980" s="25" t="str">
        <f>IF($D980="","",IFERROR(VLOOKUP($D980,'SAMA Capital Tracker'!$A:$D,4,FALSE()),""))</f>
        <v/>
      </c>
      <c r="H980" s="22"/>
    </row>
    <row r="981" spans="1:8">
      <c r="A981" s="21"/>
      <c r="B981" s="22"/>
      <c r="C981" s="22"/>
      <c r="D981" s="22"/>
      <c r="E981" s="23" t="str">
        <f>IF($D981="","",IFERROR(VLOOKUP($D981,'SAMA Capital Tracker'!$A:$H,8,FALSE()),""))</f>
        <v/>
      </c>
      <c r="F981" s="24"/>
      <c r="G981" s="25" t="str">
        <f>IF($D981="","",IFERROR(VLOOKUP($D981,'SAMA Capital Tracker'!$A:$D,4,FALSE()),""))</f>
        <v/>
      </c>
      <c r="H981" s="22"/>
    </row>
    <row r="982" spans="1:8">
      <c r="A982" s="21"/>
      <c r="B982" s="22"/>
      <c r="C982" s="22"/>
      <c r="D982" s="22"/>
      <c r="E982" s="23" t="str">
        <f>IF($D982="","",IFERROR(VLOOKUP($D982,'SAMA Capital Tracker'!$A:$H,8,FALSE()),""))</f>
        <v/>
      </c>
      <c r="F982" s="24"/>
      <c r="G982" s="25" t="str">
        <f>IF($D982="","",IFERROR(VLOOKUP($D982,'SAMA Capital Tracker'!$A:$D,4,FALSE()),""))</f>
        <v/>
      </c>
      <c r="H982" s="22"/>
    </row>
    <row r="983" spans="1:8">
      <c r="A983" s="21"/>
      <c r="B983" s="22"/>
      <c r="C983" s="22"/>
      <c r="D983" s="22"/>
      <c r="E983" s="23" t="str">
        <f>IF($D983="","",IFERROR(VLOOKUP($D983,'SAMA Capital Tracker'!$A:$H,8,FALSE()),""))</f>
        <v/>
      </c>
      <c r="F983" s="24"/>
      <c r="G983" s="25" t="str">
        <f>IF($D983="","",IFERROR(VLOOKUP($D983,'SAMA Capital Tracker'!$A:$D,4,FALSE()),""))</f>
        <v/>
      </c>
      <c r="H983" s="22"/>
    </row>
    <row r="984" spans="1:8">
      <c r="A984" s="21"/>
      <c r="B984" s="22"/>
      <c r="C984" s="22"/>
      <c r="D984" s="22"/>
      <c r="E984" s="23" t="str">
        <f>IF($D984="","",IFERROR(VLOOKUP($D984,'SAMA Capital Tracker'!$A:$H,8,FALSE()),""))</f>
        <v/>
      </c>
      <c r="F984" s="24"/>
      <c r="G984" s="25" t="str">
        <f>IF($D984="","",IFERROR(VLOOKUP($D984,'SAMA Capital Tracker'!$A:$D,4,FALSE()),""))</f>
        <v/>
      </c>
      <c r="H984" s="22"/>
    </row>
    <row r="985" spans="1:8">
      <c r="A985" s="21"/>
      <c r="B985" s="22"/>
      <c r="C985" s="22"/>
      <c r="D985" s="22"/>
      <c r="E985" s="23" t="str">
        <f>IF($D985="","",IFERROR(VLOOKUP($D985,'SAMA Capital Tracker'!$A:$H,8,FALSE()),""))</f>
        <v/>
      </c>
      <c r="F985" s="24"/>
      <c r="G985" s="25" t="str">
        <f>IF($D985="","",IFERROR(VLOOKUP($D985,'SAMA Capital Tracker'!$A:$D,4,FALSE()),""))</f>
        <v/>
      </c>
      <c r="H985" s="22"/>
    </row>
    <row r="986" spans="1:8">
      <c r="A986" s="21"/>
      <c r="B986" s="22"/>
      <c r="C986" s="22"/>
      <c r="D986" s="22"/>
      <c r="E986" s="23" t="str">
        <f>IF($D986="","",IFERROR(VLOOKUP($D986,'SAMA Capital Tracker'!$A:$H,8,FALSE()),""))</f>
        <v/>
      </c>
      <c r="F986" s="24"/>
      <c r="G986" s="25" t="str">
        <f>IF($D986="","",IFERROR(VLOOKUP($D986,'SAMA Capital Tracker'!$A:$D,4,FALSE()),""))</f>
        <v/>
      </c>
      <c r="H986" s="22"/>
    </row>
    <row r="987" spans="1:8">
      <c r="A987" s="21"/>
      <c r="B987" s="22"/>
      <c r="C987" s="22"/>
      <c r="D987" s="22"/>
      <c r="E987" s="23" t="str">
        <f>IF($D987="","",IFERROR(VLOOKUP($D987,'SAMA Capital Tracker'!$A:$H,8,FALSE()),""))</f>
        <v/>
      </c>
      <c r="F987" s="24"/>
      <c r="G987" s="25" t="str">
        <f>IF($D987="","",IFERROR(VLOOKUP($D987,'SAMA Capital Tracker'!$A:$D,4,FALSE()),""))</f>
        <v/>
      </c>
      <c r="H987" s="22"/>
    </row>
    <row r="988" spans="1:8">
      <c r="A988" s="21"/>
      <c r="B988" s="22"/>
      <c r="C988" s="22"/>
      <c r="D988" s="22"/>
      <c r="E988" s="23" t="str">
        <f>IF($D988="","",IFERROR(VLOOKUP($D988,'SAMA Capital Tracker'!$A:$H,8,FALSE()),""))</f>
        <v/>
      </c>
      <c r="F988" s="24"/>
      <c r="G988" s="25" t="str">
        <f>IF($D988="","",IFERROR(VLOOKUP($D988,'SAMA Capital Tracker'!$A:$D,4,FALSE()),""))</f>
        <v/>
      </c>
      <c r="H988" s="22"/>
    </row>
    <row r="989" spans="1:8">
      <c r="A989" s="21"/>
      <c r="B989" s="22"/>
      <c r="C989" s="22"/>
      <c r="D989" s="22"/>
      <c r="E989" s="23" t="str">
        <f>IF($D989="","",IFERROR(VLOOKUP($D989,'SAMA Capital Tracker'!$A:$H,8,FALSE()),""))</f>
        <v/>
      </c>
      <c r="F989" s="24"/>
      <c r="G989" s="25" t="str">
        <f>IF($D989="","",IFERROR(VLOOKUP($D989,'SAMA Capital Tracker'!$A:$D,4,FALSE()),""))</f>
        <v/>
      </c>
      <c r="H989" s="22"/>
    </row>
    <row r="990" spans="1:8">
      <c r="A990" s="21"/>
      <c r="B990" s="22"/>
      <c r="C990" s="22"/>
      <c r="D990" s="22"/>
      <c r="E990" s="23" t="str">
        <f>IF($D990="","",IFERROR(VLOOKUP($D990,'SAMA Capital Tracker'!$A:$H,8,FALSE()),""))</f>
        <v/>
      </c>
      <c r="F990" s="24"/>
      <c r="G990" s="25" t="str">
        <f>IF($D990="","",IFERROR(VLOOKUP($D990,'SAMA Capital Tracker'!$A:$D,4,FALSE()),""))</f>
        <v/>
      </c>
      <c r="H990" s="22"/>
    </row>
    <row r="991" spans="1:8">
      <c r="A991" s="21"/>
      <c r="B991" s="22"/>
      <c r="C991" s="22"/>
      <c r="D991" s="22"/>
      <c r="E991" s="23" t="str">
        <f>IF($D991="","",IFERROR(VLOOKUP($D991,'SAMA Capital Tracker'!$A:$H,8,FALSE()),""))</f>
        <v/>
      </c>
      <c r="F991" s="24"/>
      <c r="G991" s="25" t="str">
        <f>IF($D991="","",IFERROR(VLOOKUP($D991,'SAMA Capital Tracker'!$A:$D,4,FALSE()),""))</f>
        <v/>
      </c>
      <c r="H991" s="22"/>
    </row>
    <row r="992" spans="1:8">
      <c r="A992" s="21"/>
      <c r="B992" s="22"/>
      <c r="C992" s="22"/>
      <c r="D992" s="22"/>
      <c r="E992" s="23" t="str">
        <f>IF($D992="","",IFERROR(VLOOKUP($D992,'SAMA Capital Tracker'!$A:$H,8,FALSE()),""))</f>
        <v/>
      </c>
      <c r="F992" s="24"/>
      <c r="G992" s="25" t="str">
        <f>IF($D992="","",IFERROR(VLOOKUP($D992,'SAMA Capital Tracker'!$A:$D,4,FALSE()),""))</f>
        <v/>
      </c>
      <c r="H992" s="22"/>
    </row>
    <row r="993" spans="1:8">
      <c r="A993" s="21"/>
      <c r="B993" s="22"/>
      <c r="C993" s="22"/>
      <c r="D993" s="22"/>
      <c r="E993" s="23" t="str">
        <f>IF($D993="","",IFERROR(VLOOKUP($D993,'SAMA Capital Tracker'!$A:$H,8,FALSE()),""))</f>
        <v/>
      </c>
      <c r="F993" s="24"/>
      <c r="G993" s="25" t="str">
        <f>IF($D993="","",IFERROR(VLOOKUP($D993,'SAMA Capital Tracker'!$A:$D,4,FALSE()),""))</f>
        <v/>
      </c>
      <c r="H993" s="22"/>
    </row>
    <row r="994" spans="1:8">
      <c r="A994" s="21"/>
      <c r="B994" s="22"/>
      <c r="C994" s="22"/>
      <c r="D994" s="22"/>
      <c r="E994" s="23" t="str">
        <f>IF($D994="","",IFERROR(VLOOKUP($D994,'SAMA Capital Tracker'!$A:$H,8,FALSE()),""))</f>
        <v/>
      </c>
      <c r="F994" s="24"/>
      <c r="G994" s="25" t="str">
        <f>IF($D994="","",IFERROR(VLOOKUP($D994,'SAMA Capital Tracker'!$A:$D,4,FALSE()),""))</f>
        <v/>
      </c>
      <c r="H994" s="22"/>
    </row>
    <row r="995" spans="1:8">
      <c r="A995" s="21"/>
      <c r="B995" s="22"/>
      <c r="C995" s="22"/>
      <c r="D995" s="22"/>
      <c r="E995" s="23" t="str">
        <f>IF($D995="","",IFERROR(VLOOKUP($D995,'SAMA Capital Tracker'!$A:$H,8,FALSE()),""))</f>
        <v/>
      </c>
      <c r="F995" s="24"/>
      <c r="G995" s="25" t="str">
        <f>IF($D995="","",IFERROR(VLOOKUP($D995,'SAMA Capital Tracker'!$A:$D,4,FALSE()),""))</f>
        <v/>
      </c>
      <c r="H995" s="22"/>
    </row>
    <row r="996" spans="1:8">
      <c r="A996" s="21"/>
      <c r="B996" s="22"/>
      <c r="C996" s="22"/>
      <c r="D996" s="22"/>
      <c r="E996" s="23" t="str">
        <f>IF($D996="","",IFERROR(VLOOKUP($D996,'SAMA Capital Tracker'!$A:$H,8,FALSE()),""))</f>
        <v/>
      </c>
      <c r="F996" s="24"/>
      <c r="G996" s="25" t="str">
        <f>IF($D996="","",IFERROR(VLOOKUP($D996,'SAMA Capital Tracker'!$A:$D,4,FALSE()),""))</f>
        <v/>
      </c>
      <c r="H996" s="22"/>
    </row>
    <row r="997" spans="1:8">
      <c r="A997" s="21"/>
      <c r="B997" s="22"/>
      <c r="C997" s="22"/>
      <c r="D997" s="22"/>
      <c r="E997" s="23" t="str">
        <f>IF($D997="","",IFERROR(VLOOKUP($D997,'SAMA Capital Tracker'!$A:$H,8,FALSE()),""))</f>
        <v/>
      </c>
      <c r="F997" s="24"/>
      <c r="G997" s="25" t="str">
        <f>IF($D997="","",IFERROR(VLOOKUP($D997,'SAMA Capital Tracker'!$A:$D,4,FALSE()),""))</f>
        <v/>
      </c>
      <c r="H997" s="22"/>
    </row>
    <row r="998" spans="1:8">
      <c r="A998" s="21"/>
      <c r="B998" s="22"/>
      <c r="C998" s="22"/>
      <c r="D998" s="22"/>
      <c r="E998" s="23" t="str">
        <f>IF($D998="","",IFERROR(VLOOKUP($D998,'SAMA Capital Tracker'!$A:$H,8,FALSE()),""))</f>
        <v/>
      </c>
      <c r="F998" s="24"/>
      <c r="G998" s="25" t="str">
        <f>IF($D998="","",IFERROR(VLOOKUP($D998,'SAMA Capital Tracker'!$A:$D,4,FALSE()),""))</f>
        <v/>
      </c>
      <c r="H998" s="22"/>
    </row>
    <row r="999" spans="1:8">
      <c r="A999" s="21"/>
      <c r="B999" s="22"/>
      <c r="C999" s="22"/>
      <c r="D999" s="22"/>
      <c r="E999" s="23" t="str">
        <f>IF($D999="","",IFERROR(VLOOKUP($D999,'SAMA Capital Tracker'!$A:$H,8,FALSE()),""))</f>
        <v/>
      </c>
      <c r="F999" s="24"/>
      <c r="G999" s="25" t="str">
        <f>IF($D999="","",IFERROR(VLOOKUP($D999,'SAMA Capital Tracker'!$A:$D,4,FALSE()),""))</f>
        <v/>
      </c>
      <c r="H999" s="22"/>
    </row>
    <row r="1000" spans="1:8">
      <c r="A1000" s="21"/>
      <c r="B1000" s="22"/>
      <c r="C1000" s="22"/>
      <c r="D1000" s="22"/>
      <c r="E1000" s="23" t="str">
        <f>IF($D1000="","",IFERROR(VLOOKUP($D1000,'SAMA Capital Tracker'!$A:$H,8,FALSE()),""))</f>
        <v/>
      </c>
      <c r="F1000" s="24"/>
      <c r="G1000" s="25" t="str">
        <f>IF($D1000="","",IFERROR(VLOOKUP($D1000,'SAMA Capital Tracker'!$A:$D,4,FALSE()),""))</f>
        <v/>
      </c>
      <c r="H1000" s="22"/>
    </row>
    <row r="1001" spans="1:8">
      <c r="A1001" s="21"/>
      <c r="B1001" s="22"/>
      <c r="C1001" s="22"/>
      <c r="D1001" s="22"/>
      <c r="E1001" s="23" t="str">
        <f>IF($D1001="","",IFERROR(VLOOKUP($D1001,'SAMA Capital Tracker'!$A:$H,8,FALSE()),""))</f>
        <v/>
      </c>
      <c r="F1001" s="24"/>
      <c r="G1001" s="25" t="str">
        <f>IF($D1001="","",IFERROR(VLOOKUP($D1001,'SAMA Capital Tracker'!$A:$D,4,FALSE()),""))</f>
        <v/>
      </c>
      <c r="H1001" s="22"/>
    </row>
    <row r="1002" spans="1:8">
      <c r="A1002" s="21"/>
      <c r="B1002" s="22"/>
      <c r="C1002" s="22"/>
      <c r="D1002" s="22"/>
      <c r="E1002" s="23" t="str">
        <f>IF($D1002="","",IFERROR(VLOOKUP($D1002,'SAMA Capital Tracker'!$A:$H,8,FALSE()),""))</f>
        <v/>
      </c>
      <c r="F1002" s="24"/>
      <c r="G1002" s="25" t="str">
        <f>IF($D1002="","",IFERROR(VLOOKUP($D1002,'SAMA Capital Tracker'!$A:$D,4,FALSE()),""))</f>
        <v/>
      </c>
      <c r="H1002" s="22"/>
    </row>
    <row r="1003" spans="1:8">
      <c r="A1003" s="21"/>
      <c r="B1003" s="22"/>
      <c r="C1003" s="22"/>
      <c r="D1003" s="22"/>
      <c r="E1003" s="23" t="str">
        <f>IF($D1003="","",IFERROR(VLOOKUP($D1003,'SAMA Capital Tracker'!$A:$H,8,FALSE()),""))</f>
        <v/>
      </c>
      <c r="F1003" s="24"/>
      <c r="G1003" s="25" t="str">
        <f>IF($D1003="","",IFERROR(VLOOKUP($D1003,'SAMA Capital Tracker'!$A:$D,4,FALSE()),""))</f>
        <v/>
      </c>
      <c r="H1003" s="22"/>
    </row>
    <row r="1004" spans="1:8">
      <c r="A1004" s="21"/>
      <c r="B1004" s="22"/>
      <c r="C1004" s="22"/>
      <c r="D1004" s="22"/>
      <c r="E1004" s="23" t="str">
        <f>IF($D1004="","",IFERROR(VLOOKUP($D1004,'SAMA Capital Tracker'!$A:$H,8,FALSE()),""))</f>
        <v/>
      </c>
      <c r="F1004" s="24"/>
      <c r="G1004" s="25" t="str">
        <f>IF($D1004="","",IFERROR(VLOOKUP($D1004,'SAMA Capital Tracker'!$A:$D,4,FALSE()),""))</f>
        <v/>
      </c>
      <c r="H1004" s="22"/>
    </row>
    <row r="1005" spans="1:8">
      <c r="A1005" s="21"/>
      <c r="B1005" s="22"/>
      <c r="C1005" s="22"/>
      <c r="D1005" s="22"/>
      <c r="E1005" s="23" t="str">
        <f>IF($D1005="","",IFERROR(VLOOKUP($D1005,'SAMA Capital Tracker'!$A:$H,8,FALSE()),""))</f>
        <v/>
      </c>
      <c r="F1005" s="24"/>
      <c r="G1005" s="25" t="str">
        <f>IF($D1005="","",IFERROR(VLOOKUP($D1005,'SAMA Capital Tracker'!$A:$D,4,FALSE()),""))</f>
        <v/>
      </c>
      <c r="H1005" s="22"/>
    </row>
    <row r="1006" spans="1:8">
      <c r="A1006" s="21"/>
      <c r="B1006" s="22"/>
      <c r="C1006" s="22"/>
      <c r="D1006" s="22"/>
      <c r="E1006" s="23" t="str">
        <f>IF($D1006="","",IFERROR(VLOOKUP($D1006,'SAMA Capital Tracker'!$A:$H,8,FALSE()),""))</f>
        <v/>
      </c>
      <c r="F1006" s="24"/>
      <c r="G1006" s="25" t="str">
        <f>IF($D1006="","",IFERROR(VLOOKUP($D1006,'SAMA Capital Tracker'!$A:$D,4,FALSE()),""))</f>
        <v/>
      </c>
      <c r="H1006" s="22"/>
    </row>
    <row r="1007" spans="1:8">
      <c r="A1007" s="21"/>
      <c r="B1007" s="22"/>
      <c r="C1007" s="22"/>
      <c r="D1007" s="22"/>
      <c r="E1007" s="23" t="str">
        <f>IF($D1007="","",IFERROR(VLOOKUP($D1007,'SAMA Capital Tracker'!$A:$H,8,FALSE()),""))</f>
        <v/>
      </c>
      <c r="F1007" s="24"/>
      <c r="G1007" s="25" t="str">
        <f>IF($D1007="","",IFERROR(VLOOKUP($D1007,'SAMA Capital Tracker'!$A:$D,4,FALSE()),""))</f>
        <v/>
      </c>
      <c r="H1007" s="22"/>
    </row>
    <row r="1008" spans="1:8">
      <c r="A1008" s="21"/>
      <c r="B1008" s="22"/>
      <c r="C1008" s="22"/>
      <c r="D1008" s="22"/>
      <c r="E1008" s="23" t="str">
        <f>IF($D1008="","",IFERROR(VLOOKUP($D1008,'SAMA Capital Tracker'!$A:$H,8,FALSE()),""))</f>
        <v/>
      </c>
      <c r="F1008" s="24"/>
      <c r="G1008" s="25" t="str">
        <f>IF($D1008="","",IFERROR(VLOOKUP($D1008,'SAMA Capital Tracker'!$A:$D,4,FALSE()),""))</f>
        <v/>
      </c>
      <c r="H1008" s="22"/>
    </row>
    <row r="1009" spans="1:8">
      <c r="A1009" s="21"/>
      <c r="B1009" s="22"/>
      <c r="C1009" s="22"/>
      <c r="D1009" s="22"/>
      <c r="E1009" s="23" t="str">
        <f>IF($D1009="","",IFERROR(VLOOKUP($D1009,'SAMA Capital Tracker'!$A:$H,8,FALSE()),""))</f>
        <v/>
      </c>
      <c r="F1009" s="24"/>
      <c r="G1009" s="25" t="str">
        <f>IF($D1009="","",IFERROR(VLOOKUP($D1009,'SAMA Capital Tracker'!$A:$D,4,FALSE()),""))</f>
        <v/>
      </c>
      <c r="H1009" s="22"/>
    </row>
    <row r="1010" spans="1:8">
      <c r="A1010" s="21"/>
      <c r="B1010" s="22"/>
      <c r="C1010" s="22"/>
      <c r="D1010" s="22"/>
      <c r="E1010" s="23" t="str">
        <f>IF($D1010="","",IFERROR(VLOOKUP($D1010,'SAMA Capital Tracker'!$A:$H,8,FALSE()),""))</f>
        <v/>
      </c>
      <c r="F1010" s="24"/>
      <c r="G1010" s="25" t="str">
        <f>IF($D1010="","",IFERROR(VLOOKUP($D1010,'SAMA Capital Tracker'!$A:$D,4,FALSE()),""))</f>
        <v/>
      </c>
      <c r="H1010" s="22"/>
    </row>
    <row r="1011" spans="1:8">
      <c r="A1011" s="21"/>
      <c r="B1011" s="22"/>
      <c r="C1011" s="22"/>
      <c r="D1011" s="22"/>
      <c r="E1011" s="23" t="str">
        <f>IF($D1011="","",IFERROR(VLOOKUP($D1011,'SAMA Capital Tracker'!$A:$H,8,FALSE()),""))</f>
        <v/>
      </c>
      <c r="F1011" s="24"/>
      <c r="G1011" s="25" t="str">
        <f>IF($D1011="","",IFERROR(VLOOKUP($D1011,'SAMA Capital Tracker'!$A:$D,4,FALSE()),""))</f>
        <v/>
      </c>
      <c r="H1011" s="22"/>
    </row>
    <row r="1012" spans="1:8">
      <c r="A1012" s="21"/>
      <c r="B1012" s="22"/>
      <c r="C1012" s="22"/>
      <c r="D1012" s="22"/>
      <c r="E1012" s="23" t="str">
        <f>IF($D1012="","",IFERROR(VLOOKUP($D1012,'SAMA Capital Tracker'!$A:$H,8,FALSE()),""))</f>
        <v/>
      </c>
      <c r="F1012" s="24"/>
      <c r="G1012" s="25" t="str">
        <f>IF($D1012="","",IFERROR(VLOOKUP($D1012,'SAMA Capital Tracker'!$A:$D,4,FALSE()),""))</f>
        <v/>
      </c>
      <c r="H1012" s="22"/>
    </row>
    <row r="1013" spans="1:8">
      <c r="A1013" s="21"/>
      <c r="B1013" s="22"/>
      <c r="C1013" s="22"/>
      <c r="D1013" s="22"/>
      <c r="E1013" s="23" t="str">
        <f>IF($D1013="","",IFERROR(VLOOKUP($D1013,'SAMA Capital Tracker'!$A:$H,8,FALSE()),""))</f>
        <v/>
      </c>
      <c r="F1013" s="24"/>
      <c r="G1013" s="25" t="str">
        <f>IF($D1013="","",IFERROR(VLOOKUP($D1013,'SAMA Capital Tracker'!$A:$D,4,FALSE()),""))</f>
        <v/>
      </c>
      <c r="H1013" s="22"/>
    </row>
    <row r="1014" spans="1:8">
      <c r="A1014" s="21"/>
      <c r="B1014" s="22"/>
      <c r="C1014" s="22"/>
      <c r="D1014" s="22"/>
      <c r="E1014" s="23" t="str">
        <f>IF($D1014="","",IFERROR(VLOOKUP($D1014,'SAMA Capital Tracker'!$A:$H,8,FALSE()),""))</f>
        <v/>
      </c>
      <c r="F1014" s="24"/>
      <c r="G1014" s="25" t="str">
        <f>IF($D1014="","",IFERROR(VLOOKUP($D1014,'SAMA Capital Tracker'!$A:$D,4,FALSE()),""))</f>
        <v/>
      </c>
      <c r="H1014" s="22"/>
    </row>
    <row r="1015" spans="1:8">
      <c r="A1015" s="21"/>
      <c r="B1015" s="22"/>
      <c r="C1015" s="22"/>
      <c r="D1015" s="22"/>
      <c r="E1015" s="23" t="str">
        <f>IF($D1015="","",IFERROR(VLOOKUP($D1015,'SAMA Capital Tracker'!$A:$H,8,FALSE()),""))</f>
        <v/>
      </c>
      <c r="F1015" s="24"/>
      <c r="G1015" s="25" t="str">
        <f>IF($D1015="","",IFERROR(VLOOKUP($D1015,'SAMA Capital Tracker'!$A:$D,4,FALSE()),""))</f>
        <v/>
      </c>
      <c r="H1015" s="22"/>
    </row>
    <row r="1016" spans="1:8">
      <c r="A1016" s="21"/>
      <c r="B1016" s="22"/>
      <c r="C1016" s="22"/>
      <c r="D1016" s="22"/>
      <c r="E1016" s="23" t="str">
        <f>IF($D1016="","",IFERROR(VLOOKUP($D1016,'SAMA Capital Tracker'!$A:$H,8,FALSE()),""))</f>
        <v/>
      </c>
      <c r="F1016" s="24"/>
      <c r="G1016" s="25" t="str">
        <f>IF($D1016="","",IFERROR(VLOOKUP($D1016,'SAMA Capital Tracker'!$A:$D,4,FALSE()),""))</f>
        <v/>
      </c>
      <c r="H1016" s="22"/>
    </row>
    <row r="1017" spans="1:8">
      <c r="A1017" s="21"/>
      <c r="B1017" s="22"/>
      <c r="C1017" s="22"/>
      <c r="D1017" s="22"/>
      <c r="E1017" s="23" t="str">
        <f>IF($D1017="","",IFERROR(VLOOKUP($D1017,'SAMA Capital Tracker'!$A:$H,8,FALSE()),""))</f>
        <v/>
      </c>
      <c r="F1017" s="24"/>
      <c r="G1017" s="25" t="str">
        <f>IF($D1017="","",IFERROR(VLOOKUP($D1017,'SAMA Capital Tracker'!$A:$D,4,FALSE()),""))</f>
        <v/>
      </c>
      <c r="H1017" s="22"/>
    </row>
    <row r="1018" spans="1:8">
      <c r="A1018" s="21"/>
      <c r="B1018" s="22"/>
      <c r="C1018" s="22"/>
      <c r="D1018" s="22"/>
      <c r="E1018" s="23" t="str">
        <f>IF($D1018="","",IFERROR(VLOOKUP($D1018,'SAMA Capital Tracker'!$A:$H,8,FALSE()),""))</f>
        <v/>
      </c>
      <c r="F1018" s="24"/>
      <c r="G1018" s="25" t="str">
        <f>IF($D1018="","",IFERROR(VLOOKUP($D1018,'SAMA Capital Tracker'!$A:$D,4,FALSE()),""))</f>
        <v/>
      </c>
      <c r="H1018" s="22"/>
    </row>
    <row r="1019" spans="1:8">
      <c r="A1019" s="21"/>
      <c r="B1019" s="22"/>
      <c r="C1019" s="22"/>
      <c r="D1019" s="22"/>
      <c r="E1019" s="23" t="str">
        <f>IF($D1019="","",IFERROR(VLOOKUP($D1019,'SAMA Capital Tracker'!$A:$H,8,FALSE()),""))</f>
        <v/>
      </c>
      <c r="F1019" s="24"/>
      <c r="G1019" s="25" t="str">
        <f>IF($D1019="","",IFERROR(VLOOKUP($D1019,'SAMA Capital Tracker'!$A:$D,4,FALSE()),""))</f>
        <v/>
      </c>
      <c r="H1019" s="22"/>
    </row>
    <row r="1020" spans="1:8">
      <c r="A1020" s="21"/>
      <c r="B1020" s="22"/>
      <c r="C1020" s="22"/>
      <c r="D1020" s="22"/>
      <c r="E1020" s="23" t="str">
        <f>IF($D1020="","",IFERROR(VLOOKUP($D1020,'SAMA Capital Tracker'!$A:$H,8,FALSE()),""))</f>
        <v/>
      </c>
      <c r="F1020" s="24"/>
      <c r="G1020" s="25" t="str">
        <f>IF($D1020="","",IFERROR(VLOOKUP($D1020,'SAMA Capital Tracker'!$A:$D,4,FALSE()),""))</f>
        <v/>
      </c>
      <c r="H1020" s="22"/>
    </row>
    <row r="1021" spans="1:8">
      <c r="A1021" s="21"/>
      <c r="B1021" s="22"/>
      <c r="C1021" s="22"/>
      <c r="D1021" s="22"/>
      <c r="E1021" s="23" t="str">
        <f>IF($D1021="","",IFERROR(VLOOKUP($D1021,'SAMA Capital Tracker'!$A:$H,8,FALSE()),""))</f>
        <v/>
      </c>
      <c r="F1021" s="24"/>
      <c r="G1021" s="25" t="str">
        <f>IF($D1021="","",IFERROR(VLOOKUP($D1021,'SAMA Capital Tracker'!$A:$D,4,FALSE()),""))</f>
        <v/>
      </c>
      <c r="H1021" s="22"/>
    </row>
    <row r="1022" spans="1:8">
      <c r="A1022" s="21"/>
      <c r="B1022" s="22"/>
      <c r="C1022" s="22"/>
      <c r="D1022" s="22"/>
      <c r="E1022" s="23" t="str">
        <f>IF($D1022="","",IFERROR(VLOOKUP($D1022,'SAMA Capital Tracker'!$A:$H,8,FALSE()),""))</f>
        <v/>
      </c>
      <c r="F1022" s="24"/>
      <c r="G1022" s="25" t="str">
        <f>IF($D1022="","",IFERROR(VLOOKUP($D1022,'SAMA Capital Tracker'!$A:$D,4,FALSE()),""))</f>
        <v/>
      </c>
      <c r="H1022" s="22"/>
    </row>
    <row r="1023" spans="1:8">
      <c r="A1023" s="21"/>
      <c r="B1023" s="22"/>
      <c r="C1023" s="22"/>
      <c r="D1023" s="22"/>
      <c r="E1023" s="23" t="str">
        <f>IF($D1023="","",IFERROR(VLOOKUP($D1023,'SAMA Capital Tracker'!$A:$H,8,FALSE()),""))</f>
        <v/>
      </c>
      <c r="F1023" s="24"/>
      <c r="G1023" s="25" t="str">
        <f>IF($D1023="","",IFERROR(VLOOKUP($D1023,'SAMA Capital Tracker'!$A:$D,4,FALSE()),""))</f>
        <v/>
      </c>
      <c r="H1023" s="22"/>
    </row>
    <row r="1024" spans="1:8">
      <c r="A1024" s="21"/>
      <c r="B1024" s="22"/>
      <c r="C1024" s="22"/>
      <c r="D1024" s="22"/>
      <c r="E1024" s="23" t="str">
        <f>IF($D1024="","",IFERROR(VLOOKUP($D1024,'SAMA Capital Tracker'!$A:$H,8,FALSE()),""))</f>
        <v/>
      </c>
      <c r="F1024" s="24"/>
      <c r="G1024" s="25" t="str">
        <f>IF($D1024="","",IFERROR(VLOOKUP($D1024,'SAMA Capital Tracker'!$A:$D,4,FALSE()),""))</f>
        <v/>
      </c>
      <c r="H1024" s="22"/>
    </row>
    <row r="1025" spans="1:8">
      <c r="A1025" s="21"/>
      <c r="B1025" s="22"/>
      <c r="C1025" s="22"/>
      <c r="D1025" s="22"/>
      <c r="E1025" s="23" t="str">
        <f>IF($D1025="","",IFERROR(VLOOKUP($D1025,'SAMA Capital Tracker'!$A:$H,8,FALSE()),""))</f>
        <v/>
      </c>
      <c r="F1025" s="24"/>
      <c r="G1025" s="25" t="str">
        <f>IF($D1025="","",IFERROR(VLOOKUP($D1025,'SAMA Capital Tracker'!$A:$D,4,FALSE()),""))</f>
        <v/>
      </c>
      <c r="H1025" s="22"/>
    </row>
    <row r="1026" spans="1:8">
      <c r="A1026" s="21"/>
      <c r="B1026" s="22"/>
      <c r="C1026" s="22"/>
      <c r="D1026" s="22"/>
      <c r="E1026" s="23" t="str">
        <f>IF($D1026="","",IFERROR(VLOOKUP($D1026,'SAMA Capital Tracker'!$A:$H,8,FALSE()),""))</f>
        <v/>
      </c>
      <c r="F1026" s="24"/>
      <c r="G1026" s="25" t="str">
        <f>IF($D1026="","",IFERROR(VLOOKUP($D1026,'SAMA Capital Tracker'!$A:$D,4,FALSE()),""))</f>
        <v/>
      </c>
      <c r="H1026" s="22"/>
    </row>
    <row r="1027" spans="1:8">
      <c r="A1027" s="21"/>
      <c r="B1027" s="22"/>
      <c r="C1027" s="22"/>
      <c r="D1027" s="22"/>
      <c r="E1027" s="23" t="str">
        <f>IF($D1027="","",IFERROR(VLOOKUP($D1027,'SAMA Capital Tracker'!$A:$H,8,FALSE()),""))</f>
        <v/>
      </c>
      <c r="F1027" s="24"/>
      <c r="G1027" s="25" t="str">
        <f>IF($D1027="","",IFERROR(VLOOKUP($D1027,'SAMA Capital Tracker'!$A:$D,4,FALSE()),""))</f>
        <v/>
      </c>
      <c r="H1027" s="22"/>
    </row>
    <row r="1028" spans="1:8">
      <c r="A1028" s="21"/>
      <c r="B1028" s="22"/>
      <c r="C1028" s="22"/>
      <c r="D1028" s="22"/>
      <c r="E1028" s="23" t="str">
        <f>IF($D1028="","",IFERROR(VLOOKUP($D1028,'SAMA Capital Tracker'!$A:$H,8,FALSE()),""))</f>
        <v/>
      </c>
      <c r="F1028" s="24"/>
      <c r="G1028" s="25" t="str">
        <f>IF($D1028="","",IFERROR(VLOOKUP($D1028,'SAMA Capital Tracker'!$A:$D,4,FALSE()),""))</f>
        <v/>
      </c>
      <c r="H1028" s="22"/>
    </row>
    <row r="1029" spans="1:8">
      <c r="A1029" s="21"/>
      <c r="B1029" s="22"/>
      <c r="C1029" s="22"/>
      <c r="D1029" s="22"/>
      <c r="E1029" s="23" t="str">
        <f>IF($D1029="","",IFERROR(VLOOKUP($D1029,'SAMA Capital Tracker'!$A:$H,8,FALSE()),""))</f>
        <v/>
      </c>
      <c r="F1029" s="24"/>
      <c r="G1029" s="25" t="str">
        <f>IF($D1029="","",IFERROR(VLOOKUP($D1029,'SAMA Capital Tracker'!$A:$D,4,FALSE()),""))</f>
        <v/>
      </c>
      <c r="H1029" s="22"/>
    </row>
    <row r="1030" spans="1:8">
      <c r="A1030" s="21"/>
      <c r="B1030" s="22"/>
      <c r="C1030" s="22"/>
      <c r="D1030" s="22"/>
      <c r="E1030" s="23" t="str">
        <f>IF($D1030="","",IFERROR(VLOOKUP($D1030,'SAMA Capital Tracker'!$A:$H,8,FALSE()),""))</f>
        <v/>
      </c>
      <c r="F1030" s="24"/>
      <c r="G1030" s="25" t="str">
        <f>IF($D1030="","",IFERROR(VLOOKUP($D1030,'SAMA Capital Tracker'!$A:$D,4,FALSE()),""))</f>
        <v/>
      </c>
      <c r="H1030" s="22"/>
    </row>
    <row r="1031" spans="1:8">
      <c r="A1031" s="21"/>
      <c r="B1031" s="22"/>
      <c r="C1031" s="22"/>
      <c r="D1031" s="22"/>
      <c r="E1031" s="23" t="str">
        <f>IF($D1031="","",IFERROR(VLOOKUP($D1031,'SAMA Capital Tracker'!$A:$H,8,FALSE()),""))</f>
        <v/>
      </c>
      <c r="F1031" s="24"/>
      <c r="G1031" s="25" t="str">
        <f>IF($D1031="","",IFERROR(VLOOKUP($D1031,'SAMA Capital Tracker'!$A:$D,4,FALSE()),""))</f>
        <v/>
      </c>
      <c r="H1031" s="22"/>
    </row>
    <row r="1032" spans="1:8">
      <c r="A1032" s="21"/>
      <c r="B1032" s="22"/>
      <c r="C1032" s="22"/>
      <c r="D1032" s="22"/>
      <c r="E1032" s="23" t="str">
        <f>IF($D1032="","",IFERROR(VLOOKUP($D1032,'SAMA Capital Tracker'!$A:$H,8,FALSE()),""))</f>
        <v/>
      </c>
      <c r="F1032" s="24"/>
      <c r="G1032" s="25" t="str">
        <f>IF($D1032="","",IFERROR(VLOOKUP($D1032,'SAMA Capital Tracker'!$A:$D,4,FALSE()),""))</f>
        <v/>
      </c>
      <c r="H1032" s="22"/>
    </row>
    <row r="1033" spans="1:8">
      <c r="A1033" s="21"/>
      <c r="B1033" s="22"/>
      <c r="C1033" s="22"/>
      <c r="D1033" s="22"/>
      <c r="E1033" s="23" t="str">
        <f>IF($D1033="","",IFERROR(VLOOKUP($D1033,'SAMA Capital Tracker'!$A:$H,8,FALSE()),""))</f>
        <v/>
      </c>
      <c r="F1033" s="24"/>
      <c r="G1033" s="25" t="str">
        <f>IF($D1033="","",IFERROR(VLOOKUP($D1033,'SAMA Capital Tracker'!$A:$D,4,FALSE()),""))</f>
        <v/>
      </c>
      <c r="H1033" s="22"/>
    </row>
    <row r="1034" spans="1:8">
      <c r="A1034" s="21"/>
      <c r="B1034" s="22"/>
      <c r="C1034" s="22"/>
      <c r="D1034" s="22"/>
      <c r="E1034" s="23" t="str">
        <f>IF($D1034="","",IFERROR(VLOOKUP($D1034,'SAMA Capital Tracker'!$A:$H,8,FALSE()),""))</f>
        <v/>
      </c>
      <c r="F1034" s="24"/>
      <c r="G1034" s="25" t="str">
        <f>IF($D1034="","",IFERROR(VLOOKUP($D1034,'SAMA Capital Tracker'!$A:$D,4,FALSE()),""))</f>
        <v/>
      </c>
      <c r="H1034" s="22"/>
    </row>
    <row r="1035" spans="1:8">
      <c r="A1035" s="21"/>
      <c r="B1035" s="22"/>
      <c r="C1035" s="22"/>
      <c r="D1035" s="22"/>
      <c r="E1035" s="23" t="str">
        <f>IF($D1035="","",IFERROR(VLOOKUP($D1035,'SAMA Capital Tracker'!$A:$H,8,FALSE()),""))</f>
        <v/>
      </c>
      <c r="F1035" s="24"/>
      <c r="G1035" s="25" t="str">
        <f>IF($D1035="","",IFERROR(VLOOKUP($D1035,'SAMA Capital Tracker'!$A:$D,4,FALSE()),""))</f>
        <v/>
      </c>
      <c r="H1035" s="22"/>
    </row>
    <row r="1036" spans="1:8">
      <c r="A1036" s="21"/>
      <c r="B1036" s="22"/>
      <c r="C1036" s="22"/>
      <c r="D1036" s="22"/>
      <c r="E1036" s="23" t="str">
        <f>IF($D1036="","",IFERROR(VLOOKUP($D1036,'SAMA Capital Tracker'!$A:$H,8,FALSE()),""))</f>
        <v/>
      </c>
      <c r="F1036" s="24"/>
      <c r="G1036" s="25" t="str">
        <f>IF($D1036="","",IFERROR(VLOOKUP($D1036,'SAMA Capital Tracker'!$A:$D,4,FALSE()),""))</f>
        <v/>
      </c>
      <c r="H1036" s="22"/>
    </row>
    <row r="1037" spans="1:8">
      <c r="A1037" s="21"/>
      <c r="B1037" s="22"/>
      <c r="C1037" s="22"/>
      <c r="D1037" s="22"/>
      <c r="E1037" s="23" t="str">
        <f>IF($D1037="","",IFERROR(VLOOKUP($D1037,'SAMA Capital Tracker'!$A:$H,8,FALSE()),""))</f>
        <v/>
      </c>
      <c r="F1037" s="24"/>
      <c r="G1037" s="25" t="str">
        <f>IF($D1037="","",IFERROR(VLOOKUP($D1037,'SAMA Capital Tracker'!$A:$D,4,FALSE()),""))</f>
        <v/>
      </c>
      <c r="H1037" s="22"/>
    </row>
    <row r="1038" spans="1:8">
      <c r="A1038" s="21"/>
      <c r="B1038" s="22"/>
      <c r="C1038" s="22"/>
      <c r="D1038" s="22"/>
      <c r="E1038" s="23" t="str">
        <f>IF($D1038="","",IFERROR(VLOOKUP($D1038,'SAMA Capital Tracker'!$A:$H,8,FALSE()),""))</f>
        <v/>
      </c>
      <c r="F1038" s="24"/>
      <c r="G1038" s="25" t="str">
        <f>IF($D1038="","",IFERROR(VLOOKUP($D1038,'SAMA Capital Tracker'!$A:$D,4,FALSE()),""))</f>
        <v/>
      </c>
      <c r="H1038" s="22"/>
    </row>
    <row r="1039" spans="1:8">
      <c r="A1039" s="21"/>
      <c r="B1039" s="22"/>
      <c r="C1039" s="22"/>
      <c r="D1039" s="22"/>
      <c r="E1039" s="23" t="str">
        <f>IF($D1039="","",IFERROR(VLOOKUP($D1039,'SAMA Capital Tracker'!$A:$H,8,FALSE()),""))</f>
        <v/>
      </c>
      <c r="F1039" s="24"/>
      <c r="G1039" s="25" t="str">
        <f>IF($D1039="","",IFERROR(VLOOKUP($D1039,'SAMA Capital Tracker'!$A:$D,4,FALSE()),""))</f>
        <v/>
      </c>
      <c r="H1039" s="22"/>
    </row>
    <row r="1040" spans="1:8">
      <c r="A1040" s="21"/>
      <c r="B1040" s="22"/>
      <c r="C1040" s="22"/>
      <c r="D1040" s="22"/>
      <c r="E1040" s="23" t="str">
        <f>IF($D1040="","",IFERROR(VLOOKUP($D1040,'SAMA Capital Tracker'!$A:$H,8,FALSE()),""))</f>
        <v/>
      </c>
      <c r="F1040" s="24"/>
      <c r="G1040" s="25" t="str">
        <f>IF($D1040="","",IFERROR(VLOOKUP($D1040,'SAMA Capital Tracker'!$A:$D,4,FALSE()),""))</f>
        <v/>
      </c>
      <c r="H1040" s="22"/>
    </row>
    <row r="1041" spans="1:8">
      <c r="A1041" s="21"/>
      <c r="B1041" s="22"/>
      <c r="C1041" s="22"/>
      <c r="D1041" s="22"/>
      <c r="E1041" s="23" t="str">
        <f>IF($D1041="","",IFERROR(VLOOKUP($D1041,'SAMA Capital Tracker'!$A:$H,8,FALSE()),""))</f>
        <v/>
      </c>
      <c r="F1041" s="24"/>
      <c r="G1041" s="25" t="str">
        <f>IF($D1041="","",IFERROR(VLOOKUP($D1041,'SAMA Capital Tracker'!$A:$D,4,FALSE()),""))</f>
        <v/>
      </c>
      <c r="H1041" s="22"/>
    </row>
    <row r="1042" spans="1:8">
      <c r="A1042" s="21"/>
      <c r="B1042" s="22"/>
      <c r="C1042" s="22"/>
      <c r="D1042" s="22"/>
      <c r="E1042" s="23" t="str">
        <f>IF($D1042="","",IFERROR(VLOOKUP($D1042,'SAMA Capital Tracker'!$A:$H,8,FALSE()),""))</f>
        <v/>
      </c>
      <c r="F1042" s="24"/>
      <c r="G1042" s="25" t="str">
        <f>IF($D1042="","",IFERROR(VLOOKUP($D1042,'SAMA Capital Tracker'!$A:$D,4,FALSE()),""))</f>
        <v/>
      </c>
      <c r="H1042" s="22"/>
    </row>
    <row r="1043" spans="1:8">
      <c r="A1043" s="21"/>
      <c r="B1043" s="22"/>
      <c r="C1043" s="22"/>
      <c r="D1043" s="22"/>
      <c r="E1043" s="23" t="str">
        <f>IF($D1043="","",IFERROR(VLOOKUP($D1043,'SAMA Capital Tracker'!$A:$H,8,FALSE()),""))</f>
        <v/>
      </c>
      <c r="F1043" s="24"/>
      <c r="G1043" s="25" t="str">
        <f>IF($D1043="","",IFERROR(VLOOKUP($D1043,'SAMA Capital Tracker'!$A:$D,4,FALSE()),""))</f>
        <v/>
      </c>
      <c r="H1043" s="22"/>
    </row>
    <row r="1044" spans="1:8">
      <c r="A1044" s="21"/>
      <c r="B1044" s="22"/>
      <c r="C1044" s="22"/>
      <c r="D1044" s="22"/>
      <c r="E1044" s="23" t="str">
        <f>IF($D1044="","",IFERROR(VLOOKUP($D1044,'SAMA Capital Tracker'!$A:$H,8,FALSE()),""))</f>
        <v/>
      </c>
      <c r="F1044" s="24"/>
      <c r="G1044" s="25" t="str">
        <f>IF($D1044="","",IFERROR(VLOOKUP($D1044,'SAMA Capital Tracker'!$A:$D,4,FALSE()),""))</f>
        <v/>
      </c>
      <c r="H1044" s="22"/>
    </row>
    <row r="1045" spans="1:8">
      <c r="A1045" s="21"/>
      <c r="B1045" s="22"/>
      <c r="C1045" s="22"/>
      <c r="D1045" s="22"/>
      <c r="E1045" s="23" t="str">
        <f>IF($D1045="","",IFERROR(VLOOKUP($D1045,'SAMA Capital Tracker'!$A:$H,8,FALSE()),""))</f>
        <v/>
      </c>
      <c r="F1045" s="24"/>
      <c r="G1045" s="25" t="str">
        <f>IF($D1045="","",IFERROR(VLOOKUP($D1045,'SAMA Capital Tracker'!$A:$D,4,FALSE()),""))</f>
        <v/>
      </c>
      <c r="H1045" s="22"/>
    </row>
    <row r="1046" spans="1:8">
      <c r="A1046" s="21"/>
      <c r="B1046" s="22"/>
      <c r="C1046" s="22"/>
      <c r="D1046" s="22"/>
      <c r="E1046" s="23" t="str">
        <f>IF($D1046="","",IFERROR(VLOOKUP($D1046,'SAMA Capital Tracker'!$A:$H,8,FALSE()),""))</f>
        <v/>
      </c>
      <c r="F1046" s="24"/>
      <c r="G1046" s="25" t="str">
        <f>IF($D1046="","",IFERROR(VLOOKUP($D1046,'SAMA Capital Tracker'!$A:$D,4,FALSE()),""))</f>
        <v/>
      </c>
      <c r="H1046" s="22"/>
    </row>
    <row r="1047" spans="1:8">
      <c r="A1047" s="21"/>
      <c r="B1047" s="22"/>
      <c r="C1047" s="22"/>
      <c r="D1047" s="22"/>
      <c r="E1047" s="23" t="str">
        <f>IF($D1047="","",IFERROR(VLOOKUP($D1047,'SAMA Capital Tracker'!$A:$H,8,FALSE()),""))</f>
        <v/>
      </c>
      <c r="F1047" s="24"/>
      <c r="G1047" s="25" t="str">
        <f>IF($D1047="","",IFERROR(VLOOKUP($D1047,'SAMA Capital Tracker'!$A:$D,4,FALSE()),""))</f>
        <v/>
      </c>
      <c r="H1047" s="22"/>
    </row>
    <row r="1048" spans="1:8">
      <c r="A1048" s="21"/>
      <c r="B1048" s="22"/>
      <c r="C1048" s="22"/>
      <c r="D1048" s="22"/>
      <c r="E1048" s="23" t="str">
        <f>IF($D1048="","",IFERROR(VLOOKUP($D1048,'SAMA Capital Tracker'!$A:$H,8,FALSE()),""))</f>
        <v/>
      </c>
      <c r="F1048" s="24"/>
      <c r="G1048" s="25" t="str">
        <f>IF($D1048="","",IFERROR(VLOOKUP($D1048,'SAMA Capital Tracker'!$A:$D,4,FALSE()),""))</f>
        <v/>
      </c>
      <c r="H1048" s="22"/>
    </row>
    <row r="1049" spans="1:8">
      <c r="A1049" s="21"/>
      <c r="B1049" s="22"/>
      <c r="C1049" s="22"/>
      <c r="D1049" s="22"/>
      <c r="E1049" s="23" t="str">
        <f>IF($D1049="","",IFERROR(VLOOKUP($D1049,'SAMA Capital Tracker'!$A:$H,8,FALSE()),""))</f>
        <v/>
      </c>
      <c r="F1049" s="24"/>
      <c r="G1049" s="25" t="str">
        <f>IF($D1049="","",IFERROR(VLOOKUP($D1049,'SAMA Capital Tracker'!$A:$D,4,FALSE()),""))</f>
        <v/>
      </c>
      <c r="H1049" s="22"/>
    </row>
    <row r="1050" spans="1:8">
      <c r="A1050" s="21"/>
      <c r="B1050" s="22"/>
      <c r="C1050" s="22"/>
      <c r="D1050" s="22"/>
      <c r="E1050" s="23" t="str">
        <f>IF($D1050="","",IFERROR(VLOOKUP($D1050,'SAMA Capital Tracker'!$A:$H,8,FALSE()),""))</f>
        <v/>
      </c>
      <c r="F1050" s="24"/>
      <c r="G1050" s="25" t="str">
        <f>IF($D1050="","",IFERROR(VLOOKUP($D1050,'SAMA Capital Tracker'!$A:$D,4,FALSE()),""))</f>
        <v/>
      </c>
      <c r="H1050" s="22"/>
    </row>
    <row r="1051" spans="1:8">
      <c r="A1051" s="21"/>
      <c r="B1051" s="22"/>
      <c r="C1051" s="22"/>
      <c r="D1051" s="22"/>
      <c r="E1051" s="23" t="str">
        <f>IF($D1051="","",IFERROR(VLOOKUP($D1051,'SAMA Capital Tracker'!$A:$H,8,FALSE()),""))</f>
        <v/>
      </c>
      <c r="F1051" s="24"/>
      <c r="G1051" s="25" t="str">
        <f>IF($D1051="","",IFERROR(VLOOKUP($D1051,'SAMA Capital Tracker'!$A:$D,4,FALSE()),""))</f>
        <v/>
      </c>
      <c r="H1051" s="22"/>
    </row>
    <row r="1052" spans="1:8">
      <c r="A1052" s="21"/>
      <c r="B1052" s="22"/>
      <c r="C1052" s="22"/>
      <c r="D1052" s="22"/>
      <c r="E1052" s="23" t="str">
        <f>IF($D1052="","",IFERROR(VLOOKUP($D1052,'SAMA Capital Tracker'!$A:$H,8,FALSE()),""))</f>
        <v/>
      </c>
      <c r="F1052" s="24"/>
      <c r="G1052" s="25" t="str">
        <f>IF($D1052="","",IFERROR(VLOOKUP($D1052,'SAMA Capital Tracker'!$A:$D,4,FALSE()),""))</f>
        <v/>
      </c>
      <c r="H1052" s="22"/>
    </row>
    <row r="1053" spans="1:8">
      <c r="A1053" s="21"/>
      <c r="B1053" s="22"/>
      <c r="C1053" s="22"/>
      <c r="D1053" s="22"/>
      <c r="E1053" s="23" t="str">
        <f>IF($D1053="","",IFERROR(VLOOKUP($D1053,'SAMA Capital Tracker'!$A:$H,8,FALSE()),""))</f>
        <v/>
      </c>
      <c r="F1053" s="24"/>
      <c r="G1053" s="25" t="str">
        <f>IF($D1053="","",IFERROR(VLOOKUP($D1053,'SAMA Capital Tracker'!$A:$D,4,FALSE()),""))</f>
        <v/>
      </c>
      <c r="H1053" s="22"/>
    </row>
    <row r="1054" spans="1:8">
      <c r="A1054" s="21"/>
      <c r="B1054" s="22"/>
      <c r="C1054" s="22"/>
      <c r="D1054" s="22"/>
      <c r="E1054" s="23" t="str">
        <f>IF($D1054="","",IFERROR(VLOOKUP($D1054,'SAMA Capital Tracker'!$A:$H,8,FALSE()),""))</f>
        <v/>
      </c>
      <c r="F1054" s="24"/>
      <c r="G1054" s="25" t="str">
        <f>IF($D1054="","",IFERROR(VLOOKUP($D1054,'SAMA Capital Tracker'!$A:$D,4,FALSE()),""))</f>
        <v/>
      </c>
      <c r="H1054" s="22"/>
    </row>
    <row r="1055" spans="1:8">
      <c r="A1055" s="21"/>
      <c r="B1055" s="22"/>
      <c r="C1055" s="22"/>
      <c r="D1055" s="22"/>
      <c r="E1055" s="23" t="str">
        <f>IF($D1055="","",IFERROR(VLOOKUP($D1055,'SAMA Capital Tracker'!$A:$H,8,FALSE()),""))</f>
        <v/>
      </c>
      <c r="F1055" s="24"/>
      <c r="G1055" s="25" t="str">
        <f>IF($D1055="","",IFERROR(VLOOKUP($D1055,'SAMA Capital Tracker'!$A:$D,4,FALSE()),""))</f>
        <v/>
      </c>
      <c r="H1055" s="22"/>
    </row>
    <row r="1056" spans="1:8">
      <c r="A1056" s="21"/>
      <c r="B1056" s="22"/>
      <c r="C1056" s="22"/>
      <c r="D1056" s="22"/>
      <c r="E1056" s="23" t="str">
        <f>IF($D1056="","",IFERROR(VLOOKUP($D1056,'SAMA Capital Tracker'!$A:$H,8,FALSE()),""))</f>
        <v/>
      </c>
      <c r="F1056" s="24"/>
      <c r="G1056" s="25" t="str">
        <f>IF($D1056="","",IFERROR(VLOOKUP($D1056,'SAMA Capital Tracker'!$A:$D,4,FALSE()),""))</f>
        <v/>
      </c>
      <c r="H1056" s="22"/>
    </row>
    <row r="1057" spans="1:8">
      <c r="A1057" s="21"/>
      <c r="B1057" s="22"/>
      <c r="C1057" s="22"/>
      <c r="D1057" s="22"/>
      <c r="E1057" s="23" t="str">
        <f>IF($D1057="","",IFERROR(VLOOKUP($D1057,'SAMA Capital Tracker'!$A:$H,8,FALSE()),""))</f>
        <v/>
      </c>
      <c r="F1057" s="24"/>
      <c r="G1057" s="25" t="str">
        <f>IF($D1057="","",IFERROR(VLOOKUP($D1057,'SAMA Capital Tracker'!$A:$D,4,FALSE()),""))</f>
        <v/>
      </c>
      <c r="H1057" s="22"/>
    </row>
    <row r="1058" spans="1:8">
      <c r="A1058" s="21"/>
      <c r="B1058" s="22"/>
      <c r="C1058" s="22"/>
      <c r="D1058" s="22"/>
      <c r="E1058" s="23" t="str">
        <f>IF($D1058="","",IFERROR(VLOOKUP($D1058,'SAMA Capital Tracker'!$A:$H,8,FALSE()),""))</f>
        <v/>
      </c>
      <c r="F1058" s="24"/>
      <c r="G1058" s="25" t="str">
        <f>IF($D1058="","",IFERROR(VLOOKUP($D1058,'SAMA Capital Tracker'!$A:$D,4,FALSE()),""))</f>
        <v/>
      </c>
      <c r="H1058" s="22"/>
    </row>
    <row r="1059" spans="1:8">
      <c r="A1059" s="21"/>
      <c r="B1059" s="22"/>
      <c r="C1059" s="22"/>
      <c r="D1059" s="22"/>
      <c r="E1059" s="23" t="str">
        <f>IF($D1059="","",IFERROR(VLOOKUP($D1059,'SAMA Capital Tracker'!$A:$H,8,FALSE()),""))</f>
        <v/>
      </c>
      <c r="F1059" s="24"/>
      <c r="G1059" s="25" t="str">
        <f>IF($D1059="","",IFERROR(VLOOKUP($D1059,'SAMA Capital Tracker'!$A:$D,4,FALSE()),""))</f>
        <v/>
      </c>
      <c r="H1059" s="22"/>
    </row>
    <row r="1060" spans="1:8">
      <c r="A1060" s="21"/>
      <c r="B1060" s="22"/>
      <c r="C1060" s="22"/>
      <c r="D1060" s="22"/>
      <c r="E1060" s="23" t="str">
        <f>IF($D1060="","",IFERROR(VLOOKUP($D1060,'SAMA Capital Tracker'!$A:$H,8,FALSE()),""))</f>
        <v/>
      </c>
      <c r="F1060" s="24"/>
      <c r="G1060" s="25" t="str">
        <f>IF($D1060="","",IFERROR(VLOOKUP($D1060,'SAMA Capital Tracker'!$A:$D,4,FALSE()),""))</f>
        <v/>
      </c>
      <c r="H1060" s="22"/>
    </row>
    <row r="1061" spans="1:8">
      <c r="A1061" s="21"/>
      <c r="B1061" s="22"/>
      <c r="C1061" s="22"/>
      <c r="D1061" s="22"/>
      <c r="E1061" s="23" t="str">
        <f>IF($D1061="","",IFERROR(VLOOKUP($D1061,'SAMA Capital Tracker'!$A:$H,8,FALSE()),""))</f>
        <v/>
      </c>
      <c r="F1061" s="24"/>
      <c r="G1061" s="25" t="str">
        <f>IF($D1061="","",IFERROR(VLOOKUP($D1061,'SAMA Capital Tracker'!$A:$D,4,FALSE()),""))</f>
        <v/>
      </c>
      <c r="H1061" s="22"/>
    </row>
    <row r="1062" spans="1:8">
      <c r="A1062" s="21"/>
      <c r="B1062" s="22"/>
      <c r="C1062" s="22"/>
      <c r="D1062" s="22"/>
      <c r="E1062" s="23" t="str">
        <f>IF($D1062="","",IFERROR(VLOOKUP($D1062,'SAMA Capital Tracker'!$A:$H,8,FALSE()),""))</f>
        <v/>
      </c>
      <c r="F1062" s="24"/>
      <c r="G1062" s="25" t="str">
        <f>IF($D1062="","",IFERROR(VLOOKUP($D1062,'SAMA Capital Tracker'!$A:$D,4,FALSE()),""))</f>
        <v/>
      </c>
      <c r="H1062" s="22"/>
    </row>
    <row r="1063" spans="1:8">
      <c r="A1063" s="21"/>
      <c r="B1063" s="22"/>
      <c r="C1063" s="22"/>
      <c r="D1063" s="22"/>
      <c r="E1063" s="23" t="str">
        <f>IF($D1063="","",IFERROR(VLOOKUP($D1063,'SAMA Capital Tracker'!$A:$H,8,FALSE()),""))</f>
        <v/>
      </c>
      <c r="F1063" s="24"/>
      <c r="G1063" s="25" t="str">
        <f>IF($D1063="","",IFERROR(VLOOKUP($D1063,'SAMA Capital Tracker'!$A:$D,4,FALSE()),""))</f>
        <v/>
      </c>
      <c r="H1063" s="22"/>
    </row>
    <row r="1064" spans="1:8">
      <c r="A1064" s="21"/>
      <c r="B1064" s="22"/>
      <c r="C1064" s="22"/>
      <c r="D1064" s="22"/>
      <c r="E1064" s="23" t="str">
        <f>IF($D1064="","",IFERROR(VLOOKUP($D1064,'SAMA Capital Tracker'!$A:$H,8,FALSE()),""))</f>
        <v/>
      </c>
      <c r="F1064" s="24"/>
      <c r="G1064" s="25" t="str">
        <f>IF($D1064="","",IFERROR(VLOOKUP($D1064,'SAMA Capital Tracker'!$A:$D,4,FALSE()),""))</f>
        <v/>
      </c>
      <c r="H1064" s="22"/>
    </row>
    <row r="1065" spans="1:8">
      <c r="A1065" s="21"/>
      <c r="B1065" s="22"/>
      <c r="C1065" s="22"/>
      <c r="D1065" s="22"/>
      <c r="E1065" s="23" t="str">
        <f>IF($D1065="","",IFERROR(VLOOKUP($D1065,'SAMA Capital Tracker'!$A:$H,8,FALSE()),""))</f>
        <v/>
      </c>
      <c r="F1065" s="24"/>
      <c r="G1065" s="25" t="str">
        <f>IF($D1065="","",IFERROR(VLOOKUP($D1065,'SAMA Capital Tracker'!$A:$D,4,FALSE()),""))</f>
        <v/>
      </c>
      <c r="H1065" s="22"/>
    </row>
    <row r="1066" spans="1:8">
      <c r="A1066" s="21"/>
      <c r="B1066" s="22"/>
      <c r="C1066" s="22"/>
      <c r="D1066" s="22"/>
      <c r="E1066" s="23" t="str">
        <f>IF($D1066="","",IFERROR(VLOOKUP($D1066,'SAMA Capital Tracker'!$A:$H,8,FALSE()),""))</f>
        <v/>
      </c>
      <c r="F1066" s="24"/>
      <c r="G1066" s="25" t="str">
        <f>IF($D1066="","",IFERROR(VLOOKUP($D1066,'SAMA Capital Tracker'!$A:$D,4,FALSE()),""))</f>
        <v/>
      </c>
      <c r="H1066" s="22"/>
    </row>
    <row r="1067" spans="1:8">
      <c r="A1067" s="21"/>
      <c r="B1067" s="22"/>
      <c r="C1067" s="22"/>
      <c r="D1067" s="22"/>
      <c r="E1067" s="23" t="str">
        <f>IF($D1067="","",IFERROR(VLOOKUP($D1067,'SAMA Capital Tracker'!$A:$H,8,FALSE()),""))</f>
        <v/>
      </c>
      <c r="F1067" s="24"/>
      <c r="G1067" s="25" t="str">
        <f>IF($D1067="","",IFERROR(VLOOKUP($D1067,'SAMA Capital Tracker'!$A:$D,4,FALSE()),""))</f>
        <v/>
      </c>
      <c r="H1067" s="22"/>
    </row>
    <row r="1068" spans="1:8">
      <c r="A1068" s="21"/>
      <c r="B1068" s="22"/>
      <c r="C1068" s="22"/>
      <c r="D1068" s="22"/>
      <c r="E1068" s="23" t="str">
        <f>IF($D1068="","",IFERROR(VLOOKUP($D1068,'SAMA Capital Tracker'!$A:$H,8,FALSE()),""))</f>
        <v/>
      </c>
      <c r="F1068" s="24"/>
      <c r="G1068" s="25" t="str">
        <f>IF($D1068="","",IFERROR(VLOOKUP($D1068,'SAMA Capital Tracker'!$A:$D,4,FALSE()),""))</f>
        <v/>
      </c>
      <c r="H1068" s="22"/>
    </row>
    <row r="1069" spans="1:8">
      <c r="A1069" s="21"/>
      <c r="B1069" s="22"/>
      <c r="C1069" s="22"/>
      <c r="D1069" s="22"/>
      <c r="E1069" s="23" t="str">
        <f>IF($D1069="","",IFERROR(VLOOKUP($D1069,'SAMA Capital Tracker'!$A:$H,8,FALSE()),""))</f>
        <v/>
      </c>
      <c r="F1069" s="24"/>
      <c r="G1069" s="25" t="str">
        <f>IF($D1069="","",IFERROR(VLOOKUP($D1069,'SAMA Capital Tracker'!$A:$D,4,FALSE()),""))</f>
        <v/>
      </c>
      <c r="H1069" s="22"/>
    </row>
    <row r="1070" spans="1:8">
      <c r="A1070" s="21"/>
      <c r="B1070" s="22"/>
      <c r="C1070" s="22"/>
      <c r="D1070" s="22"/>
      <c r="E1070" s="23" t="str">
        <f>IF($D1070="","",IFERROR(VLOOKUP($D1070,'SAMA Capital Tracker'!$A:$H,8,FALSE()),""))</f>
        <v/>
      </c>
      <c r="F1070" s="24"/>
      <c r="G1070" s="25" t="str">
        <f>IF($D1070="","",IFERROR(VLOOKUP($D1070,'SAMA Capital Tracker'!$A:$D,4,FALSE()),""))</f>
        <v/>
      </c>
      <c r="H1070" s="22"/>
    </row>
    <row r="1071" spans="1:8">
      <c r="A1071" s="21"/>
      <c r="B1071" s="22"/>
      <c r="C1071" s="22"/>
      <c r="D1071" s="22"/>
      <c r="E1071" s="23" t="str">
        <f>IF($D1071="","",IFERROR(VLOOKUP($D1071,'SAMA Capital Tracker'!$A:$H,8,FALSE()),""))</f>
        <v/>
      </c>
      <c r="F1071" s="24"/>
      <c r="G1071" s="25" t="str">
        <f>IF($D1071="","",IFERROR(VLOOKUP($D1071,'SAMA Capital Tracker'!$A:$D,4,FALSE()),""))</f>
        <v/>
      </c>
      <c r="H1071" s="22"/>
    </row>
    <row r="1072" spans="1:8">
      <c r="A1072" s="21"/>
      <c r="B1072" s="22"/>
      <c r="C1072" s="22"/>
      <c r="D1072" s="22"/>
      <c r="E1072" s="23" t="str">
        <f>IF($D1072="","",IFERROR(VLOOKUP($D1072,'SAMA Capital Tracker'!$A:$H,8,FALSE()),""))</f>
        <v/>
      </c>
      <c r="F1072" s="24"/>
      <c r="G1072" s="25" t="str">
        <f>IF($D1072="","",IFERROR(VLOOKUP($D1072,'SAMA Capital Tracker'!$A:$D,4,FALSE()),""))</f>
        <v/>
      </c>
      <c r="H1072" s="22"/>
    </row>
    <row r="1073" spans="1:8">
      <c r="A1073" s="21"/>
      <c r="B1073" s="22"/>
      <c r="C1073" s="22"/>
      <c r="D1073" s="22"/>
      <c r="E1073" s="23" t="str">
        <f>IF($D1073="","",IFERROR(VLOOKUP($D1073,'SAMA Capital Tracker'!$A:$H,8,FALSE()),""))</f>
        <v/>
      </c>
      <c r="F1073" s="24"/>
      <c r="G1073" s="25" t="str">
        <f>IF($D1073="","",IFERROR(VLOOKUP($D1073,'SAMA Capital Tracker'!$A:$D,4,FALSE()),""))</f>
        <v/>
      </c>
      <c r="H1073" s="22"/>
    </row>
    <row r="1074" spans="1:8">
      <c r="A1074" s="21"/>
      <c r="B1074" s="22"/>
      <c r="C1074" s="22"/>
      <c r="D1074" s="22"/>
      <c r="E1074" s="23" t="str">
        <f>IF($D1074="","",IFERROR(VLOOKUP($D1074,'SAMA Capital Tracker'!$A:$H,8,FALSE()),""))</f>
        <v/>
      </c>
      <c r="F1074" s="24"/>
      <c r="G1074" s="25" t="str">
        <f>IF($D1074="","",IFERROR(VLOOKUP($D1074,'SAMA Capital Tracker'!$A:$D,4,FALSE()),""))</f>
        <v/>
      </c>
      <c r="H1074" s="22"/>
    </row>
    <row r="1075" spans="1:8">
      <c r="A1075" s="21"/>
      <c r="B1075" s="22"/>
      <c r="C1075" s="22"/>
      <c r="D1075" s="22"/>
      <c r="E1075" s="23" t="str">
        <f>IF($D1075="","",IFERROR(VLOOKUP($D1075,'SAMA Capital Tracker'!$A:$H,8,FALSE()),""))</f>
        <v/>
      </c>
      <c r="F1075" s="24"/>
      <c r="G1075" s="25" t="str">
        <f>IF($D1075="","",IFERROR(VLOOKUP($D1075,'SAMA Capital Tracker'!$A:$D,4,FALSE()),""))</f>
        <v/>
      </c>
      <c r="H1075" s="22"/>
    </row>
    <row r="1076" spans="1:8">
      <c r="A1076" s="21"/>
      <c r="B1076" s="22"/>
      <c r="C1076" s="22"/>
      <c r="D1076" s="22"/>
      <c r="E1076" s="23" t="str">
        <f>IF($D1076="","",IFERROR(VLOOKUP($D1076,'SAMA Capital Tracker'!$A:$H,8,FALSE()),""))</f>
        <v/>
      </c>
      <c r="F1076" s="24"/>
      <c r="G1076" s="25" t="str">
        <f>IF($D1076="","",IFERROR(VLOOKUP($D1076,'SAMA Capital Tracker'!$A:$D,4,FALSE()),""))</f>
        <v/>
      </c>
      <c r="H1076" s="22"/>
    </row>
    <row r="1077" spans="1:8">
      <c r="A1077" s="21"/>
      <c r="B1077" s="22"/>
      <c r="C1077" s="22"/>
      <c r="D1077" s="22"/>
      <c r="E1077" s="23" t="str">
        <f>IF($D1077="","",IFERROR(VLOOKUP($D1077,'SAMA Capital Tracker'!$A:$H,8,FALSE()),""))</f>
        <v/>
      </c>
      <c r="F1077" s="24"/>
      <c r="G1077" s="25" t="str">
        <f>IF($D1077="","",IFERROR(VLOOKUP($D1077,'SAMA Capital Tracker'!$A:$D,4,FALSE()),""))</f>
        <v/>
      </c>
      <c r="H1077" s="22"/>
    </row>
    <row r="1078" spans="1:8">
      <c r="A1078" s="21"/>
      <c r="B1078" s="22"/>
      <c r="C1078" s="22"/>
      <c r="D1078" s="22"/>
      <c r="E1078" s="23" t="str">
        <f>IF($D1078="","",IFERROR(VLOOKUP($D1078,'SAMA Capital Tracker'!$A:$H,8,FALSE()),""))</f>
        <v/>
      </c>
      <c r="F1078" s="24"/>
      <c r="G1078" s="25" t="str">
        <f>IF($D1078="","",IFERROR(VLOOKUP($D1078,'SAMA Capital Tracker'!$A:$D,4,FALSE()),""))</f>
        <v/>
      </c>
      <c r="H1078" s="22"/>
    </row>
    <row r="1079" spans="1:8">
      <c r="A1079" s="21"/>
      <c r="B1079" s="22"/>
      <c r="C1079" s="22"/>
      <c r="D1079" s="22"/>
      <c r="E1079" s="23" t="str">
        <f>IF($D1079="","",IFERROR(VLOOKUP($D1079,'SAMA Capital Tracker'!$A:$H,8,FALSE()),""))</f>
        <v/>
      </c>
      <c r="F1079" s="24"/>
      <c r="G1079" s="25" t="str">
        <f>IF($D1079="","",IFERROR(VLOOKUP($D1079,'SAMA Capital Tracker'!$A:$D,4,FALSE()),""))</f>
        <v/>
      </c>
      <c r="H1079" s="22"/>
    </row>
    <row r="1080" spans="1:8">
      <c r="A1080" s="21"/>
      <c r="B1080" s="22"/>
      <c r="C1080" s="22"/>
      <c r="D1080" s="22"/>
      <c r="E1080" s="23" t="str">
        <f>IF($D1080="","",IFERROR(VLOOKUP($D1080,'SAMA Capital Tracker'!$A:$H,8,FALSE()),""))</f>
        <v/>
      </c>
      <c r="F1080" s="24"/>
      <c r="G1080" s="25" t="str">
        <f>IF($D1080="","",IFERROR(VLOOKUP($D1080,'SAMA Capital Tracker'!$A:$D,4,FALSE()),""))</f>
        <v/>
      </c>
      <c r="H1080" s="22"/>
    </row>
    <row r="1081" spans="1:8">
      <c r="A1081" s="21"/>
      <c r="B1081" s="22"/>
      <c r="C1081" s="22"/>
      <c r="D1081" s="22"/>
      <c r="E1081" s="23" t="str">
        <f>IF($D1081="","",IFERROR(VLOOKUP($D1081,'SAMA Capital Tracker'!$A:$H,8,FALSE()),""))</f>
        <v/>
      </c>
      <c r="F1081" s="24"/>
      <c r="G1081" s="25" t="str">
        <f>IF($D1081="","",IFERROR(VLOOKUP($D1081,'SAMA Capital Tracker'!$A:$D,4,FALSE()),""))</f>
        <v/>
      </c>
      <c r="H1081" s="22"/>
    </row>
    <row r="1082" spans="1:8">
      <c r="A1082" s="21"/>
      <c r="B1082" s="22"/>
      <c r="C1082" s="22"/>
      <c r="D1082" s="22"/>
      <c r="E1082" s="23" t="str">
        <f>IF($D1082="","",IFERROR(VLOOKUP($D1082,'SAMA Capital Tracker'!$A:$H,8,FALSE()),""))</f>
        <v/>
      </c>
      <c r="F1082" s="24"/>
      <c r="G1082" s="25" t="str">
        <f>IF($D1082="","",IFERROR(VLOOKUP($D1082,'SAMA Capital Tracker'!$A:$D,4,FALSE()),""))</f>
        <v/>
      </c>
      <c r="H1082" s="22"/>
    </row>
    <row r="1083" spans="1:8">
      <c r="A1083" s="21"/>
      <c r="B1083" s="22"/>
      <c r="C1083" s="22"/>
      <c r="D1083" s="22"/>
      <c r="E1083" s="23" t="str">
        <f>IF($D1083="","",IFERROR(VLOOKUP($D1083,'SAMA Capital Tracker'!$A:$H,8,FALSE()),""))</f>
        <v/>
      </c>
      <c r="F1083" s="24"/>
      <c r="G1083" s="25" t="str">
        <f>IF($D1083="","",IFERROR(VLOOKUP($D1083,'SAMA Capital Tracker'!$A:$D,4,FALSE()),""))</f>
        <v/>
      </c>
      <c r="H1083" s="22"/>
    </row>
    <row r="1084" spans="1:8">
      <c r="A1084" s="21"/>
      <c r="B1084" s="22"/>
      <c r="C1084" s="22"/>
      <c r="D1084" s="22"/>
      <c r="E1084" s="23" t="str">
        <f>IF($D1084="","",IFERROR(VLOOKUP($D1084,'SAMA Capital Tracker'!$A:$H,8,FALSE()),""))</f>
        <v/>
      </c>
      <c r="F1084" s="24"/>
      <c r="G1084" s="25" t="str">
        <f>IF($D1084="","",IFERROR(VLOOKUP($D1084,'SAMA Capital Tracker'!$A:$D,4,FALSE()),""))</f>
        <v/>
      </c>
      <c r="H1084" s="22"/>
    </row>
    <row r="1085" spans="1:8">
      <c r="A1085" s="21"/>
      <c r="B1085" s="22"/>
      <c r="C1085" s="22"/>
      <c r="D1085" s="22"/>
      <c r="E1085" s="23" t="str">
        <f>IF($D1085="","",IFERROR(VLOOKUP($D1085,'SAMA Capital Tracker'!$A:$H,8,FALSE()),""))</f>
        <v/>
      </c>
      <c r="F1085" s="24"/>
      <c r="G1085" s="25" t="str">
        <f>IF($D1085="","",IFERROR(VLOOKUP($D1085,'SAMA Capital Tracker'!$A:$D,4,FALSE()),""))</f>
        <v/>
      </c>
      <c r="H1085" s="22"/>
    </row>
    <row r="1086" spans="1:8">
      <c r="A1086" s="21"/>
      <c r="B1086" s="22"/>
      <c r="C1086" s="22"/>
      <c r="D1086" s="22"/>
      <c r="E1086" s="23" t="str">
        <f>IF($D1086="","",IFERROR(VLOOKUP($D1086,'SAMA Capital Tracker'!$A:$H,8,FALSE()),""))</f>
        <v/>
      </c>
      <c r="F1086" s="24"/>
      <c r="G1086" s="25" t="str">
        <f>IF($D1086="","",IFERROR(VLOOKUP($D1086,'SAMA Capital Tracker'!$A:$D,4,FALSE()),""))</f>
        <v/>
      </c>
      <c r="H1086" s="22"/>
    </row>
    <row r="1087" spans="1:8">
      <c r="A1087" s="21"/>
      <c r="B1087" s="22"/>
      <c r="C1087" s="22"/>
      <c r="D1087" s="22"/>
      <c r="E1087" s="23" t="str">
        <f>IF($D1087="","",IFERROR(VLOOKUP($D1087,'SAMA Capital Tracker'!$A:$H,8,FALSE()),""))</f>
        <v/>
      </c>
      <c r="F1087" s="24"/>
      <c r="G1087" s="25" t="str">
        <f>IF($D1087="","",IFERROR(VLOOKUP($D1087,'SAMA Capital Tracker'!$A:$D,4,FALSE()),""))</f>
        <v/>
      </c>
      <c r="H1087" s="22"/>
    </row>
    <row r="1088" spans="1:8">
      <c r="A1088" s="21"/>
      <c r="B1088" s="22"/>
      <c r="C1088" s="22"/>
      <c r="D1088" s="22"/>
      <c r="E1088" s="23" t="str">
        <f>IF($D1088="","",IFERROR(VLOOKUP($D1088,'SAMA Capital Tracker'!$A:$H,8,FALSE()),""))</f>
        <v/>
      </c>
      <c r="F1088" s="24"/>
      <c r="G1088" s="25" t="str">
        <f>IF($D1088="","",IFERROR(VLOOKUP($D1088,'SAMA Capital Tracker'!$A:$D,4,FALSE()),""))</f>
        <v/>
      </c>
      <c r="H1088" s="22"/>
    </row>
    <row r="1089" spans="1:8">
      <c r="A1089" s="21"/>
      <c r="B1089" s="22"/>
      <c r="C1089" s="22"/>
      <c r="D1089" s="22"/>
      <c r="E1089" s="23" t="str">
        <f>IF($D1089="","",IFERROR(VLOOKUP($D1089,'SAMA Capital Tracker'!$A:$H,8,FALSE()),""))</f>
        <v/>
      </c>
      <c r="F1089" s="24"/>
      <c r="G1089" s="25" t="str">
        <f>IF($D1089="","",IFERROR(VLOOKUP($D1089,'SAMA Capital Tracker'!$A:$D,4,FALSE()),""))</f>
        <v/>
      </c>
      <c r="H1089" s="22"/>
    </row>
    <row r="1090" spans="1:8">
      <c r="A1090" s="21"/>
      <c r="B1090" s="22"/>
      <c r="C1090" s="22"/>
      <c r="D1090" s="22"/>
      <c r="E1090" s="23" t="str">
        <f>IF($D1090="","",IFERROR(VLOOKUP($D1090,'SAMA Capital Tracker'!$A:$H,8,FALSE()),""))</f>
        <v/>
      </c>
      <c r="F1090" s="24"/>
      <c r="G1090" s="25" t="str">
        <f>IF($D1090="","",IFERROR(VLOOKUP($D1090,'SAMA Capital Tracker'!$A:$D,4,FALSE()),""))</f>
        <v/>
      </c>
      <c r="H1090" s="22"/>
    </row>
    <row r="1091" spans="1:8">
      <c r="A1091" s="21"/>
      <c r="B1091" s="22"/>
      <c r="C1091" s="22"/>
      <c r="D1091" s="22"/>
      <c r="E1091" s="23" t="str">
        <f>IF($D1091="","",IFERROR(VLOOKUP($D1091,'SAMA Capital Tracker'!$A:$H,8,FALSE()),""))</f>
        <v/>
      </c>
      <c r="F1091" s="24"/>
      <c r="G1091" s="25" t="str">
        <f>IF($D1091="","",IFERROR(VLOOKUP($D1091,'SAMA Capital Tracker'!$A:$D,4,FALSE()),""))</f>
        <v/>
      </c>
      <c r="H1091" s="22"/>
    </row>
    <row r="1092" spans="1:8">
      <c r="A1092" s="21"/>
      <c r="B1092" s="22"/>
      <c r="C1092" s="22"/>
      <c r="D1092" s="22"/>
      <c r="E1092" s="23" t="str">
        <f>IF($D1092="","",IFERROR(VLOOKUP($D1092,'SAMA Capital Tracker'!$A:$H,8,FALSE()),""))</f>
        <v/>
      </c>
      <c r="F1092" s="24"/>
      <c r="G1092" s="25" t="str">
        <f>IF($D1092="","",IFERROR(VLOOKUP($D1092,'SAMA Capital Tracker'!$A:$D,4,FALSE()),""))</f>
        <v/>
      </c>
      <c r="H1092" s="22"/>
    </row>
    <row r="1093" spans="1:8">
      <c r="A1093" s="21"/>
      <c r="B1093" s="22"/>
      <c r="C1093" s="22"/>
      <c r="D1093" s="22"/>
      <c r="E1093" s="23" t="str">
        <f>IF($D1093="","",IFERROR(VLOOKUP($D1093,'SAMA Capital Tracker'!$A:$H,8,FALSE()),""))</f>
        <v/>
      </c>
      <c r="F1093" s="24"/>
      <c r="G1093" s="25" t="str">
        <f>IF($D1093="","",IFERROR(VLOOKUP($D1093,'SAMA Capital Tracker'!$A:$D,4,FALSE()),""))</f>
        <v/>
      </c>
      <c r="H1093" s="22"/>
    </row>
    <row r="1094" spans="1:8">
      <c r="A1094" s="21"/>
      <c r="B1094" s="22"/>
      <c r="C1094" s="22"/>
      <c r="D1094" s="22"/>
      <c r="E1094" s="23" t="str">
        <f>IF($D1094="","",IFERROR(VLOOKUP($D1094,'SAMA Capital Tracker'!$A:$H,8,FALSE()),""))</f>
        <v/>
      </c>
      <c r="F1094" s="24"/>
      <c r="G1094" s="25" t="str">
        <f>IF($D1094="","",IFERROR(VLOOKUP($D1094,'SAMA Capital Tracker'!$A:$D,4,FALSE()),""))</f>
        <v/>
      </c>
      <c r="H1094" s="22"/>
    </row>
    <row r="1095" spans="1:8">
      <c r="A1095" s="21"/>
      <c r="B1095" s="22"/>
      <c r="C1095" s="22"/>
      <c r="D1095" s="22"/>
      <c r="E1095" s="23" t="str">
        <f>IF($D1095="","",IFERROR(VLOOKUP($D1095,'SAMA Capital Tracker'!$A:$H,8,FALSE()),""))</f>
        <v/>
      </c>
      <c r="F1095" s="24"/>
      <c r="G1095" s="25" t="str">
        <f>IF($D1095="","",IFERROR(VLOOKUP($D1095,'SAMA Capital Tracker'!$A:$D,4,FALSE()),""))</f>
        <v/>
      </c>
      <c r="H1095" s="22"/>
    </row>
    <row r="1096" spans="1:8">
      <c r="A1096" s="21"/>
      <c r="B1096" s="22"/>
      <c r="C1096" s="22"/>
      <c r="D1096" s="22"/>
      <c r="E1096" s="23" t="str">
        <f>IF($D1096="","",IFERROR(VLOOKUP($D1096,'SAMA Capital Tracker'!$A:$H,8,FALSE()),""))</f>
        <v/>
      </c>
      <c r="F1096" s="24"/>
      <c r="G1096" s="25" t="str">
        <f>IF($D1096="","",IFERROR(VLOOKUP($D1096,'SAMA Capital Tracker'!$A:$D,4,FALSE()),""))</f>
        <v/>
      </c>
      <c r="H1096" s="22"/>
    </row>
    <row r="1097" spans="1:8">
      <c r="A1097" s="21"/>
      <c r="B1097" s="22"/>
      <c r="C1097" s="22"/>
      <c r="D1097" s="22"/>
      <c r="E1097" s="23" t="str">
        <f>IF($D1097="","",IFERROR(VLOOKUP($D1097,'SAMA Capital Tracker'!$A:$H,8,FALSE()),""))</f>
        <v/>
      </c>
      <c r="F1097" s="24"/>
      <c r="G1097" s="25" t="str">
        <f>IF($D1097="","",IFERROR(VLOOKUP($D1097,'SAMA Capital Tracker'!$A:$D,4,FALSE()),""))</f>
        <v/>
      </c>
      <c r="H1097" s="22"/>
    </row>
    <row r="1098" spans="1:8">
      <c r="A1098" s="21"/>
      <c r="B1098" s="22"/>
      <c r="C1098" s="22"/>
      <c r="D1098" s="22"/>
      <c r="E1098" s="23" t="str">
        <f>IF($D1098="","",IFERROR(VLOOKUP($D1098,'SAMA Capital Tracker'!$A:$H,8,FALSE()),""))</f>
        <v/>
      </c>
      <c r="F1098" s="24"/>
      <c r="G1098" s="25" t="str">
        <f>IF($D1098="","",IFERROR(VLOOKUP($D1098,'SAMA Capital Tracker'!$A:$D,4,FALSE()),""))</f>
        <v/>
      </c>
      <c r="H1098" s="22"/>
    </row>
    <row r="1099" spans="1:8">
      <c r="A1099" s="21"/>
      <c r="B1099" s="22"/>
      <c r="C1099" s="22"/>
      <c r="D1099" s="22"/>
      <c r="E1099" s="23" t="str">
        <f>IF($D1099="","",IFERROR(VLOOKUP($D1099,'SAMA Capital Tracker'!$A:$H,8,FALSE()),""))</f>
        <v/>
      </c>
      <c r="F1099" s="24"/>
      <c r="G1099" s="25" t="str">
        <f>IF($D1099="","",IFERROR(VLOOKUP($D1099,'SAMA Capital Tracker'!$A:$D,4,FALSE()),""))</f>
        <v/>
      </c>
      <c r="H1099" s="22"/>
    </row>
    <row r="1100" spans="1:8">
      <c r="A1100" s="21"/>
      <c r="B1100" s="22"/>
      <c r="C1100" s="22"/>
      <c r="D1100" s="22"/>
      <c r="E1100" s="23" t="str">
        <f>IF($D1100="","",IFERROR(VLOOKUP($D1100,'SAMA Capital Tracker'!$A:$H,8,FALSE()),""))</f>
        <v/>
      </c>
      <c r="F1100" s="24"/>
      <c r="G1100" s="25" t="str">
        <f>IF($D1100="","",IFERROR(VLOOKUP($D1100,'SAMA Capital Tracker'!$A:$D,4,FALSE()),""))</f>
        <v/>
      </c>
      <c r="H1100" s="22"/>
    </row>
    <row r="1101" spans="1:8">
      <c r="A1101" s="21"/>
      <c r="B1101" s="22"/>
      <c r="C1101" s="22"/>
      <c r="D1101" s="22"/>
      <c r="E1101" s="23" t="str">
        <f>IF($D1101="","",IFERROR(VLOOKUP($D1101,'SAMA Capital Tracker'!$A:$H,8,FALSE()),""))</f>
        <v/>
      </c>
      <c r="F1101" s="24"/>
      <c r="G1101" s="25" t="str">
        <f>IF($D1101="","",IFERROR(VLOOKUP($D1101,'SAMA Capital Tracker'!$A:$D,4,FALSE()),""))</f>
        <v/>
      </c>
      <c r="H1101" s="22"/>
    </row>
    <row r="1102" spans="1:8">
      <c r="A1102" s="21"/>
      <c r="B1102" s="22"/>
      <c r="C1102" s="22"/>
      <c r="D1102" s="22"/>
      <c r="E1102" s="23" t="str">
        <f>IF($D1102="","",IFERROR(VLOOKUP($D1102,'SAMA Capital Tracker'!$A:$H,8,FALSE()),""))</f>
        <v/>
      </c>
      <c r="F1102" s="24"/>
      <c r="G1102" s="25" t="str">
        <f>IF($D1102="","",IFERROR(VLOOKUP($D1102,'SAMA Capital Tracker'!$A:$D,4,FALSE()),""))</f>
        <v/>
      </c>
      <c r="H1102" s="22"/>
    </row>
    <row r="1103" spans="1:8">
      <c r="A1103" s="21"/>
      <c r="B1103" s="22"/>
      <c r="C1103" s="22"/>
      <c r="D1103" s="22"/>
      <c r="E1103" s="23" t="str">
        <f>IF($D1103="","",IFERROR(VLOOKUP($D1103,'SAMA Capital Tracker'!$A:$H,8,FALSE()),""))</f>
        <v/>
      </c>
      <c r="F1103" s="24"/>
      <c r="G1103" s="25" t="str">
        <f>IF($D1103="","",IFERROR(VLOOKUP($D1103,'SAMA Capital Tracker'!$A:$D,4,FALSE()),""))</f>
        <v/>
      </c>
      <c r="H1103" s="22"/>
    </row>
    <row r="1104" spans="1:8">
      <c r="A1104" s="21"/>
      <c r="B1104" s="22"/>
      <c r="C1104" s="22"/>
      <c r="D1104" s="22"/>
      <c r="E1104" s="23" t="str">
        <f>IF($D1104="","",IFERROR(VLOOKUP($D1104,'SAMA Capital Tracker'!$A:$H,8,FALSE()),""))</f>
        <v/>
      </c>
      <c r="F1104" s="24"/>
      <c r="G1104" s="25" t="str">
        <f>IF($D1104="","",IFERROR(VLOOKUP($D1104,'SAMA Capital Tracker'!$A:$D,4,FALSE()),""))</f>
        <v/>
      </c>
      <c r="H1104" s="22"/>
    </row>
    <row r="1105" spans="1:8">
      <c r="A1105" s="21"/>
      <c r="B1105" s="22"/>
      <c r="C1105" s="22"/>
      <c r="D1105" s="22"/>
      <c r="E1105" s="23" t="str">
        <f>IF($D1105="","",IFERROR(VLOOKUP($D1105,'SAMA Capital Tracker'!$A:$H,8,FALSE()),""))</f>
        <v/>
      </c>
      <c r="F1105" s="24"/>
      <c r="G1105" s="25" t="str">
        <f>IF($D1105="","",IFERROR(VLOOKUP($D1105,'SAMA Capital Tracker'!$A:$D,4,FALSE()),""))</f>
        <v/>
      </c>
      <c r="H1105" s="22"/>
    </row>
    <row r="1106" spans="1:8">
      <c r="A1106" s="21"/>
      <c r="B1106" s="22"/>
      <c r="C1106" s="22"/>
      <c r="D1106" s="22"/>
      <c r="E1106" s="23" t="str">
        <f>IF($D1106="","",IFERROR(VLOOKUP($D1106,'SAMA Capital Tracker'!$A:$H,8,FALSE()),""))</f>
        <v/>
      </c>
      <c r="F1106" s="24"/>
      <c r="G1106" s="25" t="str">
        <f>IF($D1106="","",IFERROR(VLOOKUP($D1106,'SAMA Capital Tracker'!$A:$D,4,FALSE()),""))</f>
        <v/>
      </c>
      <c r="H1106" s="22"/>
    </row>
    <row r="1107" spans="1:8">
      <c r="A1107" s="21"/>
      <c r="B1107" s="22"/>
      <c r="C1107" s="22"/>
      <c r="D1107" s="22"/>
      <c r="E1107" s="23" t="str">
        <f>IF($D1107="","",IFERROR(VLOOKUP($D1107,'SAMA Capital Tracker'!$A:$H,8,FALSE()),""))</f>
        <v/>
      </c>
      <c r="F1107" s="24"/>
      <c r="G1107" s="25" t="str">
        <f>IF($D1107="","",IFERROR(VLOOKUP($D1107,'SAMA Capital Tracker'!$A:$D,4,FALSE()),""))</f>
        <v/>
      </c>
      <c r="H1107" s="22"/>
    </row>
    <row r="1108" spans="1:8">
      <c r="A1108" s="21"/>
      <c r="B1108" s="22"/>
      <c r="C1108" s="22"/>
      <c r="D1108" s="22"/>
      <c r="E1108" s="23" t="str">
        <f>IF($D1108="","",IFERROR(VLOOKUP($D1108,'SAMA Capital Tracker'!$A:$H,8,FALSE()),""))</f>
        <v/>
      </c>
      <c r="F1108" s="24"/>
      <c r="G1108" s="25" t="str">
        <f>IF($D1108="","",IFERROR(VLOOKUP($D1108,'SAMA Capital Tracker'!$A:$D,4,FALSE()),""))</f>
        <v/>
      </c>
      <c r="H1108" s="22"/>
    </row>
    <row r="1109" spans="1:8">
      <c r="A1109" s="21"/>
      <c r="B1109" s="22"/>
      <c r="C1109" s="22"/>
      <c r="D1109" s="22"/>
      <c r="E1109" s="23" t="str">
        <f>IF($D1109="","",IFERROR(VLOOKUP($D1109,'SAMA Capital Tracker'!$A:$H,8,FALSE()),""))</f>
        <v/>
      </c>
      <c r="F1109" s="24"/>
      <c r="G1109" s="25" t="str">
        <f>IF($D1109="","",IFERROR(VLOOKUP($D1109,'SAMA Capital Tracker'!$A:$D,4,FALSE()),""))</f>
        <v/>
      </c>
      <c r="H1109" s="22"/>
    </row>
    <row r="1110" spans="1:8">
      <c r="A1110" s="21"/>
      <c r="B1110" s="22"/>
      <c r="C1110" s="22"/>
      <c r="D1110" s="22"/>
      <c r="E1110" s="23" t="str">
        <f>IF($D1110="","",IFERROR(VLOOKUP($D1110,'SAMA Capital Tracker'!$A:$H,8,FALSE()),""))</f>
        <v/>
      </c>
      <c r="F1110" s="24"/>
      <c r="G1110" s="25" t="str">
        <f>IF($D1110="","",IFERROR(VLOOKUP($D1110,'SAMA Capital Tracker'!$A:$D,4,FALSE()),""))</f>
        <v/>
      </c>
      <c r="H1110" s="22"/>
    </row>
    <row r="1111" spans="1:8">
      <c r="A1111" s="21"/>
      <c r="B1111" s="22"/>
      <c r="C1111" s="22"/>
      <c r="D1111" s="22"/>
      <c r="E1111" s="23" t="str">
        <f>IF($D1111="","",IFERROR(VLOOKUP($D1111,'SAMA Capital Tracker'!$A:$H,8,FALSE()),""))</f>
        <v/>
      </c>
      <c r="F1111" s="24"/>
      <c r="G1111" s="25" t="str">
        <f>IF($D1111="","",IFERROR(VLOOKUP($D1111,'SAMA Capital Tracker'!$A:$D,4,FALSE()),""))</f>
        <v/>
      </c>
      <c r="H1111" s="22"/>
    </row>
    <row r="1112" spans="1:8">
      <c r="A1112" s="21"/>
      <c r="B1112" s="22"/>
      <c r="C1112" s="22"/>
      <c r="D1112" s="22"/>
      <c r="E1112" s="23" t="str">
        <f>IF($D1112="","",IFERROR(VLOOKUP($D1112,'SAMA Capital Tracker'!$A:$H,8,FALSE()),""))</f>
        <v/>
      </c>
      <c r="F1112" s="24"/>
      <c r="G1112" s="25" t="str">
        <f>IF($D1112="","",IFERROR(VLOOKUP($D1112,'SAMA Capital Tracker'!$A:$D,4,FALSE()),""))</f>
        <v/>
      </c>
      <c r="H1112" s="22"/>
    </row>
    <row r="1113" spans="1:8">
      <c r="A1113" s="21"/>
      <c r="B1113" s="22"/>
      <c r="C1113" s="22"/>
      <c r="D1113" s="22"/>
      <c r="E1113" s="23" t="str">
        <f>IF($D1113="","",IFERROR(VLOOKUP($D1113,'SAMA Capital Tracker'!$A:$H,8,FALSE()),""))</f>
        <v/>
      </c>
      <c r="F1113" s="24"/>
      <c r="G1113" s="25" t="str">
        <f>IF($D1113="","",IFERROR(VLOOKUP($D1113,'SAMA Capital Tracker'!$A:$D,4,FALSE()),""))</f>
        <v/>
      </c>
      <c r="H1113" s="22"/>
    </row>
    <row r="1114" spans="1:8">
      <c r="A1114" s="21"/>
      <c r="B1114" s="22"/>
      <c r="C1114" s="22"/>
      <c r="D1114" s="22"/>
      <c r="E1114" s="23" t="str">
        <f>IF($D1114="","",IFERROR(VLOOKUP($D1114,'SAMA Capital Tracker'!$A:$H,8,FALSE()),""))</f>
        <v/>
      </c>
      <c r="F1114" s="24"/>
      <c r="G1114" s="25" t="str">
        <f>IF($D1114="","",IFERROR(VLOOKUP($D1114,'SAMA Capital Tracker'!$A:$D,4,FALSE()),""))</f>
        <v/>
      </c>
      <c r="H1114" s="22"/>
    </row>
    <row r="1115" spans="1:8">
      <c r="A1115" s="21"/>
      <c r="B1115" s="22"/>
      <c r="C1115" s="22"/>
      <c r="D1115" s="22"/>
      <c r="E1115" s="23" t="str">
        <f>IF($D1115="","",IFERROR(VLOOKUP($D1115,'SAMA Capital Tracker'!$A:$H,8,FALSE()),""))</f>
        <v/>
      </c>
      <c r="F1115" s="24"/>
      <c r="G1115" s="25" t="str">
        <f>IF($D1115="","",IFERROR(VLOOKUP($D1115,'SAMA Capital Tracker'!$A:$D,4,FALSE()),""))</f>
        <v/>
      </c>
      <c r="H1115" s="22"/>
    </row>
    <row r="1116" spans="1:8">
      <c r="A1116" s="21"/>
      <c r="B1116" s="22"/>
      <c r="C1116" s="22"/>
      <c r="D1116" s="22"/>
      <c r="E1116" s="23" t="str">
        <f>IF($D1116="","",IFERROR(VLOOKUP($D1116,'SAMA Capital Tracker'!$A:$H,8,FALSE()),""))</f>
        <v/>
      </c>
      <c r="F1116" s="24"/>
      <c r="G1116" s="25" t="str">
        <f>IF($D1116="","",IFERROR(VLOOKUP($D1116,'SAMA Capital Tracker'!$A:$D,4,FALSE()),""))</f>
        <v/>
      </c>
      <c r="H1116" s="22"/>
    </row>
    <row r="1117" spans="1:8">
      <c r="A1117" s="21"/>
      <c r="B1117" s="22"/>
      <c r="C1117" s="22"/>
      <c r="D1117" s="22"/>
      <c r="E1117" s="23" t="str">
        <f>IF($D1117="","",IFERROR(VLOOKUP($D1117,'SAMA Capital Tracker'!$A:$H,8,FALSE()),""))</f>
        <v/>
      </c>
      <c r="F1117" s="24"/>
      <c r="G1117" s="25" t="str">
        <f>IF($D1117="","",IFERROR(VLOOKUP($D1117,'SAMA Capital Tracker'!$A:$D,4,FALSE()),""))</f>
        <v/>
      </c>
      <c r="H1117" s="22"/>
    </row>
    <row r="1118" spans="1:8">
      <c r="A1118" s="21"/>
      <c r="B1118" s="22"/>
      <c r="C1118" s="22"/>
      <c r="D1118" s="22"/>
      <c r="E1118" s="23" t="str">
        <f>IF($D1118="","",IFERROR(VLOOKUP($D1118,'SAMA Capital Tracker'!$A:$H,8,FALSE()),""))</f>
        <v/>
      </c>
      <c r="F1118" s="24"/>
      <c r="G1118" s="25" t="str">
        <f>IF($D1118="","",IFERROR(VLOOKUP($D1118,'SAMA Capital Tracker'!$A:$D,4,FALSE()),""))</f>
        <v/>
      </c>
      <c r="H1118" s="22"/>
    </row>
    <row r="1119" spans="1:8">
      <c r="A1119" s="21"/>
      <c r="B1119" s="22"/>
      <c r="C1119" s="22"/>
      <c r="D1119" s="22"/>
      <c r="E1119" s="23" t="str">
        <f>IF($D1119="","",IFERROR(VLOOKUP($D1119,'SAMA Capital Tracker'!$A:$H,8,FALSE()),""))</f>
        <v/>
      </c>
      <c r="F1119" s="24"/>
      <c r="G1119" s="25" t="str">
        <f>IF($D1119="","",IFERROR(VLOOKUP($D1119,'SAMA Capital Tracker'!$A:$D,4,FALSE()),""))</f>
        <v/>
      </c>
      <c r="H1119" s="22"/>
    </row>
    <row r="1120" spans="1:8">
      <c r="A1120" s="21"/>
      <c r="B1120" s="22"/>
      <c r="C1120" s="22"/>
      <c r="D1120" s="22"/>
      <c r="E1120" s="23" t="str">
        <f>IF($D1120="","",IFERROR(VLOOKUP($D1120,'SAMA Capital Tracker'!$A:$H,8,FALSE()),""))</f>
        <v/>
      </c>
      <c r="F1120" s="24"/>
      <c r="G1120" s="25" t="str">
        <f>IF($D1120="","",IFERROR(VLOOKUP($D1120,'SAMA Capital Tracker'!$A:$D,4,FALSE()),""))</f>
        <v/>
      </c>
      <c r="H1120" s="22"/>
    </row>
    <row r="1121" spans="1:8">
      <c r="A1121" s="21"/>
      <c r="B1121" s="22"/>
      <c r="C1121" s="22"/>
      <c r="D1121" s="22"/>
      <c r="E1121" s="23" t="str">
        <f>IF($D1121="","",IFERROR(VLOOKUP($D1121,'SAMA Capital Tracker'!$A:$H,8,FALSE()),""))</f>
        <v/>
      </c>
      <c r="F1121" s="24"/>
      <c r="G1121" s="25" t="str">
        <f>IF($D1121="","",IFERROR(VLOOKUP($D1121,'SAMA Capital Tracker'!$A:$D,4,FALSE()),""))</f>
        <v/>
      </c>
      <c r="H1121" s="22"/>
    </row>
    <row r="1122" spans="1:8">
      <c r="A1122" s="21"/>
      <c r="B1122" s="22"/>
      <c r="C1122" s="22"/>
      <c r="D1122" s="22"/>
      <c r="E1122" s="23" t="str">
        <f>IF($D1122="","",IFERROR(VLOOKUP($D1122,'SAMA Capital Tracker'!$A:$H,8,FALSE()),""))</f>
        <v/>
      </c>
      <c r="F1122" s="24"/>
      <c r="G1122" s="25" t="str">
        <f>IF($D1122="","",IFERROR(VLOOKUP($D1122,'SAMA Capital Tracker'!$A:$D,4,FALSE()),""))</f>
        <v/>
      </c>
      <c r="H1122" s="22"/>
    </row>
    <row r="1123" spans="1:8">
      <c r="A1123" s="21"/>
      <c r="B1123" s="22"/>
      <c r="C1123" s="22"/>
      <c r="D1123" s="22"/>
      <c r="E1123" s="23" t="str">
        <f>IF($D1123="","",IFERROR(VLOOKUP($D1123,'SAMA Capital Tracker'!$A:$H,8,FALSE()),""))</f>
        <v/>
      </c>
      <c r="F1123" s="24"/>
      <c r="G1123" s="25" t="str">
        <f>IF($D1123="","",IFERROR(VLOOKUP($D1123,'SAMA Capital Tracker'!$A:$D,4,FALSE()),""))</f>
        <v/>
      </c>
      <c r="H1123" s="22"/>
    </row>
    <row r="1124" spans="1:8">
      <c r="A1124" s="21"/>
      <c r="B1124" s="22"/>
      <c r="C1124" s="22"/>
      <c r="D1124" s="22"/>
      <c r="E1124" s="23" t="str">
        <f>IF($D1124="","",IFERROR(VLOOKUP($D1124,'SAMA Capital Tracker'!$A:$H,8,FALSE()),""))</f>
        <v/>
      </c>
      <c r="F1124" s="24"/>
      <c r="G1124" s="25" t="str">
        <f>IF($D1124="","",IFERROR(VLOOKUP($D1124,'SAMA Capital Tracker'!$A:$D,4,FALSE()),""))</f>
        <v/>
      </c>
      <c r="H1124" s="22"/>
    </row>
    <row r="1125" spans="1:8">
      <c r="A1125" s="21"/>
      <c r="B1125" s="22"/>
      <c r="C1125" s="22"/>
      <c r="D1125" s="22"/>
      <c r="E1125" s="23" t="str">
        <f>IF($D1125="","",IFERROR(VLOOKUP($D1125,'SAMA Capital Tracker'!$A:$H,8,FALSE()),""))</f>
        <v/>
      </c>
      <c r="F1125" s="24"/>
      <c r="G1125" s="25" t="str">
        <f>IF($D1125="","",IFERROR(VLOOKUP($D1125,'SAMA Capital Tracker'!$A:$D,4,FALSE()),""))</f>
        <v/>
      </c>
      <c r="H1125" s="22"/>
    </row>
    <row r="1126" spans="1:8">
      <c r="A1126" s="21"/>
      <c r="B1126" s="22"/>
      <c r="C1126" s="22"/>
      <c r="D1126" s="22"/>
      <c r="E1126" s="23" t="str">
        <f>IF($D1126="","",IFERROR(VLOOKUP($D1126,'SAMA Capital Tracker'!$A:$H,8,FALSE()),""))</f>
        <v/>
      </c>
      <c r="F1126" s="24"/>
      <c r="G1126" s="25" t="str">
        <f>IF($D1126="","",IFERROR(VLOOKUP($D1126,'SAMA Capital Tracker'!$A:$D,4,FALSE()),""))</f>
        <v/>
      </c>
      <c r="H1126" s="22"/>
    </row>
    <row r="1127" spans="1:8">
      <c r="A1127" s="21"/>
      <c r="B1127" s="22"/>
      <c r="C1127" s="22"/>
      <c r="D1127" s="22"/>
      <c r="E1127" s="23" t="str">
        <f>IF($D1127="","",IFERROR(VLOOKUP($D1127,'SAMA Capital Tracker'!$A:$H,8,FALSE()),""))</f>
        <v/>
      </c>
      <c r="F1127" s="24"/>
      <c r="G1127" s="25" t="str">
        <f>IF($D1127="","",IFERROR(VLOOKUP($D1127,'SAMA Capital Tracker'!$A:$D,4,FALSE()),""))</f>
        <v/>
      </c>
      <c r="H1127" s="22"/>
    </row>
    <row r="1128" spans="1:8">
      <c r="A1128" s="21"/>
      <c r="B1128" s="22"/>
      <c r="C1128" s="22"/>
      <c r="D1128" s="22"/>
      <c r="E1128" s="23" t="str">
        <f>IF($D1128="","",IFERROR(VLOOKUP($D1128,'SAMA Capital Tracker'!$A:$H,8,FALSE()),""))</f>
        <v/>
      </c>
      <c r="F1128" s="24"/>
      <c r="G1128" s="25" t="str">
        <f>IF($D1128="","",IFERROR(VLOOKUP($D1128,'SAMA Capital Tracker'!$A:$D,4,FALSE()),""))</f>
        <v/>
      </c>
      <c r="H1128" s="22"/>
    </row>
    <row r="1129" spans="1:8">
      <c r="A1129" s="21"/>
      <c r="B1129" s="22"/>
      <c r="C1129" s="22"/>
      <c r="D1129" s="22"/>
      <c r="E1129" s="23" t="str">
        <f>IF($D1129="","",IFERROR(VLOOKUP($D1129,'SAMA Capital Tracker'!$A:$H,8,FALSE()),""))</f>
        <v/>
      </c>
      <c r="F1129" s="24"/>
      <c r="G1129" s="25" t="str">
        <f>IF($D1129="","",IFERROR(VLOOKUP($D1129,'SAMA Capital Tracker'!$A:$D,4,FALSE()),""))</f>
        <v/>
      </c>
      <c r="H1129" s="22"/>
    </row>
    <row r="1130" spans="1:8">
      <c r="A1130" s="21"/>
      <c r="B1130" s="22"/>
      <c r="C1130" s="22"/>
      <c r="D1130" s="22"/>
      <c r="E1130" s="23" t="str">
        <f>IF($D1130="","",IFERROR(VLOOKUP($D1130,'SAMA Capital Tracker'!$A:$H,8,FALSE()),""))</f>
        <v/>
      </c>
      <c r="F1130" s="24"/>
      <c r="G1130" s="25" t="str">
        <f>IF($D1130="","",IFERROR(VLOOKUP($D1130,'SAMA Capital Tracker'!$A:$D,4,FALSE()),""))</f>
        <v/>
      </c>
      <c r="H1130" s="22"/>
    </row>
    <row r="1131" spans="1:8">
      <c r="A1131" s="21"/>
      <c r="B1131" s="22"/>
      <c r="C1131" s="22"/>
      <c r="D1131" s="22"/>
      <c r="E1131" s="23" t="str">
        <f>IF($D1131="","",IFERROR(VLOOKUP($D1131,'SAMA Capital Tracker'!$A:$H,8,FALSE()),""))</f>
        <v/>
      </c>
      <c r="F1131" s="24"/>
      <c r="G1131" s="25" t="str">
        <f>IF($D1131="","",IFERROR(VLOOKUP($D1131,'SAMA Capital Tracker'!$A:$D,4,FALSE()),""))</f>
        <v/>
      </c>
      <c r="H1131" s="22"/>
    </row>
    <row r="1132" spans="1:8">
      <c r="A1132" s="21"/>
      <c r="B1132" s="22"/>
      <c r="C1132" s="22"/>
      <c r="D1132" s="22"/>
      <c r="E1132" s="23" t="str">
        <f>IF($D1132="","",IFERROR(VLOOKUP($D1132,'SAMA Capital Tracker'!$A:$H,8,FALSE()),""))</f>
        <v/>
      </c>
      <c r="F1132" s="24"/>
      <c r="G1132" s="25" t="str">
        <f>IF($D1132="","",IFERROR(VLOOKUP($D1132,'SAMA Capital Tracker'!$A:$D,4,FALSE()),""))</f>
        <v/>
      </c>
      <c r="H1132" s="22"/>
    </row>
    <row r="1133" spans="1:8">
      <c r="A1133" s="21"/>
      <c r="B1133" s="22"/>
      <c r="C1133" s="22"/>
      <c r="D1133" s="22"/>
      <c r="E1133" s="23" t="str">
        <f>IF($D1133="","",IFERROR(VLOOKUP($D1133,'SAMA Capital Tracker'!$A:$H,8,FALSE()),""))</f>
        <v/>
      </c>
      <c r="F1133" s="24"/>
      <c r="G1133" s="25" t="str">
        <f>IF($D1133="","",IFERROR(VLOOKUP($D1133,'SAMA Capital Tracker'!$A:$D,4,FALSE()),""))</f>
        <v/>
      </c>
      <c r="H1133" s="22"/>
    </row>
    <row r="1134" spans="1:8">
      <c r="A1134" s="21"/>
      <c r="B1134" s="22"/>
      <c r="C1134" s="22"/>
      <c r="D1134" s="22"/>
      <c r="E1134" s="23" t="str">
        <f>IF($D1134="","",IFERROR(VLOOKUP($D1134,'SAMA Capital Tracker'!$A:$H,8,FALSE()),""))</f>
        <v/>
      </c>
      <c r="F1134" s="24"/>
      <c r="G1134" s="25" t="str">
        <f>IF($D1134="","",IFERROR(VLOOKUP($D1134,'SAMA Capital Tracker'!$A:$D,4,FALSE()),""))</f>
        <v/>
      </c>
      <c r="H1134" s="22"/>
    </row>
    <row r="1135" spans="1:8">
      <c r="A1135" s="21"/>
      <c r="B1135" s="22"/>
      <c r="C1135" s="22"/>
      <c r="D1135" s="22"/>
      <c r="E1135" s="23" t="str">
        <f>IF($D1135="","",IFERROR(VLOOKUP($D1135,'SAMA Capital Tracker'!$A:$H,8,FALSE()),""))</f>
        <v/>
      </c>
      <c r="F1135" s="24"/>
      <c r="G1135" s="25" t="str">
        <f>IF($D1135="","",IFERROR(VLOOKUP($D1135,'SAMA Capital Tracker'!$A:$D,4,FALSE()),""))</f>
        <v/>
      </c>
      <c r="H1135" s="22"/>
    </row>
    <row r="1136" spans="1:8">
      <c r="A1136" s="21"/>
      <c r="B1136" s="22"/>
      <c r="C1136" s="22"/>
      <c r="D1136" s="22"/>
      <c r="E1136" s="23" t="str">
        <f>IF($D1136="","",IFERROR(VLOOKUP($D1136,'SAMA Capital Tracker'!$A:$H,8,FALSE()),""))</f>
        <v/>
      </c>
      <c r="F1136" s="24"/>
      <c r="G1136" s="25" t="str">
        <f>IF($D1136="","",IFERROR(VLOOKUP($D1136,'SAMA Capital Tracker'!$A:$D,4,FALSE()),""))</f>
        <v/>
      </c>
      <c r="H1136" s="22"/>
    </row>
    <row r="1137" spans="1:8">
      <c r="A1137" s="21"/>
      <c r="B1137" s="22"/>
      <c r="C1137" s="22"/>
      <c r="D1137" s="22"/>
      <c r="E1137" s="23" t="str">
        <f>IF($D1137="","",IFERROR(VLOOKUP($D1137,'SAMA Capital Tracker'!$A:$H,8,FALSE()),""))</f>
        <v/>
      </c>
      <c r="F1137" s="24"/>
      <c r="G1137" s="25" t="str">
        <f>IF($D1137="","",IFERROR(VLOOKUP($D1137,'SAMA Capital Tracker'!$A:$D,4,FALSE()),""))</f>
        <v/>
      </c>
      <c r="H1137" s="22"/>
    </row>
    <row r="1138" spans="1:8">
      <c r="A1138" s="21"/>
      <c r="B1138" s="22"/>
      <c r="C1138" s="22"/>
      <c r="D1138" s="22"/>
      <c r="E1138" s="23" t="str">
        <f>IF($D1138="","",IFERROR(VLOOKUP($D1138,'SAMA Capital Tracker'!$A:$H,8,FALSE()),""))</f>
        <v/>
      </c>
      <c r="F1138" s="24"/>
      <c r="G1138" s="25" t="str">
        <f>IF($D1138="","",IFERROR(VLOOKUP($D1138,'SAMA Capital Tracker'!$A:$D,4,FALSE()),""))</f>
        <v/>
      </c>
      <c r="H1138" s="22"/>
    </row>
    <row r="1139" spans="1:8">
      <c r="A1139" s="21"/>
      <c r="B1139" s="22"/>
      <c r="C1139" s="22"/>
      <c r="D1139" s="22"/>
      <c r="E1139" s="23" t="str">
        <f>IF($D1139="","",IFERROR(VLOOKUP($D1139,'SAMA Capital Tracker'!$A:$H,8,FALSE()),""))</f>
        <v/>
      </c>
      <c r="F1139" s="24"/>
      <c r="G1139" s="25" t="str">
        <f>IF($D1139="","",IFERROR(VLOOKUP($D1139,'SAMA Capital Tracker'!$A:$D,4,FALSE()),""))</f>
        <v/>
      </c>
      <c r="H1139" s="22"/>
    </row>
    <row r="1140" spans="1:8">
      <c r="A1140" s="21"/>
      <c r="B1140" s="22"/>
      <c r="C1140" s="22"/>
      <c r="D1140" s="22"/>
      <c r="E1140" s="23" t="str">
        <f>IF($D1140="","",IFERROR(VLOOKUP($D1140,'SAMA Capital Tracker'!$A:$H,8,FALSE()),""))</f>
        <v/>
      </c>
      <c r="F1140" s="24"/>
      <c r="G1140" s="25" t="str">
        <f>IF($D1140="","",IFERROR(VLOOKUP($D1140,'SAMA Capital Tracker'!$A:$D,4,FALSE()),""))</f>
        <v/>
      </c>
      <c r="H1140" s="22"/>
    </row>
    <row r="1141" spans="1:8">
      <c r="A1141" s="21"/>
      <c r="B1141" s="22"/>
      <c r="C1141" s="22"/>
      <c r="D1141" s="22"/>
      <c r="E1141" s="23" t="str">
        <f>IF($D1141="","",IFERROR(VLOOKUP($D1141,'SAMA Capital Tracker'!$A:$H,8,FALSE()),""))</f>
        <v/>
      </c>
      <c r="F1141" s="24"/>
      <c r="G1141" s="25" t="str">
        <f>IF($D1141="","",IFERROR(VLOOKUP($D1141,'SAMA Capital Tracker'!$A:$D,4,FALSE()),""))</f>
        <v/>
      </c>
      <c r="H1141" s="22"/>
    </row>
    <row r="1142" spans="1:8">
      <c r="A1142" s="21"/>
      <c r="B1142" s="22"/>
      <c r="C1142" s="22"/>
      <c r="D1142" s="22"/>
      <c r="E1142" s="23" t="str">
        <f>IF($D1142="","",IFERROR(VLOOKUP($D1142,'SAMA Capital Tracker'!$A:$H,8,FALSE()),""))</f>
        <v/>
      </c>
      <c r="F1142" s="24"/>
      <c r="G1142" s="25" t="str">
        <f>IF($D1142="","",IFERROR(VLOOKUP($D1142,'SAMA Capital Tracker'!$A:$D,4,FALSE()),""))</f>
        <v/>
      </c>
      <c r="H1142" s="22"/>
    </row>
    <row r="1143" spans="1:8">
      <c r="A1143" s="21"/>
      <c r="B1143" s="22"/>
      <c r="C1143" s="22"/>
      <c r="D1143" s="22"/>
      <c r="E1143" s="23" t="str">
        <f>IF($D1143="","",IFERROR(VLOOKUP($D1143,'SAMA Capital Tracker'!$A:$H,8,FALSE()),""))</f>
        <v/>
      </c>
      <c r="F1143" s="24"/>
      <c r="G1143" s="25" t="str">
        <f>IF($D1143="","",IFERROR(VLOOKUP($D1143,'SAMA Capital Tracker'!$A:$D,4,FALSE()),""))</f>
        <v/>
      </c>
      <c r="H1143" s="22"/>
    </row>
    <row r="1144" spans="1:8">
      <c r="A1144" s="21"/>
      <c r="B1144" s="22"/>
      <c r="C1144" s="22"/>
      <c r="D1144" s="22"/>
      <c r="E1144" s="23" t="str">
        <f>IF($D1144="","",IFERROR(VLOOKUP($D1144,'SAMA Capital Tracker'!$A:$H,8,FALSE()),""))</f>
        <v/>
      </c>
      <c r="F1144" s="24"/>
      <c r="G1144" s="25" t="str">
        <f>IF($D1144="","",IFERROR(VLOOKUP($D1144,'SAMA Capital Tracker'!$A:$D,4,FALSE()),""))</f>
        <v/>
      </c>
      <c r="H1144" s="22"/>
    </row>
    <row r="1145" spans="1:8">
      <c r="A1145" s="21"/>
      <c r="B1145" s="22"/>
      <c r="C1145" s="22"/>
      <c r="D1145" s="22"/>
      <c r="E1145" s="23" t="str">
        <f>IF($D1145="","",IFERROR(VLOOKUP($D1145,'SAMA Capital Tracker'!$A:$H,8,FALSE()),""))</f>
        <v/>
      </c>
      <c r="F1145" s="24"/>
      <c r="G1145" s="25" t="str">
        <f>IF($D1145="","",IFERROR(VLOOKUP($D1145,'SAMA Capital Tracker'!$A:$D,4,FALSE()),""))</f>
        <v/>
      </c>
      <c r="H1145" s="22"/>
    </row>
    <row r="1146" spans="1:8">
      <c r="A1146" s="21"/>
      <c r="B1146" s="22"/>
      <c r="C1146" s="22"/>
      <c r="D1146" s="22"/>
      <c r="E1146" s="23" t="str">
        <f>IF($D1146="","",IFERROR(VLOOKUP($D1146,'SAMA Capital Tracker'!$A:$H,8,FALSE()),""))</f>
        <v/>
      </c>
      <c r="F1146" s="24"/>
      <c r="G1146" s="25" t="str">
        <f>IF($D1146="","",IFERROR(VLOOKUP($D1146,'SAMA Capital Tracker'!$A:$D,4,FALSE()),""))</f>
        <v/>
      </c>
      <c r="H1146" s="22"/>
    </row>
    <row r="1147" spans="1:8">
      <c r="A1147" s="21"/>
      <c r="B1147" s="22"/>
      <c r="C1147" s="22"/>
      <c r="D1147" s="22"/>
      <c r="E1147" s="23" t="str">
        <f>IF($D1147="","",IFERROR(VLOOKUP($D1147,'SAMA Capital Tracker'!$A:$H,8,FALSE()),""))</f>
        <v/>
      </c>
      <c r="F1147" s="24"/>
      <c r="G1147" s="25" t="str">
        <f>IF($D1147="","",IFERROR(VLOOKUP($D1147,'SAMA Capital Tracker'!$A:$D,4,FALSE()),""))</f>
        <v/>
      </c>
      <c r="H1147" s="22"/>
    </row>
    <row r="1148" spans="1:8">
      <c r="A1148" s="21"/>
      <c r="B1148" s="22"/>
      <c r="C1148" s="22"/>
      <c r="D1148" s="22"/>
      <c r="E1148" s="23" t="str">
        <f>IF($D1148="","",IFERROR(VLOOKUP($D1148,'SAMA Capital Tracker'!$A:$H,8,FALSE()),""))</f>
        <v/>
      </c>
      <c r="F1148" s="24"/>
      <c r="G1148" s="25" t="str">
        <f>IF($D1148="","",IFERROR(VLOOKUP($D1148,'SAMA Capital Tracker'!$A:$D,4,FALSE()),""))</f>
        <v/>
      </c>
      <c r="H1148" s="22"/>
    </row>
    <row r="1149" spans="1:8">
      <c r="A1149" s="21"/>
      <c r="B1149" s="22"/>
      <c r="C1149" s="22"/>
      <c r="D1149" s="22"/>
      <c r="E1149" s="23" t="str">
        <f>IF($D1149="","",IFERROR(VLOOKUP($D1149,'SAMA Capital Tracker'!$A:$H,8,FALSE()),""))</f>
        <v/>
      </c>
      <c r="F1149" s="24"/>
      <c r="G1149" s="25" t="str">
        <f>IF($D1149="","",IFERROR(VLOOKUP($D1149,'SAMA Capital Tracker'!$A:$D,4,FALSE()),""))</f>
        <v/>
      </c>
      <c r="H1149" s="22"/>
    </row>
    <row r="1150" spans="1:8">
      <c r="A1150" s="21"/>
      <c r="B1150" s="22"/>
      <c r="C1150" s="22"/>
      <c r="D1150" s="22"/>
      <c r="E1150" s="23" t="str">
        <f>IF($D1150="","",IFERROR(VLOOKUP($D1150,'SAMA Capital Tracker'!$A:$H,8,FALSE()),""))</f>
        <v/>
      </c>
      <c r="F1150" s="24"/>
      <c r="G1150" s="25" t="str">
        <f>IF($D1150="","",IFERROR(VLOOKUP($D1150,'SAMA Capital Tracker'!$A:$D,4,FALSE()),""))</f>
        <v/>
      </c>
      <c r="H1150" s="22"/>
    </row>
    <row r="1151" spans="1:8">
      <c r="A1151" s="21"/>
      <c r="B1151" s="22"/>
      <c r="C1151" s="22"/>
      <c r="D1151" s="22"/>
      <c r="E1151" s="23" t="str">
        <f>IF($D1151="","",IFERROR(VLOOKUP($D1151,'SAMA Capital Tracker'!$A:$H,8,FALSE()),""))</f>
        <v/>
      </c>
      <c r="F1151" s="24"/>
      <c r="G1151" s="25" t="str">
        <f>IF($D1151="","",IFERROR(VLOOKUP($D1151,'SAMA Capital Tracker'!$A:$D,4,FALSE()),""))</f>
        <v/>
      </c>
      <c r="H1151" s="22"/>
    </row>
    <row r="1152" spans="1:8">
      <c r="A1152" s="21"/>
      <c r="B1152" s="22"/>
      <c r="C1152" s="22"/>
      <c r="D1152" s="22"/>
      <c r="E1152" s="23" t="str">
        <f>IF($D1152="","",IFERROR(VLOOKUP($D1152,'SAMA Capital Tracker'!$A:$H,8,FALSE()),""))</f>
        <v/>
      </c>
      <c r="F1152" s="24"/>
      <c r="G1152" s="25" t="str">
        <f>IF($D1152="","",IFERROR(VLOOKUP($D1152,'SAMA Capital Tracker'!$A:$D,4,FALSE()),""))</f>
        <v/>
      </c>
      <c r="H1152" s="22"/>
    </row>
    <row r="1153" spans="1:8">
      <c r="A1153" s="21"/>
      <c r="B1153" s="22"/>
      <c r="C1153" s="22"/>
      <c r="D1153" s="22"/>
      <c r="E1153" s="23" t="str">
        <f>IF($D1153="","",IFERROR(VLOOKUP($D1153,'SAMA Capital Tracker'!$A:$H,8,FALSE()),""))</f>
        <v/>
      </c>
      <c r="F1153" s="24"/>
      <c r="G1153" s="25" t="str">
        <f>IF($D1153="","",IFERROR(VLOOKUP($D1153,'SAMA Capital Tracker'!$A:$D,4,FALSE()),""))</f>
        <v/>
      </c>
      <c r="H1153" s="22"/>
    </row>
    <row r="1154" spans="1:8">
      <c r="A1154" s="21"/>
      <c r="B1154" s="22"/>
      <c r="C1154" s="22"/>
      <c r="D1154" s="22"/>
      <c r="E1154" s="23" t="str">
        <f>IF($D1154="","",IFERROR(VLOOKUP($D1154,'SAMA Capital Tracker'!$A:$H,8,FALSE()),""))</f>
        <v/>
      </c>
      <c r="F1154" s="24"/>
      <c r="G1154" s="25" t="str">
        <f>IF($D1154="","",IFERROR(VLOOKUP($D1154,'SAMA Capital Tracker'!$A:$D,4,FALSE()),""))</f>
        <v/>
      </c>
      <c r="H1154" s="22"/>
    </row>
    <row r="1155" spans="1:8">
      <c r="A1155" s="21"/>
      <c r="B1155" s="22"/>
      <c r="C1155" s="22"/>
      <c r="D1155" s="22"/>
      <c r="E1155" s="23" t="str">
        <f>IF($D1155="","",IFERROR(VLOOKUP($D1155,'SAMA Capital Tracker'!$A:$H,8,FALSE()),""))</f>
        <v/>
      </c>
      <c r="F1155" s="24"/>
      <c r="G1155" s="25" t="str">
        <f>IF($D1155="","",IFERROR(VLOOKUP($D1155,'SAMA Capital Tracker'!$A:$D,4,FALSE()),""))</f>
        <v/>
      </c>
      <c r="H1155" s="22"/>
    </row>
    <row r="1156" spans="1:8">
      <c r="A1156" s="21"/>
      <c r="B1156" s="22"/>
      <c r="C1156" s="22"/>
      <c r="D1156" s="22"/>
      <c r="E1156" s="23" t="str">
        <f>IF($D1156="","",IFERROR(VLOOKUP($D1156,'SAMA Capital Tracker'!$A:$H,8,FALSE()),""))</f>
        <v/>
      </c>
      <c r="F1156" s="24"/>
      <c r="G1156" s="25" t="str">
        <f>IF($D1156="","",IFERROR(VLOOKUP($D1156,'SAMA Capital Tracker'!$A:$D,4,FALSE()),""))</f>
        <v/>
      </c>
      <c r="H1156" s="22"/>
    </row>
    <row r="1157" spans="1:8">
      <c r="A1157" s="21"/>
      <c r="B1157" s="22"/>
      <c r="C1157" s="22"/>
      <c r="D1157" s="22"/>
      <c r="E1157" s="23" t="str">
        <f>IF($D1157="","",IFERROR(VLOOKUP($D1157,'SAMA Capital Tracker'!$A:$H,8,FALSE()),""))</f>
        <v/>
      </c>
      <c r="F1157" s="24"/>
      <c r="G1157" s="25" t="str">
        <f>IF($D1157="","",IFERROR(VLOOKUP($D1157,'SAMA Capital Tracker'!$A:$D,4,FALSE()),""))</f>
        <v/>
      </c>
      <c r="H1157" s="22"/>
    </row>
    <row r="1158" spans="1:8">
      <c r="A1158" s="21"/>
      <c r="B1158" s="22"/>
      <c r="C1158" s="22"/>
      <c r="D1158" s="22"/>
      <c r="E1158" s="23" t="str">
        <f>IF($D1158="","",IFERROR(VLOOKUP($D1158,'SAMA Capital Tracker'!$A:$H,8,FALSE()),""))</f>
        <v/>
      </c>
      <c r="F1158" s="24"/>
      <c r="G1158" s="25" t="str">
        <f>IF($D1158="","",IFERROR(VLOOKUP($D1158,'SAMA Capital Tracker'!$A:$D,4,FALSE()),""))</f>
        <v/>
      </c>
      <c r="H1158" s="22"/>
    </row>
    <row r="1159" spans="1:8">
      <c r="A1159" s="21"/>
      <c r="B1159" s="22"/>
      <c r="C1159" s="22"/>
      <c r="D1159" s="22"/>
      <c r="E1159" s="23" t="str">
        <f>IF($D1159="","",IFERROR(VLOOKUP($D1159,'SAMA Capital Tracker'!$A:$H,8,FALSE()),""))</f>
        <v/>
      </c>
      <c r="F1159" s="24"/>
      <c r="G1159" s="25" t="str">
        <f>IF($D1159="","",IFERROR(VLOOKUP($D1159,'SAMA Capital Tracker'!$A:$D,4,FALSE()),""))</f>
        <v/>
      </c>
      <c r="H1159" s="22"/>
    </row>
    <row r="1160" spans="1:8">
      <c r="A1160" s="21"/>
      <c r="B1160" s="22"/>
      <c r="C1160" s="22"/>
      <c r="D1160" s="22"/>
      <c r="E1160" s="23" t="str">
        <f>IF($D1160="","",IFERROR(VLOOKUP($D1160,'SAMA Capital Tracker'!$A:$H,8,FALSE()),""))</f>
        <v/>
      </c>
      <c r="F1160" s="24"/>
      <c r="G1160" s="25" t="str">
        <f>IF($D1160="","",IFERROR(VLOOKUP($D1160,'SAMA Capital Tracker'!$A:$D,4,FALSE()),""))</f>
        <v/>
      </c>
      <c r="H1160" s="22"/>
    </row>
    <row r="1161" spans="1:8">
      <c r="A1161" s="21"/>
      <c r="B1161" s="22"/>
      <c r="C1161" s="22"/>
      <c r="D1161" s="22"/>
      <c r="E1161" s="23" t="str">
        <f>IF($D1161="","",IFERROR(VLOOKUP($D1161,'SAMA Capital Tracker'!$A:$H,8,FALSE()),""))</f>
        <v/>
      </c>
      <c r="F1161" s="24"/>
      <c r="G1161" s="25" t="str">
        <f>IF($D1161="","",IFERROR(VLOOKUP($D1161,'SAMA Capital Tracker'!$A:$D,4,FALSE()),""))</f>
        <v/>
      </c>
      <c r="H1161" s="22"/>
    </row>
    <row r="1162" spans="1:8">
      <c r="A1162" s="21"/>
      <c r="B1162" s="22"/>
      <c r="C1162" s="22"/>
      <c r="D1162" s="22"/>
      <c r="E1162" s="23" t="str">
        <f>IF($D1162="","",IFERROR(VLOOKUP($D1162,'SAMA Capital Tracker'!$A:$H,8,FALSE()),""))</f>
        <v/>
      </c>
      <c r="F1162" s="24"/>
      <c r="G1162" s="25" t="str">
        <f>IF($D1162="","",IFERROR(VLOOKUP($D1162,'SAMA Capital Tracker'!$A:$D,4,FALSE()),""))</f>
        <v/>
      </c>
      <c r="H1162" s="22"/>
    </row>
    <row r="1163" spans="1:8">
      <c r="A1163" s="21"/>
      <c r="B1163" s="22"/>
      <c r="C1163" s="22"/>
      <c r="D1163" s="22"/>
      <c r="E1163" s="23" t="str">
        <f>IF($D1163="","",IFERROR(VLOOKUP($D1163,'SAMA Capital Tracker'!$A:$H,8,FALSE()),""))</f>
        <v/>
      </c>
      <c r="F1163" s="24"/>
      <c r="G1163" s="25" t="str">
        <f>IF($D1163="","",IFERROR(VLOOKUP($D1163,'SAMA Capital Tracker'!$A:$D,4,FALSE()),""))</f>
        <v/>
      </c>
      <c r="H1163" s="22"/>
    </row>
    <row r="1164" spans="1:8">
      <c r="A1164" s="21"/>
      <c r="B1164" s="22"/>
      <c r="C1164" s="22"/>
      <c r="D1164" s="22"/>
      <c r="E1164" s="23" t="str">
        <f>IF($D1164="","",IFERROR(VLOOKUP($D1164,'SAMA Capital Tracker'!$A:$H,8,FALSE()),""))</f>
        <v/>
      </c>
      <c r="F1164" s="24"/>
      <c r="G1164" s="25" t="str">
        <f>IF($D1164="","",IFERROR(VLOOKUP($D1164,'SAMA Capital Tracker'!$A:$D,4,FALSE()),""))</f>
        <v/>
      </c>
      <c r="H1164" s="22"/>
    </row>
    <row r="1165" spans="1:8">
      <c r="A1165" s="21"/>
      <c r="B1165" s="22"/>
      <c r="C1165" s="22"/>
      <c r="D1165" s="22"/>
      <c r="E1165" s="23" t="str">
        <f>IF($D1165="","",IFERROR(VLOOKUP($D1165,'SAMA Capital Tracker'!$A:$H,8,FALSE()),""))</f>
        <v/>
      </c>
      <c r="F1165" s="24"/>
      <c r="G1165" s="25" t="str">
        <f>IF($D1165="","",IFERROR(VLOOKUP($D1165,'SAMA Capital Tracker'!$A:$D,4,FALSE()),""))</f>
        <v/>
      </c>
      <c r="H1165" s="22"/>
    </row>
    <row r="1166" spans="1:8">
      <c r="A1166" s="21"/>
      <c r="B1166" s="22"/>
      <c r="C1166" s="22"/>
      <c r="D1166" s="22"/>
      <c r="E1166" s="23" t="str">
        <f>IF($D1166="","",IFERROR(VLOOKUP($D1166,'SAMA Capital Tracker'!$A:$H,8,FALSE()),""))</f>
        <v/>
      </c>
      <c r="F1166" s="24"/>
      <c r="G1166" s="25" t="str">
        <f>IF($D1166="","",IFERROR(VLOOKUP($D1166,'SAMA Capital Tracker'!$A:$D,4,FALSE()),""))</f>
        <v/>
      </c>
      <c r="H1166" s="22"/>
    </row>
    <row r="1167" spans="1:8">
      <c r="A1167" s="21"/>
      <c r="B1167" s="22"/>
      <c r="C1167" s="22"/>
      <c r="D1167" s="22"/>
      <c r="E1167" s="23" t="str">
        <f>IF($D1167="","",IFERROR(VLOOKUP($D1167,'SAMA Capital Tracker'!$A:$H,8,FALSE()),""))</f>
        <v/>
      </c>
      <c r="F1167" s="24"/>
      <c r="G1167" s="25" t="str">
        <f>IF($D1167="","",IFERROR(VLOOKUP($D1167,'SAMA Capital Tracker'!$A:$D,4,FALSE()),""))</f>
        <v/>
      </c>
      <c r="H1167" s="22"/>
    </row>
    <row r="1168" spans="1:8">
      <c r="A1168" s="21"/>
      <c r="B1168" s="22"/>
      <c r="C1168" s="22"/>
      <c r="D1168" s="22"/>
      <c r="E1168" s="23" t="str">
        <f>IF($D1168="","",IFERROR(VLOOKUP($D1168,'SAMA Capital Tracker'!$A:$H,8,FALSE()),""))</f>
        <v/>
      </c>
      <c r="F1168" s="24"/>
      <c r="G1168" s="25" t="str">
        <f>IF($D1168="","",IFERROR(VLOOKUP($D1168,'SAMA Capital Tracker'!$A:$D,4,FALSE()),""))</f>
        <v/>
      </c>
      <c r="H1168" s="22"/>
    </row>
    <row r="1169" spans="1:8">
      <c r="A1169" s="21"/>
      <c r="B1169" s="22"/>
      <c r="C1169" s="22"/>
      <c r="D1169" s="22"/>
      <c r="E1169" s="23" t="str">
        <f>IF($D1169="","",IFERROR(VLOOKUP($D1169,'SAMA Capital Tracker'!$A:$H,8,FALSE()),""))</f>
        <v/>
      </c>
      <c r="F1169" s="24"/>
      <c r="G1169" s="25" t="str">
        <f>IF($D1169="","",IFERROR(VLOOKUP($D1169,'SAMA Capital Tracker'!$A:$D,4,FALSE()),""))</f>
        <v/>
      </c>
      <c r="H1169" s="22"/>
    </row>
    <row r="1170" spans="1:8">
      <c r="A1170" s="21"/>
      <c r="B1170" s="22"/>
      <c r="C1170" s="22"/>
      <c r="D1170" s="22"/>
      <c r="E1170" s="23" t="str">
        <f>IF($D1170="","",IFERROR(VLOOKUP($D1170,'SAMA Capital Tracker'!$A:$H,8,FALSE()),""))</f>
        <v/>
      </c>
      <c r="F1170" s="24"/>
      <c r="G1170" s="25" t="str">
        <f>IF($D1170="","",IFERROR(VLOOKUP($D1170,'SAMA Capital Tracker'!$A:$D,4,FALSE()),""))</f>
        <v/>
      </c>
      <c r="H1170" s="22"/>
    </row>
    <row r="1171" spans="1:8">
      <c r="A1171" s="21"/>
      <c r="B1171" s="22"/>
      <c r="C1171" s="22"/>
      <c r="D1171" s="22"/>
      <c r="E1171" s="23" t="str">
        <f>IF($D1171="","",IFERROR(VLOOKUP($D1171,'SAMA Capital Tracker'!$A:$H,8,FALSE()),""))</f>
        <v/>
      </c>
      <c r="F1171" s="24"/>
      <c r="G1171" s="25" t="str">
        <f>IF($D1171="","",IFERROR(VLOOKUP($D1171,'SAMA Capital Tracker'!$A:$D,4,FALSE()),""))</f>
        <v/>
      </c>
      <c r="H1171" s="22"/>
    </row>
    <row r="1172" spans="1:8">
      <c r="A1172" s="21"/>
      <c r="B1172" s="22"/>
      <c r="C1172" s="22"/>
      <c r="D1172" s="22"/>
      <c r="E1172" s="23" t="str">
        <f>IF($D1172="","",IFERROR(VLOOKUP($D1172,'SAMA Capital Tracker'!$A:$H,8,FALSE()),""))</f>
        <v/>
      </c>
      <c r="F1172" s="24"/>
      <c r="G1172" s="25" t="str">
        <f>IF($D1172="","",IFERROR(VLOOKUP($D1172,'SAMA Capital Tracker'!$A:$D,4,FALSE()),""))</f>
        <v/>
      </c>
      <c r="H1172" s="22"/>
    </row>
    <row r="1173" spans="1:8">
      <c r="A1173" s="21"/>
      <c r="B1173" s="22"/>
      <c r="C1173" s="22"/>
      <c r="D1173" s="22"/>
      <c r="E1173" s="23" t="str">
        <f>IF($D1173="","",IFERROR(VLOOKUP($D1173,'SAMA Capital Tracker'!$A:$H,8,FALSE()),""))</f>
        <v/>
      </c>
      <c r="F1173" s="24"/>
      <c r="G1173" s="25" t="str">
        <f>IF($D1173="","",IFERROR(VLOOKUP($D1173,'SAMA Capital Tracker'!$A:$D,4,FALSE()),""))</f>
        <v/>
      </c>
      <c r="H1173" s="22"/>
    </row>
    <row r="1174" spans="1:8">
      <c r="A1174" s="21"/>
      <c r="B1174" s="22"/>
      <c r="C1174" s="22"/>
      <c r="D1174" s="22"/>
      <c r="E1174" s="23" t="str">
        <f>IF($D1174="","",IFERROR(VLOOKUP($D1174,'SAMA Capital Tracker'!$A:$H,8,FALSE()),""))</f>
        <v/>
      </c>
      <c r="F1174" s="24"/>
      <c r="G1174" s="25" t="str">
        <f>IF($D1174="","",IFERROR(VLOOKUP($D1174,'SAMA Capital Tracker'!$A:$D,4,FALSE()),""))</f>
        <v/>
      </c>
      <c r="H1174" s="22"/>
    </row>
    <row r="1175" spans="1:8">
      <c r="A1175" s="21"/>
      <c r="B1175" s="22"/>
      <c r="C1175" s="22"/>
      <c r="D1175" s="22"/>
      <c r="E1175" s="23" t="str">
        <f>IF($D1175="","",IFERROR(VLOOKUP($D1175,'SAMA Capital Tracker'!$A:$H,8,FALSE()),""))</f>
        <v/>
      </c>
      <c r="F1175" s="24"/>
      <c r="G1175" s="25" t="str">
        <f>IF($D1175="","",IFERROR(VLOOKUP($D1175,'SAMA Capital Tracker'!$A:$D,4,FALSE()),""))</f>
        <v/>
      </c>
      <c r="H1175" s="22"/>
    </row>
    <row r="1176" spans="1:8">
      <c r="A1176" s="21"/>
      <c r="B1176" s="22"/>
      <c r="C1176" s="22"/>
      <c r="D1176" s="22"/>
      <c r="E1176" s="23" t="str">
        <f>IF($D1176="","",IFERROR(VLOOKUP($D1176,'SAMA Capital Tracker'!$A:$H,8,FALSE()),""))</f>
        <v/>
      </c>
      <c r="F1176" s="24"/>
      <c r="G1176" s="25" t="str">
        <f>IF($D1176="","",IFERROR(VLOOKUP($D1176,'SAMA Capital Tracker'!$A:$D,4,FALSE()),""))</f>
        <v/>
      </c>
      <c r="H1176" s="22"/>
    </row>
    <row r="1177" spans="1:8">
      <c r="A1177" s="21"/>
      <c r="B1177" s="22"/>
      <c r="C1177" s="22"/>
      <c r="D1177" s="22"/>
      <c r="E1177" s="23" t="str">
        <f>IF($D1177="","",IFERROR(VLOOKUP($D1177,'SAMA Capital Tracker'!$A:$H,8,FALSE()),""))</f>
        <v/>
      </c>
      <c r="F1177" s="24"/>
      <c r="G1177" s="25" t="str">
        <f>IF($D1177="","",IFERROR(VLOOKUP($D1177,'SAMA Capital Tracker'!$A:$D,4,FALSE()),""))</f>
        <v/>
      </c>
      <c r="H1177" s="22"/>
    </row>
    <row r="1178" spans="1:8">
      <c r="A1178" s="21"/>
      <c r="B1178" s="22"/>
      <c r="C1178" s="22"/>
      <c r="D1178" s="22"/>
      <c r="E1178" s="23" t="str">
        <f>IF($D1178="","",IFERROR(VLOOKUP($D1178,'SAMA Capital Tracker'!$A:$H,8,FALSE()),""))</f>
        <v/>
      </c>
      <c r="F1178" s="24"/>
      <c r="G1178" s="25" t="str">
        <f>IF($D1178="","",IFERROR(VLOOKUP($D1178,'SAMA Capital Tracker'!$A:$D,4,FALSE()),""))</f>
        <v/>
      </c>
      <c r="H1178" s="22"/>
    </row>
    <row r="1179" spans="1:8">
      <c r="A1179" s="21"/>
      <c r="B1179" s="22"/>
      <c r="C1179" s="22"/>
      <c r="D1179" s="22"/>
      <c r="E1179" s="23" t="str">
        <f>IF($D1179="","",IFERROR(VLOOKUP($D1179,'SAMA Capital Tracker'!$A:$H,8,FALSE()),""))</f>
        <v/>
      </c>
      <c r="F1179" s="24"/>
      <c r="G1179" s="25" t="str">
        <f>IF($D1179="","",IFERROR(VLOOKUP($D1179,'SAMA Capital Tracker'!$A:$D,4,FALSE()),""))</f>
        <v/>
      </c>
      <c r="H1179" s="22"/>
    </row>
    <row r="1180" spans="1:8">
      <c r="A1180" s="21"/>
      <c r="B1180" s="22"/>
      <c r="C1180" s="22"/>
      <c r="D1180" s="22"/>
      <c r="E1180" s="23" t="str">
        <f>IF($D1180="","",IFERROR(VLOOKUP($D1180,'SAMA Capital Tracker'!$A:$H,8,FALSE()),""))</f>
        <v/>
      </c>
      <c r="F1180" s="24"/>
      <c r="G1180" s="25" t="str">
        <f>IF($D1180="","",IFERROR(VLOOKUP($D1180,'SAMA Capital Tracker'!$A:$D,4,FALSE()),""))</f>
        <v/>
      </c>
      <c r="H1180" s="22"/>
    </row>
    <row r="1181" spans="1:8">
      <c r="A1181" s="21"/>
      <c r="B1181" s="22"/>
      <c r="C1181" s="22"/>
      <c r="D1181" s="22"/>
      <c r="E1181" s="23" t="str">
        <f>IF($D1181="","",IFERROR(VLOOKUP($D1181,'SAMA Capital Tracker'!$A:$H,8,FALSE()),""))</f>
        <v/>
      </c>
      <c r="F1181" s="24"/>
      <c r="G1181" s="25" t="str">
        <f>IF($D1181="","",IFERROR(VLOOKUP($D1181,'SAMA Capital Tracker'!$A:$D,4,FALSE()),""))</f>
        <v/>
      </c>
      <c r="H1181" s="22"/>
    </row>
    <row r="1182" spans="1:8">
      <c r="A1182" s="21"/>
      <c r="B1182" s="22"/>
      <c r="C1182" s="22"/>
      <c r="D1182" s="22"/>
      <c r="E1182" s="23" t="str">
        <f>IF($D1182="","",IFERROR(VLOOKUP($D1182,'SAMA Capital Tracker'!$A:$H,8,FALSE()),""))</f>
        <v/>
      </c>
      <c r="F1182" s="24"/>
      <c r="G1182" s="25" t="str">
        <f>IF($D1182="","",IFERROR(VLOOKUP($D1182,'SAMA Capital Tracker'!$A:$D,4,FALSE()),""))</f>
        <v/>
      </c>
      <c r="H1182" s="22"/>
    </row>
    <row r="1183" spans="1:8">
      <c r="A1183" s="21"/>
      <c r="B1183" s="22"/>
      <c r="C1183" s="22"/>
      <c r="D1183" s="22"/>
      <c r="E1183" s="23" t="str">
        <f>IF($D1183="","",IFERROR(VLOOKUP($D1183,'SAMA Capital Tracker'!$A:$H,8,FALSE()),""))</f>
        <v/>
      </c>
      <c r="F1183" s="24"/>
      <c r="G1183" s="25" t="str">
        <f>IF($D1183="","",IFERROR(VLOOKUP($D1183,'SAMA Capital Tracker'!$A:$D,4,FALSE()),""))</f>
        <v/>
      </c>
      <c r="H1183" s="22"/>
    </row>
    <row r="1184" spans="1:8">
      <c r="A1184" s="21"/>
      <c r="B1184" s="22"/>
      <c r="C1184" s="22"/>
      <c r="D1184" s="22"/>
      <c r="E1184" s="23" t="str">
        <f>IF($D1184="","",IFERROR(VLOOKUP($D1184,'SAMA Capital Tracker'!$A:$H,8,FALSE()),""))</f>
        <v/>
      </c>
      <c r="F1184" s="24"/>
      <c r="G1184" s="25" t="str">
        <f>IF($D1184="","",IFERROR(VLOOKUP($D1184,'SAMA Capital Tracker'!$A:$D,4,FALSE()),""))</f>
        <v/>
      </c>
      <c r="H1184" s="22"/>
    </row>
    <row r="1185" spans="1:8">
      <c r="A1185" s="21"/>
      <c r="B1185" s="22"/>
      <c r="C1185" s="22"/>
      <c r="D1185" s="22"/>
      <c r="E1185" s="23" t="str">
        <f>IF($D1185="","",IFERROR(VLOOKUP($D1185,'SAMA Capital Tracker'!$A:$H,8,FALSE()),""))</f>
        <v/>
      </c>
      <c r="F1185" s="24"/>
      <c r="G1185" s="25" t="str">
        <f>IF($D1185="","",IFERROR(VLOOKUP($D1185,'SAMA Capital Tracker'!$A:$D,4,FALSE()),""))</f>
        <v/>
      </c>
      <c r="H1185" s="22"/>
    </row>
    <row r="1186" spans="1:8">
      <c r="A1186" s="21"/>
      <c r="B1186" s="22"/>
      <c r="C1186" s="22"/>
      <c r="D1186" s="22"/>
      <c r="E1186" s="23" t="str">
        <f>IF($D1186="","",IFERROR(VLOOKUP($D1186,'SAMA Capital Tracker'!$A:$H,8,FALSE()),""))</f>
        <v/>
      </c>
      <c r="F1186" s="24"/>
      <c r="G1186" s="25" t="str">
        <f>IF($D1186="","",IFERROR(VLOOKUP($D1186,'SAMA Capital Tracker'!$A:$D,4,FALSE()),""))</f>
        <v/>
      </c>
      <c r="H1186" s="22"/>
    </row>
    <row r="1187" spans="1:8">
      <c r="A1187" s="21"/>
      <c r="B1187" s="22"/>
      <c r="C1187" s="22"/>
      <c r="D1187" s="22"/>
      <c r="E1187" s="23" t="str">
        <f>IF($D1187="","",IFERROR(VLOOKUP($D1187,'SAMA Capital Tracker'!$A:$H,8,FALSE()),""))</f>
        <v/>
      </c>
      <c r="F1187" s="24"/>
      <c r="G1187" s="25" t="str">
        <f>IF($D1187="","",IFERROR(VLOOKUP($D1187,'SAMA Capital Tracker'!$A:$D,4,FALSE()),""))</f>
        <v/>
      </c>
      <c r="H1187" s="22"/>
    </row>
    <row r="1188" spans="1:8">
      <c r="A1188" s="21"/>
      <c r="B1188" s="22"/>
      <c r="C1188" s="22"/>
      <c r="D1188" s="22"/>
      <c r="E1188" s="23" t="str">
        <f>IF($D1188="","",IFERROR(VLOOKUP($D1188,'SAMA Capital Tracker'!$A:$H,8,FALSE()),""))</f>
        <v/>
      </c>
      <c r="F1188" s="24"/>
      <c r="G1188" s="25" t="str">
        <f>IF($D1188="","",IFERROR(VLOOKUP($D1188,'SAMA Capital Tracker'!$A:$D,4,FALSE()),""))</f>
        <v/>
      </c>
      <c r="H1188" s="22"/>
    </row>
    <row r="1189" spans="1:8">
      <c r="A1189" s="21"/>
      <c r="B1189" s="22"/>
      <c r="C1189" s="22"/>
      <c r="D1189" s="22"/>
      <c r="E1189" s="23" t="str">
        <f>IF($D1189="","",IFERROR(VLOOKUP($D1189,'SAMA Capital Tracker'!$A:$H,8,FALSE()),""))</f>
        <v/>
      </c>
      <c r="F1189" s="24"/>
      <c r="G1189" s="25" t="str">
        <f>IF($D1189="","",IFERROR(VLOOKUP($D1189,'SAMA Capital Tracker'!$A:$D,4,FALSE()),""))</f>
        <v/>
      </c>
      <c r="H1189" s="22"/>
    </row>
    <row r="1190" spans="1:8">
      <c r="A1190" s="21"/>
      <c r="B1190" s="22"/>
      <c r="C1190" s="22"/>
      <c r="D1190" s="22"/>
      <c r="E1190" s="23" t="str">
        <f>IF($D1190="","",IFERROR(VLOOKUP($D1190,'SAMA Capital Tracker'!$A:$H,8,FALSE()),""))</f>
        <v/>
      </c>
      <c r="F1190" s="24"/>
      <c r="G1190" s="25" t="str">
        <f>IF($D1190="","",IFERROR(VLOOKUP($D1190,'SAMA Capital Tracker'!$A:$D,4,FALSE()),""))</f>
        <v/>
      </c>
      <c r="H1190" s="22"/>
    </row>
    <row r="1191" spans="1:8">
      <c r="A1191" s="21"/>
      <c r="B1191" s="22"/>
      <c r="C1191" s="22"/>
      <c r="D1191" s="22"/>
      <c r="E1191" s="23" t="str">
        <f>IF($D1191="","",IFERROR(VLOOKUP($D1191,'SAMA Capital Tracker'!$A:$H,8,FALSE()),""))</f>
        <v/>
      </c>
      <c r="F1191" s="24"/>
      <c r="G1191" s="25" t="str">
        <f>IF($D1191="","",IFERROR(VLOOKUP($D1191,'SAMA Capital Tracker'!$A:$D,4,FALSE()),""))</f>
        <v/>
      </c>
      <c r="H1191" s="22"/>
    </row>
    <row r="1192" spans="1:8">
      <c r="A1192" s="21"/>
      <c r="B1192" s="22"/>
      <c r="C1192" s="22"/>
      <c r="D1192" s="22"/>
      <c r="E1192" s="23" t="str">
        <f>IF($D1192="","",IFERROR(VLOOKUP($D1192,'SAMA Capital Tracker'!$A:$H,8,FALSE()),""))</f>
        <v/>
      </c>
      <c r="F1192" s="24"/>
      <c r="G1192" s="25" t="str">
        <f>IF($D1192="","",IFERROR(VLOOKUP($D1192,'SAMA Capital Tracker'!$A:$D,4,FALSE()),""))</f>
        <v/>
      </c>
      <c r="H1192" s="22"/>
    </row>
    <row r="1193" spans="1:8">
      <c r="A1193" s="21"/>
      <c r="B1193" s="22"/>
      <c r="C1193" s="22"/>
      <c r="D1193" s="22"/>
      <c r="E1193" s="23" t="str">
        <f>IF($D1193="","",IFERROR(VLOOKUP($D1193,'SAMA Capital Tracker'!$A:$H,8,FALSE()),""))</f>
        <v/>
      </c>
      <c r="F1193" s="24"/>
      <c r="G1193" s="25" t="str">
        <f>IF($D1193="","",IFERROR(VLOOKUP($D1193,'SAMA Capital Tracker'!$A:$D,4,FALSE()),""))</f>
        <v/>
      </c>
      <c r="H1193" s="22"/>
    </row>
    <row r="1194" spans="1:8">
      <c r="A1194" s="21"/>
      <c r="B1194" s="22"/>
      <c r="C1194" s="22"/>
      <c r="D1194" s="22"/>
      <c r="E1194" s="23" t="str">
        <f>IF($D1194="","",IFERROR(VLOOKUP($D1194,'SAMA Capital Tracker'!$A:$H,8,FALSE()),""))</f>
        <v/>
      </c>
      <c r="F1194" s="24"/>
      <c r="G1194" s="25" t="str">
        <f>IF($D1194="","",IFERROR(VLOOKUP($D1194,'SAMA Capital Tracker'!$A:$D,4,FALSE()),""))</f>
        <v/>
      </c>
      <c r="H1194" s="22"/>
    </row>
    <row r="1195" spans="1:8">
      <c r="A1195" s="21"/>
      <c r="B1195" s="22"/>
      <c r="C1195" s="22"/>
      <c r="D1195" s="22"/>
      <c r="E1195" s="23" t="str">
        <f>IF($D1195="","",IFERROR(VLOOKUP($D1195,'SAMA Capital Tracker'!$A:$H,8,FALSE()),""))</f>
        <v/>
      </c>
      <c r="F1195" s="24"/>
      <c r="G1195" s="25" t="str">
        <f>IF($D1195="","",IFERROR(VLOOKUP($D1195,'SAMA Capital Tracker'!$A:$D,4,FALSE()),""))</f>
        <v/>
      </c>
      <c r="H1195" s="22"/>
    </row>
    <row r="1196" spans="1:8">
      <c r="A1196" s="21"/>
      <c r="B1196" s="22"/>
      <c r="C1196" s="22"/>
      <c r="D1196" s="22"/>
      <c r="E1196" s="23" t="str">
        <f>IF($D1196="","",IFERROR(VLOOKUP($D1196,'SAMA Capital Tracker'!$A:$H,8,FALSE()),""))</f>
        <v/>
      </c>
      <c r="F1196" s="24"/>
      <c r="G1196" s="25" t="str">
        <f>IF($D1196="","",IFERROR(VLOOKUP($D1196,'SAMA Capital Tracker'!$A:$D,4,FALSE()),""))</f>
        <v/>
      </c>
      <c r="H1196" s="22"/>
    </row>
    <row r="1197" spans="1:8">
      <c r="A1197" s="21"/>
      <c r="B1197" s="22"/>
      <c r="C1197" s="22"/>
      <c r="D1197" s="22"/>
      <c r="E1197" s="23" t="str">
        <f>IF($D1197="","",IFERROR(VLOOKUP($D1197,'SAMA Capital Tracker'!$A:$H,8,FALSE()),""))</f>
        <v/>
      </c>
      <c r="F1197" s="24"/>
      <c r="G1197" s="25" t="str">
        <f>IF($D1197="","",IFERROR(VLOOKUP($D1197,'SAMA Capital Tracker'!$A:$D,4,FALSE()),""))</f>
        <v/>
      </c>
      <c r="H1197" s="22"/>
    </row>
    <row r="1198" spans="1:8">
      <c r="A1198" s="21"/>
      <c r="B1198" s="22"/>
      <c r="C1198" s="22"/>
      <c r="D1198" s="22"/>
      <c r="E1198" s="23" t="str">
        <f>IF($D1198="","",IFERROR(VLOOKUP($D1198,'SAMA Capital Tracker'!$A:$H,8,FALSE()),""))</f>
        <v/>
      </c>
      <c r="F1198" s="24"/>
      <c r="G1198" s="25" t="str">
        <f>IF($D1198="","",IFERROR(VLOOKUP($D1198,'SAMA Capital Tracker'!$A:$D,4,FALSE()),""))</f>
        <v/>
      </c>
      <c r="H1198" s="22"/>
    </row>
    <row r="1199" spans="1:8">
      <c r="A1199" s="21"/>
      <c r="B1199" s="22"/>
      <c r="C1199" s="22"/>
      <c r="D1199" s="22"/>
      <c r="E1199" s="23" t="str">
        <f>IF($D1199="","",IFERROR(VLOOKUP($D1199,'SAMA Capital Tracker'!$A:$H,8,FALSE()),""))</f>
        <v/>
      </c>
      <c r="F1199" s="24"/>
      <c r="G1199" s="25" t="str">
        <f>IF($D1199="","",IFERROR(VLOOKUP($D1199,'SAMA Capital Tracker'!$A:$D,4,FALSE()),""))</f>
        <v/>
      </c>
      <c r="H1199" s="22"/>
    </row>
    <row r="1200" spans="1:8">
      <c r="A1200" s="21"/>
      <c r="B1200" s="22"/>
      <c r="C1200" s="22"/>
      <c r="D1200" s="22"/>
      <c r="E1200" s="23" t="str">
        <f>IF($D1200="","",IFERROR(VLOOKUP($D1200,'SAMA Capital Tracker'!$A:$H,8,FALSE()),""))</f>
        <v/>
      </c>
      <c r="F1200" s="24"/>
      <c r="G1200" s="25" t="str">
        <f>IF($D1200="","",IFERROR(VLOOKUP($D1200,'SAMA Capital Tracker'!$A:$D,4,FALSE()),""))</f>
        <v/>
      </c>
      <c r="H1200" s="22"/>
    </row>
    <row r="1201" spans="1:8">
      <c r="A1201" s="21"/>
      <c r="B1201" s="22"/>
      <c r="C1201" s="22"/>
      <c r="D1201" s="22"/>
      <c r="E1201" s="23" t="str">
        <f>IF($D1201="","",IFERROR(VLOOKUP($D1201,'SAMA Capital Tracker'!$A:$H,8,FALSE()),""))</f>
        <v/>
      </c>
      <c r="F1201" s="24"/>
      <c r="G1201" s="25" t="str">
        <f>IF($D1201="","",IFERROR(VLOOKUP($D1201,'SAMA Capital Tracker'!$A:$D,4,FALSE()),""))</f>
        <v/>
      </c>
      <c r="H1201" s="22"/>
    </row>
    <row r="1202" spans="1:8">
      <c r="A1202" s="21"/>
      <c r="B1202" s="22"/>
      <c r="C1202" s="22"/>
      <c r="D1202" s="22"/>
      <c r="E1202" s="23" t="str">
        <f>IF($D1202="","",IFERROR(VLOOKUP($D1202,'SAMA Capital Tracker'!$A:$H,8,FALSE()),""))</f>
        <v/>
      </c>
      <c r="F1202" s="24"/>
      <c r="G1202" s="25" t="str">
        <f>IF($D1202="","",IFERROR(VLOOKUP($D1202,'SAMA Capital Tracker'!$A:$D,4,FALSE()),""))</f>
        <v/>
      </c>
      <c r="H1202" s="22"/>
    </row>
    <row r="1203" spans="1:8">
      <c r="A1203" s="21"/>
      <c r="B1203" s="22"/>
      <c r="C1203" s="22"/>
      <c r="D1203" s="22"/>
      <c r="E1203" s="23" t="str">
        <f>IF($D1203="","",IFERROR(VLOOKUP($D1203,'SAMA Capital Tracker'!$A:$H,8,FALSE()),""))</f>
        <v/>
      </c>
      <c r="F1203" s="24"/>
      <c r="G1203" s="25" t="str">
        <f>IF($D1203="","",IFERROR(VLOOKUP($D1203,'SAMA Capital Tracker'!$A:$D,4,FALSE()),""))</f>
        <v/>
      </c>
      <c r="H1203" s="22"/>
    </row>
    <row r="1204" spans="1:8">
      <c r="A1204" s="21"/>
      <c r="B1204" s="22"/>
      <c r="C1204" s="22"/>
      <c r="D1204" s="22"/>
      <c r="E1204" s="23" t="str">
        <f>IF($D1204="","",IFERROR(VLOOKUP($D1204,'SAMA Capital Tracker'!$A:$H,8,FALSE()),""))</f>
        <v/>
      </c>
      <c r="F1204" s="24"/>
      <c r="G1204" s="25" t="str">
        <f>IF($D1204="","",IFERROR(VLOOKUP($D1204,'SAMA Capital Tracker'!$A:$D,4,FALSE()),""))</f>
        <v/>
      </c>
      <c r="H1204" s="22"/>
    </row>
    <row r="1205" spans="1:8">
      <c r="A1205" s="21"/>
      <c r="B1205" s="22"/>
      <c r="C1205" s="22"/>
      <c r="D1205" s="22"/>
      <c r="E1205" s="23" t="str">
        <f>IF($D1205="","",IFERROR(VLOOKUP($D1205,'SAMA Capital Tracker'!$A:$H,8,FALSE()),""))</f>
        <v/>
      </c>
      <c r="F1205" s="24"/>
      <c r="G1205" s="25" t="str">
        <f>IF($D1205="","",IFERROR(VLOOKUP($D1205,'SAMA Capital Tracker'!$A:$D,4,FALSE()),""))</f>
        <v/>
      </c>
      <c r="H1205" s="22"/>
    </row>
    <row r="1206" spans="1:8">
      <c r="A1206" s="21"/>
      <c r="B1206" s="22"/>
      <c r="C1206" s="22"/>
      <c r="D1206" s="22"/>
      <c r="E1206" s="23" t="str">
        <f>IF($D1206="","",IFERROR(VLOOKUP($D1206,'SAMA Capital Tracker'!$A:$H,8,FALSE()),""))</f>
        <v/>
      </c>
      <c r="F1206" s="24"/>
      <c r="G1206" s="25" t="str">
        <f>IF($D1206="","",IFERROR(VLOOKUP($D1206,'SAMA Capital Tracker'!$A:$D,4,FALSE()),""))</f>
        <v/>
      </c>
      <c r="H1206" s="22"/>
    </row>
    <row r="1207" spans="1:8">
      <c r="A1207" s="21"/>
      <c r="B1207" s="22"/>
      <c r="C1207" s="22"/>
      <c r="D1207" s="22"/>
      <c r="E1207" s="23" t="str">
        <f>IF($D1207="","",IFERROR(VLOOKUP($D1207,'SAMA Capital Tracker'!$A:$H,8,FALSE()),""))</f>
        <v/>
      </c>
      <c r="F1207" s="24"/>
      <c r="G1207" s="25" t="str">
        <f>IF($D1207="","",IFERROR(VLOOKUP($D1207,'SAMA Capital Tracker'!$A:$D,4,FALSE()),""))</f>
        <v/>
      </c>
      <c r="H1207" s="22"/>
    </row>
    <row r="1208" spans="1:8">
      <c r="A1208" s="21"/>
      <c r="B1208" s="22"/>
      <c r="C1208" s="22"/>
      <c r="D1208" s="22"/>
      <c r="E1208" s="23" t="str">
        <f>IF($D1208="","",IFERROR(VLOOKUP($D1208,'SAMA Capital Tracker'!$A:$H,8,FALSE()),""))</f>
        <v/>
      </c>
      <c r="F1208" s="24"/>
      <c r="G1208" s="25" t="str">
        <f>IF($D1208="","",IFERROR(VLOOKUP($D1208,'SAMA Capital Tracker'!$A:$D,4,FALSE()),""))</f>
        <v/>
      </c>
      <c r="H1208" s="22"/>
    </row>
    <row r="1209" spans="1:8">
      <c r="A1209" s="21"/>
      <c r="B1209" s="22"/>
      <c r="C1209" s="22"/>
      <c r="D1209" s="22"/>
      <c r="E1209" s="23" t="str">
        <f>IF($D1209="","",IFERROR(VLOOKUP($D1209,'SAMA Capital Tracker'!$A:$H,8,FALSE()),""))</f>
        <v/>
      </c>
      <c r="F1209" s="24"/>
      <c r="G1209" s="25" t="str">
        <f>IF($D1209="","",IFERROR(VLOOKUP($D1209,'SAMA Capital Tracker'!$A:$D,4,FALSE()),""))</f>
        <v/>
      </c>
      <c r="H1209" s="22"/>
    </row>
    <row r="1210" spans="1:8">
      <c r="A1210" s="21"/>
      <c r="B1210" s="22"/>
      <c r="C1210" s="22"/>
      <c r="D1210" s="22"/>
      <c r="E1210" s="23" t="str">
        <f>IF($D1210="","",IFERROR(VLOOKUP($D1210,'SAMA Capital Tracker'!$A:$H,8,FALSE()),""))</f>
        <v/>
      </c>
      <c r="F1210" s="24"/>
      <c r="G1210" s="25" t="str">
        <f>IF($D1210="","",IFERROR(VLOOKUP($D1210,'SAMA Capital Tracker'!$A:$D,4,FALSE()),""))</f>
        <v/>
      </c>
      <c r="H1210" s="22"/>
    </row>
    <row r="1211" spans="1:8">
      <c r="A1211" s="21"/>
      <c r="B1211" s="22"/>
      <c r="C1211" s="22"/>
      <c r="D1211" s="22"/>
      <c r="E1211" s="23" t="str">
        <f>IF($D1211="","",IFERROR(VLOOKUP($D1211,'SAMA Capital Tracker'!$A:$H,8,FALSE()),""))</f>
        <v/>
      </c>
      <c r="F1211" s="24"/>
      <c r="G1211" s="25" t="str">
        <f>IF($D1211="","",IFERROR(VLOOKUP($D1211,'SAMA Capital Tracker'!$A:$D,4,FALSE()),""))</f>
        <v/>
      </c>
      <c r="H1211" s="22"/>
    </row>
    <row r="1212" spans="1:8">
      <c r="A1212" s="21"/>
      <c r="B1212" s="22"/>
      <c r="C1212" s="22"/>
      <c r="D1212" s="22"/>
      <c r="E1212" s="23" t="str">
        <f>IF($D1212="","",IFERROR(VLOOKUP($D1212,'SAMA Capital Tracker'!$A:$H,8,FALSE()),""))</f>
        <v/>
      </c>
      <c r="F1212" s="24"/>
      <c r="G1212" s="25" t="str">
        <f>IF($D1212="","",IFERROR(VLOOKUP($D1212,'SAMA Capital Tracker'!$A:$D,4,FALSE()),""))</f>
        <v/>
      </c>
      <c r="H1212" s="22"/>
    </row>
    <row r="1213" spans="1:8">
      <c r="A1213" s="21"/>
      <c r="B1213" s="22"/>
      <c r="C1213" s="22"/>
      <c r="D1213" s="22"/>
      <c r="E1213" s="23" t="str">
        <f>IF($D1213="","",IFERROR(VLOOKUP($D1213,'SAMA Capital Tracker'!$A:$H,8,FALSE()),""))</f>
        <v/>
      </c>
      <c r="F1213" s="24"/>
      <c r="G1213" s="25" t="str">
        <f>IF($D1213="","",IFERROR(VLOOKUP($D1213,'SAMA Capital Tracker'!$A:$D,4,FALSE()),""))</f>
        <v/>
      </c>
      <c r="H1213" s="22"/>
    </row>
    <row r="1214" spans="1:8">
      <c r="A1214" s="21"/>
      <c r="B1214" s="22"/>
      <c r="C1214" s="22"/>
      <c r="D1214" s="22"/>
      <c r="E1214" s="23" t="str">
        <f>IF($D1214="","",IFERROR(VLOOKUP($D1214,'SAMA Capital Tracker'!$A:$H,8,FALSE()),""))</f>
        <v/>
      </c>
      <c r="F1214" s="24"/>
      <c r="G1214" s="25" t="str">
        <f>IF($D1214="","",IFERROR(VLOOKUP($D1214,'SAMA Capital Tracker'!$A:$D,4,FALSE()),""))</f>
        <v/>
      </c>
      <c r="H1214" s="22"/>
    </row>
    <row r="1215" spans="1:8">
      <c r="A1215" s="21"/>
      <c r="B1215" s="22"/>
      <c r="C1215" s="22"/>
      <c r="D1215" s="22"/>
      <c r="E1215" s="23" t="str">
        <f>IF($D1215="","",IFERROR(VLOOKUP($D1215,'SAMA Capital Tracker'!$A:$H,8,FALSE()),""))</f>
        <v/>
      </c>
      <c r="F1215" s="24"/>
      <c r="G1215" s="25" t="str">
        <f>IF($D1215="","",IFERROR(VLOOKUP($D1215,'SAMA Capital Tracker'!$A:$D,4,FALSE()),""))</f>
        <v/>
      </c>
      <c r="H1215" s="22"/>
    </row>
    <row r="1216" spans="1:8">
      <c r="A1216" s="21"/>
      <c r="B1216" s="22"/>
      <c r="C1216" s="22"/>
      <c r="D1216" s="22"/>
      <c r="E1216" s="23" t="str">
        <f>IF($D1216="","",IFERROR(VLOOKUP($D1216,'SAMA Capital Tracker'!$A:$H,8,FALSE()),""))</f>
        <v/>
      </c>
      <c r="F1216" s="24"/>
      <c r="G1216" s="25" t="str">
        <f>IF($D1216="","",IFERROR(VLOOKUP($D1216,'SAMA Capital Tracker'!$A:$D,4,FALSE()),""))</f>
        <v/>
      </c>
      <c r="H1216" s="22"/>
    </row>
    <row r="1217" spans="1:8">
      <c r="A1217" s="21"/>
      <c r="B1217" s="22"/>
      <c r="C1217" s="22"/>
      <c r="D1217" s="22"/>
      <c r="E1217" s="23" t="str">
        <f>IF($D1217="","",IFERROR(VLOOKUP($D1217,'SAMA Capital Tracker'!$A:$H,8,FALSE()),""))</f>
        <v/>
      </c>
      <c r="F1217" s="24"/>
      <c r="G1217" s="25" t="str">
        <f>IF($D1217="","",IFERROR(VLOOKUP($D1217,'SAMA Capital Tracker'!$A:$D,4,FALSE()),""))</f>
        <v/>
      </c>
      <c r="H1217" s="22"/>
    </row>
    <row r="1218" spans="1:8">
      <c r="A1218" s="21"/>
      <c r="B1218" s="22"/>
      <c r="C1218" s="22"/>
      <c r="D1218" s="22"/>
      <c r="E1218" s="23" t="str">
        <f>IF($D1218="","",IFERROR(VLOOKUP($D1218,'SAMA Capital Tracker'!$A:$H,8,FALSE()),""))</f>
        <v/>
      </c>
      <c r="F1218" s="24"/>
      <c r="G1218" s="25" t="str">
        <f>IF($D1218="","",IFERROR(VLOOKUP($D1218,'SAMA Capital Tracker'!$A:$D,4,FALSE()),""))</f>
        <v/>
      </c>
      <c r="H1218" s="22"/>
    </row>
    <row r="1219" spans="1:8">
      <c r="A1219" s="21"/>
      <c r="B1219" s="22"/>
      <c r="C1219" s="22"/>
      <c r="D1219" s="22"/>
      <c r="E1219" s="23" t="str">
        <f>IF($D1219="","",IFERROR(VLOOKUP($D1219,'SAMA Capital Tracker'!$A:$H,8,FALSE()),""))</f>
        <v/>
      </c>
      <c r="F1219" s="24"/>
      <c r="G1219" s="25" t="str">
        <f>IF($D1219="","",IFERROR(VLOOKUP($D1219,'SAMA Capital Tracker'!$A:$D,4,FALSE()),""))</f>
        <v/>
      </c>
      <c r="H1219" s="22"/>
    </row>
    <row r="1220" spans="1:8">
      <c r="A1220" s="21"/>
      <c r="B1220" s="22"/>
      <c r="C1220" s="22"/>
      <c r="D1220" s="22"/>
      <c r="E1220" s="23" t="str">
        <f>IF($D1220="","",IFERROR(VLOOKUP($D1220,'SAMA Capital Tracker'!$A:$H,8,FALSE()),""))</f>
        <v/>
      </c>
      <c r="F1220" s="24"/>
      <c r="G1220" s="25" t="str">
        <f>IF($D1220="","",IFERROR(VLOOKUP($D1220,'SAMA Capital Tracker'!$A:$D,4,FALSE()),""))</f>
        <v/>
      </c>
      <c r="H1220" s="22"/>
    </row>
    <row r="1221" spans="1:8">
      <c r="A1221" s="21"/>
      <c r="B1221" s="22"/>
      <c r="C1221" s="22"/>
      <c r="D1221" s="22"/>
      <c r="E1221" s="23" t="str">
        <f>IF($D1221="","",IFERROR(VLOOKUP($D1221,'SAMA Capital Tracker'!$A:$H,8,FALSE()),""))</f>
        <v/>
      </c>
      <c r="F1221" s="24"/>
      <c r="G1221" s="25" t="str">
        <f>IF($D1221="","",IFERROR(VLOOKUP($D1221,'SAMA Capital Tracker'!$A:$D,4,FALSE()),""))</f>
        <v/>
      </c>
      <c r="H1221" s="22"/>
    </row>
    <row r="1222" spans="1:8">
      <c r="A1222" s="21"/>
      <c r="B1222" s="22"/>
      <c r="C1222" s="22"/>
      <c r="D1222" s="22"/>
      <c r="E1222" s="23" t="str">
        <f>IF($D1222="","",IFERROR(VLOOKUP($D1222,'SAMA Capital Tracker'!$A:$H,8,FALSE()),""))</f>
        <v/>
      </c>
      <c r="F1222" s="24"/>
      <c r="G1222" s="25" t="str">
        <f>IF($D1222="","",IFERROR(VLOOKUP($D1222,'SAMA Capital Tracker'!$A:$D,4,FALSE()),""))</f>
        <v/>
      </c>
      <c r="H1222" s="22"/>
    </row>
    <row r="1223" spans="1:8">
      <c r="A1223" s="21"/>
      <c r="B1223" s="22"/>
      <c r="C1223" s="22"/>
      <c r="D1223" s="22"/>
      <c r="E1223" s="23" t="str">
        <f>IF($D1223="","",IFERROR(VLOOKUP($D1223,'SAMA Capital Tracker'!$A:$H,8,FALSE()),""))</f>
        <v/>
      </c>
      <c r="F1223" s="24"/>
      <c r="G1223" s="25" t="str">
        <f>IF($D1223="","",IFERROR(VLOOKUP($D1223,'SAMA Capital Tracker'!$A:$D,4,FALSE()),""))</f>
        <v/>
      </c>
      <c r="H1223" s="22"/>
    </row>
    <row r="1224" spans="1:8">
      <c r="A1224" s="21"/>
      <c r="B1224" s="22"/>
      <c r="C1224" s="22"/>
      <c r="D1224" s="22"/>
      <c r="E1224" s="23" t="str">
        <f>IF($D1224="","",IFERROR(VLOOKUP($D1224,'SAMA Capital Tracker'!$A:$H,8,FALSE()),""))</f>
        <v/>
      </c>
      <c r="F1224" s="24"/>
      <c r="G1224" s="25" t="str">
        <f>IF($D1224="","",IFERROR(VLOOKUP($D1224,'SAMA Capital Tracker'!$A:$D,4,FALSE()),""))</f>
        <v/>
      </c>
      <c r="H1224" s="22"/>
    </row>
    <row r="1225" spans="1:8">
      <c r="A1225" s="21"/>
      <c r="B1225" s="22"/>
      <c r="C1225" s="22"/>
      <c r="D1225" s="22"/>
      <c r="E1225" s="23" t="str">
        <f>IF($D1225="","",IFERROR(VLOOKUP($D1225,'SAMA Capital Tracker'!$A:$H,8,FALSE()),""))</f>
        <v/>
      </c>
      <c r="F1225" s="24"/>
      <c r="G1225" s="25" t="str">
        <f>IF($D1225="","",IFERROR(VLOOKUP($D1225,'SAMA Capital Tracker'!$A:$D,4,FALSE()),""))</f>
        <v/>
      </c>
      <c r="H1225" s="22"/>
    </row>
    <row r="1226" spans="1:8">
      <c r="A1226" s="21"/>
      <c r="B1226" s="22"/>
      <c r="C1226" s="22"/>
      <c r="D1226" s="22"/>
      <c r="E1226" s="23" t="str">
        <f>IF($D1226="","",IFERROR(VLOOKUP($D1226,'SAMA Capital Tracker'!$A:$H,8,FALSE()),""))</f>
        <v/>
      </c>
      <c r="F1226" s="24"/>
      <c r="G1226" s="25" t="str">
        <f>IF($D1226="","",IFERROR(VLOOKUP($D1226,'SAMA Capital Tracker'!$A:$D,4,FALSE()),""))</f>
        <v/>
      </c>
      <c r="H1226" s="22"/>
    </row>
    <row r="1227" spans="1:8">
      <c r="A1227" s="21"/>
      <c r="B1227" s="22"/>
      <c r="C1227" s="22"/>
      <c r="D1227" s="22"/>
      <c r="E1227" s="23" t="str">
        <f>IF($D1227="","",IFERROR(VLOOKUP($D1227,'SAMA Capital Tracker'!$A:$H,8,FALSE()),""))</f>
        <v/>
      </c>
      <c r="F1227" s="24"/>
      <c r="G1227" s="25" t="str">
        <f>IF($D1227="","",IFERROR(VLOOKUP($D1227,'SAMA Capital Tracker'!$A:$D,4,FALSE()),""))</f>
        <v/>
      </c>
      <c r="H1227" s="22"/>
    </row>
    <row r="1228" spans="1:8">
      <c r="A1228" s="21"/>
      <c r="B1228" s="22"/>
      <c r="C1228" s="22"/>
      <c r="D1228" s="22"/>
      <c r="E1228" s="23" t="str">
        <f>IF($D1228="","",IFERROR(VLOOKUP($D1228,'SAMA Capital Tracker'!$A:$H,8,FALSE()),""))</f>
        <v/>
      </c>
      <c r="F1228" s="24"/>
      <c r="G1228" s="25" t="str">
        <f>IF($D1228="","",IFERROR(VLOOKUP($D1228,'SAMA Capital Tracker'!$A:$D,4,FALSE()),""))</f>
        <v/>
      </c>
      <c r="H1228" s="22"/>
    </row>
    <row r="1229" spans="1:8">
      <c r="A1229" s="21"/>
      <c r="B1229" s="22"/>
      <c r="C1229" s="22"/>
      <c r="D1229" s="22"/>
      <c r="E1229" s="23" t="str">
        <f>IF($D1229="","",IFERROR(VLOOKUP($D1229,'SAMA Capital Tracker'!$A:$H,8,FALSE()),""))</f>
        <v/>
      </c>
      <c r="F1229" s="24"/>
      <c r="G1229" s="25" t="str">
        <f>IF($D1229="","",IFERROR(VLOOKUP($D1229,'SAMA Capital Tracker'!$A:$D,4,FALSE()),""))</f>
        <v/>
      </c>
      <c r="H1229" s="22"/>
    </row>
    <row r="1230" spans="1:8">
      <c r="A1230" s="21"/>
      <c r="B1230" s="22"/>
      <c r="C1230" s="22"/>
      <c r="D1230" s="22"/>
      <c r="E1230" s="23" t="str">
        <f>IF($D1230="","",IFERROR(VLOOKUP($D1230,'SAMA Capital Tracker'!$A:$H,8,FALSE()),""))</f>
        <v/>
      </c>
      <c r="F1230" s="24"/>
      <c r="G1230" s="25" t="str">
        <f>IF($D1230="","",IFERROR(VLOOKUP($D1230,'SAMA Capital Tracker'!$A:$D,4,FALSE()),""))</f>
        <v/>
      </c>
      <c r="H1230" s="22"/>
    </row>
    <row r="1231" spans="1:8">
      <c r="A1231" s="21"/>
      <c r="B1231" s="22"/>
      <c r="C1231" s="22"/>
      <c r="D1231" s="22"/>
      <c r="E1231" s="23" t="str">
        <f>IF($D1231="","",IFERROR(VLOOKUP($D1231,'SAMA Capital Tracker'!$A:$H,8,FALSE()),""))</f>
        <v/>
      </c>
      <c r="F1231" s="24"/>
      <c r="G1231" s="25" t="str">
        <f>IF($D1231="","",IFERROR(VLOOKUP($D1231,'SAMA Capital Tracker'!$A:$D,4,FALSE()),""))</f>
        <v/>
      </c>
      <c r="H1231" s="22"/>
    </row>
    <row r="1232" spans="1:8">
      <c r="A1232" s="21"/>
      <c r="B1232" s="22"/>
      <c r="C1232" s="22"/>
      <c r="D1232" s="22"/>
      <c r="E1232" s="23" t="str">
        <f>IF($D1232="","",IFERROR(VLOOKUP($D1232,'SAMA Capital Tracker'!$A:$H,8,FALSE()),""))</f>
        <v/>
      </c>
      <c r="F1232" s="24"/>
      <c r="G1232" s="25" t="str">
        <f>IF($D1232="","",IFERROR(VLOOKUP($D1232,'SAMA Capital Tracker'!$A:$D,4,FALSE()),""))</f>
        <v/>
      </c>
      <c r="H1232" s="22"/>
    </row>
    <row r="1233" spans="1:8">
      <c r="A1233" s="21"/>
      <c r="B1233" s="22"/>
      <c r="C1233" s="22"/>
      <c r="D1233" s="22"/>
      <c r="E1233" s="23" t="str">
        <f>IF($D1233="","",IFERROR(VLOOKUP($D1233,'SAMA Capital Tracker'!$A:$H,8,FALSE()),""))</f>
        <v/>
      </c>
      <c r="F1233" s="24"/>
      <c r="G1233" s="25" t="str">
        <f>IF($D1233="","",IFERROR(VLOOKUP($D1233,'SAMA Capital Tracker'!$A:$D,4,FALSE()),""))</f>
        <v/>
      </c>
      <c r="H1233" s="22"/>
    </row>
    <row r="1234" spans="1:8">
      <c r="A1234" s="21"/>
      <c r="B1234" s="22"/>
      <c r="C1234" s="22"/>
      <c r="D1234" s="22"/>
      <c r="E1234" s="23" t="str">
        <f>IF($D1234="","",IFERROR(VLOOKUP($D1234,'SAMA Capital Tracker'!$A:$H,8,FALSE()),""))</f>
        <v/>
      </c>
      <c r="F1234" s="24"/>
      <c r="G1234" s="25" t="str">
        <f>IF($D1234="","",IFERROR(VLOOKUP($D1234,'SAMA Capital Tracker'!$A:$D,4,FALSE()),""))</f>
        <v/>
      </c>
      <c r="H1234" s="22"/>
    </row>
    <row r="1235" spans="1:8">
      <c r="A1235" s="21"/>
      <c r="B1235" s="22"/>
      <c r="C1235" s="22"/>
      <c r="D1235" s="22"/>
      <c r="E1235" s="23" t="str">
        <f>IF($D1235="","",IFERROR(VLOOKUP($D1235,'SAMA Capital Tracker'!$A:$H,8,FALSE()),""))</f>
        <v/>
      </c>
      <c r="F1235" s="24"/>
      <c r="G1235" s="25" t="str">
        <f>IF($D1235="","",IFERROR(VLOOKUP($D1235,'SAMA Capital Tracker'!$A:$D,4,FALSE()),""))</f>
        <v/>
      </c>
      <c r="H1235" s="22"/>
    </row>
    <row r="1236" spans="1:8">
      <c r="A1236" s="21"/>
      <c r="B1236" s="22"/>
      <c r="C1236" s="22"/>
      <c r="D1236" s="22"/>
      <c r="E1236" s="23" t="str">
        <f>IF($D1236="","",IFERROR(VLOOKUP($D1236,'SAMA Capital Tracker'!$A:$H,8,FALSE()),""))</f>
        <v/>
      </c>
      <c r="F1236" s="24"/>
      <c r="G1236" s="25" t="str">
        <f>IF($D1236="","",IFERROR(VLOOKUP($D1236,'SAMA Capital Tracker'!$A:$D,4,FALSE()),""))</f>
        <v/>
      </c>
      <c r="H1236" s="22"/>
    </row>
    <row r="1237" spans="1:8">
      <c r="A1237" s="21"/>
      <c r="B1237" s="22"/>
      <c r="C1237" s="22"/>
      <c r="D1237" s="22"/>
      <c r="E1237" s="23" t="str">
        <f>IF($D1237="","",IFERROR(VLOOKUP($D1237,'SAMA Capital Tracker'!$A:$H,8,FALSE()),""))</f>
        <v/>
      </c>
      <c r="F1237" s="24"/>
      <c r="G1237" s="25" t="str">
        <f>IF($D1237="","",IFERROR(VLOOKUP($D1237,'SAMA Capital Tracker'!$A:$D,4,FALSE()),""))</f>
        <v/>
      </c>
      <c r="H1237" s="22"/>
    </row>
    <row r="1238" spans="1:8">
      <c r="A1238" s="21"/>
      <c r="B1238" s="22"/>
      <c r="C1238" s="22"/>
      <c r="D1238" s="22"/>
      <c r="E1238" s="23" t="str">
        <f>IF($D1238="","",IFERROR(VLOOKUP($D1238,'SAMA Capital Tracker'!$A:$H,8,FALSE()),""))</f>
        <v/>
      </c>
      <c r="F1238" s="24"/>
      <c r="G1238" s="25" t="str">
        <f>IF($D1238="","",IFERROR(VLOOKUP($D1238,'SAMA Capital Tracker'!$A:$D,4,FALSE()),""))</f>
        <v/>
      </c>
      <c r="H1238" s="22"/>
    </row>
    <row r="1239" spans="1:8">
      <c r="A1239" s="21"/>
      <c r="B1239" s="22"/>
      <c r="C1239" s="22"/>
      <c r="D1239" s="22"/>
      <c r="E1239" s="23" t="str">
        <f>IF($D1239="","",IFERROR(VLOOKUP($D1239,'SAMA Capital Tracker'!$A:$H,8,FALSE()),""))</f>
        <v/>
      </c>
      <c r="F1239" s="24"/>
      <c r="G1239" s="25" t="str">
        <f>IF($D1239="","",IFERROR(VLOOKUP($D1239,'SAMA Capital Tracker'!$A:$D,4,FALSE()),""))</f>
        <v/>
      </c>
      <c r="H1239" s="22"/>
    </row>
    <row r="1240" spans="1:8">
      <c r="A1240" s="21"/>
      <c r="B1240" s="22"/>
      <c r="C1240" s="22"/>
      <c r="D1240" s="22"/>
      <c r="E1240" s="23" t="str">
        <f>IF($D1240="","",IFERROR(VLOOKUP($D1240,'SAMA Capital Tracker'!$A:$H,8,FALSE()),""))</f>
        <v/>
      </c>
      <c r="F1240" s="24"/>
      <c r="G1240" s="25" t="str">
        <f>IF($D1240="","",IFERROR(VLOOKUP($D1240,'SAMA Capital Tracker'!$A:$D,4,FALSE()),""))</f>
        <v/>
      </c>
      <c r="H1240" s="22"/>
    </row>
    <row r="1241" spans="1:8">
      <c r="A1241" s="21"/>
      <c r="B1241" s="22"/>
      <c r="C1241" s="22"/>
      <c r="D1241" s="22"/>
      <c r="E1241" s="23" t="str">
        <f>IF($D1241="","",IFERROR(VLOOKUP($D1241,'SAMA Capital Tracker'!$A:$H,8,FALSE()),""))</f>
        <v/>
      </c>
      <c r="F1241" s="24"/>
      <c r="G1241" s="25" t="str">
        <f>IF($D1241="","",IFERROR(VLOOKUP($D1241,'SAMA Capital Tracker'!$A:$D,4,FALSE()),""))</f>
        <v/>
      </c>
      <c r="H1241" s="22"/>
    </row>
    <row r="1242" spans="1:8">
      <c r="A1242" s="21"/>
      <c r="B1242" s="22"/>
      <c r="C1242" s="22"/>
      <c r="D1242" s="22"/>
      <c r="E1242" s="23" t="str">
        <f>IF($D1242="","",IFERROR(VLOOKUP($D1242,'SAMA Capital Tracker'!$A:$H,8,FALSE()),""))</f>
        <v/>
      </c>
      <c r="F1242" s="24"/>
      <c r="G1242" s="25" t="str">
        <f>IF($D1242="","",IFERROR(VLOOKUP($D1242,'SAMA Capital Tracker'!$A:$D,4,FALSE()),""))</f>
        <v/>
      </c>
      <c r="H1242" s="22"/>
    </row>
    <row r="1243" spans="1:8">
      <c r="A1243" s="21"/>
      <c r="B1243" s="22"/>
      <c r="C1243" s="22"/>
      <c r="D1243" s="22"/>
      <c r="E1243" s="23" t="str">
        <f>IF($D1243="","",IFERROR(VLOOKUP($D1243,'SAMA Capital Tracker'!$A:$H,8,FALSE()),""))</f>
        <v/>
      </c>
      <c r="F1243" s="24"/>
      <c r="G1243" s="25" t="str">
        <f>IF($D1243="","",IFERROR(VLOOKUP($D1243,'SAMA Capital Tracker'!$A:$D,4,FALSE()),""))</f>
        <v/>
      </c>
      <c r="H1243" s="22"/>
    </row>
    <row r="1244" spans="1:8">
      <c r="A1244" s="21"/>
      <c r="B1244" s="22"/>
      <c r="C1244" s="22"/>
      <c r="D1244" s="22"/>
      <c r="E1244" s="23" t="str">
        <f>IF($D1244="","",IFERROR(VLOOKUP($D1244,'SAMA Capital Tracker'!$A:$H,8,FALSE()),""))</f>
        <v/>
      </c>
      <c r="F1244" s="24"/>
      <c r="G1244" s="25" t="str">
        <f>IF($D1244="","",IFERROR(VLOOKUP($D1244,'SAMA Capital Tracker'!$A:$D,4,FALSE()),""))</f>
        <v/>
      </c>
      <c r="H1244" s="22"/>
    </row>
    <row r="1245" spans="1:8">
      <c r="A1245" s="21"/>
      <c r="B1245" s="22"/>
      <c r="C1245" s="22"/>
      <c r="D1245" s="22"/>
      <c r="E1245" s="23" t="str">
        <f>IF($D1245="","",IFERROR(VLOOKUP($D1245,'SAMA Capital Tracker'!$A:$H,8,FALSE()),""))</f>
        <v/>
      </c>
      <c r="F1245" s="24"/>
      <c r="G1245" s="25" t="str">
        <f>IF($D1245="","",IFERROR(VLOOKUP($D1245,'SAMA Capital Tracker'!$A:$D,4,FALSE()),""))</f>
        <v/>
      </c>
      <c r="H1245" s="22"/>
    </row>
    <row r="1246" spans="1:8">
      <c r="A1246" s="21"/>
      <c r="B1246" s="22"/>
      <c r="C1246" s="22"/>
      <c r="D1246" s="22"/>
      <c r="E1246" s="23" t="str">
        <f>IF($D1246="","",IFERROR(VLOOKUP($D1246,'SAMA Capital Tracker'!$A:$H,8,FALSE()),""))</f>
        <v/>
      </c>
      <c r="F1246" s="24"/>
      <c r="G1246" s="25" t="str">
        <f>IF($D1246="","",IFERROR(VLOOKUP($D1246,'SAMA Capital Tracker'!$A:$D,4,FALSE()),""))</f>
        <v/>
      </c>
      <c r="H1246" s="22"/>
    </row>
    <row r="1247" spans="1:8">
      <c r="A1247" s="21"/>
      <c r="B1247" s="22"/>
      <c r="C1247" s="22"/>
      <c r="D1247" s="22"/>
      <c r="E1247" s="23" t="str">
        <f>IF($D1247="","",IFERROR(VLOOKUP($D1247,'SAMA Capital Tracker'!$A:$H,8,FALSE()),""))</f>
        <v/>
      </c>
      <c r="F1247" s="24"/>
      <c r="G1247" s="25" t="str">
        <f>IF($D1247="","",IFERROR(VLOOKUP($D1247,'SAMA Capital Tracker'!$A:$D,4,FALSE()),""))</f>
        <v/>
      </c>
      <c r="H1247" s="22"/>
    </row>
    <row r="1248" spans="1:8">
      <c r="A1248" s="21"/>
      <c r="B1248" s="22"/>
      <c r="C1248" s="22"/>
      <c r="D1248" s="22"/>
      <c r="E1248" s="23" t="str">
        <f>IF($D1248="","",IFERROR(VLOOKUP($D1248,'SAMA Capital Tracker'!$A:$H,8,FALSE()),""))</f>
        <v/>
      </c>
      <c r="F1248" s="24"/>
      <c r="G1248" s="25" t="str">
        <f>IF($D1248="","",IFERROR(VLOOKUP($D1248,'SAMA Capital Tracker'!$A:$D,4,FALSE()),""))</f>
        <v/>
      </c>
      <c r="H1248" s="22"/>
    </row>
    <row r="1249" spans="1:8">
      <c r="A1249" s="21"/>
      <c r="B1249" s="22"/>
      <c r="C1249" s="22"/>
      <c r="D1249" s="22"/>
      <c r="E1249" s="23" t="str">
        <f>IF($D1249="","",IFERROR(VLOOKUP($D1249,'SAMA Capital Tracker'!$A:$H,8,FALSE()),""))</f>
        <v/>
      </c>
      <c r="F1249" s="24"/>
      <c r="G1249" s="25" t="str">
        <f>IF($D1249="","",IFERROR(VLOOKUP($D1249,'SAMA Capital Tracker'!$A:$D,4,FALSE()),""))</f>
        <v/>
      </c>
      <c r="H1249" s="22"/>
    </row>
    <row r="1250" spans="1:8">
      <c r="A1250" s="21"/>
      <c r="B1250" s="22"/>
      <c r="C1250" s="22"/>
      <c r="D1250" s="22"/>
      <c r="E1250" s="23" t="str">
        <f>IF($D1250="","",IFERROR(VLOOKUP($D1250,'SAMA Capital Tracker'!$A:$H,8,FALSE()),""))</f>
        <v/>
      </c>
      <c r="F1250" s="24"/>
      <c r="G1250" s="25" t="str">
        <f>IF($D1250="","",IFERROR(VLOOKUP($D1250,'SAMA Capital Tracker'!$A:$D,4,FALSE()),""))</f>
        <v/>
      </c>
      <c r="H1250" s="22"/>
    </row>
    <row r="1251" spans="1:8">
      <c r="A1251" s="21"/>
      <c r="B1251" s="22"/>
      <c r="C1251" s="22"/>
      <c r="D1251" s="22"/>
      <c r="E1251" s="23" t="str">
        <f>IF($D1251="","",IFERROR(VLOOKUP($D1251,'SAMA Capital Tracker'!$A:$H,8,FALSE()),""))</f>
        <v/>
      </c>
      <c r="F1251" s="24"/>
      <c r="G1251" s="25" t="str">
        <f>IF($D1251="","",IFERROR(VLOOKUP($D1251,'SAMA Capital Tracker'!$A:$D,4,FALSE()),""))</f>
        <v/>
      </c>
      <c r="H1251" s="22"/>
    </row>
    <row r="1252" spans="1:8">
      <c r="A1252" s="21"/>
      <c r="B1252" s="22"/>
      <c r="C1252" s="22"/>
      <c r="D1252" s="22"/>
      <c r="E1252" s="23" t="str">
        <f>IF($D1252="","",IFERROR(VLOOKUP($D1252,'SAMA Capital Tracker'!$A:$H,8,FALSE()),""))</f>
        <v/>
      </c>
      <c r="F1252" s="24"/>
      <c r="G1252" s="25" t="str">
        <f>IF($D1252="","",IFERROR(VLOOKUP($D1252,'SAMA Capital Tracker'!$A:$D,4,FALSE()),""))</f>
        <v/>
      </c>
      <c r="H1252" s="22"/>
    </row>
    <row r="1253" spans="1:8">
      <c r="A1253" s="21"/>
      <c r="B1253" s="22"/>
      <c r="C1253" s="22"/>
      <c r="D1253" s="22"/>
      <c r="E1253" s="23" t="str">
        <f>IF($D1253="","",IFERROR(VLOOKUP($D1253,'SAMA Capital Tracker'!$A:$H,8,FALSE()),""))</f>
        <v/>
      </c>
      <c r="F1253" s="24"/>
      <c r="G1253" s="25" t="str">
        <f>IF($D1253="","",IFERROR(VLOOKUP($D1253,'SAMA Capital Tracker'!$A:$D,4,FALSE()),""))</f>
        <v/>
      </c>
      <c r="H1253" s="22"/>
    </row>
    <row r="1254" spans="1:8">
      <c r="A1254" s="21"/>
      <c r="B1254" s="22"/>
      <c r="C1254" s="22"/>
      <c r="D1254" s="22"/>
      <c r="E1254" s="23" t="str">
        <f>IF($D1254="","",IFERROR(VLOOKUP($D1254,'SAMA Capital Tracker'!$A:$H,8,FALSE()),""))</f>
        <v/>
      </c>
      <c r="F1254" s="24"/>
      <c r="G1254" s="25" t="str">
        <f>IF($D1254="","",IFERROR(VLOOKUP($D1254,'SAMA Capital Tracker'!$A:$D,4,FALSE()),""))</f>
        <v/>
      </c>
      <c r="H1254" s="22"/>
    </row>
    <row r="1255" spans="1:8">
      <c r="A1255" s="21"/>
      <c r="B1255" s="22"/>
      <c r="C1255" s="22"/>
      <c r="D1255" s="22"/>
      <c r="E1255" s="23" t="str">
        <f>IF($D1255="","",IFERROR(VLOOKUP($D1255,'SAMA Capital Tracker'!$A:$H,8,FALSE()),""))</f>
        <v/>
      </c>
      <c r="F1255" s="24"/>
      <c r="G1255" s="25" t="str">
        <f>IF($D1255="","",IFERROR(VLOOKUP($D1255,'SAMA Capital Tracker'!$A:$D,4,FALSE()),""))</f>
        <v/>
      </c>
      <c r="H1255" s="22"/>
    </row>
    <row r="1256" spans="1:8">
      <c r="A1256" s="21"/>
      <c r="B1256" s="22"/>
      <c r="C1256" s="22"/>
      <c r="D1256" s="22"/>
      <c r="E1256" s="23" t="str">
        <f>IF($D1256="","",IFERROR(VLOOKUP($D1256,'SAMA Capital Tracker'!$A:$H,8,FALSE()),""))</f>
        <v/>
      </c>
      <c r="F1256" s="24"/>
      <c r="G1256" s="25" t="str">
        <f>IF($D1256="","",IFERROR(VLOOKUP($D1256,'SAMA Capital Tracker'!$A:$D,4,FALSE()),""))</f>
        <v/>
      </c>
      <c r="H1256" s="22"/>
    </row>
    <row r="1257" spans="1:8">
      <c r="A1257" s="21"/>
      <c r="B1257" s="22"/>
      <c r="C1257" s="22"/>
      <c r="D1257" s="22"/>
      <c r="E1257" s="23" t="str">
        <f>IF($D1257="","",IFERROR(VLOOKUP($D1257,'SAMA Capital Tracker'!$A:$H,8,FALSE()),""))</f>
        <v/>
      </c>
      <c r="F1257" s="24"/>
      <c r="G1257" s="25" t="str">
        <f>IF($D1257="","",IFERROR(VLOOKUP($D1257,'SAMA Capital Tracker'!$A:$D,4,FALSE()),""))</f>
        <v/>
      </c>
      <c r="H1257" s="22"/>
    </row>
    <row r="1258" spans="1:8">
      <c r="A1258" s="21"/>
      <c r="B1258" s="22"/>
      <c r="C1258" s="22"/>
      <c r="D1258" s="22"/>
      <c r="E1258" s="23" t="str">
        <f>IF($D1258="","",IFERROR(VLOOKUP($D1258,'SAMA Capital Tracker'!$A:$H,8,FALSE()),""))</f>
        <v/>
      </c>
      <c r="F1258" s="24"/>
      <c r="G1258" s="25" t="str">
        <f>IF($D1258="","",IFERROR(VLOOKUP($D1258,'SAMA Capital Tracker'!$A:$D,4,FALSE()),""))</f>
        <v/>
      </c>
      <c r="H1258" s="22"/>
    </row>
    <row r="1259" spans="1:8">
      <c r="A1259" s="21"/>
      <c r="B1259" s="22"/>
      <c r="C1259" s="22"/>
      <c r="D1259" s="22"/>
      <c r="E1259" s="23" t="str">
        <f>IF($D1259="","",IFERROR(VLOOKUP($D1259,'SAMA Capital Tracker'!$A:$H,8,FALSE()),""))</f>
        <v/>
      </c>
      <c r="F1259" s="24"/>
      <c r="G1259" s="25" t="str">
        <f>IF($D1259="","",IFERROR(VLOOKUP($D1259,'SAMA Capital Tracker'!$A:$D,4,FALSE()),""))</f>
        <v/>
      </c>
      <c r="H1259" s="22"/>
    </row>
    <row r="1260" spans="1:8">
      <c r="A1260" s="21"/>
      <c r="B1260" s="22"/>
      <c r="C1260" s="22"/>
      <c r="D1260" s="22"/>
      <c r="E1260" s="23" t="str">
        <f>IF($D1260="","",IFERROR(VLOOKUP($D1260,'SAMA Capital Tracker'!$A:$H,8,FALSE()),""))</f>
        <v/>
      </c>
      <c r="F1260" s="24"/>
      <c r="G1260" s="25" t="str">
        <f>IF($D1260="","",IFERROR(VLOOKUP($D1260,'SAMA Capital Tracker'!$A:$D,4,FALSE()),""))</f>
        <v/>
      </c>
      <c r="H1260" s="22"/>
    </row>
    <row r="1261" spans="1:8">
      <c r="A1261" s="21"/>
      <c r="B1261" s="22"/>
      <c r="C1261" s="22"/>
      <c r="D1261" s="22"/>
      <c r="E1261" s="23" t="str">
        <f>IF($D1261="","",IFERROR(VLOOKUP($D1261,'SAMA Capital Tracker'!$A:$H,8,FALSE()),""))</f>
        <v/>
      </c>
      <c r="F1261" s="24"/>
      <c r="G1261" s="25" t="str">
        <f>IF($D1261="","",IFERROR(VLOOKUP($D1261,'SAMA Capital Tracker'!$A:$D,4,FALSE()),""))</f>
        <v/>
      </c>
      <c r="H1261" s="22"/>
    </row>
    <row r="1262" spans="1:8">
      <c r="A1262" s="21"/>
      <c r="B1262" s="22"/>
      <c r="C1262" s="22"/>
      <c r="D1262" s="22"/>
      <c r="E1262" s="23" t="str">
        <f>IF($D1262="","",IFERROR(VLOOKUP($D1262,'SAMA Capital Tracker'!$A:$H,8,FALSE()),""))</f>
        <v/>
      </c>
      <c r="F1262" s="24"/>
      <c r="G1262" s="25" t="str">
        <f>IF($D1262="","",IFERROR(VLOOKUP($D1262,'SAMA Capital Tracker'!$A:$D,4,FALSE()),""))</f>
        <v/>
      </c>
      <c r="H1262" s="22"/>
    </row>
    <row r="1263" spans="1:8">
      <c r="A1263" s="21"/>
      <c r="B1263" s="22"/>
      <c r="C1263" s="22"/>
      <c r="D1263" s="22"/>
      <c r="E1263" s="23" t="str">
        <f>IF($D1263="","",IFERROR(VLOOKUP($D1263,'SAMA Capital Tracker'!$A:$H,8,FALSE()),""))</f>
        <v/>
      </c>
      <c r="F1263" s="24"/>
      <c r="G1263" s="25" t="str">
        <f>IF($D1263="","",IFERROR(VLOOKUP($D1263,'SAMA Capital Tracker'!$A:$D,4,FALSE()),""))</f>
        <v/>
      </c>
      <c r="H1263" s="22"/>
    </row>
    <row r="1264" spans="1:8">
      <c r="A1264" s="21"/>
      <c r="B1264" s="22"/>
      <c r="C1264" s="22"/>
      <c r="D1264" s="22"/>
      <c r="E1264" s="23" t="str">
        <f>IF($D1264="","",IFERROR(VLOOKUP($D1264,'SAMA Capital Tracker'!$A:$H,8,FALSE()),""))</f>
        <v/>
      </c>
      <c r="F1264" s="24"/>
      <c r="G1264" s="25" t="str">
        <f>IF($D1264="","",IFERROR(VLOOKUP($D1264,'SAMA Capital Tracker'!$A:$D,4,FALSE()),""))</f>
        <v/>
      </c>
      <c r="H1264" s="22"/>
    </row>
    <row r="1265" spans="1:8">
      <c r="A1265" s="21"/>
      <c r="B1265" s="22"/>
      <c r="C1265" s="22"/>
      <c r="D1265" s="22"/>
      <c r="E1265" s="23" t="str">
        <f>IF($D1265="","",IFERROR(VLOOKUP($D1265,'SAMA Capital Tracker'!$A:$H,8,FALSE()),""))</f>
        <v/>
      </c>
      <c r="F1265" s="24"/>
      <c r="G1265" s="25" t="str">
        <f>IF($D1265="","",IFERROR(VLOOKUP($D1265,'SAMA Capital Tracker'!$A:$D,4,FALSE()),""))</f>
        <v/>
      </c>
      <c r="H1265" s="22"/>
    </row>
    <row r="1266" spans="1:8">
      <c r="A1266" s="21"/>
      <c r="B1266" s="22"/>
      <c r="C1266" s="22"/>
      <c r="D1266" s="22"/>
      <c r="E1266" s="23" t="str">
        <f>IF($D1266="","",IFERROR(VLOOKUP($D1266,'SAMA Capital Tracker'!$A:$H,8,FALSE()),""))</f>
        <v/>
      </c>
      <c r="F1266" s="24"/>
      <c r="G1266" s="25" t="str">
        <f>IF($D1266="","",IFERROR(VLOOKUP($D1266,'SAMA Capital Tracker'!$A:$D,4,FALSE()),""))</f>
        <v/>
      </c>
      <c r="H1266" s="22"/>
    </row>
    <row r="1267" spans="1:8">
      <c r="A1267" s="21"/>
      <c r="B1267" s="22"/>
      <c r="C1267" s="22"/>
      <c r="D1267" s="22"/>
      <c r="E1267" s="23" t="str">
        <f>IF($D1267="","",IFERROR(VLOOKUP($D1267,'SAMA Capital Tracker'!$A:$H,8,FALSE()),""))</f>
        <v/>
      </c>
      <c r="F1267" s="24"/>
      <c r="G1267" s="25" t="str">
        <f>IF($D1267="","",IFERROR(VLOOKUP($D1267,'SAMA Capital Tracker'!$A:$D,4,FALSE()),""))</f>
        <v/>
      </c>
      <c r="H1267" s="22"/>
    </row>
    <row r="1268" spans="1:8">
      <c r="A1268" s="21"/>
      <c r="B1268" s="22"/>
      <c r="C1268" s="22"/>
      <c r="D1268" s="22"/>
      <c r="E1268" s="23" t="str">
        <f>IF($D1268="","",IFERROR(VLOOKUP($D1268,'SAMA Capital Tracker'!$A:$H,8,FALSE()),""))</f>
        <v/>
      </c>
      <c r="F1268" s="24"/>
      <c r="G1268" s="25" t="str">
        <f>IF($D1268="","",IFERROR(VLOOKUP($D1268,'SAMA Capital Tracker'!$A:$D,4,FALSE()),""))</f>
        <v/>
      </c>
      <c r="H1268" s="22"/>
    </row>
    <row r="1269" spans="1:8">
      <c r="A1269" s="21"/>
      <c r="B1269" s="22"/>
      <c r="C1269" s="22"/>
      <c r="D1269" s="22"/>
      <c r="E1269" s="23" t="str">
        <f>IF($D1269="","",IFERROR(VLOOKUP($D1269,'SAMA Capital Tracker'!$A:$H,8,FALSE()),""))</f>
        <v/>
      </c>
      <c r="F1269" s="24"/>
      <c r="G1269" s="25" t="str">
        <f>IF($D1269="","",IFERROR(VLOOKUP($D1269,'SAMA Capital Tracker'!$A:$D,4,FALSE()),""))</f>
        <v/>
      </c>
      <c r="H1269" s="22"/>
    </row>
    <row r="1270" spans="1:8">
      <c r="A1270" s="21"/>
      <c r="B1270" s="22"/>
      <c r="C1270" s="22"/>
      <c r="D1270" s="22"/>
      <c r="E1270" s="23" t="str">
        <f>IF($D1270="","",IFERROR(VLOOKUP($D1270,'SAMA Capital Tracker'!$A:$H,8,FALSE()),""))</f>
        <v/>
      </c>
      <c r="F1270" s="24"/>
      <c r="G1270" s="25" t="str">
        <f>IF($D1270="","",IFERROR(VLOOKUP($D1270,'SAMA Capital Tracker'!$A:$D,4,FALSE()),""))</f>
        <v/>
      </c>
      <c r="H1270" s="22"/>
    </row>
    <row r="1271" spans="1:8">
      <c r="A1271" s="21"/>
      <c r="B1271" s="22"/>
      <c r="C1271" s="22"/>
      <c r="D1271" s="22"/>
      <c r="E1271" s="23" t="str">
        <f>IF($D1271="","",IFERROR(VLOOKUP($D1271,'SAMA Capital Tracker'!$A:$H,8,FALSE()),""))</f>
        <v/>
      </c>
      <c r="F1271" s="24"/>
      <c r="G1271" s="25" t="str">
        <f>IF($D1271="","",IFERROR(VLOOKUP($D1271,'SAMA Capital Tracker'!$A:$D,4,FALSE()),""))</f>
        <v/>
      </c>
      <c r="H1271" s="22"/>
    </row>
    <row r="1272" spans="1:8">
      <c r="A1272" s="21"/>
      <c r="B1272" s="22"/>
      <c r="C1272" s="22"/>
      <c r="D1272" s="22"/>
      <c r="E1272" s="23" t="str">
        <f>IF($D1272="","",IFERROR(VLOOKUP($D1272,'SAMA Capital Tracker'!$A:$H,8,FALSE()),""))</f>
        <v/>
      </c>
      <c r="F1272" s="24"/>
      <c r="G1272" s="25" t="str">
        <f>IF($D1272="","",IFERROR(VLOOKUP($D1272,'SAMA Capital Tracker'!$A:$D,4,FALSE()),""))</f>
        <v/>
      </c>
      <c r="H1272" s="22"/>
    </row>
    <row r="1273" spans="1:8">
      <c r="A1273" s="21"/>
      <c r="B1273" s="22"/>
      <c r="C1273" s="22"/>
      <c r="D1273" s="22"/>
      <c r="E1273" s="23" t="str">
        <f>IF($D1273="","",IFERROR(VLOOKUP($D1273,'SAMA Capital Tracker'!$A:$H,8,FALSE()),""))</f>
        <v/>
      </c>
      <c r="F1273" s="24"/>
      <c r="G1273" s="25" t="str">
        <f>IF($D1273="","",IFERROR(VLOOKUP($D1273,'SAMA Capital Tracker'!$A:$D,4,FALSE()),""))</f>
        <v/>
      </c>
      <c r="H1273" s="22"/>
    </row>
    <row r="1274" spans="1:8">
      <c r="A1274" s="21"/>
      <c r="B1274" s="22"/>
      <c r="C1274" s="22"/>
      <c r="D1274" s="22"/>
      <c r="E1274" s="23" t="str">
        <f>IF($D1274="","",IFERROR(VLOOKUP($D1274,'SAMA Capital Tracker'!$A:$H,8,FALSE()),""))</f>
        <v/>
      </c>
      <c r="F1274" s="24"/>
      <c r="G1274" s="25" t="str">
        <f>IF($D1274="","",IFERROR(VLOOKUP($D1274,'SAMA Capital Tracker'!$A:$D,4,FALSE()),""))</f>
        <v/>
      </c>
      <c r="H1274" s="22"/>
    </row>
    <row r="1275" spans="1:8">
      <c r="A1275" s="21"/>
      <c r="B1275" s="22"/>
      <c r="C1275" s="22"/>
      <c r="D1275" s="22"/>
      <c r="E1275" s="23" t="str">
        <f>IF($D1275="","",IFERROR(VLOOKUP($D1275,'SAMA Capital Tracker'!$A:$H,8,FALSE()),""))</f>
        <v/>
      </c>
      <c r="F1275" s="24"/>
      <c r="G1275" s="25" t="str">
        <f>IF($D1275="","",IFERROR(VLOOKUP($D1275,'SAMA Capital Tracker'!$A:$D,4,FALSE()),""))</f>
        <v/>
      </c>
      <c r="H1275" s="22"/>
    </row>
    <row r="1276" spans="1:8">
      <c r="A1276" s="21"/>
      <c r="B1276" s="22"/>
      <c r="C1276" s="22"/>
      <c r="D1276" s="22"/>
      <c r="E1276" s="23" t="str">
        <f>IF($D1276="","",IFERROR(VLOOKUP($D1276,'SAMA Capital Tracker'!$A:$H,8,FALSE()),""))</f>
        <v/>
      </c>
      <c r="F1276" s="24"/>
      <c r="G1276" s="25" t="str">
        <f>IF($D1276="","",IFERROR(VLOOKUP($D1276,'SAMA Capital Tracker'!$A:$D,4,FALSE()),""))</f>
        <v/>
      </c>
      <c r="H1276" s="22"/>
    </row>
    <row r="1277" spans="1:8">
      <c r="A1277" s="21"/>
      <c r="B1277" s="22"/>
      <c r="C1277" s="22"/>
      <c r="D1277" s="22"/>
      <c r="E1277" s="23" t="str">
        <f>IF($D1277="","",IFERROR(VLOOKUP($D1277,'SAMA Capital Tracker'!$A:$H,8,FALSE()),""))</f>
        <v/>
      </c>
      <c r="F1277" s="24"/>
      <c r="G1277" s="25" t="str">
        <f>IF($D1277="","",IFERROR(VLOOKUP($D1277,'SAMA Capital Tracker'!$A:$D,4,FALSE()),""))</f>
        <v/>
      </c>
      <c r="H1277" s="22"/>
    </row>
    <row r="1278" spans="1:8">
      <c r="A1278" s="21"/>
      <c r="B1278" s="22"/>
      <c r="C1278" s="22"/>
      <c r="D1278" s="22"/>
      <c r="E1278" s="23" t="str">
        <f>IF($D1278="","",IFERROR(VLOOKUP($D1278,'SAMA Capital Tracker'!$A:$H,8,FALSE()),""))</f>
        <v/>
      </c>
      <c r="F1278" s="24"/>
      <c r="G1278" s="25" t="str">
        <f>IF($D1278="","",IFERROR(VLOOKUP($D1278,'SAMA Capital Tracker'!$A:$D,4,FALSE()),""))</f>
        <v/>
      </c>
      <c r="H1278" s="22"/>
    </row>
    <row r="1279" spans="1:8">
      <c r="A1279" s="21"/>
      <c r="B1279" s="22"/>
      <c r="C1279" s="22"/>
      <c r="D1279" s="22"/>
      <c r="E1279" s="23" t="str">
        <f>IF($D1279="","",IFERROR(VLOOKUP($D1279,'SAMA Capital Tracker'!$A:$H,8,FALSE()),""))</f>
        <v/>
      </c>
      <c r="F1279" s="24"/>
      <c r="G1279" s="25" t="str">
        <f>IF($D1279="","",IFERROR(VLOOKUP($D1279,'SAMA Capital Tracker'!$A:$D,4,FALSE()),""))</f>
        <v/>
      </c>
      <c r="H1279" s="22"/>
    </row>
    <row r="1280" spans="1:8">
      <c r="A1280" s="21"/>
      <c r="B1280" s="22"/>
      <c r="C1280" s="22"/>
      <c r="D1280" s="22"/>
      <c r="E1280" s="23" t="str">
        <f>IF($D1280="","",IFERROR(VLOOKUP($D1280,'SAMA Capital Tracker'!$A:$H,8,FALSE()),""))</f>
        <v/>
      </c>
      <c r="F1280" s="24"/>
      <c r="G1280" s="25" t="str">
        <f>IF($D1280="","",IFERROR(VLOOKUP($D1280,'SAMA Capital Tracker'!$A:$D,4,FALSE()),""))</f>
        <v/>
      </c>
      <c r="H1280" s="22"/>
    </row>
    <row r="1281" spans="1:8">
      <c r="A1281" s="21"/>
      <c r="B1281" s="22"/>
      <c r="C1281" s="22"/>
      <c r="D1281" s="22"/>
      <c r="E1281" s="23" t="str">
        <f>IF($D1281="","",IFERROR(VLOOKUP($D1281,'SAMA Capital Tracker'!$A:$H,8,FALSE()),""))</f>
        <v/>
      </c>
      <c r="F1281" s="24"/>
      <c r="G1281" s="25" t="str">
        <f>IF($D1281="","",IFERROR(VLOOKUP($D1281,'SAMA Capital Tracker'!$A:$D,4,FALSE()),""))</f>
        <v/>
      </c>
      <c r="H1281" s="22"/>
    </row>
    <row r="1282" spans="1:8">
      <c r="A1282" s="21"/>
      <c r="B1282" s="22"/>
      <c r="C1282" s="22"/>
      <c r="D1282" s="22"/>
      <c r="E1282" s="23" t="str">
        <f>IF($D1282="","",IFERROR(VLOOKUP($D1282,'SAMA Capital Tracker'!$A:$H,8,FALSE()),""))</f>
        <v/>
      </c>
      <c r="F1282" s="24"/>
      <c r="G1282" s="25" t="str">
        <f>IF($D1282="","",IFERROR(VLOOKUP($D1282,'SAMA Capital Tracker'!$A:$D,4,FALSE()),""))</f>
        <v/>
      </c>
      <c r="H1282" s="22"/>
    </row>
    <row r="1283" spans="1:8">
      <c r="A1283" s="21"/>
      <c r="B1283" s="22"/>
      <c r="C1283" s="22"/>
      <c r="D1283" s="22"/>
      <c r="E1283" s="23" t="str">
        <f>IF($D1283="","",IFERROR(VLOOKUP($D1283,'SAMA Capital Tracker'!$A:$H,8,FALSE()),""))</f>
        <v/>
      </c>
      <c r="F1283" s="24"/>
      <c r="G1283" s="25" t="str">
        <f>IF($D1283="","",IFERROR(VLOOKUP($D1283,'SAMA Capital Tracker'!$A:$D,4,FALSE()),""))</f>
        <v/>
      </c>
      <c r="H1283" s="22"/>
    </row>
    <row r="1284" spans="1:8">
      <c r="A1284" s="21"/>
      <c r="B1284" s="22"/>
      <c r="C1284" s="22"/>
      <c r="D1284" s="22"/>
      <c r="E1284" s="23" t="str">
        <f>IF($D1284="","",IFERROR(VLOOKUP($D1284,'SAMA Capital Tracker'!$A:$H,8,FALSE()),""))</f>
        <v/>
      </c>
      <c r="F1284" s="24"/>
      <c r="G1284" s="25" t="str">
        <f>IF($D1284="","",IFERROR(VLOOKUP($D1284,'SAMA Capital Tracker'!$A:$D,4,FALSE()),""))</f>
        <v/>
      </c>
      <c r="H1284" s="22"/>
    </row>
    <row r="1285" spans="1:8">
      <c r="A1285" s="21"/>
      <c r="B1285" s="22"/>
      <c r="C1285" s="22"/>
      <c r="D1285" s="22"/>
      <c r="E1285" s="23" t="str">
        <f>IF($D1285="","",IFERROR(VLOOKUP($D1285,'SAMA Capital Tracker'!$A:$H,8,FALSE()),""))</f>
        <v/>
      </c>
      <c r="F1285" s="24"/>
      <c r="G1285" s="25" t="str">
        <f>IF($D1285="","",IFERROR(VLOOKUP($D1285,'SAMA Capital Tracker'!$A:$D,4,FALSE()),""))</f>
        <v/>
      </c>
      <c r="H1285" s="22"/>
    </row>
    <row r="1286" spans="1:8">
      <c r="A1286" s="21"/>
      <c r="B1286" s="22"/>
      <c r="C1286" s="22"/>
      <c r="D1286" s="22"/>
      <c r="E1286" s="23" t="str">
        <f>IF($D1286="","",IFERROR(VLOOKUP($D1286,'SAMA Capital Tracker'!$A:$H,8,FALSE()),""))</f>
        <v/>
      </c>
      <c r="F1286" s="24"/>
      <c r="G1286" s="25" t="str">
        <f>IF($D1286="","",IFERROR(VLOOKUP($D1286,'SAMA Capital Tracker'!$A:$D,4,FALSE()),""))</f>
        <v/>
      </c>
      <c r="H1286" s="22"/>
    </row>
    <row r="1287" spans="1:8">
      <c r="A1287" s="21"/>
      <c r="B1287" s="22"/>
      <c r="C1287" s="22"/>
      <c r="D1287" s="22"/>
      <c r="E1287" s="23" t="str">
        <f>IF($D1287="","",IFERROR(VLOOKUP($D1287,'SAMA Capital Tracker'!$A:$H,8,FALSE()),""))</f>
        <v/>
      </c>
      <c r="F1287" s="24"/>
      <c r="G1287" s="25" t="str">
        <f>IF($D1287="","",IFERROR(VLOOKUP($D1287,'SAMA Capital Tracker'!$A:$D,4,FALSE()),""))</f>
        <v/>
      </c>
      <c r="H1287" s="22"/>
    </row>
    <row r="1288" spans="1:8">
      <c r="A1288" s="21"/>
      <c r="B1288" s="22"/>
      <c r="C1288" s="22"/>
      <c r="D1288" s="22"/>
      <c r="E1288" s="23" t="str">
        <f>IF($D1288="","",IFERROR(VLOOKUP($D1288,'SAMA Capital Tracker'!$A:$H,8,FALSE()),""))</f>
        <v/>
      </c>
      <c r="F1288" s="24"/>
      <c r="G1288" s="25" t="str">
        <f>IF($D1288="","",IFERROR(VLOOKUP($D1288,'SAMA Capital Tracker'!$A:$D,4,FALSE()),""))</f>
        <v/>
      </c>
      <c r="H1288" s="22"/>
    </row>
    <row r="1289" spans="1:8">
      <c r="A1289" s="21"/>
      <c r="B1289" s="22"/>
      <c r="C1289" s="22"/>
      <c r="D1289" s="22"/>
      <c r="E1289" s="23" t="str">
        <f>IF($D1289="","",IFERROR(VLOOKUP($D1289,'SAMA Capital Tracker'!$A:$H,8,FALSE()),""))</f>
        <v/>
      </c>
      <c r="F1289" s="24"/>
      <c r="G1289" s="25" t="str">
        <f>IF($D1289="","",IFERROR(VLOOKUP($D1289,'SAMA Capital Tracker'!$A:$D,4,FALSE()),""))</f>
        <v/>
      </c>
      <c r="H1289" s="22"/>
    </row>
    <row r="1290" spans="1:8">
      <c r="A1290" s="21"/>
      <c r="B1290" s="22"/>
      <c r="C1290" s="22"/>
      <c r="D1290" s="22"/>
      <c r="E1290" s="23" t="str">
        <f>IF($D1290="","",IFERROR(VLOOKUP($D1290,'SAMA Capital Tracker'!$A:$H,8,FALSE()),""))</f>
        <v/>
      </c>
      <c r="F1290" s="24"/>
      <c r="G1290" s="25" t="str">
        <f>IF($D1290="","",IFERROR(VLOOKUP($D1290,'SAMA Capital Tracker'!$A:$D,4,FALSE()),""))</f>
        <v/>
      </c>
      <c r="H1290" s="22"/>
    </row>
    <row r="1291" spans="1:8">
      <c r="A1291" s="21"/>
      <c r="B1291" s="22"/>
      <c r="C1291" s="22"/>
      <c r="D1291" s="22"/>
      <c r="E1291" s="23" t="str">
        <f>IF($D1291="","",IFERROR(VLOOKUP($D1291,'SAMA Capital Tracker'!$A:$H,8,FALSE()),""))</f>
        <v/>
      </c>
      <c r="F1291" s="24"/>
      <c r="G1291" s="25" t="str">
        <f>IF($D1291="","",IFERROR(VLOOKUP($D1291,'SAMA Capital Tracker'!$A:$D,4,FALSE()),""))</f>
        <v/>
      </c>
      <c r="H1291" s="22"/>
    </row>
    <row r="1292" spans="1:8">
      <c r="A1292" s="21"/>
      <c r="B1292" s="22"/>
      <c r="C1292" s="22"/>
      <c r="D1292" s="22"/>
      <c r="E1292" s="23" t="str">
        <f>IF($D1292="","",IFERROR(VLOOKUP($D1292,'SAMA Capital Tracker'!$A:$H,8,FALSE()),""))</f>
        <v/>
      </c>
      <c r="F1292" s="24"/>
      <c r="G1292" s="25" t="str">
        <f>IF($D1292="","",IFERROR(VLOOKUP($D1292,'SAMA Capital Tracker'!$A:$D,4,FALSE()),""))</f>
        <v/>
      </c>
      <c r="H1292" s="22"/>
    </row>
    <row r="1293" spans="1:8">
      <c r="A1293" s="21"/>
      <c r="B1293" s="22"/>
      <c r="C1293" s="22"/>
      <c r="D1293" s="22"/>
      <c r="E1293" s="23" t="str">
        <f>IF($D1293="","",IFERROR(VLOOKUP($D1293,'SAMA Capital Tracker'!$A:$H,8,FALSE()),""))</f>
        <v/>
      </c>
      <c r="F1293" s="24"/>
      <c r="G1293" s="25" t="str">
        <f>IF($D1293="","",IFERROR(VLOOKUP($D1293,'SAMA Capital Tracker'!$A:$D,4,FALSE()),""))</f>
        <v/>
      </c>
      <c r="H1293" s="22"/>
    </row>
    <row r="1294" spans="1:8">
      <c r="A1294" s="21"/>
      <c r="B1294" s="22"/>
      <c r="C1294" s="22"/>
      <c r="D1294" s="22"/>
      <c r="E1294" s="23" t="str">
        <f>IF($D1294="","",IFERROR(VLOOKUP($D1294,'SAMA Capital Tracker'!$A:$H,8,FALSE()),""))</f>
        <v/>
      </c>
      <c r="F1294" s="24"/>
      <c r="G1294" s="25" t="str">
        <f>IF($D1294="","",IFERROR(VLOOKUP($D1294,'SAMA Capital Tracker'!$A:$D,4,FALSE()),""))</f>
        <v/>
      </c>
      <c r="H1294" s="22"/>
    </row>
    <row r="1295" spans="1:8">
      <c r="A1295" s="21"/>
      <c r="B1295" s="22"/>
      <c r="C1295" s="22"/>
      <c r="D1295" s="22"/>
      <c r="E1295" s="23" t="str">
        <f>IF($D1295="","",IFERROR(VLOOKUP($D1295,'SAMA Capital Tracker'!$A:$H,8,FALSE()),""))</f>
        <v/>
      </c>
      <c r="F1295" s="24"/>
      <c r="G1295" s="25" t="str">
        <f>IF($D1295="","",IFERROR(VLOOKUP($D1295,'SAMA Capital Tracker'!$A:$D,4,FALSE()),""))</f>
        <v/>
      </c>
      <c r="H1295" s="22"/>
    </row>
    <row r="1296" spans="1:8">
      <c r="A1296" s="21"/>
      <c r="B1296" s="22"/>
      <c r="C1296" s="22"/>
      <c r="D1296" s="22"/>
      <c r="E1296" s="23" t="str">
        <f>IF($D1296="","",IFERROR(VLOOKUP($D1296,'SAMA Capital Tracker'!$A:$H,8,FALSE()),""))</f>
        <v/>
      </c>
      <c r="F1296" s="24"/>
      <c r="G1296" s="25" t="str">
        <f>IF($D1296="","",IFERROR(VLOOKUP($D1296,'SAMA Capital Tracker'!$A:$D,4,FALSE()),""))</f>
        <v/>
      </c>
      <c r="H1296" s="22"/>
    </row>
    <row r="1297" spans="1:8">
      <c r="A1297" s="21"/>
      <c r="B1297" s="22"/>
      <c r="C1297" s="22"/>
      <c r="D1297" s="22"/>
      <c r="E1297" s="23" t="str">
        <f>IF($D1297="","",IFERROR(VLOOKUP($D1297,'SAMA Capital Tracker'!$A:$H,8,FALSE()),""))</f>
        <v/>
      </c>
      <c r="F1297" s="24"/>
      <c r="G1297" s="25" t="str">
        <f>IF($D1297="","",IFERROR(VLOOKUP($D1297,'SAMA Capital Tracker'!$A:$D,4,FALSE()),""))</f>
        <v/>
      </c>
      <c r="H1297" s="22"/>
    </row>
    <row r="1298" spans="1:8">
      <c r="A1298" s="21"/>
      <c r="B1298" s="22"/>
      <c r="C1298" s="22"/>
      <c r="D1298" s="22"/>
      <c r="E1298" s="23" t="str">
        <f>IF($D1298="","",IFERROR(VLOOKUP($D1298,'SAMA Capital Tracker'!$A:$H,8,FALSE()),""))</f>
        <v/>
      </c>
      <c r="F1298" s="24"/>
      <c r="G1298" s="25" t="str">
        <f>IF($D1298="","",IFERROR(VLOOKUP($D1298,'SAMA Capital Tracker'!$A:$D,4,FALSE()),""))</f>
        <v/>
      </c>
      <c r="H1298" s="22"/>
    </row>
    <row r="1299" spans="1:8">
      <c r="A1299" s="21"/>
      <c r="B1299" s="22"/>
      <c r="C1299" s="22"/>
      <c r="D1299" s="22"/>
      <c r="E1299" s="23" t="str">
        <f>IF($D1299="","",IFERROR(VLOOKUP($D1299,'SAMA Capital Tracker'!$A:$H,8,FALSE()),""))</f>
        <v/>
      </c>
      <c r="F1299" s="24"/>
      <c r="G1299" s="25" t="str">
        <f>IF($D1299="","",IFERROR(VLOOKUP($D1299,'SAMA Capital Tracker'!$A:$D,4,FALSE()),""))</f>
        <v/>
      </c>
      <c r="H1299" s="22"/>
    </row>
    <row r="1300" spans="1:8">
      <c r="A1300" s="21"/>
      <c r="B1300" s="22"/>
      <c r="C1300" s="22"/>
      <c r="D1300" s="22"/>
      <c r="E1300" s="23" t="str">
        <f>IF($D1300="","",IFERROR(VLOOKUP($D1300,'SAMA Capital Tracker'!$A:$H,8,FALSE()),""))</f>
        <v/>
      </c>
      <c r="F1300" s="24"/>
      <c r="G1300" s="25" t="str">
        <f>IF($D1300="","",IFERROR(VLOOKUP($D1300,'SAMA Capital Tracker'!$A:$D,4,FALSE()),""))</f>
        <v/>
      </c>
      <c r="H1300" s="22"/>
    </row>
    <row r="1301" spans="1:8">
      <c r="A1301" s="21"/>
      <c r="B1301" s="22"/>
      <c r="C1301" s="22"/>
      <c r="D1301" s="22"/>
      <c r="E1301" s="23" t="str">
        <f>IF($D1301="","",IFERROR(VLOOKUP($D1301,'SAMA Capital Tracker'!$A:$H,8,FALSE()),""))</f>
        <v/>
      </c>
      <c r="F1301" s="24"/>
      <c r="G1301" s="25" t="str">
        <f>IF($D1301="","",IFERROR(VLOOKUP($D1301,'SAMA Capital Tracker'!$A:$D,4,FALSE()),""))</f>
        <v/>
      </c>
      <c r="H1301" s="22"/>
    </row>
    <row r="1302" spans="1:8">
      <c r="A1302" s="21"/>
      <c r="B1302" s="22"/>
      <c r="C1302" s="22"/>
      <c r="D1302" s="22"/>
      <c r="E1302" s="23" t="str">
        <f>IF($D1302="","",IFERROR(VLOOKUP($D1302,'SAMA Capital Tracker'!$A:$H,8,FALSE()),""))</f>
        <v/>
      </c>
      <c r="F1302" s="24"/>
      <c r="G1302" s="25" t="str">
        <f>IF($D1302="","",IFERROR(VLOOKUP($D1302,'SAMA Capital Tracker'!$A:$D,4,FALSE()),""))</f>
        <v/>
      </c>
      <c r="H1302" s="22"/>
    </row>
    <row r="1303" spans="1:8">
      <c r="A1303" s="21"/>
      <c r="B1303" s="22"/>
      <c r="C1303" s="22"/>
      <c r="D1303" s="22"/>
      <c r="E1303" s="23" t="str">
        <f>IF($D1303="","",IFERROR(VLOOKUP($D1303,'SAMA Capital Tracker'!$A:$H,8,FALSE()),""))</f>
        <v/>
      </c>
      <c r="F1303" s="24"/>
      <c r="G1303" s="25" t="str">
        <f>IF($D1303="","",IFERROR(VLOOKUP($D1303,'SAMA Capital Tracker'!$A:$D,4,FALSE()),""))</f>
        <v/>
      </c>
      <c r="H1303" s="22"/>
    </row>
    <row r="1304" spans="1:8">
      <c r="A1304" s="21"/>
      <c r="B1304" s="22"/>
      <c r="C1304" s="22"/>
      <c r="D1304" s="22"/>
      <c r="E1304" s="23" t="str">
        <f>IF($D1304="","",IFERROR(VLOOKUP($D1304,'SAMA Capital Tracker'!$A:$H,8,FALSE()),""))</f>
        <v/>
      </c>
      <c r="F1304" s="24"/>
      <c r="G1304" s="25" t="str">
        <f>IF($D1304="","",IFERROR(VLOOKUP($D1304,'SAMA Capital Tracker'!$A:$D,4,FALSE()),""))</f>
        <v/>
      </c>
      <c r="H1304" s="22"/>
    </row>
    <row r="1305" spans="1:8">
      <c r="A1305" s="21"/>
      <c r="B1305" s="22"/>
      <c r="C1305" s="22"/>
      <c r="D1305" s="22"/>
      <c r="E1305" s="23" t="str">
        <f>IF($D1305="","",IFERROR(VLOOKUP($D1305,'SAMA Capital Tracker'!$A:$H,8,FALSE()),""))</f>
        <v/>
      </c>
      <c r="F1305" s="24"/>
      <c r="G1305" s="25" t="str">
        <f>IF($D1305="","",IFERROR(VLOOKUP($D1305,'SAMA Capital Tracker'!$A:$D,4,FALSE()),""))</f>
        <v/>
      </c>
      <c r="H1305" s="22"/>
    </row>
    <row r="1306" spans="1:8">
      <c r="A1306" s="21"/>
      <c r="B1306" s="22"/>
      <c r="C1306" s="22"/>
      <c r="D1306" s="22"/>
      <c r="E1306" s="23" t="str">
        <f>IF($D1306="","",IFERROR(VLOOKUP($D1306,'SAMA Capital Tracker'!$A:$H,8,FALSE()),""))</f>
        <v/>
      </c>
      <c r="F1306" s="24"/>
      <c r="G1306" s="25" t="str">
        <f>IF($D1306="","",IFERROR(VLOOKUP($D1306,'SAMA Capital Tracker'!$A:$D,4,FALSE()),""))</f>
        <v/>
      </c>
      <c r="H1306" s="22"/>
    </row>
    <row r="1307" spans="1:8">
      <c r="A1307" s="21"/>
      <c r="B1307" s="22"/>
      <c r="C1307" s="22"/>
      <c r="D1307" s="22"/>
      <c r="E1307" s="23" t="str">
        <f>IF($D1307="","",IFERROR(VLOOKUP($D1307,'SAMA Capital Tracker'!$A:$H,8,FALSE()),""))</f>
        <v/>
      </c>
      <c r="F1307" s="24"/>
      <c r="G1307" s="25" t="str">
        <f>IF($D1307="","",IFERROR(VLOOKUP($D1307,'SAMA Capital Tracker'!$A:$D,4,FALSE()),""))</f>
        <v/>
      </c>
      <c r="H1307" s="22"/>
    </row>
    <row r="1308" spans="1:8">
      <c r="A1308" s="21"/>
      <c r="B1308" s="22"/>
      <c r="C1308" s="22"/>
      <c r="D1308" s="22"/>
      <c r="E1308" s="23" t="str">
        <f>IF($D1308="","",IFERROR(VLOOKUP($D1308,'SAMA Capital Tracker'!$A:$H,8,FALSE()),""))</f>
        <v/>
      </c>
      <c r="F1308" s="24"/>
      <c r="G1308" s="25" t="str">
        <f>IF($D1308="","",IFERROR(VLOOKUP($D1308,'SAMA Capital Tracker'!$A:$D,4,FALSE()),""))</f>
        <v/>
      </c>
      <c r="H1308" s="22"/>
    </row>
    <row r="1309" spans="1:8">
      <c r="A1309" s="21"/>
      <c r="B1309" s="22"/>
      <c r="C1309" s="22"/>
      <c r="D1309" s="22"/>
      <c r="E1309" s="23" t="str">
        <f>IF($D1309="","",IFERROR(VLOOKUP($D1309,'SAMA Capital Tracker'!$A:$H,8,FALSE()),""))</f>
        <v/>
      </c>
      <c r="F1309" s="24"/>
      <c r="G1309" s="25" t="str">
        <f>IF($D1309="","",IFERROR(VLOOKUP($D1309,'SAMA Capital Tracker'!$A:$D,4,FALSE()),""))</f>
        <v/>
      </c>
      <c r="H1309" s="22"/>
    </row>
    <row r="1310" spans="1:8">
      <c r="A1310" s="21"/>
      <c r="B1310" s="22"/>
      <c r="C1310" s="22"/>
      <c r="D1310" s="22"/>
      <c r="E1310" s="23" t="str">
        <f>IF($D1310="","",IFERROR(VLOOKUP($D1310,'SAMA Capital Tracker'!$A:$H,8,FALSE()),""))</f>
        <v/>
      </c>
      <c r="F1310" s="24"/>
      <c r="G1310" s="25" t="str">
        <f>IF($D1310="","",IFERROR(VLOOKUP($D1310,'SAMA Capital Tracker'!$A:$D,4,FALSE()),""))</f>
        <v/>
      </c>
      <c r="H1310" s="22"/>
    </row>
    <row r="1311" spans="1:8">
      <c r="A1311" s="21"/>
      <c r="B1311" s="22"/>
      <c r="C1311" s="22"/>
      <c r="D1311" s="22"/>
      <c r="E1311" s="23" t="str">
        <f>IF($D1311="","",IFERROR(VLOOKUP($D1311,'SAMA Capital Tracker'!$A:$H,8,FALSE()),""))</f>
        <v/>
      </c>
      <c r="F1311" s="24"/>
      <c r="G1311" s="25" t="str">
        <f>IF($D1311="","",IFERROR(VLOOKUP($D1311,'SAMA Capital Tracker'!$A:$D,4,FALSE()),""))</f>
        <v/>
      </c>
      <c r="H1311" s="22"/>
    </row>
    <row r="1312" spans="1:8">
      <c r="A1312" s="21"/>
      <c r="B1312" s="22"/>
      <c r="C1312" s="22"/>
      <c r="D1312" s="22"/>
      <c r="E1312" s="23" t="str">
        <f>IF($D1312="","",IFERROR(VLOOKUP($D1312,'SAMA Capital Tracker'!$A:$H,8,FALSE()),""))</f>
        <v/>
      </c>
      <c r="F1312" s="24"/>
      <c r="G1312" s="25" t="str">
        <f>IF($D1312="","",IFERROR(VLOOKUP($D1312,'SAMA Capital Tracker'!$A:$D,4,FALSE()),""))</f>
        <v/>
      </c>
      <c r="H1312" s="22"/>
    </row>
    <row r="1313" spans="1:8">
      <c r="A1313" s="21"/>
      <c r="B1313" s="22"/>
      <c r="C1313" s="22"/>
      <c r="D1313" s="22"/>
      <c r="E1313" s="23" t="str">
        <f>IF($D1313="","",IFERROR(VLOOKUP($D1313,'SAMA Capital Tracker'!$A:$H,8,FALSE()),""))</f>
        <v/>
      </c>
      <c r="F1313" s="24"/>
      <c r="G1313" s="25" t="str">
        <f>IF($D1313="","",IFERROR(VLOOKUP($D1313,'SAMA Capital Tracker'!$A:$D,4,FALSE()),""))</f>
        <v/>
      </c>
      <c r="H1313" s="22"/>
    </row>
    <row r="1314" spans="1:8">
      <c r="A1314" s="21"/>
      <c r="B1314" s="22"/>
      <c r="C1314" s="22"/>
      <c r="D1314" s="22"/>
      <c r="E1314" s="23" t="str">
        <f>IF($D1314="","",IFERROR(VLOOKUP($D1314,'SAMA Capital Tracker'!$A:$H,8,FALSE()),""))</f>
        <v/>
      </c>
      <c r="F1314" s="24"/>
      <c r="G1314" s="25" t="str">
        <f>IF($D1314="","",IFERROR(VLOOKUP($D1314,'SAMA Capital Tracker'!$A:$D,4,FALSE()),""))</f>
        <v/>
      </c>
      <c r="H1314" s="22"/>
    </row>
    <row r="1315" spans="1:8">
      <c r="A1315" s="21"/>
      <c r="B1315" s="22"/>
      <c r="C1315" s="22"/>
      <c r="D1315" s="22"/>
      <c r="E1315" s="23" t="str">
        <f>IF($D1315="","",IFERROR(VLOOKUP($D1315,'SAMA Capital Tracker'!$A:$H,8,FALSE()),""))</f>
        <v/>
      </c>
      <c r="F1315" s="24"/>
      <c r="G1315" s="25" t="str">
        <f>IF($D1315="","",IFERROR(VLOOKUP($D1315,'SAMA Capital Tracker'!$A:$D,4,FALSE()),""))</f>
        <v/>
      </c>
      <c r="H1315" s="22"/>
    </row>
    <row r="1316" spans="1:8">
      <c r="A1316" s="21"/>
      <c r="B1316" s="22"/>
      <c r="C1316" s="22"/>
      <c r="D1316" s="22"/>
      <c r="E1316" s="23" t="str">
        <f>IF($D1316="","",IFERROR(VLOOKUP($D1316,'SAMA Capital Tracker'!$A:$H,8,FALSE()),""))</f>
        <v/>
      </c>
      <c r="F1316" s="24"/>
      <c r="G1316" s="25" t="str">
        <f>IF($D1316="","",IFERROR(VLOOKUP($D1316,'SAMA Capital Tracker'!$A:$D,4,FALSE()),""))</f>
        <v/>
      </c>
      <c r="H1316" s="22"/>
    </row>
    <row r="1317" spans="1:8">
      <c r="A1317" s="21"/>
      <c r="B1317" s="22"/>
      <c r="C1317" s="22"/>
      <c r="D1317" s="22"/>
      <c r="E1317" s="23" t="str">
        <f>IF($D1317="","",IFERROR(VLOOKUP($D1317,'SAMA Capital Tracker'!$A:$H,8,FALSE()),""))</f>
        <v/>
      </c>
      <c r="F1317" s="24"/>
      <c r="G1317" s="25" t="str">
        <f>IF($D1317="","",IFERROR(VLOOKUP($D1317,'SAMA Capital Tracker'!$A:$D,4,FALSE()),""))</f>
        <v/>
      </c>
      <c r="H1317" s="22"/>
    </row>
    <row r="1318" spans="1:8">
      <c r="A1318" s="21"/>
      <c r="B1318" s="22"/>
      <c r="C1318" s="22"/>
      <c r="D1318" s="22"/>
      <c r="E1318" s="23" t="str">
        <f>IF($D1318="","",IFERROR(VLOOKUP($D1318,'SAMA Capital Tracker'!$A:$H,8,FALSE()),""))</f>
        <v/>
      </c>
      <c r="F1318" s="24"/>
      <c r="G1318" s="25" t="str">
        <f>IF($D1318="","",IFERROR(VLOOKUP($D1318,'SAMA Capital Tracker'!$A:$D,4,FALSE()),""))</f>
        <v/>
      </c>
      <c r="H1318" s="22"/>
    </row>
    <row r="1319" spans="1:8">
      <c r="A1319" s="21"/>
      <c r="B1319" s="22"/>
      <c r="C1319" s="22"/>
      <c r="D1319" s="22"/>
      <c r="E1319" s="23" t="str">
        <f>IF($D1319="","",IFERROR(VLOOKUP($D1319,'SAMA Capital Tracker'!$A:$H,8,FALSE()),""))</f>
        <v/>
      </c>
      <c r="F1319" s="24"/>
      <c r="G1319" s="25" t="str">
        <f>IF($D1319="","",IFERROR(VLOOKUP($D1319,'SAMA Capital Tracker'!$A:$D,4,FALSE()),""))</f>
        <v/>
      </c>
      <c r="H1319" s="22"/>
    </row>
    <row r="1320" spans="1:8">
      <c r="A1320" s="21"/>
      <c r="B1320" s="22"/>
      <c r="C1320" s="22"/>
      <c r="D1320" s="22"/>
      <c r="E1320" s="23" t="str">
        <f>IF($D1320="","",IFERROR(VLOOKUP($D1320,'SAMA Capital Tracker'!$A:$H,8,FALSE()),""))</f>
        <v/>
      </c>
      <c r="F1320" s="24"/>
      <c r="G1320" s="25" t="str">
        <f>IF($D1320="","",IFERROR(VLOOKUP($D1320,'SAMA Capital Tracker'!$A:$D,4,FALSE()),""))</f>
        <v/>
      </c>
      <c r="H1320" s="22"/>
    </row>
    <row r="1321" spans="1:8">
      <c r="A1321" s="21"/>
      <c r="B1321" s="22"/>
      <c r="C1321" s="22"/>
      <c r="D1321" s="22"/>
      <c r="E1321" s="23" t="str">
        <f>IF($D1321="","",IFERROR(VLOOKUP($D1321,'SAMA Capital Tracker'!$A:$H,8,FALSE()),""))</f>
        <v/>
      </c>
      <c r="F1321" s="24"/>
      <c r="G1321" s="25" t="str">
        <f>IF($D1321="","",IFERROR(VLOOKUP($D1321,'SAMA Capital Tracker'!$A:$D,4,FALSE()),""))</f>
        <v/>
      </c>
      <c r="H1321" s="22"/>
    </row>
    <row r="1322" spans="1:8">
      <c r="A1322" s="21"/>
      <c r="B1322" s="22"/>
      <c r="C1322" s="22"/>
      <c r="D1322" s="22"/>
      <c r="E1322" s="23" t="str">
        <f>IF($D1322="","",IFERROR(VLOOKUP($D1322,'SAMA Capital Tracker'!$A:$H,8,FALSE()),""))</f>
        <v/>
      </c>
      <c r="F1322" s="24"/>
      <c r="G1322" s="25" t="str">
        <f>IF($D1322="","",IFERROR(VLOOKUP($D1322,'SAMA Capital Tracker'!$A:$D,4,FALSE()),""))</f>
        <v/>
      </c>
      <c r="H1322" s="22"/>
    </row>
    <row r="1323" spans="1:8">
      <c r="A1323" s="21"/>
      <c r="B1323" s="22"/>
      <c r="C1323" s="22"/>
      <c r="D1323" s="22"/>
      <c r="E1323" s="23" t="str">
        <f>IF($D1323="","",IFERROR(VLOOKUP($D1323,'SAMA Capital Tracker'!$A:$H,8,FALSE()),""))</f>
        <v/>
      </c>
      <c r="F1323" s="24"/>
      <c r="G1323" s="25" t="str">
        <f>IF($D1323="","",IFERROR(VLOOKUP($D1323,'SAMA Capital Tracker'!$A:$D,4,FALSE()),""))</f>
        <v/>
      </c>
      <c r="H1323" s="22"/>
    </row>
    <row r="1324" spans="1:8">
      <c r="A1324" s="21"/>
      <c r="B1324" s="22"/>
      <c r="C1324" s="22"/>
      <c r="D1324" s="22"/>
      <c r="E1324" s="23" t="str">
        <f>IF($D1324="","",IFERROR(VLOOKUP($D1324,'SAMA Capital Tracker'!$A:$H,8,FALSE()),""))</f>
        <v/>
      </c>
      <c r="F1324" s="24"/>
      <c r="G1324" s="25" t="str">
        <f>IF($D1324="","",IFERROR(VLOOKUP($D1324,'SAMA Capital Tracker'!$A:$D,4,FALSE()),""))</f>
        <v/>
      </c>
      <c r="H1324" s="22"/>
    </row>
    <row r="1325" spans="1:8">
      <c r="A1325" s="21"/>
      <c r="B1325" s="22"/>
      <c r="C1325" s="22"/>
      <c r="D1325" s="22"/>
      <c r="E1325" s="23" t="str">
        <f>IF($D1325="","",IFERROR(VLOOKUP($D1325,'SAMA Capital Tracker'!$A:$H,8,FALSE()),""))</f>
        <v/>
      </c>
      <c r="F1325" s="24"/>
      <c r="G1325" s="25" t="str">
        <f>IF($D1325="","",IFERROR(VLOOKUP($D1325,'SAMA Capital Tracker'!$A:$D,4,FALSE()),""))</f>
        <v/>
      </c>
      <c r="H1325" s="22"/>
    </row>
    <row r="1326" spans="1:8">
      <c r="A1326" s="21"/>
      <c r="B1326" s="22"/>
      <c r="C1326" s="22"/>
      <c r="D1326" s="22"/>
      <c r="E1326" s="23" t="str">
        <f>IF($D1326="","",IFERROR(VLOOKUP($D1326,'SAMA Capital Tracker'!$A:$H,8,FALSE()),""))</f>
        <v/>
      </c>
      <c r="F1326" s="24"/>
      <c r="G1326" s="25" t="str">
        <f>IF($D1326="","",IFERROR(VLOOKUP($D1326,'SAMA Capital Tracker'!$A:$D,4,FALSE()),""))</f>
        <v/>
      </c>
      <c r="H1326" s="22"/>
    </row>
    <row r="1327" spans="1:8">
      <c r="A1327" s="21"/>
      <c r="B1327" s="22"/>
      <c r="C1327" s="22"/>
      <c r="D1327" s="22"/>
      <c r="E1327" s="23" t="str">
        <f>IF($D1327="","",IFERROR(VLOOKUP($D1327,'SAMA Capital Tracker'!$A:$H,8,FALSE()),""))</f>
        <v/>
      </c>
      <c r="F1327" s="24"/>
      <c r="G1327" s="25" t="str">
        <f>IF($D1327="","",IFERROR(VLOOKUP($D1327,'SAMA Capital Tracker'!$A:$D,4,FALSE()),""))</f>
        <v/>
      </c>
      <c r="H1327" s="22"/>
    </row>
    <row r="1328" spans="1:8">
      <c r="A1328" s="21"/>
      <c r="B1328" s="22"/>
      <c r="C1328" s="22"/>
      <c r="D1328" s="22"/>
      <c r="E1328" s="23" t="str">
        <f>IF($D1328="","",IFERROR(VLOOKUP($D1328,'SAMA Capital Tracker'!$A:$H,8,FALSE()),""))</f>
        <v/>
      </c>
      <c r="F1328" s="24"/>
      <c r="G1328" s="25" t="str">
        <f>IF($D1328="","",IFERROR(VLOOKUP($D1328,'SAMA Capital Tracker'!$A:$D,4,FALSE()),""))</f>
        <v/>
      </c>
      <c r="H1328" s="22"/>
    </row>
    <row r="1329" spans="1:8">
      <c r="A1329" s="21"/>
      <c r="B1329" s="22"/>
      <c r="C1329" s="22"/>
      <c r="D1329" s="22"/>
      <c r="E1329" s="23" t="str">
        <f>IF($D1329="","",IFERROR(VLOOKUP($D1329,'SAMA Capital Tracker'!$A:$H,8,FALSE()),""))</f>
        <v/>
      </c>
      <c r="F1329" s="24"/>
      <c r="G1329" s="25" t="str">
        <f>IF($D1329="","",IFERROR(VLOOKUP($D1329,'SAMA Capital Tracker'!$A:$D,4,FALSE()),""))</f>
        <v/>
      </c>
      <c r="H1329" s="22"/>
    </row>
    <row r="1330" spans="1:8">
      <c r="A1330" s="21"/>
      <c r="B1330" s="22"/>
      <c r="C1330" s="22"/>
      <c r="D1330" s="22"/>
      <c r="E1330" s="23" t="str">
        <f>IF($D1330="","",IFERROR(VLOOKUP($D1330,'SAMA Capital Tracker'!$A:$H,8,FALSE()),""))</f>
        <v/>
      </c>
      <c r="F1330" s="24"/>
      <c r="G1330" s="25" t="str">
        <f>IF($D1330="","",IFERROR(VLOOKUP($D1330,'SAMA Capital Tracker'!$A:$D,4,FALSE()),""))</f>
        <v/>
      </c>
      <c r="H1330" s="22"/>
    </row>
    <row r="1331" spans="1:8">
      <c r="A1331" s="21"/>
      <c r="B1331" s="22"/>
      <c r="C1331" s="22"/>
      <c r="D1331" s="22"/>
      <c r="E1331" s="23" t="str">
        <f>IF($D1331="","",IFERROR(VLOOKUP($D1331,'SAMA Capital Tracker'!$A:$H,8,FALSE()),""))</f>
        <v/>
      </c>
      <c r="F1331" s="24"/>
      <c r="G1331" s="25" t="str">
        <f>IF($D1331="","",IFERROR(VLOOKUP($D1331,'SAMA Capital Tracker'!$A:$D,4,FALSE()),""))</f>
        <v/>
      </c>
      <c r="H1331" s="22"/>
    </row>
    <row r="1332" spans="1:8">
      <c r="A1332" s="21"/>
      <c r="B1332" s="22"/>
      <c r="C1332" s="22"/>
      <c r="D1332" s="22"/>
      <c r="E1332" s="23" t="str">
        <f>IF($D1332="","",IFERROR(VLOOKUP($D1332,'SAMA Capital Tracker'!$A:$H,8,FALSE()),""))</f>
        <v/>
      </c>
      <c r="F1332" s="24"/>
      <c r="G1332" s="25" t="str">
        <f>IF($D1332="","",IFERROR(VLOOKUP($D1332,'SAMA Capital Tracker'!$A:$D,4,FALSE()),""))</f>
        <v/>
      </c>
      <c r="H1332" s="22"/>
    </row>
    <row r="1333" spans="1:8">
      <c r="A1333" s="21"/>
      <c r="B1333" s="22"/>
      <c r="C1333" s="22"/>
      <c r="D1333" s="22"/>
      <c r="E1333" s="23" t="str">
        <f>IF($D1333="","",IFERROR(VLOOKUP($D1333,'SAMA Capital Tracker'!$A:$H,8,FALSE()),""))</f>
        <v/>
      </c>
      <c r="F1333" s="24"/>
      <c r="G1333" s="25" t="str">
        <f>IF($D1333="","",IFERROR(VLOOKUP($D1333,'SAMA Capital Tracker'!$A:$D,4,FALSE()),""))</f>
        <v/>
      </c>
      <c r="H1333" s="22"/>
    </row>
    <row r="1334" spans="1:8">
      <c r="A1334" s="21"/>
      <c r="B1334" s="22"/>
      <c r="C1334" s="22"/>
      <c r="D1334" s="22"/>
      <c r="E1334" s="23" t="str">
        <f>IF($D1334="","",IFERROR(VLOOKUP($D1334,'SAMA Capital Tracker'!$A:$H,8,FALSE()),""))</f>
        <v/>
      </c>
      <c r="F1334" s="24"/>
      <c r="G1334" s="25" t="str">
        <f>IF($D1334="","",IFERROR(VLOOKUP($D1334,'SAMA Capital Tracker'!$A:$D,4,FALSE()),""))</f>
        <v/>
      </c>
      <c r="H1334" s="22"/>
    </row>
    <row r="1335" spans="1:8">
      <c r="A1335" s="21"/>
      <c r="B1335" s="22"/>
      <c r="C1335" s="22"/>
      <c r="D1335" s="22"/>
      <c r="E1335" s="23" t="str">
        <f>IF($D1335="","",IFERROR(VLOOKUP($D1335,'SAMA Capital Tracker'!$A:$H,8,FALSE()),""))</f>
        <v/>
      </c>
      <c r="F1335" s="24"/>
      <c r="G1335" s="25" t="str">
        <f>IF($D1335="","",IFERROR(VLOOKUP($D1335,'SAMA Capital Tracker'!$A:$D,4,FALSE()),""))</f>
        <v/>
      </c>
      <c r="H1335" s="22"/>
    </row>
    <row r="1336" spans="1:8">
      <c r="A1336" s="21"/>
      <c r="B1336" s="22"/>
      <c r="C1336" s="22"/>
      <c r="D1336" s="22"/>
      <c r="E1336" s="23" t="str">
        <f>IF($D1336="","",IFERROR(VLOOKUP($D1336,'SAMA Capital Tracker'!$A:$H,8,FALSE()),""))</f>
        <v/>
      </c>
      <c r="F1336" s="24"/>
      <c r="G1336" s="25" t="str">
        <f>IF($D1336="","",IFERROR(VLOOKUP($D1336,'SAMA Capital Tracker'!$A:$D,4,FALSE()),""))</f>
        <v/>
      </c>
      <c r="H1336" s="22"/>
    </row>
    <row r="1337" spans="1:8">
      <c r="A1337" s="21"/>
      <c r="B1337" s="22"/>
      <c r="C1337" s="22"/>
      <c r="D1337" s="22"/>
      <c r="E1337" s="23" t="str">
        <f>IF($D1337="","",IFERROR(VLOOKUP($D1337,'SAMA Capital Tracker'!$A:$H,8,FALSE()),""))</f>
        <v/>
      </c>
      <c r="F1337" s="24"/>
      <c r="G1337" s="25" t="str">
        <f>IF($D1337="","",IFERROR(VLOOKUP($D1337,'SAMA Capital Tracker'!$A:$D,4,FALSE()),""))</f>
        <v/>
      </c>
      <c r="H1337" s="22"/>
    </row>
    <row r="1338" spans="1:8">
      <c r="A1338" s="21"/>
      <c r="B1338" s="22"/>
      <c r="C1338" s="22"/>
      <c r="D1338" s="22"/>
      <c r="E1338" s="23" t="str">
        <f>IF($D1338="","",IFERROR(VLOOKUP($D1338,'SAMA Capital Tracker'!$A:$H,8,FALSE()),""))</f>
        <v/>
      </c>
      <c r="F1338" s="24"/>
      <c r="G1338" s="25" t="str">
        <f>IF($D1338="","",IFERROR(VLOOKUP($D1338,'SAMA Capital Tracker'!$A:$D,4,FALSE()),""))</f>
        <v/>
      </c>
      <c r="H1338" s="22"/>
    </row>
    <row r="1339" spans="1:8">
      <c r="A1339" s="21"/>
      <c r="B1339" s="22"/>
      <c r="C1339" s="22"/>
      <c r="D1339" s="22"/>
      <c r="E1339" s="23" t="str">
        <f>IF($D1339="","",IFERROR(VLOOKUP($D1339,'SAMA Capital Tracker'!$A:$H,8,FALSE()),""))</f>
        <v/>
      </c>
      <c r="F1339" s="24"/>
      <c r="G1339" s="25" t="str">
        <f>IF($D1339="","",IFERROR(VLOOKUP($D1339,'SAMA Capital Tracker'!$A:$D,4,FALSE()),""))</f>
        <v/>
      </c>
      <c r="H1339" s="22"/>
    </row>
    <row r="1340" spans="1:8">
      <c r="A1340" s="21"/>
      <c r="B1340" s="22"/>
      <c r="C1340" s="22"/>
      <c r="D1340" s="22"/>
      <c r="E1340" s="23" t="str">
        <f>IF($D1340="","",IFERROR(VLOOKUP($D1340,'SAMA Capital Tracker'!$A:$H,8,FALSE()),""))</f>
        <v/>
      </c>
      <c r="F1340" s="24"/>
      <c r="G1340" s="25" t="str">
        <f>IF($D1340="","",IFERROR(VLOOKUP($D1340,'SAMA Capital Tracker'!$A:$D,4,FALSE()),""))</f>
        <v/>
      </c>
      <c r="H1340" s="22"/>
    </row>
    <row r="1341" spans="1:8">
      <c r="A1341" s="21"/>
      <c r="B1341" s="22"/>
      <c r="C1341" s="22"/>
      <c r="D1341" s="22"/>
      <c r="E1341" s="23" t="str">
        <f>IF($D1341="","",IFERROR(VLOOKUP($D1341,'SAMA Capital Tracker'!$A:$H,8,FALSE()),""))</f>
        <v/>
      </c>
      <c r="F1341" s="24"/>
      <c r="G1341" s="25" t="str">
        <f>IF($D1341="","",IFERROR(VLOOKUP($D1341,'SAMA Capital Tracker'!$A:$D,4,FALSE()),""))</f>
        <v/>
      </c>
      <c r="H1341" s="22"/>
    </row>
    <row r="1342" spans="1:8">
      <c r="A1342" s="21"/>
      <c r="B1342" s="22"/>
      <c r="C1342" s="22"/>
      <c r="D1342" s="22"/>
      <c r="E1342" s="23" t="str">
        <f>IF($D1342="","",IFERROR(VLOOKUP($D1342,'SAMA Capital Tracker'!$A:$H,8,FALSE()),""))</f>
        <v/>
      </c>
      <c r="F1342" s="24"/>
      <c r="G1342" s="25" t="str">
        <f>IF($D1342="","",IFERROR(VLOOKUP($D1342,'SAMA Capital Tracker'!$A:$D,4,FALSE()),""))</f>
        <v/>
      </c>
      <c r="H1342" s="22"/>
    </row>
    <row r="1343" spans="1:8">
      <c r="A1343" s="21"/>
      <c r="B1343" s="22"/>
      <c r="C1343" s="22"/>
      <c r="D1343" s="22"/>
      <c r="E1343" s="23" t="str">
        <f>IF($D1343="","",IFERROR(VLOOKUP($D1343,'SAMA Capital Tracker'!$A:$H,8,FALSE()),""))</f>
        <v/>
      </c>
      <c r="F1343" s="24"/>
      <c r="G1343" s="25" t="str">
        <f>IF($D1343="","",IFERROR(VLOOKUP($D1343,'SAMA Capital Tracker'!$A:$D,4,FALSE()),""))</f>
        <v/>
      </c>
      <c r="H1343" s="22"/>
    </row>
    <row r="1344" spans="1:8">
      <c r="A1344" s="21"/>
      <c r="B1344" s="22"/>
      <c r="C1344" s="22"/>
      <c r="D1344" s="22"/>
      <c r="E1344" s="23" t="str">
        <f>IF($D1344="","",IFERROR(VLOOKUP($D1344,'SAMA Capital Tracker'!$A:$H,8,FALSE()),""))</f>
        <v/>
      </c>
      <c r="F1344" s="24"/>
      <c r="G1344" s="25" t="str">
        <f>IF($D1344="","",IFERROR(VLOOKUP($D1344,'SAMA Capital Tracker'!$A:$D,4,FALSE()),""))</f>
        <v/>
      </c>
      <c r="H1344" s="22"/>
    </row>
    <row r="1345" spans="1:8">
      <c r="A1345" s="21"/>
      <c r="B1345" s="22"/>
      <c r="C1345" s="22"/>
      <c r="D1345" s="22"/>
      <c r="E1345" s="23" t="str">
        <f>IF($D1345="","",IFERROR(VLOOKUP($D1345,'SAMA Capital Tracker'!$A:$H,8,FALSE()),""))</f>
        <v/>
      </c>
      <c r="F1345" s="24"/>
      <c r="G1345" s="25" t="str">
        <f>IF($D1345="","",IFERROR(VLOOKUP($D1345,'SAMA Capital Tracker'!$A:$D,4,FALSE()),""))</f>
        <v/>
      </c>
      <c r="H1345" s="22"/>
    </row>
    <row r="1346" spans="1:8">
      <c r="A1346" s="21"/>
      <c r="B1346" s="22"/>
      <c r="C1346" s="22"/>
      <c r="D1346" s="22"/>
      <c r="E1346" s="23" t="str">
        <f>IF($D1346="","",IFERROR(VLOOKUP($D1346,'SAMA Capital Tracker'!$A:$H,8,FALSE()),""))</f>
        <v/>
      </c>
      <c r="F1346" s="24"/>
      <c r="G1346" s="25" t="str">
        <f>IF($D1346="","",IFERROR(VLOOKUP($D1346,'SAMA Capital Tracker'!$A:$D,4,FALSE()),""))</f>
        <v/>
      </c>
      <c r="H1346" s="22"/>
    </row>
    <row r="1347" spans="1:8">
      <c r="A1347" s="21"/>
      <c r="B1347" s="22"/>
      <c r="C1347" s="22"/>
      <c r="D1347" s="22"/>
      <c r="E1347" s="23" t="str">
        <f>IF($D1347="","",IFERROR(VLOOKUP($D1347,'SAMA Capital Tracker'!$A:$H,8,FALSE()),""))</f>
        <v/>
      </c>
      <c r="F1347" s="24"/>
      <c r="G1347" s="25" t="str">
        <f>IF($D1347="","",IFERROR(VLOOKUP($D1347,'SAMA Capital Tracker'!$A:$D,4,FALSE()),""))</f>
        <v/>
      </c>
      <c r="H1347" s="22"/>
    </row>
    <row r="1348" spans="1:8">
      <c r="A1348" s="21"/>
      <c r="B1348" s="22"/>
      <c r="C1348" s="22"/>
      <c r="D1348" s="22"/>
      <c r="E1348" s="23" t="str">
        <f>IF($D1348="","",IFERROR(VLOOKUP($D1348,'SAMA Capital Tracker'!$A:$H,8,FALSE()),""))</f>
        <v/>
      </c>
      <c r="F1348" s="24"/>
      <c r="G1348" s="25" t="str">
        <f>IF($D1348="","",IFERROR(VLOOKUP($D1348,'SAMA Capital Tracker'!$A:$D,4,FALSE()),""))</f>
        <v/>
      </c>
      <c r="H1348" s="22"/>
    </row>
    <row r="1349" spans="1:8">
      <c r="A1349" s="21"/>
      <c r="B1349" s="22"/>
      <c r="C1349" s="22"/>
      <c r="D1349" s="22"/>
      <c r="E1349" s="23" t="str">
        <f>IF($D1349="","",IFERROR(VLOOKUP($D1349,'SAMA Capital Tracker'!$A:$H,8,FALSE()),""))</f>
        <v/>
      </c>
      <c r="F1349" s="24"/>
      <c r="G1349" s="25" t="str">
        <f>IF($D1349="","",IFERROR(VLOOKUP($D1349,'SAMA Capital Tracker'!$A:$D,4,FALSE()),""))</f>
        <v/>
      </c>
      <c r="H1349" s="22"/>
    </row>
    <row r="1350" spans="1:8">
      <c r="A1350" s="21"/>
      <c r="B1350" s="22"/>
      <c r="C1350" s="22"/>
      <c r="D1350" s="22"/>
      <c r="E1350" s="23" t="str">
        <f>IF($D1350="","",IFERROR(VLOOKUP($D1350,'SAMA Capital Tracker'!$A:$H,8,FALSE()),""))</f>
        <v/>
      </c>
      <c r="F1350" s="24"/>
      <c r="G1350" s="25" t="str">
        <f>IF($D1350="","",IFERROR(VLOOKUP($D1350,'SAMA Capital Tracker'!$A:$D,4,FALSE()),""))</f>
        <v/>
      </c>
      <c r="H1350" s="22"/>
    </row>
    <row r="1351" spans="1:8">
      <c r="A1351" s="21"/>
      <c r="B1351" s="22"/>
      <c r="C1351" s="22"/>
      <c r="D1351" s="22"/>
      <c r="E1351" s="23" t="str">
        <f>IF($D1351="","",IFERROR(VLOOKUP($D1351,'SAMA Capital Tracker'!$A:$H,8,FALSE()),""))</f>
        <v/>
      </c>
      <c r="F1351" s="24"/>
      <c r="G1351" s="25" t="str">
        <f>IF($D1351="","",IFERROR(VLOOKUP($D1351,'SAMA Capital Tracker'!$A:$D,4,FALSE()),""))</f>
        <v/>
      </c>
      <c r="H1351" s="22"/>
    </row>
    <row r="1352" spans="1:8">
      <c r="A1352" s="21"/>
      <c r="B1352" s="22"/>
      <c r="C1352" s="22"/>
      <c r="D1352" s="22"/>
      <c r="E1352" s="23" t="str">
        <f>IF($D1352="","",IFERROR(VLOOKUP($D1352,'SAMA Capital Tracker'!$A:$H,8,FALSE()),""))</f>
        <v/>
      </c>
      <c r="F1352" s="24"/>
      <c r="G1352" s="25" t="str">
        <f>IF($D1352="","",IFERROR(VLOOKUP($D1352,'SAMA Capital Tracker'!$A:$D,4,FALSE()),""))</f>
        <v/>
      </c>
      <c r="H1352" s="22"/>
    </row>
    <row r="1353" spans="1:8">
      <c r="A1353" s="21"/>
      <c r="B1353" s="22"/>
      <c r="C1353" s="22"/>
      <c r="D1353" s="22"/>
      <c r="E1353" s="23" t="str">
        <f>IF($D1353="","",IFERROR(VLOOKUP($D1353,'SAMA Capital Tracker'!$A:$H,8,FALSE()),""))</f>
        <v/>
      </c>
      <c r="F1353" s="24"/>
      <c r="G1353" s="25" t="str">
        <f>IF($D1353="","",IFERROR(VLOOKUP($D1353,'SAMA Capital Tracker'!$A:$D,4,FALSE()),""))</f>
        <v/>
      </c>
      <c r="H1353" s="22"/>
    </row>
    <row r="1354" spans="1:8">
      <c r="A1354" s="21"/>
      <c r="B1354" s="22"/>
      <c r="C1354" s="22"/>
      <c r="D1354" s="22"/>
      <c r="E1354" s="23" t="str">
        <f>IF($D1354="","",IFERROR(VLOOKUP($D1354,'SAMA Capital Tracker'!$A:$H,8,FALSE()),""))</f>
        <v/>
      </c>
      <c r="F1354" s="24"/>
      <c r="G1354" s="25" t="str">
        <f>IF($D1354="","",IFERROR(VLOOKUP($D1354,'SAMA Capital Tracker'!$A:$D,4,FALSE()),""))</f>
        <v/>
      </c>
      <c r="H1354" s="22"/>
    </row>
    <row r="1355" spans="1:8">
      <c r="A1355" s="21"/>
      <c r="B1355" s="22"/>
      <c r="C1355" s="22"/>
      <c r="D1355" s="22"/>
      <c r="E1355" s="23" t="str">
        <f>IF($D1355="","",IFERROR(VLOOKUP($D1355,'SAMA Capital Tracker'!$A:$H,8,FALSE()),""))</f>
        <v/>
      </c>
      <c r="F1355" s="24"/>
      <c r="G1355" s="25" t="str">
        <f>IF($D1355="","",IFERROR(VLOOKUP($D1355,'SAMA Capital Tracker'!$A:$D,4,FALSE()),""))</f>
        <v/>
      </c>
      <c r="H1355" s="22"/>
    </row>
    <row r="1356" spans="1:8">
      <c r="A1356" s="21"/>
      <c r="B1356" s="22"/>
      <c r="C1356" s="22"/>
      <c r="D1356" s="22"/>
      <c r="E1356" s="23" t="str">
        <f>IF($D1356="","",IFERROR(VLOOKUP($D1356,'SAMA Capital Tracker'!$A:$H,8,FALSE()),""))</f>
        <v/>
      </c>
      <c r="F1356" s="24"/>
      <c r="G1356" s="25" t="str">
        <f>IF($D1356="","",IFERROR(VLOOKUP($D1356,'SAMA Capital Tracker'!$A:$D,4,FALSE()),""))</f>
        <v/>
      </c>
      <c r="H1356" s="22"/>
    </row>
    <row r="1357" spans="1:8">
      <c r="A1357" s="21"/>
      <c r="B1357" s="22"/>
      <c r="C1357" s="22"/>
      <c r="D1357" s="22"/>
      <c r="E1357" s="23" t="str">
        <f>IF($D1357="","",IFERROR(VLOOKUP($D1357,'SAMA Capital Tracker'!$A:$H,8,FALSE()),""))</f>
        <v/>
      </c>
      <c r="F1357" s="24"/>
      <c r="G1357" s="25" t="str">
        <f>IF($D1357="","",IFERROR(VLOOKUP($D1357,'SAMA Capital Tracker'!$A:$D,4,FALSE()),""))</f>
        <v/>
      </c>
      <c r="H1357" s="22"/>
    </row>
    <row r="1358" spans="1:8">
      <c r="A1358" s="21"/>
      <c r="B1358" s="22"/>
      <c r="C1358" s="22"/>
      <c r="D1358" s="22"/>
      <c r="E1358" s="23" t="str">
        <f>IF($D1358="","",IFERROR(VLOOKUP($D1358,'SAMA Capital Tracker'!$A:$H,8,FALSE()),""))</f>
        <v/>
      </c>
      <c r="F1358" s="24"/>
      <c r="G1358" s="25" t="str">
        <f>IF($D1358="","",IFERROR(VLOOKUP($D1358,'SAMA Capital Tracker'!$A:$D,4,FALSE()),""))</f>
        <v/>
      </c>
      <c r="H1358" s="22"/>
    </row>
    <row r="1359" spans="1:8">
      <c r="A1359" s="21"/>
      <c r="B1359" s="22"/>
      <c r="C1359" s="22"/>
      <c r="D1359" s="22"/>
      <c r="E1359" s="23" t="str">
        <f>IF($D1359="","",IFERROR(VLOOKUP($D1359,'SAMA Capital Tracker'!$A:$H,8,FALSE()),""))</f>
        <v/>
      </c>
      <c r="F1359" s="24"/>
      <c r="G1359" s="25" t="str">
        <f>IF($D1359="","",IFERROR(VLOOKUP($D1359,'SAMA Capital Tracker'!$A:$D,4,FALSE()),""))</f>
        <v/>
      </c>
      <c r="H1359" s="22"/>
    </row>
    <row r="1360" spans="1:8">
      <c r="A1360" s="21"/>
      <c r="B1360" s="22"/>
      <c r="C1360" s="22"/>
      <c r="D1360" s="22"/>
      <c r="E1360" s="23" t="str">
        <f>IF($D1360="","",IFERROR(VLOOKUP($D1360,'SAMA Capital Tracker'!$A:$H,8,FALSE()),""))</f>
        <v/>
      </c>
      <c r="F1360" s="24"/>
      <c r="G1360" s="25" t="str">
        <f>IF($D1360="","",IFERROR(VLOOKUP($D1360,'SAMA Capital Tracker'!$A:$D,4,FALSE()),""))</f>
        <v/>
      </c>
      <c r="H1360" s="22"/>
    </row>
    <row r="1361" spans="1:8">
      <c r="A1361" s="21"/>
      <c r="B1361" s="22"/>
      <c r="C1361" s="22"/>
      <c r="D1361" s="22"/>
      <c r="E1361" s="23" t="str">
        <f>IF($D1361="","",IFERROR(VLOOKUP($D1361,'SAMA Capital Tracker'!$A:$H,8,FALSE()),""))</f>
        <v/>
      </c>
      <c r="F1361" s="24"/>
      <c r="G1361" s="25" t="str">
        <f>IF($D1361="","",IFERROR(VLOOKUP($D1361,'SAMA Capital Tracker'!$A:$D,4,FALSE()),""))</f>
        <v/>
      </c>
      <c r="H1361" s="22"/>
    </row>
    <row r="1362" spans="1:8">
      <c r="A1362" s="21"/>
      <c r="B1362" s="22"/>
      <c r="C1362" s="22"/>
      <c r="D1362" s="22"/>
      <c r="E1362" s="23" t="str">
        <f>IF($D1362="","",IFERROR(VLOOKUP($D1362,'SAMA Capital Tracker'!$A:$H,8,FALSE()),""))</f>
        <v/>
      </c>
      <c r="F1362" s="24"/>
      <c r="G1362" s="25" t="str">
        <f>IF($D1362="","",IFERROR(VLOOKUP($D1362,'SAMA Capital Tracker'!$A:$D,4,FALSE()),""))</f>
        <v/>
      </c>
      <c r="H1362" s="22"/>
    </row>
    <row r="1363" spans="1:8">
      <c r="A1363" s="21"/>
      <c r="B1363" s="22"/>
      <c r="C1363" s="22"/>
      <c r="D1363" s="22"/>
      <c r="E1363" s="23" t="str">
        <f>IF($D1363="","",IFERROR(VLOOKUP($D1363,'SAMA Capital Tracker'!$A:$H,8,FALSE()),""))</f>
        <v/>
      </c>
      <c r="F1363" s="24"/>
      <c r="G1363" s="25" t="str">
        <f>IF($D1363="","",IFERROR(VLOOKUP($D1363,'SAMA Capital Tracker'!$A:$D,4,FALSE()),""))</f>
        <v/>
      </c>
      <c r="H1363" s="22"/>
    </row>
    <row r="1364" spans="1:8">
      <c r="A1364" s="21"/>
      <c r="B1364" s="22"/>
      <c r="C1364" s="22"/>
      <c r="D1364" s="22"/>
      <c r="E1364" s="23" t="str">
        <f>IF($D1364="","",IFERROR(VLOOKUP($D1364,'SAMA Capital Tracker'!$A:$H,8,FALSE()),""))</f>
        <v/>
      </c>
      <c r="F1364" s="24"/>
      <c r="G1364" s="25" t="str">
        <f>IF($D1364="","",IFERROR(VLOOKUP($D1364,'SAMA Capital Tracker'!$A:$D,4,FALSE()),""))</f>
        <v/>
      </c>
      <c r="H1364" s="22"/>
    </row>
    <row r="1365" spans="1:8">
      <c r="A1365" s="21"/>
      <c r="B1365" s="22"/>
      <c r="C1365" s="22"/>
      <c r="D1365" s="22"/>
      <c r="E1365" s="23" t="str">
        <f>IF($D1365="","",IFERROR(VLOOKUP($D1365,'SAMA Capital Tracker'!$A:$H,8,FALSE()),""))</f>
        <v/>
      </c>
      <c r="F1365" s="24"/>
      <c r="G1365" s="25" t="str">
        <f>IF($D1365="","",IFERROR(VLOOKUP($D1365,'SAMA Capital Tracker'!$A:$D,4,FALSE()),""))</f>
        <v/>
      </c>
      <c r="H1365" s="22"/>
    </row>
    <row r="1366" spans="1:8">
      <c r="A1366" s="21"/>
      <c r="B1366" s="22"/>
      <c r="C1366" s="22"/>
      <c r="D1366" s="22"/>
      <c r="E1366" s="23" t="str">
        <f>IF($D1366="","",IFERROR(VLOOKUP($D1366,'SAMA Capital Tracker'!$A:$H,8,FALSE()),""))</f>
        <v/>
      </c>
      <c r="F1366" s="24"/>
      <c r="G1366" s="25" t="str">
        <f>IF($D1366="","",IFERROR(VLOOKUP($D1366,'SAMA Capital Tracker'!$A:$D,4,FALSE()),""))</f>
        <v/>
      </c>
      <c r="H1366" s="22"/>
    </row>
    <row r="1367" spans="1:8">
      <c r="A1367" s="21"/>
      <c r="B1367" s="22"/>
      <c r="C1367" s="22"/>
      <c r="D1367" s="22"/>
      <c r="E1367" s="23" t="str">
        <f>IF($D1367="","",IFERROR(VLOOKUP($D1367,'SAMA Capital Tracker'!$A:$H,8,FALSE()),""))</f>
        <v/>
      </c>
      <c r="F1367" s="24"/>
      <c r="G1367" s="25" t="str">
        <f>IF($D1367="","",IFERROR(VLOOKUP($D1367,'SAMA Capital Tracker'!$A:$D,4,FALSE()),""))</f>
        <v/>
      </c>
      <c r="H1367" s="22"/>
    </row>
    <row r="1368" spans="1:8">
      <c r="A1368" s="21"/>
      <c r="B1368" s="22"/>
      <c r="C1368" s="22"/>
      <c r="D1368" s="22"/>
      <c r="E1368" s="23" t="str">
        <f>IF($D1368="","",IFERROR(VLOOKUP($D1368,'SAMA Capital Tracker'!$A:$H,8,FALSE()),""))</f>
        <v/>
      </c>
      <c r="F1368" s="24"/>
      <c r="G1368" s="25" t="str">
        <f>IF($D1368="","",IFERROR(VLOOKUP($D1368,'SAMA Capital Tracker'!$A:$D,4,FALSE()),""))</f>
        <v/>
      </c>
      <c r="H1368" s="22"/>
    </row>
    <row r="1369" spans="1:8">
      <c r="A1369" s="21"/>
      <c r="B1369" s="22"/>
      <c r="C1369" s="22"/>
      <c r="D1369" s="22"/>
      <c r="E1369" s="23" t="str">
        <f>IF($D1369="","",IFERROR(VLOOKUP($D1369,'SAMA Capital Tracker'!$A:$H,8,FALSE()),""))</f>
        <v/>
      </c>
      <c r="F1369" s="24"/>
      <c r="G1369" s="25" t="str">
        <f>IF($D1369="","",IFERROR(VLOOKUP($D1369,'SAMA Capital Tracker'!$A:$D,4,FALSE()),""))</f>
        <v/>
      </c>
      <c r="H1369" s="22"/>
    </row>
    <row r="1370" spans="1:8">
      <c r="A1370" s="21"/>
      <c r="B1370" s="22"/>
      <c r="C1370" s="22"/>
      <c r="D1370" s="22"/>
      <c r="E1370" s="23" t="str">
        <f>IF($D1370="","",IFERROR(VLOOKUP($D1370,'SAMA Capital Tracker'!$A:$H,8,FALSE()),""))</f>
        <v/>
      </c>
      <c r="F1370" s="24"/>
      <c r="G1370" s="25" t="str">
        <f>IF($D1370="","",IFERROR(VLOOKUP($D1370,'SAMA Capital Tracker'!$A:$D,4,FALSE()),""))</f>
        <v/>
      </c>
      <c r="H1370" s="22"/>
    </row>
    <row r="1371" spans="1:8">
      <c r="A1371" s="21"/>
      <c r="B1371" s="22"/>
      <c r="C1371" s="22"/>
      <c r="D1371" s="22"/>
      <c r="E1371" s="23" t="str">
        <f>IF($D1371="","",IFERROR(VLOOKUP($D1371,'SAMA Capital Tracker'!$A:$H,8,FALSE()),""))</f>
        <v/>
      </c>
      <c r="F1371" s="24"/>
      <c r="G1371" s="25" t="str">
        <f>IF($D1371="","",IFERROR(VLOOKUP($D1371,'SAMA Capital Tracker'!$A:$D,4,FALSE()),""))</f>
        <v/>
      </c>
      <c r="H1371" s="22"/>
    </row>
    <row r="1372" spans="1:8">
      <c r="A1372" s="21"/>
      <c r="B1372" s="22"/>
      <c r="C1372" s="22"/>
      <c r="D1372" s="22"/>
      <c r="E1372" s="23" t="str">
        <f>IF($D1372="","",IFERROR(VLOOKUP($D1372,'SAMA Capital Tracker'!$A:$H,8,FALSE()),""))</f>
        <v/>
      </c>
      <c r="F1372" s="24"/>
      <c r="G1372" s="25" t="str">
        <f>IF($D1372="","",IFERROR(VLOOKUP($D1372,'SAMA Capital Tracker'!$A:$D,4,FALSE()),""))</f>
        <v/>
      </c>
      <c r="H1372" s="22"/>
    </row>
    <row r="1373" spans="1:8">
      <c r="A1373" s="21"/>
      <c r="B1373" s="22"/>
      <c r="C1373" s="22"/>
      <c r="D1373" s="22"/>
      <c r="E1373" s="23" t="str">
        <f>IF($D1373="","",IFERROR(VLOOKUP($D1373,'SAMA Capital Tracker'!$A:$H,8,FALSE()),""))</f>
        <v/>
      </c>
      <c r="F1373" s="24"/>
      <c r="G1373" s="25" t="str">
        <f>IF($D1373="","",IFERROR(VLOOKUP($D1373,'SAMA Capital Tracker'!$A:$D,4,FALSE()),""))</f>
        <v/>
      </c>
      <c r="H1373" s="22"/>
    </row>
    <row r="1374" spans="1:8">
      <c r="A1374" s="21"/>
      <c r="B1374" s="22"/>
      <c r="C1374" s="22"/>
      <c r="D1374" s="22"/>
      <c r="E1374" s="23" t="str">
        <f>IF($D1374="","",IFERROR(VLOOKUP($D1374,'SAMA Capital Tracker'!$A:$H,8,FALSE()),""))</f>
        <v/>
      </c>
      <c r="F1374" s="24"/>
      <c r="G1374" s="25" t="str">
        <f>IF($D1374="","",IFERROR(VLOOKUP($D1374,'SAMA Capital Tracker'!$A:$D,4,FALSE()),""))</f>
        <v/>
      </c>
      <c r="H1374" s="22"/>
    </row>
    <row r="1375" spans="1:8">
      <c r="A1375" s="21"/>
      <c r="B1375" s="22"/>
      <c r="C1375" s="22"/>
      <c r="D1375" s="22"/>
      <c r="E1375" s="23" t="str">
        <f>IF($D1375="","",IFERROR(VLOOKUP($D1375,'SAMA Capital Tracker'!$A:$H,8,FALSE()),""))</f>
        <v/>
      </c>
      <c r="F1375" s="24"/>
      <c r="G1375" s="25" t="str">
        <f>IF($D1375="","",IFERROR(VLOOKUP($D1375,'SAMA Capital Tracker'!$A:$D,4,FALSE()),""))</f>
        <v/>
      </c>
      <c r="H1375" s="22"/>
    </row>
    <row r="1376" spans="1:8">
      <c r="A1376" s="21"/>
      <c r="B1376" s="22"/>
      <c r="C1376" s="22"/>
      <c r="D1376" s="22"/>
      <c r="E1376" s="23" t="str">
        <f>IF($D1376="","",IFERROR(VLOOKUP($D1376,'SAMA Capital Tracker'!$A:$H,8,FALSE()),""))</f>
        <v/>
      </c>
      <c r="F1376" s="24"/>
      <c r="G1376" s="25" t="str">
        <f>IF($D1376="","",IFERROR(VLOOKUP($D1376,'SAMA Capital Tracker'!$A:$D,4,FALSE()),""))</f>
        <v/>
      </c>
      <c r="H1376" s="22"/>
    </row>
    <row r="1377" spans="1:8">
      <c r="A1377" s="21"/>
      <c r="B1377" s="22"/>
      <c r="C1377" s="22"/>
      <c r="D1377" s="22"/>
      <c r="E1377" s="23" t="str">
        <f>IF($D1377="","",IFERROR(VLOOKUP($D1377,'SAMA Capital Tracker'!$A:$H,8,FALSE()),""))</f>
        <v/>
      </c>
      <c r="F1377" s="24"/>
      <c r="G1377" s="25" t="str">
        <f>IF($D1377="","",IFERROR(VLOOKUP($D1377,'SAMA Capital Tracker'!$A:$D,4,FALSE()),""))</f>
        <v/>
      </c>
      <c r="H1377" s="22"/>
    </row>
    <row r="1378" spans="1:8">
      <c r="A1378" s="21"/>
      <c r="B1378" s="22"/>
      <c r="C1378" s="22"/>
      <c r="D1378" s="22"/>
      <c r="E1378" s="23" t="str">
        <f>IF($D1378="","",IFERROR(VLOOKUP($D1378,'SAMA Capital Tracker'!$A:$H,8,FALSE()),""))</f>
        <v/>
      </c>
      <c r="F1378" s="24"/>
      <c r="G1378" s="25" t="str">
        <f>IF($D1378="","",IFERROR(VLOOKUP($D1378,'SAMA Capital Tracker'!$A:$D,4,FALSE()),""))</f>
        <v/>
      </c>
      <c r="H1378" s="22"/>
    </row>
    <row r="1379" spans="1:8">
      <c r="A1379" s="21"/>
      <c r="B1379" s="22"/>
      <c r="C1379" s="22"/>
      <c r="D1379" s="22"/>
      <c r="E1379" s="23" t="str">
        <f>IF($D1379="","",IFERROR(VLOOKUP($D1379,'SAMA Capital Tracker'!$A:$H,8,FALSE()),""))</f>
        <v/>
      </c>
      <c r="F1379" s="24"/>
      <c r="G1379" s="25" t="str">
        <f>IF($D1379="","",IFERROR(VLOOKUP($D1379,'SAMA Capital Tracker'!$A:$D,4,FALSE()),""))</f>
        <v/>
      </c>
      <c r="H1379" s="22"/>
    </row>
    <row r="1380" spans="1:8">
      <c r="A1380" s="21"/>
      <c r="B1380" s="22"/>
      <c r="C1380" s="22"/>
      <c r="D1380" s="22"/>
      <c r="E1380" s="23" t="str">
        <f>IF($D1380="","",IFERROR(VLOOKUP($D1380,'SAMA Capital Tracker'!$A:$H,8,FALSE()),""))</f>
        <v/>
      </c>
      <c r="F1380" s="24"/>
      <c r="G1380" s="25" t="str">
        <f>IF($D1380="","",IFERROR(VLOOKUP($D1380,'SAMA Capital Tracker'!$A:$D,4,FALSE()),""))</f>
        <v/>
      </c>
      <c r="H1380" s="22"/>
    </row>
    <row r="1381" spans="1:8">
      <c r="A1381" s="21"/>
      <c r="B1381" s="22"/>
      <c r="C1381" s="22"/>
      <c r="D1381" s="22"/>
      <c r="E1381" s="23" t="str">
        <f>IF($D1381="","",IFERROR(VLOOKUP($D1381,'SAMA Capital Tracker'!$A:$H,8,FALSE()),""))</f>
        <v/>
      </c>
      <c r="F1381" s="24"/>
      <c r="G1381" s="25" t="str">
        <f>IF($D1381="","",IFERROR(VLOOKUP($D1381,'SAMA Capital Tracker'!$A:$D,4,FALSE()),""))</f>
        <v/>
      </c>
      <c r="H1381" s="22"/>
    </row>
    <row r="1382" spans="1:8">
      <c r="A1382" s="21"/>
      <c r="B1382" s="22"/>
      <c r="C1382" s="22"/>
      <c r="D1382" s="22"/>
      <c r="E1382" s="23" t="str">
        <f>IF($D1382="","",IFERROR(VLOOKUP($D1382,'SAMA Capital Tracker'!$A:$H,8,FALSE()),""))</f>
        <v/>
      </c>
      <c r="F1382" s="24"/>
      <c r="G1382" s="25" t="str">
        <f>IF($D1382="","",IFERROR(VLOOKUP($D1382,'SAMA Capital Tracker'!$A:$D,4,FALSE()),""))</f>
        <v/>
      </c>
      <c r="H1382" s="22"/>
    </row>
    <row r="1383" spans="1:8">
      <c r="A1383" s="21"/>
      <c r="B1383" s="22"/>
      <c r="C1383" s="22"/>
      <c r="D1383" s="22"/>
      <c r="E1383" s="23" t="str">
        <f>IF($D1383="","",IFERROR(VLOOKUP($D1383,'SAMA Capital Tracker'!$A:$H,8,FALSE()),""))</f>
        <v/>
      </c>
      <c r="F1383" s="24"/>
      <c r="G1383" s="25" t="str">
        <f>IF($D1383="","",IFERROR(VLOOKUP($D1383,'SAMA Capital Tracker'!$A:$D,4,FALSE()),""))</f>
        <v/>
      </c>
      <c r="H1383" s="22"/>
    </row>
    <row r="1384" spans="1:8">
      <c r="A1384" s="21"/>
      <c r="B1384" s="22"/>
      <c r="C1384" s="22"/>
      <c r="D1384" s="22"/>
      <c r="E1384" s="23" t="str">
        <f>IF($D1384="","",IFERROR(VLOOKUP($D1384,'SAMA Capital Tracker'!$A:$H,8,FALSE()),""))</f>
        <v/>
      </c>
      <c r="F1384" s="24"/>
      <c r="G1384" s="25" t="str">
        <f>IF($D1384="","",IFERROR(VLOOKUP($D1384,'SAMA Capital Tracker'!$A:$D,4,FALSE()),""))</f>
        <v/>
      </c>
      <c r="H1384" s="22"/>
    </row>
    <row r="1385" spans="1:8">
      <c r="A1385" s="21"/>
      <c r="B1385" s="22"/>
      <c r="C1385" s="22"/>
      <c r="D1385" s="22"/>
      <c r="E1385" s="23" t="str">
        <f>IF($D1385="","",IFERROR(VLOOKUP($D1385,'SAMA Capital Tracker'!$A:$H,8,FALSE()),""))</f>
        <v/>
      </c>
      <c r="F1385" s="24"/>
      <c r="G1385" s="25" t="str">
        <f>IF($D1385="","",IFERROR(VLOOKUP($D1385,'SAMA Capital Tracker'!$A:$D,4,FALSE()),""))</f>
        <v/>
      </c>
      <c r="H1385" s="22"/>
    </row>
    <row r="1386" spans="1:8">
      <c r="A1386" s="21"/>
      <c r="B1386" s="22"/>
      <c r="C1386" s="22"/>
      <c r="D1386" s="22"/>
      <c r="E1386" s="23" t="str">
        <f>IF($D1386="","",IFERROR(VLOOKUP($D1386,'SAMA Capital Tracker'!$A:$H,8,FALSE()),""))</f>
        <v/>
      </c>
      <c r="F1386" s="24"/>
      <c r="G1386" s="25" t="str">
        <f>IF($D1386="","",IFERROR(VLOOKUP($D1386,'SAMA Capital Tracker'!$A:$D,4,FALSE()),""))</f>
        <v/>
      </c>
      <c r="H1386" s="22"/>
    </row>
    <row r="1387" spans="1:8">
      <c r="A1387" s="21"/>
      <c r="B1387" s="22"/>
      <c r="C1387" s="22"/>
      <c r="D1387" s="22"/>
      <c r="E1387" s="23" t="str">
        <f>IF($D1387="","",IFERROR(VLOOKUP($D1387,'SAMA Capital Tracker'!$A:$H,8,FALSE()),""))</f>
        <v/>
      </c>
      <c r="F1387" s="24"/>
      <c r="G1387" s="25" t="str">
        <f>IF($D1387="","",IFERROR(VLOOKUP($D1387,'SAMA Capital Tracker'!$A:$D,4,FALSE()),""))</f>
        <v/>
      </c>
      <c r="H1387" s="22"/>
    </row>
    <row r="1388" spans="1:8">
      <c r="A1388" s="21"/>
      <c r="B1388" s="22"/>
      <c r="C1388" s="22"/>
      <c r="D1388" s="22"/>
      <c r="E1388" s="23" t="str">
        <f>IF($D1388="","",IFERROR(VLOOKUP($D1388,'SAMA Capital Tracker'!$A:$H,8,FALSE()),""))</f>
        <v/>
      </c>
      <c r="F1388" s="24"/>
      <c r="G1388" s="25" t="str">
        <f>IF($D1388="","",IFERROR(VLOOKUP($D1388,'SAMA Capital Tracker'!$A:$D,4,FALSE()),""))</f>
        <v/>
      </c>
      <c r="H1388" s="22"/>
    </row>
    <row r="1389" spans="1:8">
      <c r="A1389" s="21"/>
      <c r="B1389" s="22"/>
      <c r="C1389" s="22"/>
      <c r="D1389" s="22"/>
      <c r="E1389" s="23" t="str">
        <f>IF($D1389="","",IFERROR(VLOOKUP($D1389,'SAMA Capital Tracker'!$A:$H,8,FALSE()),""))</f>
        <v/>
      </c>
      <c r="F1389" s="24"/>
      <c r="G1389" s="25" t="str">
        <f>IF($D1389="","",IFERROR(VLOOKUP($D1389,'SAMA Capital Tracker'!$A:$D,4,FALSE()),""))</f>
        <v/>
      </c>
      <c r="H1389" s="22"/>
    </row>
    <row r="1390" spans="1:8">
      <c r="A1390" s="21"/>
      <c r="B1390" s="22"/>
      <c r="C1390" s="22"/>
      <c r="D1390" s="22"/>
      <c r="E1390" s="23" t="str">
        <f>IF($D1390="","",IFERROR(VLOOKUP($D1390,'SAMA Capital Tracker'!$A:$H,8,FALSE()),""))</f>
        <v/>
      </c>
      <c r="F1390" s="24"/>
      <c r="G1390" s="25" t="str">
        <f>IF($D1390="","",IFERROR(VLOOKUP($D1390,'SAMA Capital Tracker'!$A:$D,4,FALSE()),""))</f>
        <v/>
      </c>
      <c r="H1390" s="22"/>
    </row>
    <row r="1391" spans="1:8">
      <c r="A1391" s="21"/>
      <c r="B1391" s="22"/>
      <c r="C1391" s="22"/>
      <c r="D1391" s="22"/>
      <c r="E1391" s="23" t="str">
        <f>IF($D1391="","",IFERROR(VLOOKUP($D1391,'SAMA Capital Tracker'!$A:$H,8,FALSE()),""))</f>
        <v/>
      </c>
      <c r="F1391" s="24"/>
      <c r="G1391" s="25" t="str">
        <f>IF($D1391="","",IFERROR(VLOOKUP($D1391,'SAMA Capital Tracker'!$A:$D,4,FALSE()),""))</f>
        <v/>
      </c>
      <c r="H1391" s="22"/>
    </row>
    <row r="1392" spans="1:8">
      <c r="A1392" s="21"/>
      <c r="B1392" s="22"/>
      <c r="C1392" s="22"/>
      <c r="D1392" s="22"/>
      <c r="E1392" s="23" t="str">
        <f>IF($D1392="","",IFERROR(VLOOKUP($D1392,'SAMA Capital Tracker'!$A:$H,8,FALSE()),""))</f>
        <v/>
      </c>
      <c r="F1392" s="24"/>
      <c r="G1392" s="25" t="str">
        <f>IF($D1392="","",IFERROR(VLOOKUP($D1392,'SAMA Capital Tracker'!$A:$D,4,FALSE()),""))</f>
        <v/>
      </c>
      <c r="H1392" s="22"/>
    </row>
    <row r="1393" spans="1:8">
      <c r="A1393" s="21"/>
      <c r="B1393" s="22"/>
      <c r="C1393" s="22"/>
      <c r="D1393" s="22"/>
      <c r="E1393" s="23" t="str">
        <f>IF($D1393="","",IFERROR(VLOOKUP($D1393,'SAMA Capital Tracker'!$A:$H,8,FALSE()),""))</f>
        <v/>
      </c>
      <c r="F1393" s="24"/>
      <c r="G1393" s="25" t="str">
        <f>IF($D1393="","",IFERROR(VLOOKUP($D1393,'SAMA Capital Tracker'!$A:$D,4,FALSE()),""))</f>
        <v/>
      </c>
      <c r="H1393" s="22"/>
    </row>
    <row r="1394" spans="1:8">
      <c r="A1394" s="21"/>
      <c r="B1394" s="22"/>
      <c r="C1394" s="22"/>
      <c r="D1394" s="22"/>
      <c r="E1394" s="23" t="str">
        <f>IF($D1394="","",IFERROR(VLOOKUP($D1394,'SAMA Capital Tracker'!$A:$H,8,FALSE()),""))</f>
        <v/>
      </c>
      <c r="F1394" s="24"/>
      <c r="G1394" s="25" t="str">
        <f>IF($D1394="","",IFERROR(VLOOKUP($D1394,'SAMA Capital Tracker'!$A:$D,4,FALSE()),""))</f>
        <v/>
      </c>
      <c r="H1394" s="22"/>
    </row>
    <row r="1395" spans="1:8">
      <c r="A1395" s="21"/>
      <c r="B1395" s="22"/>
      <c r="C1395" s="22"/>
      <c r="D1395" s="22"/>
      <c r="E1395" s="23" t="str">
        <f>IF($D1395="","",IFERROR(VLOOKUP($D1395,'SAMA Capital Tracker'!$A:$H,8,FALSE()),""))</f>
        <v/>
      </c>
      <c r="F1395" s="24"/>
      <c r="G1395" s="25" t="str">
        <f>IF($D1395="","",IFERROR(VLOOKUP($D1395,'SAMA Capital Tracker'!$A:$D,4,FALSE()),""))</f>
        <v/>
      </c>
      <c r="H1395" s="22"/>
    </row>
    <row r="1396" spans="1:8">
      <c r="A1396" s="21"/>
      <c r="B1396" s="22"/>
      <c r="C1396" s="22"/>
      <c r="D1396" s="22"/>
      <c r="E1396" s="23" t="str">
        <f>IF($D1396="","",IFERROR(VLOOKUP($D1396,'SAMA Capital Tracker'!$A:$H,8,FALSE()),""))</f>
        <v/>
      </c>
      <c r="F1396" s="24"/>
      <c r="G1396" s="25" t="str">
        <f>IF($D1396="","",IFERROR(VLOOKUP($D1396,'SAMA Capital Tracker'!$A:$D,4,FALSE()),""))</f>
        <v/>
      </c>
      <c r="H1396" s="22"/>
    </row>
    <row r="1397" spans="1:8">
      <c r="A1397" s="21"/>
      <c r="B1397" s="22"/>
      <c r="C1397" s="22"/>
      <c r="D1397" s="22"/>
      <c r="E1397" s="23" t="str">
        <f>IF($D1397="","",IFERROR(VLOOKUP($D1397,'SAMA Capital Tracker'!$A:$H,8,FALSE()),""))</f>
        <v/>
      </c>
      <c r="F1397" s="24"/>
      <c r="G1397" s="25" t="str">
        <f>IF($D1397="","",IFERROR(VLOOKUP($D1397,'SAMA Capital Tracker'!$A:$D,4,FALSE()),""))</f>
        <v/>
      </c>
      <c r="H1397" s="22"/>
    </row>
    <row r="1398" spans="1:8">
      <c r="A1398" s="21"/>
      <c r="B1398" s="22"/>
      <c r="C1398" s="22"/>
      <c r="D1398" s="22"/>
      <c r="E1398" s="23" t="str">
        <f>IF($D1398="","",IFERROR(VLOOKUP($D1398,'SAMA Capital Tracker'!$A:$H,8,FALSE()),""))</f>
        <v/>
      </c>
      <c r="F1398" s="24"/>
      <c r="G1398" s="25" t="str">
        <f>IF($D1398="","",IFERROR(VLOOKUP($D1398,'SAMA Capital Tracker'!$A:$D,4,FALSE()),""))</f>
        <v/>
      </c>
      <c r="H1398" s="22"/>
    </row>
    <row r="1399" spans="1:8">
      <c r="A1399" s="21"/>
      <c r="B1399" s="22"/>
      <c r="C1399" s="22"/>
      <c r="D1399" s="22"/>
      <c r="E1399" s="23" t="str">
        <f>IF($D1399="","",IFERROR(VLOOKUP($D1399,'SAMA Capital Tracker'!$A:$H,8,FALSE()),""))</f>
        <v/>
      </c>
      <c r="F1399" s="24"/>
      <c r="G1399" s="25" t="str">
        <f>IF($D1399="","",IFERROR(VLOOKUP($D1399,'SAMA Capital Tracker'!$A:$D,4,FALSE()),""))</f>
        <v/>
      </c>
      <c r="H1399" s="22"/>
    </row>
    <row r="1400" spans="1:8">
      <c r="A1400" s="21"/>
      <c r="B1400" s="22"/>
      <c r="C1400" s="22"/>
      <c r="D1400" s="22"/>
      <c r="E1400" s="23" t="str">
        <f>IF($D1400="","",IFERROR(VLOOKUP($D1400,'SAMA Capital Tracker'!$A:$H,8,FALSE()),""))</f>
        <v/>
      </c>
      <c r="F1400" s="24"/>
      <c r="G1400" s="25" t="str">
        <f>IF($D1400="","",IFERROR(VLOOKUP($D1400,'SAMA Capital Tracker'!$A:$D,4,FALSE()),""))</f>
        <v/>
      </c>
      <c r="H1400" s="22"/>
    </row>
    <row r="1401" spans="1:8">
      <c r="A1401" s="21"/>
      <c r="B1401" s="22"/>
      <c r="C1401" s="22"/>
      <c r="D1401" s="22"/>
      <c r="E1401" s="23" t="str">
        <f>IF($D1401="","",IFERROR(VLOOKUP($D1401,'SAMA Capital Tracker'!$A:$H,8,FALSE()),""))</f>
        <v/>
      </c>
      <c r="F1401" s="24"/>
      <c r="G1401" s="25" t="str">
        <f>IF($D1401="","",IFERROR(VLOOKUP($D1401,'SAMA Capital Tracker'!$A:$D,4,FALSE()),""))</f>
        <v/>
      </c>
      <c r="H1401" s="22"/>
    </row>
    <row r="1402" spans="1:8">
      <c r="A1402" s="21"/>
      <c r="B1402" s="22"/>
      <c r="C1402" s="22"/>
      <c r="D1402" s="22"/>
      <c r="E1402" s="23" t="str">
        <f>IF($D1402="","",IFERROR(VLOOKUP($D1402,'SAMA Capital Tracker'!$A:$H,8,FALSE()),""))</f>
        <v/>
      </c>
      <c r="F1402" s="24"/>
      <c r="G1402" s="25" t="str">
        <f>IF($D1402="","",IFERROR(VLOOKUP($D1402,'SAMA Capital Tracker'!$A:$D,4,FALSE()),""))</f>
        <v/>
      </c>
      <c r="H1402" s="22"/>
    </row>
    <row r="1403" spans="1:8">
      <c r="A1403" s="21"/>
      <c r="B1403" s="22"/>
      <c r="C1403" s="22"/>
      <c r="D1403" s="22"/>
      <c r="E1403" s="23" t="str">
        <f>IF($D1403="","",IFERROR(VLOOKUP($D1403,'SAMA Capital Tracker'!$A:$H,8,FALSE()),""))</f>
        <v/>
      </c>
      <c r="F1403" s="24"/>
      <c r="G1403" s="25" t="str">
        <f>IF($D1403="","",IFERROR(VLOOKUP($D1403,'SAMA Capital Tracker'!$A:$D,4,FALSE()),""))</f>
        <v/>
      </c>
      <c r="H1403" s="22"/>
    </row>
    <row r="1404" spans="1:8">
      <c r="A1404" s="21"/>
      <c r="B1404" s="22"/>
      <c r="C1404" s="22"/>
      <c r="D1404" s="22"/>
      <c r="E1404" s="23" t="str">
        <f>IF($D1404="","",IFERROR(VLOOKUP($D1404,'SAMA Capital Tracker'!$A:$H,8,FALSE()),""))</f>
        <v/>
      </c>
      <c r="F1404" s="24"/>
      <c r="G1404" s="25" t="str">
        <f>IF($D1404="","",IFERROR(VLOOKUP($D1404,'SAMA Capital Tracker'!$A:$D,4,FALSE()),""))</f>
        <v/>
      </c>
      <c r="H1404" s="22"/>
    </row>
    <row r="1405" spans="1:8">
      <c r="A1405" s="21"/>
      <c r="B1405" s="22"/>
      <c r="C1405" s="22"/>
      <c r="D1405" s="22"/>
      <c r="E1405" s="23" t="str">
        <f>IF($D1405="","",IFERROR(VLOOKUP($D1405,'SAMA Capital Tracker'!$A:$H,8,FALSE()),""))</f>
        <v/>
      </c>
      <c r="F1405" s="24"/>
      <c r="G1405" s="25" t="str">
        <f>IF($D1405="","",IFERROR(VLOOKUP($D1405,'SAMA Capital Tracker'!$A:$D,4,FALSE()),""))</f>
        <v/>
      </c>
      <c r="H1405" s="22"/>
    </row>
    <row r="1406" spans="1:8">
      <c r="A1406" s="21"/>
      <c r="B1406" s="22"/>
      <c r="C1406" s="22"/>
      <c r="D1406" s="22"/>
      <c r="E1406" s="23" t="str">
        <f>IF($D1406="","",IFERROR(VLOOKUP($D1406,'SAMA Capital Tracker'!$A:$H,8,FALSE()),""))</f>
        <v/>
      </c>
      <c r="F1406" s="24"/>
      <c r="G1406" s="25" t="str">
        <f>IF($D1406="","",IFERROR(VLOOKUP($D1406,'SAMA Capital Tracker'!$A:$D,4,FALSE()),""))</f>
        <v/>
      </c>
      <c r="H1406" s="22"/>
    </row>
    <row r="1407" spans="1:8">
      <c r="A1407" s="21"/>
      <c r="B1407" s="22"/>
      <c r="C1407" s="22"/>
      <c r="D1407" s="22"/>
      <c r="E1407" s="23" t="str">
        <f>IF($D1407="","",IFERROR(VLOOKUP($D1407,'SAMA Capital Tracker'!$A:$H,8,FALSE()),""))</f>
        <v/>
      </c>
      <c r="F1407" s="24"/>
      <c r="G1407" s="25" t="str">
        <f>IF($D1407="","",IFERROR(VLOOKUP($D1407,'SAMA Capital Tracker'!$A:$D,4,FALSE()),""))</f>
        <v/>
      </c>
      <c r="H1407" s="22"/>
    </row>
    <row r="1408" spans="1:8">
      <c r="A1408" s="21"/>
      <c r="B1408" s="22"/>
      <c r="C1408" s="22"/>
      <c r="D1408" s="22"/>
      <c r="E1408" s="23" t="str">
        <f>IF($D1408="","",IFERROR(VLOOKUP($D1408,'SAMA Capital Tracker'!$A:$H,8,FALSE()),""))</f>
        <v/>
      </c>
      <c r="F1408" s="24"/>
      <c r="G1408" s="25" t="str">
        <f>IF($D1408="","",IFERROR(VLOOKUP($D1408,'SAMA Capital Tracker'!$A:$D,4,FALSE()),""))</f>
        <v/>
      </c>
      <c r="H1408" s="22"/>
    </row>
    <row r="1409" spans="1:8">
      <c r="A1409" s="21"/>
      <c r="B1409" s="22"/>
      <c r="C1409" s="22"/>
      <c r="D1409" s="22"/>
      <c r="E1409" s="23" t="str">
        <f>IF($D1409="","",IFERROR(VLOOKUP($D1409,'SAMA Capital Tracker'!$A:$H,8,FALSE()),""))</f>
        <v/>
      </c>
      <c r="F1409" s="24"/>
      <c r="G1409" s="25" t="str">
        <f>IF($D1409="","",IFERROR(VLOOKUP($D1409,'SAMA Capital Tracker'!$A:$D,4,FALSE()),""))</f>
        <v/>
      </c>
      <c r="H1409" s="22"/>
    </row>
    <row r="1410" spans="1:8">
      <c r="A1410" s="21"/>
      <c r="B1410" s="22"/>
      <c r="C1410" s="22"/>
      <c r="D1410" s="22"/>
      <c r="E1410" s="23" t="str">
        <f>IF($D1410="","",IFERROR(VLOOKUP($D1410,'SAMA Capital Tracker'!$A:$H,8,FALSE()),""))</f>
        <v/>
      </c>
      <c r="F1410" s="24"/>
      <c r="G1410" s="25" t="str">
        <f>IF($D1410="","",IFERROR(VLOOKUP($D1410,'SAMA Capital Tracker'!$A:$D,4,FALSE()),""))</f>
        <v/>
      </c>
      <c r="H1410" s="22"/>
    </row>
    <row r="1411" spans="1:8">
      <c r="A1411" s="21"/>
      <c r="B1411" s="22"/>
      <c r="C1411" s="22"/>
      <c r="D1411" s="22"/>
      <c r="E1411" s="23" t="str">
        <f>IF($D1411="","",IFERROR(VLOOKUP($D1411,'SAMA Capital Tracker'!$A:$H,8,FALSE()),""))</f>
        <v/>
      </c>
      <c r="F1411" s="24"/>
      <c r="G1411" s="25" t="str">
        <f>IF($D1411="","",IFERROR(VLOOKUP($D1411,'SAMA Capital Tracker'!$A:$D,4,FALSE()),""))</f>
        <v/>
      </c>
      <c r="H1411" s="22"/>
    </row>
    <row r="1412" spans="1:8">
      <c r="A1412" s="21"/>
      <c r="B1412" s="22"/>
      <c r="C1412" s="22"/>
      <c r="D1412" s="22"/>
      <c r="E1412" s="23" t="str">
        <f>IF($D1412="","",IFERROR(VLOOKUP($D1412,'SAMA Capital Tracker'!$A:$H,8,FALSE()),""))</f>
        <v/>
      </c>
      <c r="F1412" s="24"/>
      <c r="G1412" s="25" t="str">
        <f>IF($D1412="","",IFERROR(VLOOKUP($D1412,'SAMA Capital Tracker'!$A:$D,4,FALSE()),""))</f>
        <v/>
      </c>
      <c r="H1412" s="22"/>
    </row>
    <row r="1413" spans="1:8">
      <c r="A1413" s="21"/>
      <c r="B1413" s="22"/>
      <c r="C1413" s="22"/>
      <c r="D1413" s="22"/>
      <c r="E1413" s="23" t="str">
        <f>IF($D1413="","",IFERROR(VLOOKUP($D1413,'SAMA Capital Tracker'!$A:$H,8,FALSE()),""))</f>
        <v/>
      </c>
      <c r="F1413" s="24"/>
      <c r="G1413" s="25" t="str">
        <f>IF($D1413="","",IFERROR(VLOOKUP($D1413,'SAMA Capital Tracker'!$A:$D,4,FALSE()),""))</f>
        <v/>
      </c>
      <c r="H1413" s="22"/>
    </row>
    <row r="1414" spans="1:8">
      <c r="A1414" s="21"/>
      <c r="B1414" s="22"/>
      <c r="C1414" s="22"/>
      <c r="D1414" s="22"/>
      <c r="E1414" s="23" t="str">
        <f>IF($D1414="","",IFERROR(VLOOKUP($D1414,'SAMA Capital Tracker'!$A:$H,8,FALSE()),""))</f>
        <v/>
      </c>
      <c r="F1414" s="24"/>
      <c r="G1414" s="25" t="str">
        <f>IF($D1414="","",IFERROR(VLOOKUP($D1414,'SAMA Capital Tracker'!$A:$D,4,FALSE()),""))</f>
        <v/>
      </c>
      <c r="H1414" s="22"/>
    </row>
    <row r="1415" spans="1:8">
      <c r="A1415" s="21"/>
      <c r="B1415" s="22"/>
      <c r="C1415" s="22"/>
      <c r="D1415" s="22"/>
      <c r="E1415" s="23" t="str">
        <f>IF($D1415="","",IFERROR(VLOOKUP($D1415,'SAMA Capital Tracker'!$A:$H,8,FALSE()),""))</f>
        <v/>
      </c>
      <c r="F1415" s="24"/>
      <c r="G1415" s="25" t="str">
        <f>IF($D1415="","",IFERROR(VLOOKUP($D1415,'SAMA Capital Tracker'!$A:$D,4,FALSE()),""))</f>
        <v/>
      </c>
      <c r="H1415" s="22"/>
    </row>
    <row r="1416" spans="1:8">
      <c r="A1416" s="21"/>
      <c r="B1416" s="22"/>
      <c r="C1416" s="22"/>
      <c r="D1416" s="22"/>
      <c r="E1416" s="23" t="str">
        <f>IF($D1416="","",IFERROR(VLOOKUP($D1416,'SAMA Capital Tracker'!$A:$H,8,FALSE()),""))</f>
        <v/>
      </c>
      <c r="F1416" s="24"/>
      <c r="G1416" s="25" t="str">
        <f>IF($D1416="","",IFERROR(VLOOKUP($D1416,'SAMA Capital Tracker'!$A:$D,4,FALSE()),""))</f>
        <v/>
      </c>
      <c r="H1416" s="22"/>
    </row>
    <row r="1417" spans="1:8">
      <c r="A1417" s="21"/>
      <c r="B1417" s="22"/>
      <c r="C1417" s="22"/>
      <c r="D1417" s="22"/>
      <c r="E1417" s="23" t="str">
        <f>IF($D1417="","",IFERROR(VLOOKUP($D1417,'SAMA Capital Tracker'!$A:$H,8,FALSE()),""))</f>
        <v/>
      </c>
      <c r="F1417" s="24"/>
      <c r="G1417" s="25" t="str">
        <f>IF($D1417="","",IFERROR(VLOOKUP($D1417,'SAMA Capital Tracker'!$A:$D,4,FALSE()),""))</f>
        <v/>
      </c>
      <c r="H1417" s="22"/>
    </row>
    <row r="1418" spans="1:8">
      <c r="A1418" s="21"/>
      <c r="B1418" s="22"/>
      <c r="C1418" s="22"/>
      <c r="D1418" s="22"/>
      <c r="E1418" s="23" t="str">
        <f>IF($D1418="","",IFERROR(VLOOKUP($D1418,'SAMA Capital Tracker'!$A:$H,8,FALSE()),""))</f>
        <v/>
      </c>
      <c r="F1418" s="24"/>
      <c r="G1418" s="25" t="str">
        <f>IF($D1418="","",IFERROR(VLOOKUP($D1418,'SAMA Capital Tracker'!$A:$D,4,FALSE()),""))</f>
        <v/>
      </c>
      <c r="H1418" s="22"/>
    </row>
    <row r="1419" spans="1:8">
      <c r="A1419" s="21"/>
      <c r="B1419" s="22"/>
      <c r="C1419" s="22"/>
      <c r="D1419" s="22"/>
      <c r="E1419" s="23" t="str">
        <f>IF($D1419="","",IFERROR(VLOOKUP($D1419,'SAMA Capital Tracker'!$A:$H,8,FALSE()),""))</f>
        <v/>
      </c>
      <c r="F1419" s="24"/>
      <c r="G1419" s="25" t="str">
        <f>IF($D1419="","",IFERROR(VLOOKUP($D1419,'SAMA Capital Tracker'!$A:$D,4,FALSE()),""))</f>
        <v/>
      </c>
      <c r="H1419" s="22"/>
    </row>
    <row r="1420" spans="1:8">
      <c r="A1420" s="21"/>
      <c r="B1420" s="22"/>
      <c r="C1420" s="22"/>
      <c r="D1420" s="22"/>
      <c r="E1420" s="23" t="str">
        <f>IF($D1420="","",IFERROR(VLOOKUP($D1420,'SAMA Capital Tracker'!$A:$H,8,FALSE()),""))</f>
        <v/>
      </c>
      <c r="F1420" s="24"/>
      <c r="G1420" s="25" t="str">
        <f>IF($D1420="","",IFERROR(VLOOKUP($D1420,'SAMA Capital Tracker'!$A:$D,4,FALSE()),""))</f>
        <v/>
      </c>
      <c r="H1420" s="22"/>
    </row>
    <row r="1421" spans="1:8">
      <c r="A1421" s="21"/>
      <c r="B1421" s="22"/>
      <c r="C1421" s="22"/>
      <c r="D1421" s="22"/>
      <c r="E1421" s="23" t="str">
        <f>IF($D1421="","",IFERROR(VLOOKUP($D1421,'SAMA Capital Tracker'!$A:$H,8,FALSE()),""))</f>
        <v/>
      </c>
      <c r="F1421" s="24"/>
      <c r="G1421" s="25" t="str">
        <f>IF($D1421="","",IFERROR(VLOOKUP($D1421,'SAMA Capital Tracker'!$A:$D,4,FALSE()),""))</f>
        <v/>
      </c>
      <c r="H1421" s="22"/>
    </row>
    <row r="1422" spans="1:8">
      <c r="A1422" s="21"/>
      <c r="B1422" s="22"/>
      <c r="C1422" s="22"/>
      <c r="D1422" s="22"/>
      <c r="E1422" s="23" t="str">
        <f>IF($D1422="","",IFERROR(VLOOKUP($D1422,'SAMA Capital Tracker'!$A:$H,8,FALSE()),""))</f>
        <v/>
      </c>
      <c r="F1422" s="24"/>
      <c r="G1422" s="25" t="str">
        <f>IF($D1422="","",IFERROR(VLOOKUP($D1422,'SAMA Capital Tracker'!$A:$D,4,FALSE()),""))</f>
        <v/>
      </c>
      <c r="H1422" s="22"/>
    </row>
    <row r="1423" spans="1:8">
      <c r="A1423" s="21"/>
      <c r="B1423" s="22"/>
      <c r="C1423" s="22"/>
      <c r="D1423" s="22"/>
      <c r="E1423" s="23" t="str">
        <f>IF($D1423="","",IFERROR(VLOOKUP($D1423,'SAMA Capital Tracker'!$A:$H,8,FALSE()),""))</f>
        <v/>
      </c>
      <c r="F1423" s="24"/>
      <c r="G1423" s="25" t="str">
        <f>IF($D1423="","",IFERROR(VLOOKUP($D1423,'SAMA Capital Tracker'!$A:$D,4,FALSE()),""))</f>
        <v/>
      </c>
      <c r="H1423" s="22"/>
    </row>
    <row r="1424" spans="1:8">
      <c r="A1424" s="21"/>
      <c r="B1424" s="22"/>
      <c r="C1424" s="22"/>
      <c r="D1424" s="22"/>
      <c r="E1424" s="23" t="str">
        <f>IF($D1424="","",IFERROR(VLOOKUP($D1424,'SAMA Capital Tracker'!$A:$H,8,FALSE()),""))</f>
        <v/>
      </c>
      <c r="F1424" s="24"/>
      <c r="G1424" s="25" t="str">
        <f>IF($D1424="","",IFERROR(VLOOKUP($D1424,'SAMA Capital Tracker'!$A:$D,4,FALSE()),""))</f>
        <v/>
      </c>
      <c r="H1424" s="22"/>
    </row>
    <row r="1425" spans="1:8">
      <c r="A1425" s="21"/>
      <c r="B1425" s="22"/>
      <c r="C1425" s="22"/>
      <c r="D1425" s="22"/>
      <c r="E1425" s="23" t="str">
        <f>IF($D1425="","",IFERROR(VLOOKUP($D1425,'SAMA Capital Tracker'!$A:$H,8,FALSE()),""))</f>
        <v/>
      </c>
      <c r="F1425" s="24"/>
      <c r="G1425" s="25" t="str">
        <f>IF($D1425="","",IFERROR(VLOOKUP($D1425,'SAMA Capital Tracker'!$A:$D,4,FALSE()),""))</f>
        <v/>
      </c>
      <c r="H1425" s="22"/>
    </row>
    <row r="1426" spans="1:8">
      <c r="A1426" s="21"/>
      <c r="B1426" s="22"/>
      <c r="C1426" s="22"/>
      <c r="D1426" s="22"/>
      <c r="E1426" s="23" t="str">
        <f>IF($D1426="","",IFERROR(VLOOKUP($D1426,'SAMA Capital Tracker'!$A:$H,8,FALSE()),""))</f>
        <v/>
      </c>
      <c r="F1426" s="24"/>
      <c r="G1426" s="25" t="str">
        <f>IF($D1426="","",IFERROR(VLOOKUP($D1426,'SAMA Capital Tracker'!$A:$D,4,FALSE()),""))</f>
        <v/>
      </c>
      <c r="H1426" s="22"/>
    </row>
    <row r="1427" spans="1:8">
      <c r="A1427" s="21"/>
      <c r="B1427" s="22"/>
      <c r="C1427" s="22"/>
      <c r="D1427" s="22"/>
      <c r="E1427" s="23" t="str">
        <f>IF($D1427="","",IFERROR(VLOOKUP($D1427,'SAMA Capital Tracker'!$A:$H,8,FALSE()),""))</f>
        <v/>
      </c>
      <c r="F1427" s="24"/>
      <c r="G1427" s="25" t="str">
        <f>IF($D1427="","",IFERROR(VLOOKUP($D1427,'SAMA Capital Tracker'!$A:$D,4,FALSE()),""))</f>
        <v/>
      </c>
      <c r="H1427" s="22"/>
    </row>
    <row r="1428" spans="1:8">
      <c r="A1428" s="21"/>
      <c r="B1428" s="22"/>
      <c r="C1428" s="22"/>
      <c r="D1428" s="22"/>
      <c r="E1428" s="23" t="str">
        <f>IF($D1428="","",IFERROR(VLOOKUP($D1428,'SAMA Capital Tracker'!$A:$H,8,FALSE()),""))</f>
        <v/>
      </c>
      <c r="F1428" s="24"/>
      <c r="G1428" s="25" t="str">
        <f>IF($D1428="","",IFERROR(VLOOKUP($D1428,'SAMA Capital Tracker'!$A:$D,4,FALSE()),""))</f>
        <v/>
      </c>
      <c r="H1428" s="22"/>
    </row>
    <row r="1429" spans="1:8">
      <c r="A1429" s="21"/>
      <c r="B1429" s="22"/>
      <c r="C1429" s="22"/>
      <c r="D1429" s="22"/>
      <c r="E1429" s="23" t="str">
        <f>IF($D1429="","",IFERROR(VLOOKUP($D1429,'SAMA Capital Tracker'!$A:$H,8,FALSE()),""))</f>
        <v/>
      </c>
      <c r="F1429" s="24"/>
      <c r="G1429" s="25" t="str">
        <f>IF($D1429="","",IFERROR(VLOOKUP($D1429,'SAMA Capital Tracker'!$A:$D,4,FALSE()),""))</f>
        <v/>
      </c>
      <c r="H1429" s="22"/>
    </row>
    <row r="1430" spans="1:8">
      <c r="A1430" s="21"/>
      <c r="B1430" s="22"/>
      <c r="C1430" s="22"/>
      <c r="D1430" s="22"/>
      <c r="E1430" s="23" t="str">
        <f>IF($D1430="","",IFERROR(VLOOKUP($D1430,'SAMA Capital Tracker'!$A:$H,8,FALSE()),""))</f>
        <v/>
      </c>
      <c r="F1430" s="24"/>
      <c r="G1430" s="25" t="str">
        <f>IF($D1430="","",IFERROR(VLOOKUP($D1430,'SAMA Capital Tracker'!$A:$D,4,FALSE()),""))</f>
        <v/>
      </c>
      <c r="H1430" s="22"/>
    </row>
    <row r="1431" spans="1:8">
      <c r="A1431" s="21"/>
      <c r="B1431" s="22"/>
      <c r="C1431" s="22"/>
      <c r="D1431" s="22"/>
      <c r="E1431" s="23" t="str">
        <f>IF($D1431="","",IFERROR(VLOOKUP($D1431,'SAMA Capital Tracker'!$A:$H,8,FALSE()),""))</f>
        <v/>
      </c>
      <c r="F1431" s="24"/>
      <c r="G1431" s="25" t="str">
        <f>IF($D1431="","",IFERROR(VLOOKUP($D1431,'SAMA Capital Tracker'!$A:$D,4,FALSE()),""))</f>
        <v/>
      </c>
      <c r="H1431" s="22"/>
    </row>
    <row r="1432" spans="1:8">
      <c r="A1432" s="21"/>
      <c r="B1432" s="22"/>
      <c r="C1432" s="22"/>
      <c r="D1432" s="22"/>
      <c r="E1432" s="23" t="str">
        <f>IF($D1432="","",IFERROR(VLOOKUP($D1432,'SAMA Capital Tracker'!$A:$H,8,FALSE()),""))</f>
        <v/>
      </c>
      <c r="F1432" s="24"/>
      <c r="G1432" s="25" t="str">
        <f>IF($D1432="","",IFERROR(VLOOKUP($D1432,'SAMA Capital Tracker'!$A:$D,4,FALSE()),""))</f>
        <v/>
      </c>
      <c r="H1432" s="22"/>
    </row>
    <row r="1433" spans="1:8">
      <c r="A1433" s="21"/>
      <c r="B1433" s="22"/>
      <c r="C1433" s="22"/>
      <c r="D1433" s="22"/>
      <c r="E1433" s="23" t="str">
        <f>IF($D1433="","",IFERROR(VLOOKUP($D1433,'SAMA Capital Tracker'!$A:$H,8,FALSE()),""))</f>
        <v/>
      </c>
      <c r="F1433" s="24"/>
      <c r="G1433" s="25" t="str">
        <f>IF($D1433="","",IFERROR(VLOOKUP($D1433,'SAMA Capital Tracker'!$A:$D,4,FALSE()),""))</f>
        <v/>
      </c>
      <c r="H1433" s="22"/>
    </row>
    <row r="1434" spans="1:8">
      <c r="A1434" s="21"/>
      <c r="B1434" s="22"/>
      <c r="C1434" s="22"/>
      <c r="D1434" s="22"/>
      <c r="E1434" s="23" t="str">
        <f>IF($D1434="","",IFERROR(VLOOKUP($D1434,'SAMA Capital Tracker'!$A:$H,8,FALSE()),""))</f>
        <v/>
      </c>
      <c r="F1434" s="24"/>
      <c r="G1434" s="25" t="str">
        <f>IF($D1434="","",IFERROR(VLOOKUP($D1434,'SAMA Capital Tracker'!$A:$D,4,FALSE()),""))</f>
        <v/>
      </c>
      <c r="H1434" s="22"/>
    </row>
    <row r="1435" spans="1:8">
      <c r="A1435" s="21"/>
      <c r="B1435" s="22"/>
      <c r="C1435" s="22"/>
      <c r="D1435" s="22"/>
      <c r="E1435" s="23" t="str">
        <f>IF($D1435="","",IFERROR(VLOOKUP($D1435,'SAMA Capital Tracker'!$A:$H,8,FALSE()),""))</f>
        <v/>
      </c>
      <c r="F1435" s="24"/>
      <c r="G1435" s="25" t="str">
        <f>IF($D1435="","",IFERROR(VLOOKUP($D1435,'SAMA Capital Tracker'!$A:$D,4,FALSE()),""))</f>
        <v/>
      </c>
      <c r="H1435" s="22"/>
    </row>
    <row r="1436" spans="1:8">
      <c r="A1436" s="21"/>
      <c r="B1436" s="22"/>
      <c r="C1436" s="22"/>
      <c r="D1436" s="22"/>
      <c r="E1436" s="23" t="str">
        <f>IF($D1436="","",IFERROR(VLOOKUP($D1436,'SAMA Capital Tracker'!$A:$H,8,FALSE()),""))</f>
        <v/>
      </c>
      <c r="F1436" s="24"/>
      <c r="G1436" s="25" t="str">
        <f>IF($D1436="","",IFERROR(VLOOKUP($D1436,'SAMA Capital Tracker'!$A:$D,4,FALSE()),""))</f>
        <v/>
      </c>
      <c r="H1436" s="22"/>
    </row>
    <row r="1437" spans="1:8">
      <c r="A1437" s="21"/>
      <c r="B1437" s="22"/>
      <c r="C1437" s="22"/>
      <c r="D1437" s="22"/>
      <c r="E1437" s="23" t="str">
        <f>IF($D1437="","",IFERROR(VLOOKUP($D1437,'SAMA Capital Tracker'!$A:$H,8,FALSE()),""))</f>
        <v/>
      </c>
      <c r="F1437" s="24"/>
      <c r="G1437" s="25" t="str">
        <f>IF($D1437="","",IFERROR(VLOOKUP($D1437,'SAMA Capital Tracker'!$A:$D,4,FALSE()),""))</f>
        <v/>
      </c>
      <c r="H1437" s="22"/>
    </row>
    <row r="1438" spans="1:8">
      <c r="A1438" s="21"/>
      <c r="B1438" s="22"/>
      <c r="C1438" s="22"/>
      <c r="D1438" s="22"/>
      <c r="E1438" s="23" t="str">
        <f>IF($D1438="","",IFERROR(VLOOKUP($D1438,'SAMA Capital Tracker'!$A:$H,8,FALSE()),""))</f>
        <v/>
      </c>
      <c r="F1438" s="24"/>
      <c r="G1438" s="25" t="str">
        <f>IF($D1438="","",IFERROR(VLOOKUP($D1438,'SAMA Capital Tracker'!$A:$D,4,FALSE()),""))</f>
        <v/>
      </c>
      <c r="H1438" s="22"/>
    </row>
    <row r="1439" spans="1:8">
      <c r="A1439" s="21"/>
      <c r="B1439" s="22"/>
      <c r="C1439" s="22"/>
      <c r="D1439" s="22"/>
      <c r="E1439" s="23" t="str">
        <f>IF($D1439="","",IFERROR(VLOOKUP($D1439,'SAMA Capital Tracker'!$A:$H,8,FALSE()),""))</f>
        <v/>
      </c>
      <c r="F1439" s="24"/>
      <c r="G1439" s="25" t="str">
        <f>IF($D1439="","",IFERROR(VLOOKUP($D1439,'SAMA Capital Tracker'!$A:$D,4,FALSE()),""))</f>
        <v/>
      </c>
      <c r="H1439" s="22"/>
    </row>
    <row r="1440" spans="1:8">
      <c r="A1440" s="21"/>
      <c r="B1440" s="22"/>
      <c r="C1440" s="22"/>
      <c r="D1440" s="22"/>
      <c r="E1440" s="23" t="str">
        <f>IF($D1440="","",IFERROR(VLOOKUP($D1440,'SAMA Capital Tracker'!$A:$H,8,FALSE()),""))</f>
        <v/>
      </c>
      <c r="F1440" s="24"/>
      <c r="G1440" s="25" t="str">
        <f>IF($D1440="","",IFERROR(VLOOKUP($D1440,'SAMA Capital Tracker'!$A:$D,4,FALSE()),""))</f>
        <v/>
      </c>
      <c r="H1440" s="22"/>
    </row>
    <row r="1441" spans="1:8">
      <c r="A1441" s="21"/>
      <c r="B1441" s="22"/>
      <c r="C1441" s="22"/>
      <c r="D1441" s="22"/>
      <c r="E1441" s="23" t="str">
        <f>IF($D1441="","",IFERROR(VLOOKUP($D1441,'SAMA Capital Tracker'!$A:$H,8,FALSE()),""))</f>
        <v/>
      </c>
      <c r="F1441" s="24"/>
      <c r="G1441" s="25" t="str">
        <f>IF($D1441="","",IFERROR(VLOOKUP($D1441,'SAMA Capital Tracker'!$A:$D,4,FALSE()),""))</f>
        <v/>
      </c>
      <c r="H1441" s="22"/>
    </row>
    <row r="1442" spans="1:8">
      <c r="A1442" s="21"/>
      <c r="B1442" s="22"/>
      <c r="C1442" s="22"/>
      <c r="D1442" s="22"/>
      <c r="E1442" s="23" t="str">
        <f>IF($D1442="","",IFERROR(VLOOKUP($D1442,'SAMA Capital Tracker'!$A:$H,8,FALSE()),""))</f>
        <v/>
      </c>
      <c r="F1442" s="24"/>
      <c r="G1442" s="25" t="str">
        <f>IF($D1442="","",IFERROR(VLOOKUP($D1442,'SAMA Capital Tracker'!$A:$D,4,FALSE()),""))</f>
        <v/>
      </c>
      <c r="H1442" s="22"/>
    </row>
    <row r="1443" spans="1:8">
      <c r="A1443" s="21"/>
      <c r="B1443" s="22"/>
      <c r="C1443" s="22"/>
      <c r="D1443" s="22"/>
      <c r="E1443" s="23" t="str">
        <f>IF($D1443="","",IFERROR(VLOOKUP($D1443,'SAMA Capital Tracker'!$A:$H,8,FALSE()),""))</f>
        <v/>
      </c>
      <c r="F1443" s="24"/>
      <c r="G1443" s="25" t="str">
        <f>IF($D1443="","",IFERROR(VLOOKUP($D1443,'SAMA Capital Tracker'!$A:$D,4,FALSE()),""))</f>
        <v/>
      </c>
      <c r="H1443" s="22"/>
    </row>
    <row r="1444" spans="1:8">
      <c r="A1444" s="21"/>
      <c r="B1444" s="22"/>
      <c r="C1444" s="22"/>
      <c r="D1444" s="22"/>
      <c r="E1444" s="23" t="str">
        <f>IF($D1444="","",IFERROR(VLOOKUP($D1444,'SAMA Capital Tracker'!$A:$H,8,FALSE()),""))</f>
        <v/>
      </c>
      <c r="F1444" s="24"/>
      <c r="G1444" s="25" t="str">
        <f>IF($D1444="","",IFERROR(VLOOKUP($D1444,'SAMA Capital Tracker'!$A:$D,4,FALSE()),""))</f>
        <v/>
      </c>
      <c r="H1444" s="22"/>
    </row>
    <row r="1445" spans="1:8">
      <c r="A1445" s="21"/>
      <c r="B1445" s="22"/>
      <c r="C1445" s="22"/>
      <c r="D1445" s="22"/>
      <c r="E1445" s="23" t="str">
        <f>IF($D1445="","",IFERROR(VLOOKUP($D1445,'SAMA Capital Tracker'!$A:$H,8,FALSE()),""))</f>
        <v/>
      </c>
      <c r="F1445" s="24"/>
      <c r="G1445" s="25" t="str">
        <f>IF($D1445="","",IFERROR(VLOOKUP($D1445,'SAMA Capital Tracker'!$A:$D,4,FALSE()),""))</f>
        <v/>
      </c>
      <c r="H1445" s="22"/>
    </row>
    <row r="1446" spans="1:8">
      <c r="A1446" s="21"/>
      <c r="B1446" s="22"/>
      <c r="C1446" s="22"/>
      <c r="D1446" s="22"/>
      <c r="E1446" s="23" t="str">
        <f>IF($D1446="","",IFERROR(VLOOKUP($D1446,'SAMA Capital Tracker'!$A:$H,8,FALSE()),""))</f>
        <v/>
      </c>
      <c r="F1446" s="24"/>
      <c r="G1446" s="25" t="str">
        <f>IF($D1446="","",IFERROR(VLOOKUP($D1446,'SAMA Capital Tracker'!$A:$D,4,FALSE()),""))</f>
        <v/>
      </c>
      <c r="H1446" s="22"/>
    </row>
    <row r="1447" spans="1:8">
      <c r="A1447" s="21"/>
      <c r="B1447" s="22"/>
      <c r="C1447" s="22"/>
      <c r="D1447" s="22"/>
      <c r="E1447" s="23" t="str">
        <f>IF($D1447="","",IFERROR(VLOOKUP($D1447,'SAMA Capital Tracker'!$A:$H,8,FALSE()),""))</f>
        <v/>
      </c>
      <c r="F1447" s="24"/>
      <c r="G1447" s="25" t="str">
        <f>IF($D1447="","",IFERROR(VLOOKUP($D1447,'SAMA Capital Tracker'!$A:$D,4,FALSE()),""))</f>
        <v/>
      </c>
      <c r="H1447" s="22"/>
    </row>
    <row r="1448" spans="1:8">
      <c r="A1448" s="21"/>
      <c r="B1448" s="22"/>
      <c r="C1448" s="22"/>
      <c r="D1448" s="22"/>
      <c r="E1448" s="23" t="str">
        <f>IF($D1448="","",IFERROR(VLOOKUP($D1448,'SAMA Capital Tracker'!$A:$H,8,FALSE()),""))</f>
        <v/>
      </c>
      <c r="F1448" s="24"/>
      <c r="G1448" s="25" t="str">
        <f>IF($D1448="","",IFERROR(VLOOKUP($D1448,'SAMA Capital Tracker'!$A:$D,4,FALSE()),""))</f>
        <v/>
      </c>
      <c r="H1448" s="22"/>
    </row>
    <row r="1449" spans="1:8">
      <c r="A1449" s="21"/>
      <c r="B1449" s="22"/>
      <c r="C1449" s="22"/>
      <c r="D1449" s="22"/>
      <c r="E1449" s="23" t="str">
        <f>IF($D1449="","",IFERROR(VLOOKUP($D1449,'SAMA Capital Tracker'!$A:$H,8,FALSE()),""))</f>
        <v/>
      </c>
      <c r="F1449" s="24"/>
      <c r="G1449" s="25" t="str">
        <f>IF($D1449="","",IFERROR(VLOOKUP($D1449,'SAMA Capital Tracker'!$A:$D,4,FALSE()),""))</f>
        <v/>
      </c>
      <c r="H1449" s="22"/>
    </row>
    <row r="1450" spans="1:8">
      <c r="A1450" s="21"/>
      <c r="B1450" s="22"/>
      <c r="C1450" s="22"/>
      <c r="D1450" s="22"/>
      <c r="E1450" s="23" t="str">
        <f>IF($D1450="","",IFERROR(VLOOKUP($D1450,'SAMA Capital Tracker'!$A:$H,8,FALSE()),""))</f>
        <v/>
      </c>
      <c r="F1450" s="24"/>
      <c r="G1450" s="25" t="str">
        <f>IF($D1450="","",IFERROR(VLOOKUP($D1450,'SAMA Capital Tracker'!$A:$D,4,FALSE()),""))</f>
        <v/>
      </c>
      <c r="H1450" s="22"/>
    </row>
    <row r="1451" spans="1:8">
      <c r="A1451" s="21"/>
      <c r="B1451" s="22"/>
      <c r="C1451" s="22"/>
      <c r="D1451" s="22"/>
      <c r="E1451" s="23" t="str">
        <f>IF($D1451="","",IFERROR(VLOOKUP($D1451,'SAMA Capital Tracker'!$A:$H,8,FALSE()),""))</f>
        <v/>
      </c>
      <c r="F1451" s="24"/>
      <c r="G1451" s="25" t="str">
        <f>IF($D1451="","",IFERROR(VLOOKUP($D1451,'SAMA Capital Tracker'!$A:$D,4,FALSE()),""))</f>
        <v/>
      </c>
      <c r="H1451" s="22"/>
    </row>
    <row r="1452" spans="1:8">
      <c r="A1452" s="21"/>
      <c r="B1452" s="22"/>
      <c r="C1452" s="22"/>
      <c r="D1452" s="22"/>
      <c r="E1452" s="23" t="str">
        <f>IF($D1452="","",IFERROR(VLOOKUP($D1452,'SAMA Capital Tracker'!$A:$H,8,FALSE()),""))</f>
        <v/>
      </c>
      <c r="F1452" s="24"/>
      <c r="G1452" s="25" t="str">
        <f>IF($D1452="","",IFERROR(VLOOKUP($D1452,'SAMA Capital Tracker'!$A:$D,4,FALSE()),""))</f>
        <v/>
      </c>
      <c r="H1452" s="22"/>
    </row>
    <row r="1453" spans="1:8">
      <c r="A1453" s="21"/>
      <c r="B1453" s="22"/>
      <c r="C1453" s="22"/>
      <c r="D1453" s="22"/>
      <c r="E1453" s="23" t="str">
        <f>IF($D1453="","",IFERROR(VLOOKUP($D1453,'SAMA Capital Tracker'!$A:$H,8,FALSE()),""))</f>
        <v/>
      </c>
      <c r="F1453" s="24"/>
      <c r="G1453" s="25" t="str">
        <f>IF($D1453="","",IFERROR(VLOOKUP($D1453,'SAMA Capital Tracker'!$A:$D,4,FALSE()),""))</f>
        <v/>
      </c>
      <c r="H1453" s="22"/>
    </row>
    <row r="1454" spans="1:8">
      <c r="A1454" s="21"/>
      <c r="B1454" s="22"/>
      <c r="C1454" s="22"/>
      <c r="D1454" s="22"/>
      <c r="E1454" s="23" t="str">
        <f>IF($D1454="","",IFERROR(VLOOKUP($D1454,'SAMA Capital Tracker'!$A:$H,8,FALSE()),""))</f>
        <v/>
      </c>
      <c r="F1454" s="24"/>
      <c r="G1454" s="25" t="str">
        <f>IF($D1454="","",IFERROR(VLOOKUP($D1454,'SAMA Capital Tracker'!$A:$D,4,FALSE()),""))</f>
        <v/>
      </c>
      <c r="H1454" s="22"/>
    </row>
    <row r="1455" spans="1:8">
      <c r="A1455" s="21"/>
      <c r="B1455" s="22"/>
      <c r="C1455" s="22"/>
      <c r="D1455" s="22"/>
      <c r="E1455" s="23" t="str">
        <f>IF($D1455="","",IFERROR(VLOOKUP($D1455,'SAMA Capital Tracker'!$A:$H,8,FALSE()),""))</f>
        <v/>
      </c>
      <c r="F1455" s="24"/>
      <c r="G1455" s="25" t="str">
        <f>IF($D1455="","",IFERROR(VLOOKUP($D1455,'SAMA Capital Tracker'!$A:$D,4,FALSE()),""))</f>
        <v/>
      </c>
      <c r="H1455" s="22"/>
    </row>
    <row r="1456" spans="1:8">
      <c r="A1456" s="21"/>
      <c r="B1456" s="22"/>
      <c r="C1456" s="22"/>
      <c r="D1456" s="22"/>
      <c r="E1456" s="23" t="str">
        <f>IF($D1456="","",IFERROR(VLOOKUP($D1456,'SAMA Capital Tracker'!$A:$H,8,FALSE()),""))</f>
        <v/>
      </c>
      <c r="F1456" s="24"/>
      <c r="G1456" s="25" t="str">
        <f>IF($D1456="","",IFERROR(VLOOKUP($D1456,'SAMA Capital Tracker'!$A:$D,4,FALSE()),""))</f>
        <v/>
      </c>
      <c r="H1456" s="22"/>
    </row>
    <row r="1457" spans="1:8">
      <c r="A1457" s="21"/>
      <c r="B1457" s="22"/>
      <c r="C1457" s="22"/>
      <c r="D1457" s="22"/>
      <c r="E1457" s="23" t="str">
        <f>IF($D1457="","",IFERROR(VLOOKUP($D1457,'SAMA Capital Tracker'!$A:$H,8,FALSE()),""))</f>
        <v/>
      </c>
      <c r="F1457" s="24"/>
      <c r="G1457" s="25" t="str">
        <f>IF($D1457="","",IFERROR(VLOOKUP($D1457,'SAMA Capital Tracker'!$A:$D,4,FALSE()),""))</f>
        <v/>
      </c>
      <c r="H1457" s="22"/>
    </row>
    <row r="1458" spans="1:8">
      <c r="A1458" s="21"/>
      <c r="B1458" s="22"/>
      <c r="C1458" s="22"/>
      <c r="D1458" s="22"/>
      <c r="E1458" s="23" t="str">
        <f>IF($D1458="","",IFERROR(VLOOKUP($D1458,'SAMA Capital Tracker'!$A:$H,8,FALSE()),""))</f>
        <v/>
      </c>
      <c r="F1458" s="24"/>
      <c r="G1458" s="25" t="str">
        <f>IF($D1458="","",IFERROR(VLOOKUP($D1458,'SAMA Capital Tracker'!$A:$D,4,FALSE()),""))</f>
        <v/>
      </c>
      <c r="H1458" s="22"/>
    </row>
    <row r="1459" spans="1:8">
      <c r="A1459" s="21"/>
      <c r="B1459" s="22"/>
      <c r="C1459" s="22"/>
      <c r="D1459" s="22"/>
      <c r="E1459" s="23" t="str">
        <f>IF($D1459="","",IFERROR(VLOOKUP($D1459,'SAMA Capital Tracker'!$A:$H,8,FALSE()),""))</f>
        <v/>
      </c>
      <c r="F1459" s="24"/>
      <c r="G1459" s="25" t="str">
        <f>IF($D1459="","",IFERROR(VLOOKUP($D1459,'SAMA Capital Tracker'!$A:$D,4,FALSE()),""))</f>
        <v/>
      </c>
      <c r="H1459" s="22"/>
    </row>
    <row r="1460" spans="1:8">
      <c r="A1460" s="21"/>
      <c r="B1460" s="22"/>
      <c r="C1460" s="22"/>
      <c r="D1460" s="22"/>
      <c r="E1460" s="23" t="str">
        <f>IF($D1460="","",IFERROR(VLOOKUP($D1460,'SAMA Capital Tracker'!$A:$H,8,FALSE()),""))</f>
        <v/>
      </c>
      <c r="F1460" s="24"/>
      <c r="G1460" s="25" t="str">
        <f>IF($D1460="","",IFERROR(VLOOKUP($D1460,'SAMA Capital Tracker'!$A:$D,4,FALSE()),""))</f>
        <v/>
      </c>
      <c r="H1460" s="22"/>
    </row>
    <row r="1461" spans="1:8">
      <c r="A1461" s="21"/>
      <c r="B1461" s="22"/>
      <c r="C1461" s="22"/>
      <c r="D1461" s="22"/>
      <c r="E1461" s="23" t="str">
        <f>IF($D1461="","",IFERROR(VLOOKUP($D1461,'SAMA Capital Tracker'!$A:$H,8,FALSE()),""))</f>
        <v/>
      </c>
      <c r="F1461" s="24"/>
      <c r="G1461" s="25" t="str">
        <f>IF($D1461="","",IFERROR(VLOOKUP($D1461,'SAMA Capital Tracker'!$A:$D,4,FALSE()),""))</f>
        <v/>
      </c>
      <c r="H1461" s="22"/>
    </row>
    <row r="1462" spans="1:8">
      <c r="A1462" s="21"/>
      <c r="B1462" s="22"/>
      <c r="C1462" s="22"/>
      <c r="D1462" s="22"/>
      <c r="E1462" s="23" t="str">
        <f>IF($D1462="","",IFERROR(VLOOKUP($D1462,'SAMA Capital Tracker'!$A:$H,8,FALSE()),""))</f>
        <v/>
      </c>
      <c r="F1462" s="24"/>
      <c r="G1462" s="25" t="str">
        <f>IF($D1462="","",IFERROR(VLOOKUP($D1462,'SAMA Capital Tracker'!$A:$D,4,FALSE()),""))</f>
        <v/>
      </c>
      <c r="H1462" s="22"/>
    </row>
    <row r="1463" spans="1:8">
      <c r="A1463" s="21"/>
      <c r="B1463" s="22"/>
      <c r="C1463" s="22"/>
      <c r="D1463" s="22"/>
      <c r="E1463" s="23" t="str">
        <f>IF($D1463="","",IFERROR(VLOOKUP($D1463,'SAMA Capital Tracker'!$A:$H,8,FALSE()),""))</f>
        <v/>
      </c>
      <c r="F1463" s="24"/>
      <c r="G1463" s="25" t="str">
        <f>IF($D1463="","",IFERROR(VLOOKUP($D1463,'SAMA Capital Tracker'!$A:$D,4,FALSE()),""))</f>
        <v/>
      </c>
      <c r="H1463" s="22"/>
    </row>
    <row r="1464" spans="1:8">
      <c r="A1464" s="21"/>
      <c r="B1464" s="22"/>
      <c r="C1464" s="22"/>
      <c r="D1464" s="22"/>
      <c r="E1464" s="23" t="str">
        <f>IF($D1464="","",IFERROR(VLOOKUP($D1464,'SAMA Capital Tracker'!$A:$H,8,FALSE()),""))</f>
        <v/>
      </c>
      <c r="F1464" s="24"/>
      <c r="G1464" s="25" t="str">
        <f>IF($D1464="","",IFERROR(VLOOKUP($D1464,'SAMA Capital Tracker'!$A:$D,4,FALSE()),""))</f>
        <v/>
      </c>
      <c r="H1464" s="22"/>
    </row>
    <row r="1465" spans="1:8">
      <c r="A1465" s="21"/>
      <c r="B1465" s="22"/>
      <c r="C1465" s="22"/>
      <c r="D1465" s="22"/>
      <c r="E1465" s="23" t="str">
        <f>IF($D1465="","",IFERROR(VLOOKUP($D1465,'SAMA Capital Tracker'!$A:$H,8,FALSE()),""))</f>
        <v/>
      </c>
      <c r="F1465" s="24"/>
      <c r="G1465" s="25" t="str">
        <f>IF($D1465="","",IFERROR(VLOOKUP($D1465,'SAMA Capital Tracker'!$A:$D,4,FALSE()),""))</f>
        <v/>
      </c>
      <c r="H1465" s="22"/>
    </row>
    <row r="1466" spans="1:8">
      <c r="A1466" s="21"/>
      <c r="B1466" s="22"/>
      <c r="C1466" s="22"/>
      <c r="D1466" s="22"/>
      <c r="E1466" s="23" t="str">
        <f>IF($D1466="","",IFERROR(VLOOKUP($D1466,'SAMA Capital Tracker'!$A:$H,8,FALSE()),""))</f>
        <v/>
      </c>
      <c r="F1466" s="24"/>
      <c r="G1466" s="25" t="str">
        <f>IF($D1466="","",IFERROR(VLOOKUP($D1466,'SAMA Capital Tracker'!$A:$D,4,FALSE()),""))</f>
        <v/>
      </c>
      <c r="H1466" s="22"/>
    </row>
    <row r="1467" spans="1:8">
      <c r="A1467" s="21"/>
      <c r="B1467" s="22"/>
      <c r="C1467" s="22"/>
      <c r="D1467" s="22"/>
      <c r="E1467" s="23" t="str">
        <f>IF($D1467="","",IFERROR(VLOOKUP($D1467,'SAMA Capital Tracker'!$A:$H,8,FALSE()),""))</f>
        <v/>
      </c>
      <c r="F1467" s="24"/>
      <c r="G1467" s="25" t="str">
        <f>IF($D1467="","",IFERROR(VLOOKUP($D1467,'SAMA Capital Tracker'!$A:$D,4,FALSE()),""))</f>
        <v/>
      </c>
      <c r="H1467" s="22"/>
    </row>
    <row r="1468" spans="1:8">
      <c r="A1468" s="21"/>
      <c r="B1468" s="22"/>
      <c r="C1468" s="22"/>
      <c r="D1468" s="22"/>
      <c r="E1468" s="23" t="str">
        <f>IF($D1468="","",IFERROR(VLOOKUP($D1468,'SAMA Capital Tracker'!$A:$H,8,FALSE()),""))</f>
        <v/>
      </c>
      <c r="F1468" s="24"/>
      <c r="G1468" s="25" t="str">
        <f>IF($D1468="","",IFERROR(VLOOKUP($D1468,'SAMA Capital Tracker'!$A:$D,4,FALSE()),""))</f>
        <v/>
      </c>
      <c r="H1468" s="22"/>
    </row>
    <row r="1469" spans="1:8">
      <c r="A1469" s="21"/>
      <c r="B1469" s="22"/>
      <c r="C1469" s="22"/>
      <c r="D1469" s="22"/>
      <c r="E1469" s="23" t="str">
        <f>IF($D1469="","",IFERROR(VLOOKUP($D1469,'SAMA Capital Tracker'!$A:$H,8,FALSE()),""))</f>
        <v/>
      </c>
      <c r="F1469" s="24"/>
      <c r="G1469" s="25" t="str">
        <f>IF($D1469="","",IFERROR(VLOOKUP($D1469,'SAMA Capital Tracker'!$A:$D,4,FALSE()),""))</f>
        <v/>
      </c>
      <c r="H1469" s="22"/>
    </row>
    <row r="1470" spans="1:8">
      <c r="A1470" s="21"/>
      <c r="B1470" s="22"/>
      <c r="C1470" s="22"/>
      <c r="D1470" s="22"/>
      <c r="E1470" s="23" t="str">
        <f>IF($D1470="","",IFERROR(VLOOKUP($D1470,'SAMA Capital Tracker'!$A:$H,8,FALSE()),""))</f>
        <v/>
      </c>
      <c r="F1470" s="24"/>
      <c r="G1470" s="25" t="str">
        <f>IF($D1470="","",IFERROR(VLOOKUP($D1470,'SAMA Capital Tracker'!$A:$D,4,FALSE()),""))</f>
        <v/>
      </c>
      <c r="H1470" s="22"/>
    </row>
    <row r="1471" spans="1:8">
      <c r="A1471" s="21"/>
      <c r="B1471" s="22"/>
      <c r="C1471" s="22"/>
      <c r="D1471" s="22"/>
      <c r="E1471" s="23" t="str">
        <f>IF($D1471="","",IFERROR(VLOOKUP($D1471,'SAMA Capital Tracker'!$A:$H,8,FALSE()),""))</f>
        <v/>
      </c>
      <c r="F1471" s="24"/>
      <c r="G1471" s="25" t="str">
        <f>IF($D1471="","",IFERROR(VLOOKUP($D1471,'SAMA Capital Tracker'!$A:$D,4,FALSE()),""))</f>
        <v/>
      </c>
      <c r="H1471" s="22"/>
    </row>
    <row r="1472" spans="1:8">
      <c r="A1472" s="21"/>
      <c r="B1472" s="22"/>
      <c r="C1472" s="22"/>
      <c r="D1472" s="22"/>
      <c r="E1472" s="23" t="str">
        <f>IF($D1472="","",IFERROR(VLOOKUP($D1472,'SAMA Capital Tracker'!$A:$H,8,FALSE()),""))</f>
        <v/>
      </c>
      <c r="F1472" s="24"/>
      <c r="G1472" s="25" t="str">
        <f>IF($D1472="","",IFERROR(VLOOKUP($D1472,'SAMA Capital Tracker'!$A:$D,4,FALSE()),""))</f>
        <v/>
      </c>
      <c r="H1472" s="22"/>
    </row>
    <row r="1473" spans="1:8">
      <c r="A1473" s="21"/>
      <c r="B1473" s="22"/>
      <c r="C1473" s="22"/>
      <c r="D1473" s="22"/>
      <c r="E1473" s="23" t="str">
        <f>IF($D1473="","",IFERROR(VLOOKUP($D1473,'SAMA Capital Tracker'!$A:$H,8,FALSE()),""))</f>
        <v/>
      </c>
      <c r="F1473" s="24"/>
      <c r="G1473" s="25" t="str">
        <f>IF($D1473="","",IFERROR(VLOOKUP($D1473,'SAMA Capital Tracker'!$A:$D,4,FALSE()),""))</f>
        <v/>
      </c>
      <c r="H1473" s="22"/>
    </row>
    <row r="1474" spans="1:8">
      <c r="A1474" s="21"/>
      <c r="B1474" s="22"/>
      <c r="C1474" s="22"/>
      <c r="D1474" s="22"/>
      <c r="E1474" s="23" t="str">
        <f>IF($D1474="","",IFERROR(VLOOKUP($D1474,'SAMA Capital Tracker'!$A:$H,8,FALSE()),""))</f>
        <v/>
      </c>
      <c r="F1474" s="24"/>
      <c r="G1474" s="25" t="str">
        <f>IF($D1474="","",IFERROR(VLOOKUP($D1474,'SAMA Capital Tracker'!$A:$D,4,FALSE()),""))</f>
        <v/>
      </c>
      <c r="H1474" s="22"/>
    </row>
    <row r="1475" spans="1:8">
      <c r="A1475" s="21"/>
      <c r="B1475" s="22"/>
      <c r="C1475" s="22"/>
      <c r="D1475" s="22"/>
      <c r="E1475" s="23" t="str">
        <f>IF($D1475="","",IFERROR(VLOOKUP($D1475,'SAMA Capital Tracker'!$A:$H,8,FALSE()),""))</f>
        <v/>
      </c>
      <c r="F1475" s="24"/>
      <c r="G1475" s="25" t="str">
        <f>IF($D1475="","",IFERROR(VLOOKUP($D1475,'SAMA Capital Tracker'!$A:$D,4,FALSE()),""))</f>
        <v/>
      </c>
      <c r="H1475" s="22"/>
    </row>
    <row r="1476" spans="1:8">
      <c r="A1476" s="21"/>
      <c r="B1476" s="22"/>
      <c r="C1476" s="22"/>
      <c r="D1476" s="22"/>
      <c r="E1476" s="23" t="str">
        <f>IF($D1476="","",IFERROR(VLOOKUP($D1476,'SAMA Capital Tracker'!$A:$H,8,FALSE()),""))</f>
        <v/>
      </c>
      <c r="F1476" s="24"/>
      <c r="G1476" s="25" t="str">
        <f>IF($D1476="","",IFERROR(VLOOKUP($D1476,'SAMA Capital Tracker'!$A:$D,4,FALSE()),""))</f>
        <v/>
      </c>
      <c r="H1476" s="22"/>
    </row>
    <row r="1477" spans="1:8">
      <c r="A1477" s="21"/>
      <c r="B1477" s="22"/>
      <c r="C1477" s="22"/>
      <c r="D1477" s="22"/>
      <c r="E1477" s="23" t="str">
        <f>IF($D1477="","",IFERROR(VLOOKUP($D1477,'SAMA Capital Tracker'!$A:$H,8,FALSE()),""))</f>
        <v/>
      </c>
      <c r="F1477" s="24"/>
      <c r="G1477" s="25" t="str">
        <f>IF($D1477="","",IFERROR(VLOOKUP($D1477,'SAMA Capital Tracker'!$A:$D,4,FALSE()),""))</f>
        <v/>
      </c>
      <c r="H1477" s="22"/>
    </row>
    <row r="1478" spans="1:8">
      <c r="A1478" s="21"/>
      <c r="B1478" s="22"/>
      <c r="C1478" s="22"/>
      <c r="D1478" s="22"/>
      <c r="E1478" s="23" t="str">
        <f>IF($D1478="","",IFERROR(VLOOKUP($D1478,'SAMA Capital Tracker'!$A:$H,8,FALSE()),""))</f>
        <v/>
      </c>
      <c r="F1478" s="24"/>
      <c r="G1478" s="25" t="str">
        <f>IF($D1478="","",IFERROR(VLOOKUP($D1478,'SAMA Capital Tracker'!$A:$D,4,FALSE()),""))</f>
        <v/>
      </c>
      <c r="H1478" s="22"/>
    </row>
    <row r="1479" spans="1:8">
      <c r="A1479" s="21"/>
      <c r="B1479" s="22"/>
      <c r="C1479" s="22"/>
      <c r="D1479" s="22"/>
      <c r="E1479" s="23" t="str">
        <f>IF($D1479="","",IFERROR(VLOOKUP($D1479,'SAMA Capital Tracker'!$A:$H,8,FALSE()),""))</f>
        <v/>
      </c>
      <c r="F1479" s="24"/>
      <c r="G1479" s="25" t="str">
        <f>IF($D1479="","",IFERROR(VLOOKUP($D1479,'SAMA Capital Tracker'!$A:$D,4,FALSE()),""))</f>
        <v/>
      </c>
      <c r="H1479" s="22"/>
    </row>
    <row r="1480" spans="1:8">
      <c r="A1480" s="21"/>
      <c r="B1480" s="22"/>
      <c r="C1480" s="22"/>
      <c r="D1480" s="22"/>
      <c r="E1480" s="23" t="str">
        <f>IF($D1480="","",IFERROR(VLOOKUP($D1480,'SAMA Capital Tracker'!$A:$H,8,FALSE()),""))</f>
        <v/>
      </c>
      <c r="F1480" s="24"/>
      <c r="G1480" s="25" t="str">
        <f>IF($D1480="","",IFERROR(VLOOKUP($D1480,'SAMA Capital Tracker'!$A:$D,4,FALSE()),""))</f>
        <v/>
      </c>
      <c r="H1480" s="22"/>
    </row>
    <row r="1481" spans="1:8">
      <c r="A1481" s="21"/>
      <c r="B1481" s="22"/>
      <c r="C1481" s="22"/>
      <c r="D1481" s="22"/>
      <c r="E1481" s="23" t="str">
        <f>IF($D1481="","",IFERROR(VLOOKUP($D1481,'SAMA Capital Tracker'!$A:$H,8,FALSE()),""))</f>
        <v/>
      </c>
      <c r="F1481" s="24"/>
      <c r="G1481" s="25" t="str">
        <f>IF($D1481="","",IFERROR(VLOOKUP($D1481,'SAMA Capital Tracker'!$A:$D,4,FALSE()),""))</f>
        <v/>
      </c>
      <c r="H1481" s="22"/>
    </row>
    <row r="1482" spans="1:8">
      <c r="A1482" s="21"/>
      <c r="B1482" s="22"/>
      <c r="C1482" s="22"/>
      <c r="D1482" s="22"/>
      <c r="E1482" s="23" t="str">
        <f>IF($D1482="","",IFERROR(VLOOKUP($D1482,'SAMA Capital Tracker'!$A:$H,8,FALSE()),""))</f>
        <v/>
      </c>
      <c r="F1482" s="24"/>
      <c r="G1482" s="25" t="str">
        <f>IF($D1482="","",IFERROR(VLOOKUP($D1482,'SAMA Capital Tracker'!$A:$D,4,FALSE()),""))</f>
        <v/>
      </c>
      <c r="H1482" s="22"/>
    </row>
    <row r="1483" spans="1:8">
      <c r="A1483" s="21"/>
      <c r="B1483" s="22"/>
      <c r="C1483" s="22"/>
      <c r="D1483" s="22"/>
      <c r="E1483" s="23" t="str">
        <f>IF($D1483="","",IFERROR(VLOOKUP($D1483,'SAMA Capital Tracker'!$A:$H,8,FALSE()),""))</f>
        <v/>
      </c>
      <c r="F1483" s="24"/>
      <c r="G1483" s="25" t="str">
        <f>IF($D1483="","",IFERROR(VLOOKUP($D1483,'SAMA Capital Tracker'!$A:$D,4,FALSE()),""))</f>
        <v/>
      </c>
      <c r="H1483" s="22"/>
    </row>
    <row r="1484" spans="1:8">
      <c r="A1484" s="21"/>
      <c r="B1484" s="22"/>
      <c r="C1484" s="22"/>
      <c r="D1484" s="22"/>
      <c r="E1484" s="23" t="str">
        <f>IF($D1484="","",IFERROR(VLOOKUP($D1484,'SAMA Capital Tracker'!$A:$H,8,FALSE()),""))</f>
        <v/>
      </c>
      <c r="F1484" s="24"/>
      <c r="G1484" s="25" t="str">
        <f>IF($D1484="","",IFERROR(VLOOKUP($D1484,'SAMA Capital Tracker'!$A:$D,4,FALSE()),""))</f>
        <v/>
      </c>
      <c r="H1484" s="22"/>
    </row>
    <row r="1485" spans="1:8">
      <c r="A1485" s="21"/>
      <c r="B1485" s="22"/>
      <c r="C1485" s="22"/>
      <c r="D1485" s="22"/>
      <c r="E1485" s="23" t="str">
        <f>IF($D1485="","",IFERROR(VLOOKUP($D1485,'SAMA Capital Tracker'!$A:$H,8,FALSE()),""))</f>
        <v/>
      </c>
      <c r="F1485" s="24"/>
      <c r="G1485" s="25" t="str">
        <f>IF($D1485="","",IFERROR(VLOOKUP($D1485,'SAMA Capital Tracker'!$A:$D,4,FALSE()),""))</f>
        <v/>
      </c>
      <c r="H1485" s="22"/>
    </row>
    <row r="1486" spans="1:8">
      <c r="A1486" s="21"/>
      <c r="B1486" s="22"/>
      <c r="C1486" s="22"/>
      <c r="D1486" s="22"/>
      <c r="E1486" s="23" t="str">
        <f>IF($D1486="","",IFERROR(VLOOKUP($D1486,'SAMA Capital Tracker'!$A:$H,8,FALSE()),""))</f>
        <v/>
      </c>
      <c r="F1486" s="24"/>
      <c r="G1486" s="25" t="str">
        <f>IF($D1486="","",IFERROR(VLOOKUP($D1486,'SAMA Capital Tracker'!$A:$D,4,FALSE()),""))</f>
        <v/>
      </c>
      <c r="H1486" s="22"/>
    </row>
    <row r="1487" spans="1:8">
      <c r="A1487" s="21"/>
      <c r="B1487" s="22"/>
      <c r="C1487" s="22"/>
      <c r="D1487" s="22"/>
      <c r="E1487" s="23" t="str">
        <f>IF($D1487="","",IFERROR(VLOOKUP($D1487,'SAMA Capital Tracker'!$A:$H,8,FALSE()),""))</f>
        <v/>
      </c>
      <c r="F1487" s="24"/>
      <c r="G1487" s="25" t="str">
        <f>IF($D1487="","",IFERROR(VLOOKUP($D1487,'SAMA Capital Tracker'!$A:$D,4,FALSE()),""))</f>
        <v/>
      </c>
      <c r="H1487" s="22"/>
    </row>
    <row r="1488" spans="1:8">
      <c r="A1488" s="21"/>
      <c r="B1488" s="22"/>
      <c r="C1488" s="22"/>
      <c r="D1488" s="22"/>
      <c r="E1488" s="23" t="str">
        <f>IF($D1488="","",IFERROR(VLOOKUP($D1488,'SAMA Capital Tracker'!$A:$H,8,FALSE()),""))</f>
        <v/>
      </c>
      <c r="F1488" s="24"/>
      <c r="G1488" s="25" t="str">
        <f>IF($D1488="","",IFERROR(VLOOKUP($D1488,'SAMA Capital Tracker'!$A:$D,4,FALSE()),""))</f>
        <v/>
      </c>
      <c r="H1488" s="22"/>
    </row>
    <row r="1489" spans="1:8">
      <c r="A1489" s="21"/>
      <c r="B1489" s="22"/>
      <c r="C1489" s="22"/>
      <c r="D1489" s="22"/>
      <c r="E1489" s="23" t="str">
        <f>IF($D1489="","",IFERROR(VLOOKUP($D1489,'SAMA Capital Tracker'!$A:$H,8,FALSE()),""))</f>
        <v/>
      </c>
      <c r="F1489" s="24"/>
      <c r="G1489" s="25" t="str">
        <f>IF($D1489="","",IFERROR(VLOOKUP($D1489,'SAMA Capital Tracker'!$A:$D,4,FALSE()),""))</f>
        <v/>
      </c>
      <c r="H1489" s="22"/>
    </row>
    <row r="1490" spans="1:8">
      <c r="A1490" s="21"/>
      <c r="B1490" s="22"/>
      <c r="C1490" s="22"/>
      <c r="D1490" s="22"/>
      <c r="E1490" s="23" t="str">
        <f>IF($D1490="","",IFERROR(VLOOKUP($D1490,'SAMA Capital Tracker'!$A:$H,8,FALSE()),""))</f>
        <v/>
      </c>
      <c r="F1490" s="24"/>
      <c r="G1490" s="25" t="str">
        <f>IF($D1490="","",IFERROR(VLOOKUP($D1490,'SAMA Capital Tracker'!$A:$D,4,FALSE()),""))</f>
        <v/>
      </c>
      <c r="H1490" s="22"/>
    </row>
    <row r="1491" spans="1:8">
      <c r="A1491" s="21"/>
      <c r="B1491" s="22"/>
      <c r="C1491" s="22"/>
      <c r="D1491" s="22"/>
      <c r="E1491" s="23" t="str">
        <f>IF($D1491="","",IFERROR(VLOOKUP($D1491,'SAMA Capital Tracker'!$A:$H,8,FALSE()),""))</f>
        <v/>
      </c>
      <c r="F1491" s="24"/>
      <c r="G1491" s="25" t="str">
        <f>IF($D1491="","",IFERROR(VLOOKUP($D1491,'SAMA Capital Tracker'!$A:$D,4,FALSE()),""))</f>
        <v/>
      </c>
      <c r="H1491" s="22"/>
    </row>
    <row r="1492" spans="1:8">
      <c r="A1492" s="21"/>
      <c r="B1492" s="22"/>
      <c r="C1492" s="22"/>
      <c r="D1492" s="22"/>
      <c r="E1492" s="23" t="str">
        <f>IF($D1492="","",IFERROR(VLOOKUP($D1492,'SAMA Capital Tracker'!$A:$H,8,FALSE()),""))</f>
        <v/>
      </c>
      <c r="F1492" s="24"/>
      <c r="G1492" s="25" t="str">
        <f>IF($D1492="","",IFERROR(VLOOKUP($D1492,'SAMA Capital Tracker'!$A:$D,4,FALSE()),""))</f>
        <v/>
      </c>
      <c r="H1492" s="22"/>
    </row>
    <row r="1493" spans="1:8">
      <c r="A1493" s="21"/>
      <c r="B1493" s="22"/>
      <c r="C1493" s="22"/>
      <c r="D1493" s="22"/>
      <c r="E1493" s="23" t="str">
        <f>IF($D1493="","",IFERROR(VLOOKUP($D1493,'SAMA Capital Tracker'!$A:$H,8,FALSE()),""))</f>
        <v/>
      </c>
      <c r="F1493" s="24"/>
      <c r="G1493" s="25" t="str">
        <f>IF($D1493="","",IFERROR(VLOOKUP($D1493,'SAMA Capital Tracker'!$A:$D,4,FALSE()),""))</f>
        <v/>
      </c>
      <c r="H1493" s="22"/>
    </row>
    <row r="1494" spans="1:8">
      <c r="A1494" s="21"/>
      <c r="B1494" s="22"/>
      <c r="C1494" s="22"/>
      <c r="D1494" s="22"/>
      <c r="E1494" s="23" t="str">
        <f>IF($D1494="","",IFERROR(VLOOKUP($D1494,'SAMA Capital Tracker'!$A:$H,8,FALSE()),""))</f>
        <v/>
      </c>
      <c r="F1494" s="24"/>
      <c r="G1494" s="25" t="str">
        <f>IF($D1494="","",IFERROR(VLOOKUP($D1494,'SAMA Capital Tracker'!$A:$D,4,FALSE()),""))</f>
        <v/>
      </c>
      <c r="H1494" s="22"/>
    </row>
    <row r="1495" spans="1:8">
      <c r="A1495" s="21"/>
      <c r="B1495" s="22"/>
      <c r="C1495" s="22"/>
      <c r="D1495" s="22"/>
      <c r="E1495" s="23" t="str">
        <f>IF($D1495="","",IFERROR(VLOOKUP($D1495,'SAMA Capital Tracker'!$A:$H,8,FALSE()),""))</f>
        <v/>
      </c>
      <c r="F1495" s="24"/>
      <c r="G1495" s="25" t="str">
        <f>IF($D1495="","",IFERROR(VLOOKUP($D1495,'SAMA Capital Tracker'!$A:$D,4,FALSE()),""))</f>
        <v/>
      </c>
      <c r="H1495" s="22"/>
    </row>
    <row r="1496" spans="1:8">
      <c r="A1496" s="21"/>
      <c r="B1496" s="22"/>
      <c r="C1496" s="22"/>
      <c r="D1496" s="22"/>
      <c r="E1496" s="23" t="str">
        <f>IF($D1496="","",IFERROR(VLOOKUP($D1496,'SAMA Capital Tracker'!$A:$H,8,FALSE()),""))</f>
        <v/>
      </c>
      <c r="F1496" s="24"/>
      <c r="G1496" s="25" t="str">
        <f>IF($D1496="","",IFERROR(VLOOKUP($D1496,'SAMA Capital Tracker'!$A:$D,4,FALSE()),""))</f>
        <v/>
      </c>
      <c r="H1496" s="22"/>
    </row>
    <row r="1497" spans="1:8">
      <c r="A1497" s="21"/>
      <c r="B1497" s="22"/>
      <c r="C1497" s="22"/>
      <c r="D1497" s="22"/>
      <c r="E1497" s="23" t="str">
        <f>IF($D1497="","",IFERROR(VLOOKUP($D1497,'SAMA Capital Tracker'!$A:$H,8,FALSE()),""))</f>
        <v/>
      </c>
      <c r="F1497" s="24"/>
      <c r="G1497" s="25" t="str">
        <f>IF($D1497="","",IFERROR(VLOOKUP($D1497,'SAMA Capital Tracker'!$A:$D,4,FALSE()),""))</f>
        <v/>
      </c>
      <c r="H1497" s="22"/>
    </row>
    <row r="1498" spans="1:8">
      <c r="A1498" s="21"/>
      <c r="B1498" s="22"/>
      <c r="C1498" s="22"/>
      <c r="D1498" s="22"/>
      <c r="E1498" s="23" t="str">
        <f>IF($D1498="","",IFERROR(VLOOKUP($D1498,'SAMA Capital Tracker'!$A:$H,8,FALSE()),""))</f>
        <v/>
      </c>
      <c r="F1498" s="24"/>
      <c r="G1498" s="25" t="str">
        <f>IF($D1498="","",IFERROR(VLOOKUP($D1498,'SAMA Capital Tracker'!$A:$D,4,FALSE()),""))</f>
        <v/>
      </c>
      <c r="H1498" s="22"/>
    </row>
    <row r="1499" spans="1:8">
      <c r="A1499" s="21"/>
      <c r="B1499" s="22"/>
      <c r="C1499" s="22"/>
      <c r="D1499" s="22"/>
      <c r="E1499" s="23" t="str">
        <f>IF($D1499="","",IFERROR(VLOOKUP($D1499,'SAMA Capital Tracker'!$A:$H,8,FALSE()),""))</f>
        <v/>
      </c>
      <c r="F1499" s="24"/>
      <c r="G1499" s="25" t="str">
        <f>IF($D1499="","",IFERROR(VLOOKUP($D1499,'SAMA Capital Tracker'!$A:$D,4,FALSE()),""))</f>
        <v/>
      </c>
      <c r="H1499" s="22"/>
    </row>
    <row r="1500" spans="1:8">
      <c r="A1500" s="21"/>
      <c r="B1500" s="22"/>
      <c r="C1500" s="22"/>
      <c r="D1500" s="22"/>
      <c r="E1500" s="23" t="str">
        <f>IF($D1500="","",IFERROR(VLOOKUP($D1500,'SAMA Capital Tracker'!$A:$H,8,FALSE()),""))</f>
        <v/>
      </c>
      <c r="F1500" s="24"/>
      <c r="G1500" s="25" t="str">
        <f>IF($D1500="","",IFERROR(VLOOKUP($D1500,'SAMA Capital Tracker'!$A:$D,4,FALSE()),""))</f>
        <v/>
      </c>
      <c r="H1500" s="22"/>
    </row>
    <row r="1501" spans="1:8">
      <c r="A1501" s="21"/>
      <c r="B1501" s="22"/>
      <c r="C1501" s="22"/>
      <c r="D1501" s="22"/>
      <c r="E1501" s="23" t="str">
        <f>IF($D1501="","",IFERROR(VLOOKUP($D1501,'SAMA Capital Tracker'!$A:$H,8,FALSE()),""))</f>
        <v/>
      </c>
      <c r="F1501" s="24"/>
      <c r="G1501" s="25" t="str">
        <f>IF($D1501="","",IFERROR(VLOOKUP($D1501,'SAMA Capital Tracker'!$A:$D,4,FALSE()),""))</f>
        <v/>
      </c>
      <c r="H1501" s="22"/>
    </row>
    <row r="1502" spans="1:8">
      <c r="A1502" s="21"/>
      <c r="B1502" s="22"/>
      <c r="C1502" s="22"/>
      <c r="D1502" s="22"/>
      <c r="E1502" s="23" t="str">
        <f>IF($D1502="","",IFERROR(VLOOKUP($D1502,'SAMA Capital Tracker'!$A:$H,8,FALSE()),""))</f>
        <v/>
      </c>
      <c r="F1502" s="24"/>
      <c r="G1502" s="25" t="str">
        <f>IF($D1502="","",IFERROR(VLOOKUP($D1502,'SAMA Capital Tracker'!$A:$D,4,FALSE()),""))</f>
        <v/>
      </c>
      <c r="H1502" s="22"/>
    </row>
    <row r="1503" spans="1:8">
      <c r="A1503" s="21"/>
      <c r="B1503" s="22"/>
      <c r="C1503" s="22"/>
      <c r="D1503" s="22"/>
      <c r="E1503" s="23" t="str">
        <f>IF($D1503="","",IFERROR(VLOOKUP($D1503,'SAMA Capital Tracker'!$A:$H,8,FALSE()),""))</f>
        <v/>
      </c>
      <c r="F1503" s="24"/>
      <c r="G1503" s="25" t="str">
        <f>IF($D1503="","",IFERROR(VLOOKUP($D1503,'SAMA Capital Tracker'!$A:$D,4,FALSE()),""))</f>
        <v/>
      </c>
      <c r="H1503" s="22"/>
    </row>
    <row r="1504" spans="1:8">
      <c r="A1504" s="21"/>
      <c r="B1504" s="22"/>
      <c r="C1504" s="22"/>
      <c r="D1504" s="22"/>
      <c r="E1504" s="23" t="str">
        <f>IF($D1504="","",IFERROR(VLOOKUP($D1504,'SAMA Capital Tracker'!$A:$H,8,FALSE()),""))</f>
        <v/>
      </c>
      <c r="F1504" s="24"/>
      <c r="G1504" s="25" t="str">
        <f>IF($D1504="","",IFERROR(VLOOKUP($D1504,'SAMA Capital Tracker'!$A:$D,4,FALSE()),""))</f>
        <v/>
      </c>
      <c r="H1504" s="22"/>
    </row>
    <row r="1505" spans="1:8">
      <c r="A1505" s="21"/>
      <c r="B1505" s="22"/>
      <c r="C1505" s="22"/>
      <c r="D1505" s="22"/>
      <c r="E1505" s="23" t="str">
        <f>IF($D1505="","",IFERROR(VLOOKUP($D1505,'SAMA Capital Tracker'!$A:$H,8,FALSE()),""))</f>
        <v/>
      </c>
      <c r="F1505" s="24"/>
      <c r="G1505" s="25" t="str">
        <f>IF($D1505="","",IFERROR(VLOOKUP($D1505,'SAMA Capital Tracker'!$A:$D,4,FALSE()),""))</f>
        <v/>
      </c>
      <c r="H1505" s="22"/>
    </row>
    <row r="1506" spans="1:8">
      <c r="A1506" s="21"/>
      <c r="B1506" s="22"/>
      <c r="C1506" s="22"/>
      <c r="D1506" s="22"/>
      <c r="E1506" s="23" t="str">
        <f>IF($D1506="","",IFERROR(VLOOKUP($D1506,'SAMA Capital Tracker'!$A:$H,8,FALSE()),""))</f>
        <v/>
      </c>
      <c r="F1506" s="24"/>
      <c r="G1506" s="25" t="str">
        <f>IF($D1506="","",IFERROR(VLOOKUP($D1506,'SAMA Capital Tracker'!$A:$D,4,FALSE()),""))</f>
        <v/>
      </c>
      <c r="H1506" s="22"/>
    </row>
    <row r="1507" spans="1:8">
      <c r="A1507" s="21"/>
      <c r="B1507" s="22"/>
      <c r="C1507" s="22"/>
      <c r="D1507" s="22"/>
      <c r="E1507" s="23" t="str">
        <f>IF($D1507="","",IFERROR(VLOOKUP($D1507,'SAMA Capital Tracker'!$A:$H,8,FALSE()),""))</f>
        <v/>
      </c>
      <c r="F1507" s="24"/>
      <c r="G1507" s="25" t="str">
        <f>IF($D1507="","",IFERROR(VLOOKUP($D1507,'SAMA Capital Tracker'!$A:$D,4,FALSE()),""))</f>
        <v/>
      </c>
      <c r="H1507" s="22"/>
    </row>
    <row r="1508" spans="1:8">
      <c r="A1508" s="21"/>
      <c r="B1508" s="22"/>
      <c r="C1508" s="22"/>
      <c r="D1508" s="22"/>
      <c r="E1508" s="23" t="str">
        <f>IF($D1508="","",IFERROR(VLOOKUP($D1508,'SAMA Capital Tracker'!$A:$H,8,FALSE()),""))</f>
        <v/>
      </c>
      <c r="F1508" s="24"/>
      <c r="G1508" s="25" t="str">
        <f>IF($D1508="","",IFERROR(VLOOKUP($D1508,'SAMA Capital Tracker'!$A:$D,4,FALSE()),""))</f>
        <v/>
      </c>
      <c r="H1508" s="22"/>
    </row>
    <row r="1509" spans="1:8">
      <c r="A1509" s="21"/>
      <c r="B1509" s="22"/>
      <c r="C1509" s="22"/>
      <c r="D1509" s="22"/>
      <c r="E1509" s="23" t="str">
        <f>IF($D1509="","",IFERROR(VLOOKUP($D1509,'SAMA Capital Tracker'!$A:$H,8,FALSE()),""))</f>
        <v/>
      </c>
      <c r="F1509" s="24"/>
      <c r="G1509" s="25" t="str">
        <f>IF($D1509="","",IFERROR(VLOOKUP($D1509,'SAMA Capital Tracker'!$A:$D,4,FALSE()),""))</f>
        <v/>
      </c>
      <c r="H1509" s="22"/>
    </row>
    <row r="1510" spans="1:8">
      <c r="A1510" s="21"/>
      <c r="B1510" s="22"/>
      <c r="C1510" s="22"/>
      <c r="D1510" s="22"/>
      <c r="E1510" s="23" t="str">
        <f>IF($D1510="","",IFERROR(VLOOKUP($D1510,'SAMA Capital Tracker'!$A:$H,8,FALSE()),""))</f>
        <v/>
      </c>
      <c r="F1510" s="24"/>
      <c r="G1510" s="25" t="str">
        <f>IF($D1510="","",IFERROR(VLOOKUP($D1510,'SAMA Capital Tracker'!$A:$D,4,FALSE()),""))</f>
        <v/>
      </c>
      <c r="H1510" s="22"/>
    </row>
    <row r="1511" spans="1:8">
      <c r="A1511" s="21"/>
      <c r="B1511" s="22"/>
      <c r="C1511" s="22"/>
      <c r="D1511" s="22"/>
      <c r="E1511" s="23" t="str">
        <f>IF($D1511="","",IFERROR(VLOOKUP($D1511,'SAMA Capital Tracker'!$A:$H,8,FALSE()),""))</f>
        <v/>
      </c>
      <c r="F1511" s="24"/>
      <c r="G1511" s="25" t="str">
        <f>IF($D1511="","",IFERROR(VLOOKUP($D1511,'SAMA Capital Tracker'!$A:$D,4,FALSE()),""))</f>
        <v/>
      </c>
      <c r="H1511" s="22"/>
    </row>
    <row r="1512" spans="1:8">
      <c r="A1512" s="21"/>
      <c r="B1512" s="22"/>
      <c r="C1512" s="22"/>
      <c r="D1512" s="22"/>
      <c r="E1512" s="23" t="str">
        <f>IF($D1512="","",IFERROR(VLOOKUP($D1512,'SAMA Capital Tracker'!$A:$H,8,FALSE()),""))</f>
        <v/>
      </c>
      <c r="F1512" s="24"/>
      <c r="G1512" s="25" t="str">
        <f>IF($D1512="","",IFERROR(VLOOKUP($D1512,'SAMA Capital Tracker'!$A:$D,4,FALSE()),""))</f>
        <v/>
      </c>
      <c r="H1512" s="22"/>
    </row>
    <row r="1513" spans="1:8">
      <c r="A1513" s="21"/>
      <c r="B1513" s="22"/>
      <c r="C1513" s="22"/>
      <c r="D1513" s="22"/>
      <c r="E1513" s="23" t="str">
        <f>IF($D1513="","",IFERROR(VLOOKUP($D1513,'SAMA Capital Tracker'!$A:$H,8,FALSE()),""))</f>
        <v/>
      </c>
      <c r="F1513" s="24"/>
      <c r="G1513" s="25" t="str">
        <f>IF($D1513="","",IFERROR(VLOOKUP($D1513,'SAMA Capital Tracker'!$A:$D,4,FALSE()),""))</f>
        <v/>
      </c>
      <c r="H1513" s="22"/>
    </row>
    <row r="1514" spans="1:8">
      <c r="A1514" s="21"/>
      <c r="B1514" s="22"/>
      <c r="C1514" s="22"/>
      <c r="D1514" s="22"/>
      <c r="E1514" s="23" t="str">
        <f>IF($D1514="","",IFERROR(VLOOKUP($D1514,'SAMA Capital Tracker'!$A:$H,8,FALSE()),""))</f>
        <v/>
      </c>
      <c r="F1514" s="24"/>
      <c r="G1514" s="25" t="str">
        <f>IF($D1514="","",IFERROR(VLOOKUP($D1514,'SAMA Capital Tracker'!$A:$D,4,FALSE()),""))</f>
        <v/>
      </c>
      <c r="H1514" s="22"/>
    </row>
    <row r="1515" spans="1:8">
      <c r="A1515" s="21"/>
      <c r="B1515" s="22"/>
      <c r="C1515" s="22"/>
      <c r="D1515" s="22"/>
      <c r="E1515" s="23" t="str">
        <f>IF($D1515="","",IFERROR(VLOOKUP($D1515,'SAMA Capital Tracker'!$A:$H,8,FALSE()),""))</f>
        <v/>
      </c>
      <c r="F1515" s="24"/>
      <c r="G1515" s="25" t="str">
        <f>IF($D1515="","",IFERROR(VLOOKUP($D1515,'SAMA Capital Tracker'!$A:$D,4,FALSE()),""))</f>
        <v/>
      </c>
      <c r="H1515" s="22"/>
    </row>
    <row r="1516" spans="1:8">
      <c r="A1516" s="21"/>
      <c r="B1516" s="22"/>
      <c r="C1516" s="22"/>
      <c r="D1516" s="22"/>
      <c r="E1516" s="23" t="str">
        <f>IF($D1516="","",IFERROR(VLOOKUP($D1516,'SAMA Capital Tracker'!$A:$H,8,FALSE()),""))</f>
        <v/>
      </c>
      <c r="F1516" s="24"/>
      <c r="G1516" s="25" t="str">
        <f>IF($D1516="","",IFERROR(VLOOKUP($D1516,'SAMA Capital Tracker'!$A:$D,4,FALSE()),""))</f>
        <v/>
      </c>
      <c r="H1516" s="22"/>
    </row>
    <row r="1517" spans="1:8">
      <c r="A1517" s="21"/>
      <c r="B1517" s="22"/>
      <c r="C1517" s="22"/>
      <c r="D1517" s="22"/>
      <c r="E1517" s="23" t="str">
        <f>IF($D1517="","",IFERROR(VLOOKUP($D1517,'SAMA Capital Tracker'!$A:$H,8,FALSE()),""))</f>
        <v/>
      </c>
      <c r="F1517" s="24"/>
      <c r="G1517" s="25" t="str">
        <f>IF($D1517="","",IFERROR(VLOOKUP($D1517,'SAMA Capital Tracker'!$A:$D,4,FALSE()),""))</f>
        <v/>
      </c>
      <c r="H1517" s="22"/>
    </row>
    <row r="1518" spans="1:8">
      <c r="A1518" s="21"/>
      <c r="B1518" s="22"/>
      <c r="C1518" s="22"/>
      <c r="D1518" s="22"/>
      <c r="E1518" s="23" t="str">
        <f>IF($D1518="","",IFERROR(VLOOKUP($D1518,'SAMA Capital Tracker'!$A:$H,8,FALSE()),""))</f>
        <v/>
      </c>
      <c r="F1518" s="24"/>
      <c r="G1518" s="25" t="str">
        <f>IF($D1518="","",IFERROR(VLOOKUP($D1518,'SAMA Capital Tracker'!$A:$D,4,FALSE()),""))</f>
        <v/>
      </c>
      <c r="H1518" s="22"/>
    </row>
    <row r="1519" spans="1:8">
      <c r="A1519" s="21"/>
      <c r="B1519" s="22"/>
      <c r="C1519" s="22"/>
      <c r="D1519" s="22"/>
      <c r="E1519" s="23" t="str">
        <f>IF($D1519="","",IFERROR(VLOOKUP($D1519,'SAMA Capital Tracker'!$A:$H,8,FALSE()),""))</f>
        <v/>
      </c>
      <c r="F1519" s="24"/>
      <c r="G1519" s="25" t="str">
        <f>IF($D1519="","",IFERROR(VLOOKUP($D1519,'SAMA Capital Tracker'!$A:$D,4,FALSE()),""))</f>
        <v/>
      </c>
      <c r="H1519" s="22"/>
    </row>
    <row r="1520" spans="1:8">
      <c r="A1520" s="21"/>
      <c r="B1520" s="22"/>
      <c r="C1520" s="22"/>
      <c r="D1520" s="22"/>
      <c r="E1520" s="23" t="str">
        <f>IF($D1520="","",IFERROR(VLOOKUP($D1520,'SAMA Capital Tracker'!$A:$H,8,FALSE()),""))</f>
        <v/>
      </c>
      <c r="F1520" s="24"/>
      <c r="G1520" s="25" t="str">
        <f>IF($D1520="","",IFERROR(VLOOKUP($D1520,'SAMA Capital Tracker'!$A:$D,4,FALSE()),""))</f>
        <v/>
      </c>
      <c r="H1520" s="22"/>
    </row>
    <row r="1521" spans="1:8">
      <c r="A1521" s="21"/>
      <c r="B1521" s="22"/>
      <c r="C1521" s="22"/>
      <c r="D1521" s="22"/>
      <c r="E1521" s="23" t="str">
        <f>IF($D1521="","",IFERROR(VLOOKUP($D1521,'SAMA Capital Tracker'!$A:$H,8,FALSE()),""))</f>
        <v/>
      </c>
      <c r="F1521" s="24"/>
      <c r="G1521" s="25" t="str">
        <f>IF($D1521="","",IFERROR(VLOOKUP($D1521,'SAMA Capital Tracker'!$A:$D,4,FALSE()),""))</f>
        <v/>
      </c>
      <c r="H1521" s="22"/>
    </row>
    <row r="1522" spans="1:8">
      <c r="A1522" s="21"/>
      <c r="B1522" s="22"/>
      <c r="C1522" s="22"/>
      <c r="D1522" s="22"/>
      <c r="E1522" s="23" t="str">
        <f>IF($D1522="","",IFERROR(VLOOKUP($D1522,'SAMA Capital Tracker'!$A:$H,8,FALSE()),""))</f>
        <v/>
      </c>
      <c r="F1522" s="24"/>
      <c r="G1522" s="25" t="str">
        <f>IF($D1522="","",IFERROR(VLOOKUP($D1522,'SAMA Capital Tracker'!$A:$D,4,FALSE()),""))</f>
        <v/>
      </c>
      <c r="H1522" s="22"/>
    </row>
    <row r="1523" spans="1:8">
      <c r="A1523" s="21"/>
      <c r="B1523" s="22"/>
      <c r="C1523" s="22"/>
      <c r="D1523" s="22"/>
      <c r="E1523" s="23" t="str">
        <f>IF($D1523="","",IFERROR(VLOOKUP($D1523,'SAMA Capital Tracker'!$A:$H,8,FALSE()),""))</f>
        <v/>
      </c>
      <c r="F1523" s="24"/>
      <c r="G1523" s="25" t="str">
        <f>IF($D1523="","",IFERROR(VLOOKUP($D1523,'SAMA Capital Tracker'!$A:$D,4,FALSE()),""))</f>
        <v/>
      </c>
      <c r="H1523" s="22"/>
    </row>
    <row r="1524" spans="1:8">
      <c r="A1524" s="21"/>
      <c r="B1524" s="22"/>
      <c r="C1524" s="22"/>
      <c r="D1524" s="22"/>
      <c r="E1524" s="23" t="str">
        <f>IF($D1524="","",IFERROR(VLOOKUP($D1524,'SAMA Capital Tracker'!$A:$H,8,FALSE()),""))</f>
        <v/>
      </c>
      <c r="F1524" s="24"/>
      <c r="G1524" s="25" t="str">
        <f>IF($D1524="","",IFERROR(VLOOKUP($D1524,'SAMA Capital Tracker'!$A:$D,4,FALSE()),""))</f>
        <v/>
      </c>
      <c r="H1524" s="22"/>
    </row>
    <row r="1525" spans="1:8">
      <c r="A1525" s="21"/>
      <c r="B1525" s="22"/>
      <c r="C1525" s="22"/>
      <c r="D1525" s="22"/>
      <c r="E1525" s="23" t="str">
        <f>IF($D1525="","",IFERROR(VLOOKUP($D1525,'SAMA Capital Tracker'!$A:$H,8,FALSE()),""))</f>
        <v/>
      </c>
      <c r="F1525" s="24"/>
      <c r="G1525" s="25" t="str">
        <f>IF($D1525="","",IFERROR(VLOOKUP($D1525,'SAMA Capital Tracker'!$A:$D,4,FALSE()),""))</f>
        <v/>
      </c>
      <c r="H1525" s="22"/>
    </row>
    <row r="1526" spans="1:8">
      <c r="A1526" s="21"/>
      <c r="B1526" s="22"/>
      <c r="C1526" s="22"/>
      <c r="D1526" s="22"/>
      <c r="E1526" s="23" t="str">
        <f>IF($D1526="","",IFERROR(VLOOKUP($D1526,'SAMA Capital Tracker'!$A:$H,8,FALSE()),""))</f>
        <v/>
      </c>
      <c r="F1526" s="24"/>
      <c r="G1526" s="25" t="str">
        <f>IF($D1526="","",IFERROR(VLOOKUP($D1526,'SAMA Capital Tracker'!$A:$D,4,FALSE()),""))</f>
        <v/>
      </c>
      <c r="H1526" s="22"/>
    </row>
    <row r="1527" spans="1:8">
      <c r="A1527" s="21"/>
      <c r="B1527" s="22"/>
      <c r="C1527" s="22"/>
      <c r="D1527" s="22"/>
      <c r="E1527" s="23" t="str">
        <f>IF($D1527="","",IFERROR(VLOOKUP($D1527,'SAMA Capital Tracker'!$A:$H,8,FALSE()),""))</f>
        <v/>
      </c>
      <c r="F1527" s="24"/>
      <c r="G1527" s="25" t="str">
        <f>IF($D1527="","",IFERROR(VLOOKUP($D1527,'SAMA Capital Tracker'!$A:$D,4,FALSE()),""))</f>
        <v/>
      </c>
      <c r="H1527" s="22"/>
    </row>
    <row r="1528" spans="1:8">
      <c r="A1528" s="21"/>
      <c r="B1528" s="22"/>
      <c r="C1528" s="22"/>
      <c r="D1528" s="22"/>
      <c r="E1528" s="23" t="str">
        <f>IF($D1528="","",IFERROR(VLOOKUP($D1528,'SAMA Capital Tracker'!$A:$H,8,FALSE()),""))</f>
        <v/>
      </c>
      <c r="F1528" s="24"/>
      <c r="G1528" s="25" t="str">
        <f>IF($D1528="","",IFERROR(VLOOKUP($D1528,'SAMA Capital Tracker'!$A:$D,4,FALSE()),""))</f>
        <v/>
      </c>
      <c r="H1528" s="22"/>
    </row>
    <row r="1529" spans="1:8">
      <c r="A1529" s="21"/>
      <c r="B1529" s="22"/>
      <c r="C1529" s="22"/>
      <c r="D1529" s="22"/>
      <c r="E1529" s="23" t="str">
        <f>IF($D1529="","",IFERROR(VLOOKUP($D1529,'SAMA Capital Tracker'!$A:$H,8,FALSE()),""))</f>
        <v/>
      </c>
      <c r="F1529" s="24"/>
      <c r="G1529" s="25" t="str">
        <f>IF($D1529="","",IFERROR(VLOOKUP($D1529,'SAMA Capital Tracker'!$A:$D,4,FALSE()),""))</f>
        <v/>
      </c>
      <c r="H1529" s="22"/>
    </row>
    <row r="1530" spans="1:8">
      <c r="A1530" s="21"/>
      <c r="B1530" s="22"/>
      <c r="C1530" s="22"/>
      <c r="D1530" s="22"/>
      <c r="E1530" s="23" t="str">
        <f>IF($D1530="","",IFERROR(VLOOKUP($D1530,'SAMA Capital Tracker'!$A:$H,8,FALSE()),""))</f>
        <v/>
      </c>
      <c r="F1530" s="24"/>
      <c r="G1530" s="25" t="str">
        <f>IF($D1530="","",IFERROR(VLOOKUP($D1530,'SAMA Capital Tracker'!$A:$D,4,FALSE()),""))</f>
        <v/>
      </c>
      <c r="H1530" s="22"/>
    </row>
    <row r="1531" spans="1:8">
      <c r="A1531" s="21"/>
      <c r="B1531" s="22"/>
      <c r="C1531" s="22"/>
      <c r="D1531" s="22"/>
      <c r="E1531" s="23" t="str">
        <f>IF($D1531="","",IFERROR(VLOOKUP($D1531,'SAMA Capital Tracker'!$A:$H,8,FALSE()),""))</f>
        <v/>
      </c>
      <c r="F1531" s="24"/>
      <c r="G1531" s="25" t="str">
        <f>IF($D1531="","",IFERROR(VLOOKUP($D1531,'SAMA Capital Tracker'!$A:$D,4,FALSE()),""))</f>
        <v/>
      </c>
      <c r="H1531" s="22"/>
    </row>
    <row r="1532" spans="1:8">
      <c r="A1532" s="21"/>
      <c r="B1532" s="22"/>
      <c r="C1532" s="22"/>
      <c r="D1532" s="22"/>
      <c r="E1532" s="23" t="str">
        <f>IF($D1532="","",IFERROR(VLOOKUP($D1532,'SAMA Capital Tracker'!$A:$H,8,FALSE()),""))</f>
        <v/>
      </c>
      <c r="F1532" s="24"/>
      <c r="G1532" s="25" t="str">
        <f>IF($D1532="","",IFERROR(VLOOKUP($D1532,'SAMA Capital Tracker'!$A:$D,4,FALSE()),""))</f>
        <v/>
      </c>
      <c r="H1532" s="22"/>
    </row>
    <row r="1533" spans="1:8">
      <c r="A1533" s="21"/>
      <c r="B1533" s="22"/>
      <c r="C1533" s="22"/>
      <c r="D1533" s="22"/>
      <c r="E1533" s="23" t="str">
        <f>IF($D1533="","",IFERROR(VLOOKUP($D1533,'SAMA Capital Tracker'!$A:$H,8,FALSE()),""))</f>
        <v/>
      </c>
      <c r="F1533" s="24"/>
      <c r="G1533" s="25" t="str">
        <f>IF($D1533="","",IFERROR(VLOOKUP($D1533,'SAMA Capital Tracker'!$A:$D,4,FALSE()),""))</f>
        <v/>
      </c>
      <c r="H1533" s="22"/>
    </row>
    <row r="1534" spans="1:8">
      <c r="A1534" s="21"/>
      <c r="B1534" s="22"/>
      <c r="C1534" s="22"/>
      <c r="D1534" s="22"/>
      <c r="E1534" s="23" t="str">
        <f>IF($D1534="","",IFERROR(VLOOKUP($D1534,'SAMA Capital Tracker'!$A:$H,8,FALSE()),""))</f>
        <v/>
      </c>
      <c r="F1534" s="24"/>
      <c r="G1534" s="25" t="str">
        <f>IF($D1534="","",IFERROR(VLOOKUP($D1534,'SAMA Capital Tracker'!$A:$D,4,FALSE()),""))</f>
        <v/>
      </c>
      <c r="H1534" s="22"/>
    </row>
    <row r="1535" spans="1:8">
      <c r="A1535" s="21"/>
      <c r="B1535" s="22"/>
      <c r="C1535" s="22"/>
      <c r="D1535" s="22"/>
      <c r="E1535" s="23" t="str">
        <f>IF($D1535="","",IFERROR(VLOOKUP($D1535,'SAMA Capital Tracker'!$A:$H,8,FALSE()),""))</f>
        <v/>
      </c>
      <c r="F1535" s="24"/>
      <c r="G1535" s="25" t="str">
        <f>IF($D1535="","",IFERROR(VLOOKUP($D1535,'SAMA Capital Tracker'!$A:$D,4,FALSE()),""))</f>
        <v/>
      </c>
      <c r="H1535" s="22"/>
    </row>
    <row r="1536" spans="1:8">
      <c r="A1536" s="21"/>
      <c r="B1536" s="22"/>
      <c r="C1536" s="22"/>
      <c r="D1536" s="22"/>
      <c r="E1536" s="23" t="str">
        <f>IF($D1536="","",IFERROR(VLOOKUP($D1536,'SAMA Capital Tracker'!$A:$H,8,FALSE()),""))</f>
        <v/>
      </c>
      <c r="F1536" s="24"/>
      <c r="G1536" s="25" t="str">
        <f>IF($D1536="","",IFERROR(VLOOKUP($D1536,'SAMA Capital Tracker'!$A:$D,4,FALSE()),""))</f>
        <v/>
      </c>
      <c r="H1536" s="22"/>
    </row>
    <row r="1537" spans="1:8">
      <c r="A1537" s="21"/>
      <c r="B1537" s="22"/>
      <c r="C1537" s="22"/>
      <c r="D1537" s="22"/>
      <c r="E1537" s="23" t="str">
        <f>IF($D1537="","",IFERROR(VLOOKUP($D1537,'SAMA Capital Tracker'!$A:$H,8,FALSE()),""))</f>
        <v/>
      </c>
      <c r="F1537" s="24"/>
      <c r="G1537" s="25" t="str">
        <f>IF($D1537="","",IFERROR(VLOOKUP($D1537,'SAMA Capital Tracker'!$A:$D,4,FALSE()),""))</f>
        <v/>
      </c>
      <c r="H1537" s="22"/>
    </row>
    <row r="1538" spans="1:8">
      <c r="A1538" s="21"/>
      <c r="B1538" s="22"/>
      <c r="C1538" s="22"/>
      <c r="D1538" s="22"/>
      <c r="E1538" s="23" t="str">
        <f>IF($D1538="","",IFERROR(VLOOKUP($D1538,'SAMA Capital Tracker'!$A:$H,8,FALSE()),""))</f>
        <v/>
      </c>
      <c r="F1538" s="24"/>
      <c r="G1538" s="25" t="str">
        <f>IF($D1538="","",IFERROR(VLOOKUP($D1538,'SAMA Capital Tracker'!$A:$D,4,FALSE()),""))</f>
        <v/>
      </c>
      <c r="H1538" s="22"/>
    </row>
    <row r="1539" spans="1:8">
      <c r="A1539" s="21"/>
      <c r="B1539" s="22"/>
      <c r="C1539" s="22"/>
      <c r="D1539" s="22"/>
      <c r="E1539" s="23" t="str">
        <f>IF($D1539="","",IFERROR(VLOOKUP($D1539,'SAMA Capital Tracker'!$A:$H,8,FALSE()),""))</f>
        <v/>
      </c>
      <c r="F1539" s="24"/>
      <c r="G1539" s="25" t="str">
        <f>IF($D1539="","",IFERROR(VLOOKUP($D1539,'SAMA Capital Tracker'!$A:$D,4,FALSE()),""))</f>
        <v/>
      </c>
      <c r="H1539" s="22"/>
    </row>
    <row r="1540" spans="1:8">
      <c r="A1540" s="21"/>
      <c r="B1540" s="22"/>
      <c r="C1540" s="22"/>
      <c r="D1540" s="22"/>
      <c r="E1540" s="23" t="str">
        <f>IF($D1540="","",IFERROR(VLOOKUP($D1540,'SAMA Capital Tracker'!$A:$H,8,FALSE()),""))</f>
        <v/>
      </c>
      <c r="F1540" s="24"/>
      <c r="G1540" s="25" t="str">
        <f>IF($D1540="","",IFERROR(VLOOKUP($D1540,'SAMA Capital Tracker'!$A:$D,4,FALSE()),""))</f>
        <v/>
      </c>
      <c r="H1540" s="22"/>
    </row>
    <row r="1541" spans="1:8">
      <c r="A1541" s="21"/>
      <c r="B1541" s="22"/>
      <c r="C1541" s="22"/>
      <c r="D1541" s="22"/>
      <c r="E1541" s="23" t="str">
        <f>IF($D1541="","",IFERROR(VLOOKUP($D1541,'SAMA Capital Tracker'!$A:$H,8,FALSE()),""))</f>
        <v/>
      </c>
      <c r="F1541" s="24"/>
      <c r="G1541" s="25" t="str">
        <f>IF($D1541="","",IFERROR(VLOOKUP($D1541,'SAMA Capital Tracker'!$A:$D,4,FALSE()),""))</f>
        <v/>
      </c>
      <c r="H1541" s="22"/>
    </row>
    <row r="1542" spans="1:8">
      <c r="A1542" s="21"/>
      <c r="B1542" s="22"/>
      <c r="C1542" s="22"/>
      <c r="D1542" s="22"/>
      <c r="E1542" s="23" t="str">
        <f>IF($D1542="","",IFERROR(VLOOKUP($D1542,'SAMA Capital Tracker'!$A:$H,8,FALSE()),""))</f>
        <v/>
      </c>
      <c r="F1542" s="24"/>
      <c r="G1542" s="25" t="str">
        <f>IF($D1542="","",IFERROR(VLOOKUP($D1542,'SAMA Capital Tracker'!$A:$D,4,FALSE()),""))</f>
        <v/>
      </c>
      <c r="H1542" s="22"/>
    </row>
    <row r="1543" spans="1:8">
      <c r="A1543" s="21"/>
      <c r="B1543" s="22"/>
      <c r="C1543" s="22"/>
      <c r="D1543" s="22"/>
      <c r="E1543" s="23" t="str">
        <f>IF($D1543="","",IFERROR(VLOOKUP($D1543,'SAMA Capital Tracker'!$A:$H,8,FALSE()),""))</f>
        <v/>
      </c>
      <c r="F1543" s="24"/>
      <c r="G1543" s="25" t="str">
        <f>IF($D1543="","",IFERROR(VLOOKUP($D1543,'SAMA Capital Tracker'!$A:$D,4,FALSE()),""))</f>
        <v/>
      </c>
      <c r="H1543" s="22"/>
    </row>
    <row r="1544" spans="1:8">
      <c r="A1544" s="21"/>
      <c r="B1544" s="22"/>
      <c r="C1544" s="22"/>
      <c r="D1544" s="22"/>
      <c r="E1544" s="23" t="str">
        <f>IF($D1544="","",IFERROR(VLOOKUP($D1544,'SAMA Capital Tracker'!$A:$H,8,FALSE()),""))</f>
        <v/>
      </c>
      <c r="F1544" s="24"/>
      <c r="G1544" s="25" t="str">
        <f>IF($D1544="","",IFERROR(VLOOKUP($D1544,'SAMA Capital Tracker'!$A:$D,4,FALSE()),""))</f>
        <v/>
      </c>
      <c r="H1544" s="22"/>
    </row>
    <row r="1545" spans="1:8">
      <c r="A1545" s="21"/>
      <c r="B1545" s="22"/>
      <c r="C1545" s="22"/>
      <c r="D1545" s="22"/>
      <c r="E1545" s="23" t="str">
        <f>IF($D1545="","",IFERROR(VLOOKUP($D1545,'SAMA Capital Tracker'!$A:$H,8,FALSE()),""))</f>
        <v/>
      </c>
      <c r="F1545" s="24"/>
      <c r="G1545" s="25" t="str">
        <f>IF($D1545="","",IFERROR(VLOOKUP($D1545,'SAMA Capital Tracker'!$A:$D,4,FALSE()),""))</f>
        <v/>
      </c>
      <c r="H1545" s="22"/>
    </row>
    <row r="1546" spans="1:8">
      <c r="A1546" s="21"/>
      <c r="B1546" s="22"/>
      <c r="C1546" s="22"/>
      <c r="D1546" s="22"/>
      <c r="E1546" s="23" t="str">
        <f>IF($D1546="","",IFERROR(VLOOKUP($D1546,'SAMA Capital Tracker'!$A:$H,8,FALSE()),""))</f>
        <v/>
      </c>
      <c r="F1546" s="24"/>
      <c r="G1546" s="25" t="str">
        <f>IF($D1546="","",IFERROR(VLOOKUP($D1546,'SAMA Capital Tracker'!$A:$D,4,FALSE()),""))</f>
        <v/>
      </c>
      <c r="H1546" s="22"/>
    </row>
    <row r="1547" spans="1:8">
      <c r="A1547" s="21"/>
      <c r="B1547" s="22"/>
      <c r="C1547" s="22"/>
      <c r="D1547" s="22"/>
      <c r="E1547" s="23" t="str">
        <f>IF($D1547="","",IFERROR(VLOOKUP($D1547,'SAMA Capital Tracker'!$A:$H,8,FALSE()),""))</f>
        <v/>
      </c>
      <c r="F1547" s="24"/>
      <c r="G1547" s="25" t="str">
        <f>IF($D1547="","",IFERROR(VLOOKUP($D1547,'SAMA Capital Tracker'!$A:$D,4,FALSE()),""))</f>
        <v/>
      </c>
      <c r="H1547" s="22"/>
    </row>
    <row r="1548" spans="1:8">
      <c r="A1548" s="21"/>
      <c r="B1548" s="22"/>
      <c r="C1548" s="22"/>
      <c r="D1548" s="22"/>
      <c r="E1548" s="23" t="str">
        <f>IF($D1548="","",IFERROR(VLOOKUP($D1548,'SAMA Capital Tracker'!$A:$H,8,FALSE()),""))</f>
        <v/>
      </c>
      <c r="F1548" s="24"/>
      <c r="G1548" s="25" t="str">
        <f>IF($D1548="","",IFERROR(VLOOKUP($D1548,'SAMA Capital Tracker'!$A:$D,4,FALSE()),""))</f>
        <v/>
      </c>
      <c r="H1548" s="22"/>
    </row>
    <row r="1549" spans="1:8">
      <c r="A1549" s="21"/>
      <c r="B1549" s="22"/>
      <c r="C1549" s="22"/>
      <c r="D1549" s="22"/>
      <c r="E1549" s="23" t="str">
        <f>IF($D1549="","",IFERROR(VLOOKUP($D1549,'SAMA Capital Tracker'!$A:$H,8,FALSE()),""))</f>
        <v/>
      </c>
      <c r="F1549" s="24"/>
      <c r="G1549" s="25" t="str">
        <f>IF($D1549="","",IFERROR(VLOOKUP($D1549,'SAMA Capital Tracker'!$A:$D,4,FALSE()),""))</f>
        <v/>
      </c>
      <c r="H1549" s="22"/>
    </row>
    <row r="1550" spans="1:8">
      <c r="A1550" s="21"/>
      <c r="B1550" s="22"/>
      <c r="C1550" s="22"/>
      <c r="D1550" s="22"/>
      <c r="E1550" s="23" t="str">
        <f>IF($D1550="","",IFERROR(VLOOKUP($D1550,'SAMA Capital Tracker'!$A:$H,8,FALSE()),""))</f>
        <v/>
      </c>
      <c r="F1550" s="24"/>
      <c r="G1550" s="25" t="str">
        <f>IF($D1550="","",IFERROR(VLOOKUP($D1550,'SAMA Capital Tracker'!$A:$D,4,FALSE()),""))</f>
        <v/>
      </c>
      <c r="H1550" s="22"/>
    </row>
    <row r="1551" spans="1:8">
      <c r="A1551" s="21"/>
      <c r="B1551" s="22"/>
      <c r="C1551" s="22"/>
      <c r="D1551" s="22"/>
      <c r="E1551" s="23" t="str">
        <f>IF($D1551="","",IFERROR(VLOOKUP($D1551,'SAMA Capital Tracker'!$A:$H,8,FALSE()),""))</f>
        <v/>
      </c>
      <c r="F1551" s="24"/>
      <c r="G1551" s="25" t="str">
        <f>IF($D1551="","",IFERROR(VLOOKUP($D1551,'SAMA Capital Tracker'!$A:$D,4,FALSE()),""))</f>
        <v/>
      </c>
      <c r="H1551" s="22"/>
    </row>
    <row r="1552" spans="1:8">
      <c r="A1552" s="21"/>
      <c r="B1552" s="22"/>
      <c r="C1552" s="22"/>
      <c r="D1552" s="22"/>
      <c r="E1552" s="23" t="str">
        <f>IF($D1552="","",IFERROR(VLOOKUP($D1552,'SAMA Capital Tracker'!$A:$H,8,FALSE()),""))</f>
        <v/>
      </c>
      <c r="F1552" s="24"/>
      <c r="G1552" s="25" t="str">
        <f>IF($D1552="","",IFERROR(VLOOKUP($D1552,'SAMA Capital Tracker'!$A:$D,4,FALSE()),""))</f>
        <v/>
      </c>
      <c r="H1552" s="22"/>
    </row>
    <row r="1553" spans="1:8">
      <c r="A1553" s="21"/>
      <c r="B1553" s="22"/>
      <c r="C1553" s="22"/>
      <c r="D1553" s="22"/>
      <c r="E1553" s="23" t="str">
        <f>IF($D1553="","",IFERROR(VLOOKUP($D1553,'SAMA Capital Tracker'!$A:$H,8,FALSE()),""))</f>
        <v/>
      </c>
      <c r="F1553" s="24"/>
      <c r="G1553" s="25" t="str">
        <f>IF($D1553="","",IFERROR(VLOOKUP($D1553,'SAMA Capital Tracker'!$A:$D,4,FALSE()),""))</f>
        <v/>
      </c>
      <c r="H1553" s="22"/>
    </row>
    <row r="1554" spans="1:8">
      <c r="A1554" s="21"/>
      <c r="B1554" s="22"/>
      <c r="C1554" s="22"/>
      <c r="D1554" s="22"/>
      <c r="E1554" s="23" t="str">
        <f>IF($D1554="","",IFERROR(VLOOKUP($D1554,'SAMA Capital Tracker'!$A:$H,8,FALSE()),""))</f>
        <v/>
      </c>
      <c r="F1554" s="24"/>
      <c r="G1554" s="25" t="str">
        <f>IF($D1554="","",IFERROR(VLOOKUP($D1554,'SAMA Capital Tracker'!$A:$D,4,FALSE()),""))</f>
        <v/>
      </c>
      <c r="H1554" s="22"/>
    </row>
    <row r="1555" spans="1:8">
      <c r="A1555" s="21"/>
      <c r="B1555" s="22"/>
      <c r="C1555" s="22"/>
      <c r="D1555" s="22"/>
      <c r="E1555" s="23" t="str">
        <f>IF($D1555="","",IFERROR(VLOOKUP($D1555,'SAMA Capital Tracker'!$A:$H,8,FALSE()),""))</f>
        <v/>
      </c>
      <c r="F1555" s="24"/>
      <c r="G1555" s="25" t="str">
        <f>IF($D1555="","",IFERROR(VLOOKUP($D1555,'SAMA Capital Tracker'!$A:$D,4,FALSE()),""))</f>
        <v/>
      </c>
      <c r="H1555" s="22"/>
    </row>
    <row r="1556" spans="1:8">
      <c r="A1556" s="21"/>
      <c r="B1556" s="22"/>
      <c r="C1556" s="22"/>
      <c r="D1556" s="22"/>
      <c r="E1556" s="23" t="str">
        <f>IF($D1556="","",IFERROR(VLOOKUP($D1556,'SAMA Capital Tracker'!$A:$H,8,FALSE()),""))</f>
        <v/>
      </c>
      <c r="F1556" s="24"/>
      <c r="G1556" s="25" t="str">
        <f>IF($D1556="","",IFERROR(VLOOKUP($D1556,'SAMA Capital Tracker'!$A:$D,4,FALSE()),""))</f>
        <v/>
      </c>
      <c r="H1556" s="22"/>
    </row>
    <row r="1557" spans="1:8">
      <c r="A1557" s="21"/>
      <c r="B1557" s="22"/>
      <c r="C1557" s="22"/>
      <c r="D1557" s="22"/>
      <c r="E1557" s="23" t="str">
        <f>IF($D1557="","",IFERROR(VLOOKUP($D1557,'SAMA Capital Tracker'!$A:$H,8,FALSE()),""))</f>
        <v/>
      </c>
      <c r="F1557" s="24"/>
      <c r="G1557" s="25" t="str">
        <f>IF($D1557="","",IFERROR(VLOOKUP($D1557,'SAMA Capital Tracker'!$A:$D,4,FALSE()),""))</f>
        <v/>
      </c>
      <c r="H1557" s="22"/>
    </row>
    <row r="1558" spans="1:8">
      <c r="A1558" s="21"/>
      <c r="B1558" s="22"/>
      <c r="C1558" s="22"/>
      <c r="D1558" s="22"/>
      <c r="E1558" s="23" t="str">
        <f>IF($D1558="","",IFERROR(VLOOKUP($D1558,'SAMA Capital Tracker'!$A:$H,8,FALSE()),""))</f>
        <v/>
      </c>
      <c r="F1558" s="24"/>
      <c r="G1558" s="25" t="str">
        <f>IF($D1558="","",IFERROR(VLOOKUP($D1558,'SAMA Capital Tracker'!$A:$D,4,FALSE()),""))</f>
        <v/>
      </c>
      <c r="H1558" s="22"/>
    </row>
    <row r="1559" spans="1:8">
      <c r="A1559" s="21"/>
      <c r="B1559" s="22"/>
      <c r="C1559" s="22"/>
      <c r="D1559" s="22"/>
      <c r="E1559" s="23" t="str">
        <f>IF($D1559="","",IFERROR(VLOOKUP($D1559,'SAMA Capital Tracker'!$A:$H,8,FALSE()),""))</f>
        <v/>
      </c>
      <c r="F1559" s="24"/>
      <c r="G1559" s="25" t="str">
        <f>IF($D1559="","",IFERROR(VLOOKUP($D1559,'SAMA Capital Tracker'!$A:$D,4,FALSE()),""))</f>
        <v/>
      </c>
      <c r="H1559" s="22"/>
    </row>
    <row r="1560" spans="1:8">
      <c r="A1560" s="21"/>
      <c r="B1560" s="22"/>
      <c r="C1560" s="22"/>
      <c r="D1560" s="22"/>
      <c r="E1560" s="23" t="str">
        <f>IF($D1560="","",IFERROR(VLOOKUP($D1560,'SAMA Capital Tracker'!$A:$H,8,FALSE()),""))</f>
        <v/>
      </c>
      <c r="F1560" s="24"/>
      <c r="G1560" s="25" t="str">
        <f>IF($D1560="","",IFERROR(VLOOKUP($D1560,'SAMA Capital Tracker'!$A:$D,4,FALSE()),""))</f>
        <v/>
      </c>
      <c r="H1560" s="22"/>
    </row>
    <row r="1561" spans="1:8">
      <c r="A1561" s="21"/>
      <c r="B1561" s="22"/>
      <c r="C1561" s="22"/>
      <c r="D1561" s="22"/>
      <c r="E1561" s="23" t="str">
        <f>IF($D1561="","",IFERROR(VLOOKUP($D1561,'SAMA Capital Tracker'!$A:$H,8,FALSE()),""))</f>
        <v/>
      </c>
      <c r="F1561" s="24"/>
      <c r="G1561" s="25" t="str">
        <f>IF($D1561="","",IFERROR(VLOOKUP($D1561,'SAMA Capital Tracker'!$A:$D,4,FALSE()),""))</f>
        <v/>
      </c>
      <c r="H1561" s="22"/>
    </row>
    <row r="1562" spans="1:8">
      <c r="A1562" s="21"/>
      <c r="B1562" s="22"/>
      <c r="C1562" s="22"/>
      <c r="D1562" s="22"/>
      <c r="E1562" s="23" t="str">
        <f>IF($D1562="","",IFERROR(VLOOKUP($D1562,'SAMA Capital Tracker'!$A:$H,8,FALSE()),""))</f>
        <v/>
      </c>
      <c r="F1562" s="24"/>
      <c r="G1562" s="25" t="str">
        <f>IF($D1562="","",IFERROR(VLOOKUP($D1562,'SAMA Capital Tracker'!$A:$D,4,FALSE()),""))</f>
        <v/>
      </c>
      <c r="H1562" s="22"/>
    </row>
    <row r="1563" spans="1:8">
      <c r="A1563" s="21"/>
      <c r="B1563" s="22"/>
      <c r="C1563" s="22"/>
      <c r="D1563" s="22"/>
      <c r="E1563" s="23" t="str">
        <f>IF($D1563="","",IFERROR(VLOOKUP($D1563,'SAMA Capital Tracker'!$A:$H,8,FALSE()),""))</f>
        <v/>
      </c>
      <c r="F1563" s="24"/>
      <c r="G1563" s="25" t="str">
        <f>IF($D1563="","",IFERROR(VLOOKUP($D1563,'SAMA Capital Tracker'!$A:$D,4,FALSE()),""))</f>
        <v/>
      </c>
      <c r="H1563" s="22"/>
    </row>
    <row r="1564" spans="1:8">
      <c r="A1564" s="21"/>
      <c r="B1564" s="22"/>
      <c r="C1564" s="22"/>
      <c r="D1564" s="22"/>
      <c r="E1564" s="23" t="str">
        <f>IF($D1564="","",IFERROR(VLOOKUP($D1564,'SAMA Capital Tracker'!$A:$H,8,FALSE()),""))</f>
        <v/>
      </c>
      <c r="F1564" s="24"/>
      <c r="G1564" s="25" t="str">
        <f>IF($D1564="","",IFERROR(VLOOKUP($D1564,'SAMA Capital Tracker'!$A:$D,4,FALSE()),""))</f>
        <v/>
      </c>
      <c r="H1564" s="22"/>
    </row>
    <row r="1565" spans="1:8">
      <c r="A1565" s="21"/>
      <c r="B1565" s="22"/>
      <c r="C1565" s="22"/>
      <c r="D1565" s="22"/>
      <c r="E1565" s="23" t="str">
        <f>IF($D1565="","",IFERROR(VLOOKUP($D1565,'SAMA Capital Tracker'!$A:$H,8,FALSE()),""))</f>
        <v/>
      </c>
      <c r="F1565" s="24"/>
      <c r="G1565" s="25" t="str">
        <f>IF($D1565="","",IFERROR(VLOOKUP($D1565,'SAMA Capital Tracker'!$A:$D,4,FALSE()),""))</f>
        <v/>
      </c>
      <c r="H1565" s="22"/>
    </row>
    <row r="1566" spans="1:8">
      <c r="A1566" s="21"/>
      <c r="B1566" s="22"/>
      <c r="C1566" s="22"/>
      <c r="D1566" s="22"/>
      <c r="E1566" s="23" t="str">
        <f>IF($D1566="","",IFERROR(VLOOKUP($D1566,'SAMA Capital Tracker'!$A:$H,8,FALSE()),""))</f>
        <v/>
      </c>
      <c r="F1566" s="24"/>
      <c r="G1566" s="25" t="str">
        <f>IF($D1566="","",IFERROR(VLOOKUP($D1566,'SAMA Capital Tracker'!$A:$D,4,FALSE()),""))</f>
        <v/>
      </c>
      <c r="H1566" s="22"/>
    </row>
    <row r="1567" spans="1:8">
      <c r="A1567" s="21"/>
      <c r="B1567" s="22"/>
      <c r="C1567" s="22"/>
      <c r="D1567" s="22"/>
      <c r="E1567" s="23" t="str">
        <f>IF($D1567="","",IFERROR(VLOOKUP($D1567,'SAMA Capital Tracker'!$A:$H,8,FALSE()),""))</f>
        <v/>
      </c>
      <c r="F1567" s="24"/>
      <c r="G1567" s="25" t="str">
        <f>IF($D1567="","",IFERROR(VLOOKUP($D1567,'SAMA Capital Tracker'!$A:$D,4,FALSE()),""))</f>
        <v/>
      </c>
      <c r="H1567" s="22"/>
    </row>
    <row r="1568" spans="1:8">
      <c r="A1568" s="21"/>
      <c r="B1568" s="22"/>
      <c r="C1568" s="22"/>
      <c r="D1568" s="22"/>
      <c r="E1568" s="23" t="str">
        <f>IF($D1568="","",IFERROR(VLOOKUP($D1568,'SAMA Capital Tracker'!$A:$H,8,FALSE()),""))</f>
        <v/>
      </c>
      <c r="F1568" s="24"/>
      <c r="G1568" s="25" t="str">
        <f>IF($D1568="","",IFERROR(VLOOKUP($D1568,'SAMA Capital Tracker'!$A:$D,4,FALSE()),""))</f>
        <v/>
      </c>
      <c r="H1568" s="22"/>
    </row>
    <row r="1569" spans="1:8">
      <c r="A1569" s="21"/>
      <c r="B1569" s="22"/>
      <c r="C1569" s="22"/>
      <c r="D1569" s="22"/>
      <c r="E1569" s="23" t="str">
        <f>IF($D1569="","",IFERROR(VLOOKUP($D1569,'SAMA Capital Tracker'!$A:$H,8,FALSE()),""))</f>
        <v/>
      </c>
      <c r="F1569" s="24"/>
      <c r="G1569" s="25" t="str">
        <f>IF($D1569="","",IFERROR(VLOOKUP($D1569,'SAMA Capital Tracker'!$A:$D,4,FALSE()),""))</f>
        <v/>
      </c>
      <c r="H1569" s="22"/>
    </row>
    <row r="1570" spans="1:8">
      <c r="A1570" s="21"/>
      <c r="B1570" s="22"/>
      <c r="C1570" s="22"/>
      <c r="D1570" s="22"/>
      <c r="E1570" s="23" t="str">
        <f>IF($D1570="","",IFERROR(VLOOKUP($D1570,'SAMA Capital Tracker'!$A:$H,8,FALSE()),""))</f>
        <v/>
      </c>
      <c r="F1570" s="24"/>
      <c r="G1570" s="25" t="str">
        <f>IF($D1570="","",IFERROR(VLOOKUP($D1570,'SAMA Capital Tracker'!$A:$D,4,FALSE()),""))</f>
        <v/>
      </c>
      <c r="H1570" s="22"/>
    </row>
    <row r="1571" spans="1:8">
      <c r="A1571" s="21"/>
      <c r="B1571" s="22"/>
      <c r="C1571" s="22"/>
      <c r="D1571" s="22"/>
      <c r="E1571" s="23" t="str">
        <f>IF($D1571="","",IFERROR(VLOOKUP($D1571,'SAMA Capital Tracker'!$A:$H,8,FALSE()),""))</f>
        <v/>
      </c>
      <c r="F1571" s="24"/>
      <c r="G1571" s="25" t="str">
        <f>IF($D1571="","",IFERROR(VLOOKUP($D1571,'SAMA Capital Tracker'!$A:$D,4,FALSE()),""))</f>
        <v/>
      </c>
      <c r="H1571" s="22"/>
    </row>
    <row r="1572" spans="1:8">
      <c r="A1572" s="21"/>
      <c r="B1572" s="22"/>
      <c r="C1572" s="22"/>
      <c r="D1572" s="22"/>
      <c r="E1572" s="23" t="str">
        <f>IF($D1572="","",IFERROR(VLOOKUP($D1572,'SAMA Capital Tracker'!$A:$H,8,FALSE()),""))</f>
        <v/>
      </c>
      <c r="F1572" s="24"/>
      <c r="G1572" s="25" t="str">
        <f>IF($D1572="","",IFERROR(VLOOKUP($D1572,'SAMA Capital Tracker'!$A:$D,4,FALSE()),""))</f>
        <v/>
      </c>
      <c r="H1572" s="22"/>
    </row>
    <row r="1573" spans="1:8">
      <c r="A1573" s="21"/>
      <c r="B1573" s="22"/>
      <c r="C1573" s="22"/>
      <c r="D1573" s="22"/>
      <c r="E1573" s="23" t="str">
        <f>IF($D1573="","",IFERROR(VLOOKUP($D1573,'SAMA Capital Tracker'!$A:$H,8,FALSE()),""))</f>
        <v/>
      </c>
      <c r="F1573" s="24"/>
      <c r="G1573" s="25" t="str">
        <f>IF($D1573="","",IFERROR(VLOOKUP($D1573,'SAMA Capital Tracker'!$A:$D,4,FALSE()),""))</f>
        <v/>
      </c>
      <c r="H1573" s="22"/>
    </row>
    <row r="1574" spans="1:8">
      <c r="A1574" s="21"/>
      <c r="B1574" s="22"/>
      <c r="C1574" s="22"/>
      <c r="D1574" s="22"/>
      <c r="E1574" s="23" t="str">
        <f>IF($D1574="","",IFERROR(VLOOKUP($D1574,'SAMA Capital Tracker'!$A:$H,8,FALSE()),""))</f>
        <v/>
      </c>
      <c r="F1574" s="24"/>
      <c r="G1574" s="25" t="str">
        <f>IF($D1574="","",IFERROR(VLOOKUP($D1574,'SAMA Capital Tracker'!$A:$D,4,FALSE()),""))</f>
        <v/>
      </c>
      <c r="H1574" s="22"/>
    </row>
    <row r="1575" spans="1:8">
      <c r="A1575" s="21"/>
      <c r="B1575" s="22"/>
      <c r="C1575" s="22"/>
      <c r="D1575" s="22"/>
      <c r="E1575" s="23" t="str">
        <f>IF($D1575="","",IFERROR(VLOOKUP($D1575,'SAMA Capital Tracker'!$A:$H,8,FALSE()),""))</f>
        <v/>
      </c>
      <c r="F1575" s="24"/>
      <c r="G1575" s="25" t="str">
        <f>IF($D1575="","",IFERROR(VLOOKUP($D1575,'SAMA Capital Tracker'!$A:$D,4,FALSE()),""))</f>
        <v/>
      </c>
      <c r="H1575" s="22"/>
    </row>
    <row r="1576" spans="1:8">
      <c r="A1576" s="21"/>
      <c r="B1576" s="22"/>
      <c r="C1576" s="22"/>
      <c r="D1576" s="22"/>
      <c r="E1576" s="23" t="str">
        <f>IF($D1576="","",IFERROR(VLOOKUP($D1576,'SAMA Capital Tracker'!$A:$H,8,FALSE()),""))</f>
        <v/>
      </c>
      <c r="F1576" s="24"/>
      <c r="G1576" s="25" t="str">
        <f>IF($D1576="","",IFERROR(VLOOKUP($D1576,'SAMA Capital Tracker'!$A:$D,4,FALSE()),""))</f>
        <v/>
      </c>
      <c r="H1576" s="22"/>
    </row>
    <row r="1577" spans="1:8">
      <c r="A1577" s="21"/>
      <c r="B1577" s="22"/>
      <c r="C1577" s="22"/>
      <c r="D1577" s="22"/>
      <c r="E1577" s="23" t="str">
        <f>IF($D1577="","",IFERROR(VLOOKUP($D1577,'SAMA Capital Tracker'!$A:$H,8,FALSE()),""))</f>
        <v/>
      </c>
      <c r="F1577" s="24"/>
      <c r="G1577" s="25" t="str">
        <f>IF($D1577="","",IFERROR(VLOOKUP($D1577,'SAMA Capital Tracker'!$A:$D,4,FALSE()),""))</f>
        <v/>
      </c>
      <c r="H1577" s="22"/>
    </row>
    <row r="1578" spans="1:8">
      <c r="A1578" s="21"/>
      <c r="B1578" s="22"/>
      <c r="C1578" s="22"/>
      <c r="D1578" s="22"/>
      <c r="E1578" s="23" t="str">
        <f>IF($D1578="","",IFERROR(VLOOKUP($D1578,'SAMA Capital Tracker'!$A:$H,8,FALSE()),""))</f>
        <v/>
      </c>
      <c r="F1578" s="24"/>
      <c r="G1578" s="25" t="str">
        <f>IF($D1578="","",IFERROR(VLOOKUP($D1578,'SAMA Capital Tracker'!$A:$D,4,FALSE()),""))</f>
        <v/>
      </c>
      <c r="H1578" s="22"/>
    </row>
    <row r="1579" spans="1:8">
      <c r="A1579" s="21"/>
      <c r="B1579" s="22"/>
      <c r="C1579" s="22"/>
      <c r="D1579" s="22"/>
      <c r="E1579" s="23" t="str">
        <f>IF($D1579="","",IFERROR(VLOOKUP($D1579,'SAMA Capital Tracker'!$A:$H,8,FALSE()),""))</f>
        <v/>
      </c>
      <c r="F1579" s="24"/>
      <c r="G1579" s="25" t="str">
        <f>IF($D1579="","",IFERROR(VLOOKUP($D1579,'SAMA Capital Tracker'!$A:$D,4,FALSE()),""))</f>
        <v/>
      </c>
      <c r="H1579" s="22"/>
    </row>
    <row r="1580" spans="1:8">
      <c r="A1580" s="21"/>
      <c r="B1580" s="22"/>
      <c r="C1580" s="22"/>
      <c r="D1580" s="22"/>
      <c r="E1580" s="23" t="str">
        <f>IF($D1580="","",IFERROR(VLOOKUP($D1580,'SAMA Capital Tracker'!$A:$H,8,FALSE()),""))</f>
        <v/>
      </c>
      <c r="F1580" s="24"/>
      <c r="G1580" s="25" t="str">
        <f>IF($D1580="","",IFERROR(VLOOKUP($D1580,'SAMA Capital Tracker'!$A:$D,4,FALSE()),""))</f>
        <v/>
      </c>
      <c r="H1580" s="22"/>
    </row>
    <row r="1581" spans="1:8">
      <c r="A1581" s="21"/>
      <c r="B1581" s="22"/>
      <c r="C1581" s="22"/>
      <c r="D1581" s="22"/>
      <c r="E1581" s="23" t="str">
        <f>IF($D1581="","",IFERROR(VLOOKUP($D1581,'SAMA Capital Tracker'!$A:$H,8,FALSE()),""))</f>
        <v/>
      </c>
      <c r="F1581" s="24"/>
      <c r="G1581" s="25" t="str">
        <f>IF($D1581="","",IFERROR(VLOOKUP($D1581,'SAMA Capital Tracker'!$A:$D,4,FALSE()),""))</f>
        <v/>
      </c>
      <c r="H1581" s="22"/>
    </row>
    <row r="1582" spans="1:8">
      <c r="A1582" s="21"/>
      <c r="B1582" s="22"/>
      <c r="C1582" s="22"/>
      <c r="D1582" s="22"/>
      <c r="E1582" s="23" t="str">
        <f>IF($D1582="","",IFERROR(VLOOKUP($D1582,'SAMA Capital Tracker'!$A:$H,8,FALSE()),""))</f>
        <v/>
      </c>
      <c r="F1582" s="24"/>
      <c r="G1582" s="25" t="str">
        <f>IF($D1582="","",IFERROR(VLOOKUP($D1582,'SAMA Capital Tracker'!$A:$D,4,FALSE()),""))</f>
        <v/>
      </c>
      <c r="H1582" s="22"/>
    </row>
    <row r="1583" spans="1:8">
      <c r="A1583" s="21"/>
      <c r="B1583" s="22"/>
      <c r="C1583" s="22"/>
      <c r="D1583" s="22"/>
      <c r="E1583" s="23" t="str">
        <f>IF($D1583="","",IFERROR(VLOOKUP($D1583,'SAMA Capital Tracker'!$A:$H,8,FALSE()),""))</f>
        <v/>
      </c>
      <c r="F1583" s="24"/>
      <c r="G1583" s="25" t="str">
        <f>IF($D1583="","",IFERROR(VLOOKUP($D1583,'SAMA Capital Tracker'!$A:$D,4,FALSE()),""))</f>
        <v/>
      </c>
      <c r="H1583" s="22"/>
    </row>
    <row r="1584" spans="1:8">
      <c r="A1584" s="21"/>
      <c r="B1584" s="22"/>
      <c r="C1584" s="22"/>
      <c r="D1584" s="22"/>
      <c r="E1584" s="23" t="str">
        <f>IF($D1584="","",IFERROR(VLOOKUP($D1584,'SAMA Capital Tracker'!$A:$H,8,FALSE()),""))</f>
        <v/>
      </c>
      <c r="F1584" s="24"/>
      <c r="G1584" s="25" t="str">
        <f>IF($D1584="","",IFERROR(VLOOKUP($D1584,'SAMA Capital Tracker'!$A:$D,4,FALSE()),""))</f>
        <v/>
      </c>
      <c r="H1584" s="22"/>
    </row>
    <row r="1585" spans="1:8">
      <c r="A1585" s="21"/>
      <c r="B1585" s="22"/>
      <c r="C1585" s="22"/>
      <c r="D1585" s="22"/>
      <c r="E1585" s="23" t="str">
        <f>IF($D1585="","",IFERROR(VLOOKUP($D1585,'SAMA Capital Tracker'!$A:$H,8,FALSE()),""))</f>
        <v/>
      </c>
      <c r="F1585" s="24"/>
      <c r="G1585" s="25" t="str">
        <f>IF($D1585="","",IFERROR(VLOOKUP($D1585,'SAMA Capital Tracker'!$A:$D,4,FALSE()),""))</f>
        <v/>
      </c>
      <c r="H1585" s="22"/>
    </row>
    <row r="1586" spans="1:8">
      <c r="A1586" s="21"/>
      <c r="B1586" s="22"/>
      <c r="C1586" s="22"/>
      <c r="D1586" s="22"/>
      <c r="E1586" s="23" t="str">
        <f>IF($D1586="","",IFERROR(VLOOKUP($D1586,'SAMA Capital Tracker'!$A:$H,8,FALSE()),""))</f>
        <v/>
      </c>
      <c r="F1586" s="24"/>
      <c r="G1586" s="25" t="str">
        <f>IF($D1586="","",IFERROR(VLOOKUP($D1586,'SAMA Capital Tracker'!$A:$D,4,FALSE()),""))</f>
        <v/>
      </c>
      <c r="H1586" s="22"/>
    </row>
    <row r="1587" spans="1:8">
      <c r="A1587" s="21"/>
      <c r="B1587" s="22"/>
      <c r="C1587" s="22"/>
      <c r="D1587" s="22"/>
      <c r="E1587" s="23" t="str">
        <f>IF($D1587="","",IFERROR(VLOOKUP($D1587,'SAMA Capital Tracker'!$A:$H,8,FALSE()),""))</f>
        <v/>
      </c>
      <c r="F1587" s="24"/>
      <c r="G1587" s="25" t="str">
        <f>IF($D1587="","",IFERROR(VLOOKUP($D1587,'SAMA Capital Tracker'!$A:$D,4,FALSE()),""))</f>
        <v/>
      </c>
      <c r="H1587" s="22"/>
    </row>
    <row r="1588" spans="1:8">
      <c r="A1588" s="21"/>
      <c r="B1588" s="22"/>
      <c r="C1588" s="22"/>
      <c r="D1588" s="22"/>
      <c r="E1588" s="23" t="str">
        <f>IF($D1588="","",IFERROR(VLOOKUP($D1588,'SAMA Capital Tracker'!$A:$H,8,FALSE()),""))</f>
        <v/>
      </c>
      <c r="F1588" s="24"/>
      <c r="G1588" s="25" t="str">
        <f>IF($D1588="","",IFERROR(VLOOKUP($D1588,'SAMA Capital Tracker'!$A:$D,4,FALSE()),""))</f>
        <v/>
      </c>
      <c r="H1588" s="22"/>
    </row>
    <row r="1589" spans="1:8">
      <c r="A1589" s="21"/>
      <c r="B1589" s="22"/>
      <c r="C1589" s="22"/>
      <c r="D1589" s="22"/>
      <c r="E1589" s="23" t="str">
        <f>IF($D1589="","",IFERROR(VLOOKUP($D1589,'SAMA Capital Tracker'!$A:$H,8,FALSE()),""))</f>
        <v/>
      </c>
      <c r="F1589" s="24"/>
      <c r="G1589" s="25" t="str">
        <f>IF($D1589="","",IFERROR(VLOOKUP($D1589,'SAMA Capital Tracker'!$A:$D,4,FALSE()),""))</f>
        <v/>
      </c>
      <c r="H1589" s="22"/>
    </row>
    <row r="1590" spans="1:8">
      <c r="A1590" s="21"/>
      <c r="B1590" s="22"/>
      <c r="C1590" s="22"/>
      <c r="D1590" s="22"/>
      <c r="E1590" s="23" t="str">
        <f>IF($D1590="","",IFERROR(VLOOKUP($D1590,'SAMA Capital Tracker'!$A:$H,8,FALSE()),""))</f>
        <v/>
      </c>
      <c r="F1590" s="24"/>
      <c r="G1590" s="25" t="str">
        <f>IF($D1590="","",IFERROR(VLOOKUP($D1590,'SAMA Capital Tracker'!$A:$D,4,FALSE()),""))</f>
        <v/>
      </c>
      <c r="H1590" s="22"/>
    </row>
    <row r="1591" spans="1:8">
      <c r="A1591" s="21"/>
      <c r="B1591" s="22"/>
      <c r="C1591" s="22"/>
      <c r="D1591" s="22"/>
      <c r="E1591" s="23" t="str">
        <f>IF($D1591="","",IFERROR(VLOOKUP($D1591,'SAMA Capital Tracker'!$A:$H,8,FALSE()),""))</f>
        <v/>
      </c>
      <c r="F1591" s="24"/>
      <c r="G1591" s="25" t="str">
        <f>IF($D1591="","",IFERROR(VLOOKUP($D1591,'SAMA Capital Tracker'!$A:$D,4,FALSE()),""))</f>
        <v/>
      </c>
      <c r="H1591" s="22"/>
    </row>
    <row r="1592" spans="1:8">
      <c r="A1592" s="21"/>
      <c r="B1592" s="22"/>
      <c r="C1592" s="22"/>
      <c r="D1592" s="22"/>
      <c r="E1592" s="23" t="str">
        <f>IF($D1592="","",IFERROR(VLOOKUP($D1592,'SAMA Capital Tracker'!$A:$H,8,FALSE()),""))</f>
        <v/>
      </c>
      <c r="F1592" s="24"/>
      <c r="G1592" s="25" t="str">
        <f>IF($D1592="","",IFERROR(VLOOKUP($D1592,'SAMA Capital Tracker'!$A:$D,4,FALSE()),""))</f>
        <v/>
      </c>
      <c r="H1592" s="22"/>
    </row>
    <row r="1593" spans="1:8">
      <c r="A1593" s="21"/>
      <c r="B1593" s="22"/>
      <c r="C1593" s="22"/>
      <c r="D1593" s="22"/>
      <c r="E1593" s="23" t="str">
        <f>IF($D1593="","",IFERROR(VLOOKUP($D1593,'SAMA Capital Tracker'!$A:$H,8,FALSE()),""))</f>
        <v/>
      </c>
      <c r="F1593" s="24"/>
      <c r="G1593" s="25" t="str">
        <f>IF($D1593="","",IFERROR(VLOOKUP($D1593,'SAMA Capital Tracker'!$A:$D,4,FALSE()),""))</f>
        <v/>
      </c>
      <c r="H1593" s="22"/>
    </row>
    <row r="1594" spans="1:8">
      <c r="A1594" s="21"/>
      <c r="B1594" s="22"/>
      <c r="C1594" s="22"/>
      <c r="D1594" s="22"/>
      <c r="E1594" s="23" t="str">
        <f>IF($D1594="","",IFERROR(VLOOKUP($D1594,'SAMA Capital Tracker'!$A:$H,8,FALSE()),""))</f>
        <v/>
      </c>
      <c r="F1594" s="24"/>
      <c r="G1594" s="25" t="str">
        <f>IF($D1594="","",IFERROR(VLOOKUP($D1594,'SAMA Capital Tracker'!$A:$D,4,FALSE()),""))</f>
        <v/>
      </c>
      <c r="H1594" s="22"/>
    </row>
    <row r="1595" spans="1:8">
      <c r="A1595" s="21"/>
      <c r="B1595" s="22"/>
      <c r="C1595" s="22"/>
      <c r="D1595" s="22"/>
      <c r="E1595" s="23" t="str">
        <f>IF($D1595="","",IFERROR(VLOOKUP($D1595,'SAMA Capital Tracker'!$A:$H,8,FALSE()),""))</f>
        <v/>
      </c>
      <c r="F1595" s="24"/>
      <c r="G1595" s="25" t="str">
        <f>IF($D1595="","",IFERROR(VLOOKUP($D1595,'SAMA Capital Tracker'!$A:$D,4,FALSE()),""))</f>
        <v/>
      </c>
      <c r="H1595" s="22"/>
    </row>
    <row r="1596" spans="1:8">
      <c r="A1596" s="21"/>
      <c r="B1596" s="22"/>
      <c r="C1596" s="22"/>
      <c r="D1596" s="22"/>
      <c r="E1596" s="23" t="str">
        <f>IF($D1596="","",IFERROR(VLOOKUP($D1596,'SAMA Capital Tracker'!$A:$H,8,FALSE()),""))</f>
        <v/>
      </c>
      <c r="F1596" s="24"/>
      <c r="G1596" s="25" t="str">
        <f>IF($D1596="","",IFERROR(VLOOKUP($D1596,'SAMA Capital Tracker'!$A:$D,4,FALSE()),""))</f>
        <v/>
      </c>
      <c r="H1596" s="22"/>
    </row>
    <row r="1597" spans="1:8">
      <c r="A1597" s="21"/>
      <c r="B1597" s="22"/>
      <c r="C1597" s="22"/>
      <c r="D1597" s="22"/>
      <c r="E1597" s="23" t="str">
        <f>IF($D1597="","",IFERROR(VLOOKUP($D1597,'SAMA Capital Tracker'!$A:$H,8,FALSE()),""))</f>
        <v/>
      </c>
      <c r="F1597" s="24"/>
      <c r="G1597" s="25" t="str">
        <f>IF($D1597="","",IFERROR(VLOOKUP($D1597,'SAMA Capital Tracker'!$A:$D,4,FALSE()),""))</f>
        <v/>
      </c>
      <c r="H1597" s="22"/>
    </row>
    <row r="1598" spans="1:8">
      <c r="A1598" s="21"/>
      <c r="B1598" s="22"/>
      <c r="C1598" s="22"/>
      <c r="D1598" s="22"/>
      <c r="E1598" s="23" t="str">
        <f>IF($D1598="","",IFERROR(VLOOKUP($D1598,'SAMA Capital Tracker'!$A:$H,8,FALSE()),""))</f>
        <v/>
      </c>
      <c r="F1598" s="24"/>
      <c r="G1598" s="25" t="str">
        <f>IF($D1598="","",IFERROR(VLOOKUP($D1598,'SAMA Capital Tracker'!$A:$D,4,FALSE()),""))</f>
        <v/>
      </c>
      <c r="H1598" s="22"/>
    </row>
    <row r="1599" spans="1:8">
      <c r="A1599" s="21"/>
      <c r="B1599" s="22"/>
      <c r="C1599" s="22"/>
      <c r="D1599" s="22"/>
      <c r="E1599" s="23" t="str">
        <f>IF($D1599="","",IFERROR(VLOOKUP($D1599,'SAMA Capital Tracker'!$A:$H,8,FALSE()),""))</f>
        <v/>
      </c>
      <c r="F1599" s="24"/>
      <c r="G1599" s="25" t="str">
        <f>IF($D1599="","",IFERROR(VLOOKUP($D1599,'SAMA Capital Tracker'!$A:$D,4,FALSE()),""))</f>
        <v/>
      </c>
      <c r="H1599" s="22"/>
    </row>
    <row r="1600" spans="1:8">
      <c r="A1600" s="21"/>
      <c r="B1600" s="22"/>
      <c r="C1600" s="22"/>
      <c r="D1600" s="22"/>
      <c r="E1600" s="23" t="str">
        <f>IF($D1600="","",IFERROR(VLOOKUP($D1600,'SAMA Capital Tracker'!$A:$H,8,FALSE()),""))</f>
        <v/>
      </c>
      <c r="F1600" s="24"/>
      <c r="G1600" s="25" t="str">
        <f>IF($D1600="","",IFERROR(VLOOKUP($D1600,'SAMA Capital Tracker'!$A:$D,4,FALSE()),""))</f>
        <v/>
      </c>
      <c r="H1600" s="22"/>
    </row>
    <row r="1601" spans="1:8">
      <c r="A1601" s="21"/>
      <c r="B1601" s="22"/>
      <c r="C1601" s="22"/>
      <c r="D1601" s="22"/>
      <c r="E1601" s="23" t="str">
        <f>IF($D1601="","",IFERROR(VLOOKUP($D1601,'SAMA Capital Tracker'!$A:$H,8,FALSE()),""))</f>
        <v/>
      </c>
      <c r="F1601" s="24"/>
      <c r="G1601" s="25" t="str">
        <f>IF($D1601="","",IFERROR(VLOOKUP($D1601,'SAMA Capital Tracker'!$A:$D,4,FALSE()),""))</f>
        <v/>
      </c>
      <c r="H1601" s="22"/>
    </row>
    <row r="1602" spans="1:8">
      <c r="A1602" s="21"/>
      <c r="B1602" s="22"/>
      <c r="C1602" s="22"/>
      <c r="D1602" s="22"/>
      <c r="E1602" s="23" t="str">
        <f>IF($D1602="","",IFERROR(VLOOKUP($D1602,'SAMA Capital Tracker'!$A:$H,8,FALSE()),""))</f>
        <v/>
      </c>
      <c r="F1602" s="24"/>
      <c r="G1602" s="25" t="str">
        <f>IF($D1602="","",IFERROR(VLOOKUP($D1602,'SAMA Capital Tracker'!$A:$D,4,FALSE()),""))</f>
        <v/>
      </c>
      <c r="H1602" s="22"/>
    </row>
    <row r="1603" spans="1:8">
      <c r="A1603" s="21"/>
      <c r="B1603" s="22"/>
      <c r="C1603" s="22"/>
      <c r="D1603" s="22"/>
      <c r="E1603" s="23" t="str">
        <f>IF($D1603="","",IFERROR(VLOOKUP($D1603,'SAMA Capital Tracker'!$A:$H,8,FALSE()),""))</f>
        <v/>
      </c>
      <c r="F1603" s="24"/>
      <c r="G1603" s="25" t="str">
        <f>IF($D1603="","",IFERROR(VLOOKUP($D1603,'SAMA Capital Tracker'!$A:$D,4,FALSE()),""))</f>
        <v/>
      </c>
      <c r="H1603" s="22"/>
    </row>
    <row r="1604" spans="1:8">
      <c r="A1604" s="21"/>
      <c r="B1604" s="22"/>
      <c r="C1604" s="22"/>
      <c r="D1604" s="22"/>
      <c r="E1604" s="23" t="str">
        <f>IF($D1604="","",IFERROR(VLOOKUP($D1604,'SAMA Capital Tracker'!$A:$H,8,FALSE()),""))</f>
        <v/>
      </c>
      <c r="F1604" s="24"/>
      <c r="G1604" s="25" t="str">
        <f>IF($D1604="","",IFERROR(VLOOKUP($D1604,'SAMA Capital Tracker'!$A:$D,4,FALSE()),""))</f>
        <v/>
      </c>
      <c r="H1604" s="22"/>
    </row>
    <row r="1605" spans="1:8">
      <c r="A1605" s="21"/>
      <c r="B1605" s="22"/>
      <c r="C1605" s="22"/>
      <c r="D1605" s="22"/>
      <c r="E1605" s="23" t="str">
        <f>IF($D1605="","",IFERROR(VLOOKUP($D1605,'SAMA Capital Tracker'!$A:$H,8,FALSE()),""))</f>
        <v/>
      </c>
      <c r="F1605" s="24"/>
      <c r="G1605" s="25" t="str">
        <f>IF($D1605="","",IFERROR(VLOOKUP($D1605,'SAMA Capital Tracker'!$A:$D,4,FALSE()),""))</f>
        <v/>
      </c>
      <c r="H1605" s="22"/>
    </row>
    <row r="1606" spans="1:8">
      <c r="A1606" s="21"/>
      <c r="B1606" s="22"/>
      <c r="C1606" s="22"/>
      <c r="D1606" s="22"/>
      <c r="E1606" s="23" t="str">
        <f>IF($D1606="","",IFERROR(VLOOKUP($D1606,'SAMA Capital Tracker'!$A:$H,8,FALSE()),""))</f>
        <v/>
      </c>
      <c r="F1606" s="24"/>
      <c r="G1606" s="25" t="str">
        <f>IF($D1606="","",IFERROR(VLOOKUP($D1606,'SAMA Capital Tracker'!$A:$D,4,FALSE()),""))</f>
        <v/>
      </c>
      <c r="H1606" s="22"/>
    </row>
    <row r="1607" spans="1:8">
      <c r="A1607" s="21"/>
      <c r="B1607" s="22"/>
      <c r="C1607" s="22"/>
      <c r="D1607" s="22"/>
      <c r="E1607" s="23" t="str">
        <f>IF($D1607="","",IFERROR(VLOOKUP($D1607,'SAMA Capital Tracker'!$A:$H,8,FALSE()),""))</f>
        <v/>
      </c>
      <c r="F1607" s="24"/>
      <c r="G1607" s="25" t="str">
        <f>IF($D1607="","",IFERROR(VLOOKUP($D1607,'SAMA Capital Tracker'!$A:$D,4,FALSE()),""))</f>
        <v/>
      </c>
      <c r="H1607" s="22"/>
    </row>
    <row r="1608" spans="1:8">
      <c r="A1608" s="21"/>
      <c r="B1608" s="22"/>
      <c r="C1608" s="22"/>
      <c r="D1608" s="22"/>
      <c r="E1608" s="23" t="str">
        <f>IF($D1608="","",IFERROR(VLOOKUP($D1608,'SAMA Capital Tracker'!$A:$H,8,FALSE()),""))</f>
        <v/>
      </c>
      <c r="F1608" s="24"/>
      <c r="G1608" s="25" t="str">
        <f>IF($D1608="","",IFERROR(VLOOKUP($D1608,'SAMA Capital Tracker'!$A:$D,4,FALSE()),""))</f>
        <v/>
      </c>
      <c r="H1608" s="22"/>
    </row>
    <row r="1609" spans="1:8">
      <c r="A1609" s="21"/>
      <c r="B1609" s="22"/>
      <c r="C1609" s="22"/>
      <c r="D1609" s="22"/>
      <c r="E1609" s="23" t="str">
        <f>IF($D1609="","",IFERROR(VLOOKUP($D1609,'SAMA Capital Tracker'!$A:$H,8,FALSE()),""))</f>
        <v/>
      </c>
      <c r="F1609" s="24"/>
      <c r="G1609" s="25" t="str">
        <f>IF($D1609="","",IFERROR(VLOOKUP($D1609,'SAMA Capital Tracker'!$A:$D,4,FALSE()),""))</f>
        <v/>
      </c>
      <c r="H1609" s="22"/>
    </row>
    <row r="1610" spans="1:8">
      <c r="A1610" s="21"/>
      <c r="B1610" s="22"/>
      <c r="C1610" s="22"/>
      <c r="D1610" s="22"/>
      <c r="E1610" s="23" t="str">
        <f>IF($D1610="","",IFERROR(VLOOKUP($D1610,'SAMA Capital Tracker'!$A:$H,8,FALSE()),""))</f>
        <v/>
      </c>
      <c r="F1610" s="24"/>
      <c r="G1610" s="25" t="str">
        <f>IF($D1610="","",IFERROR(VLOOKUP($D1610,'SAMA Capital Tracker'!$A:$D,4,FALSE()),""))</f>
        <v/>
      </c>
      <c r="H1610" s="22"/>
    </row>
    <row r="1611" spans="1:8">
      <c r="A1611" s="21"/>
      <c r="B1611" s="22"/>
      <c r="C1611" s="22"/>
      <c r="D1611" s="22"/>
      <c r="E1611" s="23" t="str">
        <f>IF($D1611="","",IFERROR(VLOOKUP($D1611,'SAMA Capital Tracker'!$A:$H,8,FALSE()),""))</f>
        <v/>
      </c>
      <c r="F1611" s="24"/>
      <c r="G1611" s="25" t="str">
        <f>IF($D1611="","",IFERROR(VLOOKUP($D1611,'SAMA Capital Tracker'!$A:$D,4,FALSE()),""))</f>
        <v/>
      </c>
      <c r="H1611" s="22"/>
    </row>
    <row r="1612" spans="1:8">
      <c r="A1612" s="21"/>
      <c r="B1612" s="22"/>
      <c r="C1612" s="22"/>
      <c r="D1612" s="22"/>
      <c r="E1612" s="23" t="str">
        <f>IF($D1612="","",IFERROR(VLOOKUP($D1612,'SAMA Capital Tracker'!$A:$H,8,FALSE()),""))</f>
        <v/>
      </c>
      <c r="F1612" s="24"/>
      <c r="G1612" s="25" t="str">
        <f>IF($D1612="","",IFERROR(VLOOKUP($D1612,'SAMA Capital Tracker'!$A:$D,4,FALSE()),""))</f>
        <v/>
      </c>
      <c r="H1612" s="22"/>
    </row>
    <row r="1613" spans="1:8">
      <c r="A1613" s="21"/>
      <c r="B1613" s="22"/>
      <c r="C1613" s="22"/>
      <c r="D1613" s="22"/>
      <c r="E1613" s="23" t="str">
        <f>IF($D1613="","",IFERROR(VLOOKUP($D1613,'SAMA Capital Tracker'!$A:$H,8,FALSE()),""))</f>
        <v/>
      </c>
      <c r="F1613" s="24"/>
      <c r="G1613" s="25" t="str">
        <f>IF($D1613="","",IFERROR(VLOOKUP($D1613,'SAMA Capital Tracker'!$A:$D,4,FALSE()),""))</f>
        <v/>
      </c>
      <c r="H1613" s="22"/>
    </row>
    <row r="1614" spans="1:8">
      <c r="A1614" s="21"/>
      <c r="B1614" s="22"/>
      <c r="C1614" s="22"/>
      <c r="D1614" s="22"/>
      <c r="E1614" s="23" t="str">
        <f>IF($D1614="","",IFERROR(VLOOKUP($D1614,'SAMA Capital Tracker'!$A:$H,8,FALSE()),""))</f>
        <v/>
      </c>
      <c r="F1614" s="24"/>
      <c r="G1614" s="25" t="str">
        <f>IF($D1614="","",IFERROR(VLOOKUP($D1614,'SAMA Capital Tracker'!$A:$D,4,FALSE()),""))</f>
        <v/>
      </c>
      <c r="H1614" s="22"/>
    </row>
    <row r="1615" spans="1:8">
      <c r="A1615" s="21"/>
      <c r="B1615" s="22"/>
      <c r="C1615" s="22"/>
      <c r="D1615" s="22"/>
      <c r="E1615" s="23" t="str">
        <f>IF($D1615="","",IFERROR(VLOOKUP($D1615,'SAMA Capital Tracker'!$A:$H,8,FALSE()),""))</f>
        <v/>
      </c>
      <c r="F1615" s="24"/>
      <c r="G1615" s="25" t="str">
        <f>IF($D1615="","",IFERROR(VLOOKUP($D1615,'SAMA Capital Tracker'!$A:$D,4,FALSE()),""))</f>
        <v/>
      </c>
      <c r="H1615" s="22"/>
    </row>
    <row r="1616" spans="1:8">
      <c r="A1616" s="21"/>
      <c r="B1616" s="22"/>
      <c r="C1616" s="22"/>
      <c r="D1616" s="22"/>
      <c r="E1616" s="23" t="str">
        <f>IF($D1616="","",IFERROR(VLOOKUP($D1616,'SAMA Capital Tracker'!$A:$H,8,FALSE()),""))</f>
        <v/>
      </c>
      <c r="F1616" s="24"/>
      <c r="G1616" s="25" t="str">
        <f>IF($D1616="","",IFERROR(VLOOKUP($D1616,'SAMA Capital Tracker'!$A:$D,4,FALSE()),""))</f>
        <v/>
      </c>
      <c r="H1616" s="22"/>
    </row>
    <row r="1617" spans="1:8">
      <c r="A1617" s="21"/>
      <c r="B1617" s="22"/>
      <c r="C1617" s="22"/>
      <c r="D1617" s="22"/>
      <c r="E1617" s="23" t="str">
        <f>IF($D1617="","",IFERROR(VLOOKUP($D1617,'SAMA Capital Tracker'!$A:$H,8,FALSE()),""))</f>
        <v/>
      </c>
      <c r="F1617" s="24"/>
      <c r="G1617" s="25" t="str">
        <f>IF($D1617="","",IFERROR(VLOOKUP($D1617,'SAMA Capital Tracker'!$A:$D,4,FALSE()),""))</f>
        <v/>
      </c>
      <c r="H1617" s="22"/>
    </row>
    <row r="1618" spans="1:8">
      <c r="A1618" s="21"/>
      <c r="B1618" s="22"/>
      <c r="C1618" s="22"/>
      <c r="D1618" s="22"/>
      <c r="E1618" s="23" t="str">
        <f>IF($D1618="","",IFERROR(VLOOKUP($D1618,'SAMA Capital Tracker'!$A:$H,8,FALSE()),""))</f>
        <v/>
      </c>
      <c r="F1618" s="24"/>
      <c r="G1618" s="25" t="str">
        <f>IF($D1618="","",IFERROR(VLOOKUP($D1618,'SAMA Capital Tracker'!$A:$D,4,FALSE()),""))</f>
        <v/>
      </c>
      <c r="H1618" s="22"/>
    </row>
    <row r="1619" spans="1:8">
      <c r="A1619" s="21"/>
      <c r="B1619" s="22"/>
      <c r="C1619" s="22"/>
      <c r="D1619" s="22"/>
      <c r="E1619" s="23" t="str">
        <f>IF($D1619="","",IFERROR(VLOOKUP($D1619,'SAMA Capital Tracker'!$A:$H,8,FALSE()),""))</f>
        <v/>
      </c>
      <c r="F1619" s="24"/>
      <c r="G1619" s="25" t="str">
        <f>IF($D1619="","",IFERROR(VLOOKUP($D1619,'SAMA Capital Tracker'!$A:$D,4,FALSE()),""))</f>
        <v/>
      </c>
      <c r="H1619" s="22"/>
    </row>
    <row r="1620" spans="1:8">
      <c r="A1620" s="21"/>
      <c r="B1620" s="22"/>
      <c r="C1620" s="22"/>
      <c r="D1620" s="22"/>
      <c r="E1620" s="23" t="str">
        <f>IF($D1620="","",IFERROR(VLOOKUP($D1620,'SAMA Capital Tracker'!$A:$H,8,FALSE()),""))</f>
        <v/>
      </c>
      <c r="F1620" s="24"/>
      <c r="G1620" s="25" t="str">
        <f>IF($D1620="","",IFERROR(VLOOKUP($D1620,'SAMA Capital Tracker'!$A:$D,4,FALSE()),""))</f>
        <v/>
      </c>
      <c r="H1620" s="22"/>
    </row>
    <row r="1621" spans="1:8">
      <c r="A1621" s="21"/>
      <c r="B1621" s="22"/>
      <c r="C1621" s="22"/>
      <c r="D1621" s="22"/>
      <c r="E1621" s="23" t="str">
        <f>IF($D1621="","",IFERROR(VLOOKUP($D1621,'SAMA Capital Tracker'!$A:$H,8,FALSE()),""))</f>
        <v/>
      </c>
      <c r="F1621" s="24"/>
      <c r="G1621" s="25" t="str">
        <f>IF($D1621="","",IFERROR(VLOOKUP($D1621,'SAMA Capital Tracker'!$A:$D,4,FALSE()),""))</f>
        <v/>
      </c>
      <c r="H1621" s="22"/>
    </row>
    <row r="1622" spans="1:8">
      <c r="A1622" s="21"/>
      <c r="B1622" s="22"/>
      <c r="C1622" s="22"/>
      <c r="D1622" s="22"/>
      <c r="E1622" s="23" t="str">
        <f>IF($D1622="","",IFERROR(VLOOKUP($D1622,'SAMA Capital Tracker'!$A:$H,8,FALSE()),""))</f>
        <v/>
      </c>
      <c r="F1622" s="24"/>
      <c r="G1622" s="25" t="str">
        <f>IF($D1622="","",IFERROR(VLOOKUP($D1622,'SAMA Capital Tracker'!$A:$D,4,FALSE()),""))</f>
        <v/>
      </c>
      <c r="H1622" s="22"/>
    </row>
    <row r="1623" spans="1:8">
      <c r="A1623" s="21"/>
      <c r="B1623" s="22"/>
      <c r="C1623" s="22"/>
      <c r="D1623" s="22"/>
      <c r="E1623" s="23" t="str">
        <f>IF($D1623="","",IFERROR(VLOOKUP($D1623,'SAMA Capital Tracker'!$A:$H,8,FALSE()),""))</f>
        <v/>
      </c>
      <c r="F1623" s="24"/>
      <c r="G1623" s="25" t="str">
        <f>IF($D1623="","",IFERROR(VLOOKUP($D1623,'SAMA Capital Tracker'!$A:$D,4,FALSE()),""))</f>
        <v/>
      </c>
      <c r="H1623" s="22"/>
    </row>
    <row r="1624" spans="1:8">
      <c r="A1624" s="21"/>
      <c r="B1624" s="22"/>
      <c r="C1624" s="22"/>
      <c r="D1624" s="22"/>
      <c r="E1624" s="23" t="str">
        <f>IF($D1624="","",IFERROR(VLOOKUP($D1624,'SAMA Capital Tracker'!$A:$H,8,FALSE()),""))</f>
        <v/>
      </c>
      <c r="F1624" s="24"/>
      <c r="G1624" s="25" t="str">
        <f>IF($D1624="","",IFERROR(VLOOKUP($D1624,'SAMA Capital Tracker'!$A:$D,4,FALSE()),""))</f>
        <v/>
      </c>
      <c r="H1624" s="22"/>
    </row>
    <row r="1625" spans="1:8">
      <c r="A1625" s="21"/>
      <c r="B1625" s="22"/>
      <c r="C1625" s="22"/>
      <c r="D1625" s="22"/>
      <c r="E1625" s="23" t="str">
        <f>IF($D1625="","",IFERROR(VLOOKUP($D1625,'SAMA Capital Tracker'!$A:$H,8,FALSE()),""))</f>
        <v/>
      </c>
      <c r="F1625" s="24"/>
      <c r="G1625" s="25" t="str">
        <f>IF($D1625="","",IFERROR(VLOOKUP($D1625,'SAMA Capital Tracker'!$A:$D,4,FALSE()),""))</f>
        <v/>
      </c>
      <c r="H1625" s="22"/>
    </row>
    <row r="1626" spans="1:8">
      <c r="A1626" s="21"/>
      <c r="B1626" s="22"/>
      <c r="C1626" s="22"/>
      <c r="D1626" s="22"/>
      <c r="E1626" s="23" t="str">
        <f>IF($D1626="","",IFERROR(VLOOKUP($D1626,'SAMA Capital Tracker'!$A:$H,8,FALSE()),""))</f>
        <v/>
      </c>
      <c r="F1626" s="24"/>
      <c r="G1626" s="25" t="str">
        <f>IF($D1626="","",IFERROR(VLOOKUP($D1626,'SAMA Capital Tracker'!$A:$D,4,FALSE()),""))</f>
        <v/>
      </c>
      <c r="H1626" s="22"/>
    </row>
    <row r="1627" spans="1:8">
      <c r="A1627" s="21"/>
      <c r="B1627" s="22"/>
      <c r="C1627" s="22"/>
      <c r="D1627" s="22"/>
      <c r="E1627" s="23" t="str">
        <f>IF($D1627="","",IFERROR(VLOOKUP($D1627,'SAMA Capital Tracker'!$A:$H,8,FALSE()),""))</f>
        <v/>
      </c>
      <c r="F1627" s="24"/>
      <c r="G1627" s="25" t="str">
        <f>IF($D1627="","",IFERROR(VLOOKUP($D1627,'SAMA Capital Tracker'!$A:$D,4,FALSE()),""))</f>
        <v/>
      </c>
      <c r="H1627" s="22"/>
    </row>
    <row r="1628" spans="1:8">
      <c r="A1628" s="21"/>
      <c r="B1628" s="22"/>
      <c r="C1628" s="22"/>
      <c r="D1628" s="22"/>
      <c r="E1628" s="23" t="str">
        <f>IF($D1628="","",IFERROR(VLOOKUP($D1628,'SAMA Capital Tracker'!$A:$H,8,FALSE()),""))</f>
        <v/>
      </c>
      <c r="F1628" s="24"/>
      <c r="G1628" s="25" t="str">
        <f>IF($D1628="","",IFERROR(VLOOKUP($D1628,'SAMA Capital Tracker'!$A:$D,4,FALSE()),""))</f>
        <v/>
      </c>
      <c r="H1628" s="22"/>
    </row>
    <row r="1629" spans="1:8">
      <c r="A1629" s="21"/>
      <c r="B1629" s="22"/>
      <c r="C1629" s="22"/>
      <c r="D1629" s="22"/>
      <c r="E1629" s="23" t="str">
        <f>IF($D1629="","",IFERROR(VLOOKUP($D1629,'SAMA Capital Tracker'!$A:$H,8,FALSE()),""))</f>
        <v/>
      </c>
      <c r="F1629" s="24"/>
      <c r="G1629" s="25" t="str">
        <f>IF($D1629="","",IFERROR(VLOOKUP($D1629,'SAMA Capital Tracker'!$A:$D,4,FALSE()),""))</f>
        <v/>
      </c>
      <c r="H1629" s="22"/>
    </row>
    <row r="1630" spans="1:8">
      <c r="A1630" s="21"/>
      <c r="B1630" s="22"/>
      <c r="C1630" s="22"/>
      <c r="D1630" s="22"/>
      <c r="E1630" s="23" t="str">
        <f>IF($D1630="","",IFERROR(VLOOKUP($D1630,'SAMA Capital Tracker'!$A:$H,8,FALSE()),""))</f>
        <v/>
      </c>
      <c r="F1630" s="24"/>
      <c r="G1630" s="25" t="str">
        <f>IF($D1630="","",IFERROR(VLOOKUP($D1630,'SAMA Capital Tracker'!$A:$D,4,FALSE()),""))</f>
        <v/>
      </c>
      <c r="H1630" s="22"/>
    </row>
    <row r="1631" spans="1:8">
      <c r="A1631" s="21"/>
      <c r="B1631" s="22"/>
      <c r="C1631" s="22"/>
      <c r="D1631" s="22"/>
      <c r="E1631" s="23" t="str">
        <f>IF($D1631="","",IFERROR(VLOOKUP($D1631,'SAMA Capital Tracker'!$A:$H,8,FALSE()),""))</f>
        <v/>
      </c>
      <c r="F1631" s="24"/>
      <c r="G1631" s="25" t="str">
        <f>IF($D1631="","",IFERROR(VLOOKUP($D1631,'SAMA Capital Tracker'!$A:$D,4,FALSE()),""))</f>
        <v/>
      </c>
      <c r="H1631" s="22"/>
    </row>
    <row r="1632" spans="1:8">
      <c r="A1632" s="21"/>
      <c r="B1632" s="22"/>
      <c r="C1632" s="22"/>
      <c r="D1632" s="22"/>
      <c r="E1632" s="23" t="str">
        <f>IF($D1632="","",IFERROR(VLOOKUP($D1632,'SAMA Capital Tracker'!$A:$H,8,FALSE()),""))</f>
        <v/>
      </c>
      <c r="F1632" s="24"/>
      <c r="G1632" s="25" t="str">
        <f>IF($D1632="","",IFERROR(VLOOKUP($D1632,'SAMA Capital Tracker'!$A:$D,4,FALSE()),""))</f>
        <v/>
      </c>
      <c r="H1632" s="22"/>
    </row>
    <row r="1633" spans="1:8">
      <c r="A1633" s="21"/>
      <c r="B1633" s="22"/>
      <c r="C1633" s="22"/>
      <c r="D1633" s="22"/>
      <c r="E1633" s="23" t="str">
        <f>IF($D1633="","",IFERROR(VLOOKUP($D1633,'SAMA Capital Tracker'!$A:$H,8,FALSE()),""))</f>
        <v/>
      </c>
      <c r="F1633" s="24"/>
      <c r="G1633" s="25" t="str">
        <f>IF($D1633="","",IFERROR(VLOOKUP($D1633,'SAMA Capital Tracker'!$A:$D,4,FALSE()),""))</f>
        <v/>
      </c>
      <c r="H1633" s="22"/>
    </row>
    <row r="1634" spans="1:8">
      <c r="A1634" s="21"/>
      <c r="B1634" s="22"/>
      <c r="C1634" s="22"/>
      <c r="D1634" s="22"/>
      <c r="E1634" s="23" t="str">
        <f>IF($D1634="","",IFERROR(VLOOKUP($D1634,'SAMA Capital Tracker'!$A:$H,8,FALSE()),""))</f>
        <v/>
      </c>
      <c r="F1634" s="24"/>
      <c r="G1634" s="25" t="str">
        <f>IF($D1634="","",IFERROR(VLOOKUP($D1634,'SAMA Capital Tracker'!$A:$D,4,FALSE()),""))</f>
        <v/>
      </c>
      <c r="H1634" s="22"/>
    </row>
    <row r="1635" spans="1:8">
      <c r="A1635" s="21"/>
      <c r="B1635" s="22"/>
      <c r="C1635" s="22"/>
      <c r="D1635" s="22"/>
      <c r="E1635" s="23" t="str">
        <f>IF($D1635="","",IFERROR(VLOOKUP($D1635,'SAMA Capital Tracker'!$A:$H,8,FALSE()),""))</f>
        <v/>
      </c>
      <c r="F1635" s="24"/>
      <c r="G1635" s="25" t="str">
        <f>IF($D1635="","",IFERROR(VLOOKUP($D1635,'SAMA Capital Tracker'!$A:$D,4,FALSE()),""))</f>
        <v/>
      </c>
      <c r="H1635" s="22"/>
    </row>
    <row r="1636" spans="1:8">
      <c r="A1636" s="21"/>
      <c r="B1636" s="22"/>
      <c r="C1636" s="22"/>
      <c r="D1636" s="22"/>
      <c r="E1636" s="23" t="str">
        <f>IF($D1636="","",IFERROR(VLOOKUP($D1636,'SAMA Capital Tracker'!$A:$H,8,FALSE()),""))</f>
        <v/>
      </c>
      <c r="F1636" s="24"/>
      <c r="G1636" s="25" t="str">
        <f>IF($D1636="","",IFERROR(VLOOKUP($D1636,'SAMA Capital Tracker'!$A:$D,4,FALSE()),""))</f>
        <v/>
      </c>
      <c r="H1636" s="22"/>
    </row>
    <row r="1637" spans="1:8">
      <c r="A1637" s="21"/>
      <c r="B1637" s="22"/>
      <c r="C1637" s="22"/>
      <c r="D1637" s="22"/>
      <c r="E1637" s="23" t="str">
        <f>IF($D1637="","",IFERROR(VLOOKUP($D1637,'SAMA Capital Tracker'!$A:$H,8,FALSE()),""))</f>
        <v/>
      </c>
      <c r="F1637" s="24"/>
      <c r="G1637" s="25" t="str">
        <f>IF($D1637="","",IFERROR(VLOOKUP($D1637,'SAMA Capital Tracker'!$A:$D,4,FALSE()),""))</f>
        <v/>
      </c>
      <c r="H1637" s="22"/>
    </row>
    <row r="1638" spans="1:8">
      <c r="A1638" s="21"/>
      <c r="B1638" s="22"/>
      <c r="C1638" s="22"/>
      <c r="D1638" s="22"/>
      <c r="E1638" s="23" t="str">
        <f>IF($D1638="","",IFERROR(VLOOKUP($D1638,'SAMA Capital Tracker'!$A:$H,8,FALSE()),""))</f>
        <v/>
      </c>
      <c r="F1638" s="24"/>
      <c r="G1638" s="25" t="str">
        <f>IF($D1638="","",IFERROR(VLOOKUP($D1638,'SAMA Capital Tracker'!$A:$D,4,FALSE()),""))</f>
        <v/>
      </c>
      <c r="H1638" s="22"/>
    </row>
    <row r="1639" spans="1:8">
      <c r="A1639" s="21"/>
      <c r="B1639" s="22"/>
      <c r="C1639" s="22"/>
      <c r="D1639" s="22"/>
      <c r="E1639" s="23" t="str">
        <f>IF($D1639="","",IFERROR(VLOOKUP($D1639,'SAMA Capital Tracker'!$A:$H,8,FALSE()),""))</f>
        <v/>
      </c>
      <c r="F1639" s="24"/>
      <c r="G1639" s="25" t="str">
        <f>IF($D1639="","",IFERROR(VLOOKUP($D1639,'SAMA Capital Tracker'!$A:$D,4,FALSE()),""))</f>
        <v/>
      </c>
      <c r="H1639" s="22"/>
    </row>
    <row r="1640" spans="1:8">
      <c r="A1640" s="21"/>
      <c r="B1640" s="22"/>
      <c r="C1640" s="22"/>
      <c r="D1640" s="22"/>
      <c r="E1640" s="23" t="str">
        <f>IF($D1640="","",IFERROR(VLOOKUP($D1640,'SAMA Capital Tracker'!$A:$H,8,FALSE()),""))</f>
        <v/>
      </c>
      <c r="F1640" s="24"/>
      <c r="G1640" s="25" t="str">
        <f>IF($D1640="","",IFERROR(VLOOKUP($D1640,'SAMA Capital Tracker'!$A:$D,4,FALSE()),""))</f>
        <v/>
      </c>
      <c r="H1640" s="22"/>
    </row>
    <row r="1641" spans="1:8">
      <c r="A1641" s="21"/>
      <c r="B1641" s="22"/>
      <c r="C1641" s="22"/>
      <c r="D1641" s="22"/>
      <c r="E1641" s="23" t="str">
        <f>IF($D1641="","",IFERROR(VLOOKUP($D1641,'SAMA Capital Tracker'!$A:$H,8,FALSE()),""))</f>
        <v/>
      </c>
      <c r="F1641" s="24"/>
      <c r="G1641" s="25" t="str">
        <f>IF($D1641="","",IFERROR(VLOOKUP($D1641,'SAMA Capital Tracker'!$A:$D,4,FALSE()),""))</f>
        <v/>
      </c>
      <c r="H1641" s="22"/>
    </row>
    <row r="1642" spans="1:8">
      <c r="A1642" s="21"/>
      <c r="B1642" s="22"/>
      <c r="C1642" s="22"/>
      <c r="D1642" s="22"/>
      <c r="E1642" s="23" t="str">
        <f>IF($D1642="","",IFERROR(VLOOKUP($D1642,'SAMA Capital Tracker'!$A:$H,8,FALSE()),""))</f>
        <v/>
      </c>
      <c r="F1642" s="24"/>
      <c r="G1642" s="25" t="str">
        <f>IF($D1642="","",IFERROR(VLOOKUP($D1642,'SAMA Capital Tracker'!$A:$D,4,FALSE()),""))</f>
        <v/>
      </c>
      <c r="H1642" s="22"/>
    </row>
    <row r="1643" spans="1:8">
      <c r="A1643" s="21"/>
      <c r="B1643" s="22"/>
      <c r="C1643" s="22"/>
      <c r="D1643" s="22"/>
      <c r="E1643" s="23" t="str">
        <f>IF($D1643="","",IFERROR(VLOOKUP($D1643,'SAMA Capital Tracker'!$A:$H,8,FALSE()),""))</f>
        <v/>
      </c>
      <c r="F1643" s="24"/>
      <c r="G1643" s="25" t="str">
        <f>IF($D1643="","",IFERROR(VLOOKUP($D1643,'SAMA Capital Tracker'!$A:$D,4,FALSE()),""))</f>
        <v/>
      </c>
      <c r="H1643" s="22"/>
    </row>
    <row r="1644" spans="1:8">
      <c r="A1644" s="21"/>
      <c r="B1644" s="22"/>
      <c r="C1644" s="22"/>
      <c r="D1644" s="22"/>
      <c r="E1644" s="23" t="str">
        <f>IF($D1644="","",IFERROR(VLOOKUP($D1644,'SAMA Capital Tracker'!$A:$H,8,FALSE()),""))</f>
        <v/>
      </c>
      <c r="F1644" s="24"/>
      <c r="G1644" s="25" t="str">
        <f>IF($D1644="","",IFERROR(VLOOKUP($D1644,'SAMA Capital Tracker'!$A:$D,4,FALSE()),""))</f>
        <v/>
      </c>
      <c r="H1644" s="22"/>
    </row>
    <row r="1645" spans="1:8">
      <c r="A1645" s="21"/>
      <c r="B1645" s="22"/>
      <c r="C1645" s="22"/>
      <c r="D1645" s="22"/>
      <c r="E1645" s="23" t="str">
        <f>IF($D1645="","",IFERROR(VLOOKUP($D1645,'SAMA Capital Tracker'!$A:$H,8,FALSE()),""))</f>
        <v/>
      </c>
      <c r="F1645" s="24"/>
      <c r="G1645" s="25" t="str">
        <f>IF($D1645="","",IFERROR(VLOOKUP($D1645,'SAMA Capital Tracker'!$A:$D,4,FALSE()),""))</f>
        <v/>
      </c>
      <c r="H1645" s="22"/>
    </row>
    <row r="1646" spans="1:8">
      <c r="A1646" s="21"/>
      <c r="B1646" s="22"/>
      <c r="C1646" s="22"/>
      <c r="D1646" s="22"/>
      <c r="E1646" s="23" t="str">
        <f>IF($D1646="","",IFERROR(VLOOKUP($D1646,'SAMA Capital Tracker'!$A:$H,8,FALSE()),""))</f>
        <v/>
      </c>
      <c r="F1646" s="24"/>
      <c r="G1646" s="25" t="str">
        <f>IF($D1646="","",IFERROR(VLOOKUP($D1646,'SAMA Capital Tracker'!$A:$D,4,FALSE()),""))</f>
        <v/>
      </c>
      <c r="H1646" s="22"/>
    </row>
    <row r="1647" spans="1:8">
      <c r="A1647" s="21"/>
      <c r="B1647" s="22"/>
      <c r="C1647" s="22"/>
      <c r="D1647" s="22"/>
      <c r="E1647" s="23" t="str">
        <f>IF($D1647="","",IFERROR(VLOOKUP($D1647,'SAMA Capital Tracker'!$A:$H,8,FALSE()),""))</f>
        <v/>
      </c>
      <c r="F1647" s="24"/>
      <c r="G1647" s="25" t="str">
        <f>IF($D1647="","",IFERROR(VLOOKUP($D1647,'SAMA Capital Tracker'!$A:$D,4,FALSE()),""))</f>
        <v/>
      </c>
      <c r="H1647" s="22"/>
    </row>
    <row r="1648" spans="1:8">
      <c r="A1648" s="21"/>
      <c r="B1648" s="22"/>
      <c r="C1648" s="22"/>
      <c r="D1648" s="22"/>
      <c r="E1648" s="23" t="str">
        <f>IF($D1648="","",IFERROR(VLOOKUP($D1648,'SAMA Capital Tracker'!$A:$H,8,FALSE()),""))</f>
        <v/>
      </c>
      <c r="F1648" s="24"/>
      <c r="G1648" s="25" t="str">
        <f>IF($D1648="","",IFERROR(VLOOKUP($D1648,'SAMA Capital Tracker'!$A:$D,4,FALSE()),""))</f>
        <v/>
      </c>
      <c r="H1648" s="22"/>
    </row>
    <row r="1649" spans="1:8">
      <c r="A1649" s="21"/>
      <c r="B1649" s="22"/>
      <c r="C1649" s="22"/>
      <c r="D1649" s="22"/>
      <c r="E1649" s="23" t="str">
        <f>IF($D1649="","",IFERROR(VLOOKUP($D1649,'SAMA Capital Tracker'!$A:$H,8,FALSE()),""))</f>
        <v/>
      </c>
      <c r="F1649" s="24"/>
      <c r="G1649" s="25" t="str">
        <f>IF($D1649="","",IFERROR(VLOOKUP($D1649,'SAMA Capital Tracker'!$A:$D,4,FALSE()),""))</f>
        <v/>
      </c>
      <c r="H1649" s="22"/>
    </row>
    <row r="1650" spans="1:8">
      <c r="A1650" s="21"/>
      <c r="B1650" s="22"/>
      <c r="C1650" s="22"/>
      <c r="D1650" s="22"/>
      <c r="E1650" s="23" t="str">
        <f>IF($D1650="","",IFERROR(VLOOKUP($D1650,'SAMA Capital Tracker'!$A:$H,8,FALSE()),""))</f>
        <v/>
      </c>
      <c r="F1650" s="24"/>
      <c r="G1650" s="25" t="str">
        <f>IF($D1650="","",IFERROR(VLOOKUP($D1650,'SAMA Capital Tracker'!$A:$D,4,FALSE()),""))</f>
        <v/>
      </c>
      <c r="H1650" s="22"/>
    </row>
    <row r="1651" spans="1:8">
      <c r="A1651" s="21"/>
      <c r="B1651" s="22"/>
      <c r="C1651" s="22"/>
      <c r="D1651" s="22"/>
      <c r="E1651" s="23" t="str">
        <f>IF($D1651="","",IFERROR(VLOOKUP($D1651,'SAMA Capital Tracker'!$A:$H,8,FALSE()),""))</f>
        <v/>
      </c>
      <c r="F1651" s="24"/>
      <c r="G1651" s="25" t="str">
        <f>IF($D1651="","",IFERROR(VLOOKUP($D1651,'SAMA Capital Tracker'!$A:$D,4,FALSE()),""))</f>
        <v/>
      </c>
      <c r="H1651" s="22"/>
    </row>
    <row r="1652" spans="1:8">
      <c r="A1652" s="21"/>
      <c r="B1652" s="22"/>
      <c r="C1652" s="22"/>
      <c r="D1652" s="22"/>
      <c r="E1652" s="23" t="str">
        <f>IF($D1652="","",IFERROR(VLOOKUP($D1652,'SAMA Capital Tracker'!$A:$H,8,FALSE()),""))</f>
        <v/>
      </c>
      <c r="F1652" s="24"/>
      <c r="G1652" s="25" t="str">
        <f>IF($D1652="","",IFERROR(VLOOKUP($D1652,'SAMA Capital Tracker'!$A:$D,4,FALSE()),""))</f>
        <v/>
      </c>
      <c r="H1652" s="22"/>
    </row>
    <row r="1653" spans="1:8">
      <c r="A1653" s="21"/>
      <c r="B1653" s="22"/>
      <c r="C1653" s="22"/>
      <c r="D1653" s="22"/>
      <c r="E1653" s="23" t="str">
        <f>IF($D1653="","",IFERROR(VLOOKUP($D1653,'SAMA Capital Tracker'!$A:$H,8,FALSE()),""))</f>
        <v/>
      </c>
      <c r="F1653" s="24"/>
      <c r="G1653" s="25" t="str">
        <f>IF($D1653="","",IFERROR(VLOOKUP($D1653,'SAMA Capital Tracker'!$A:$D,4,FALSE()),""))</f>
        <v/>
      </c>
      <c r="H1653" s="22"/>
    </row>
    <row r="1654" spans="1:8">
      <c r="A1654" s="21"/>
      <c r="B1654" s="22"/>
      <c r="C1654" s="22"/>
      <c r="D1654" s="22"/>
      <c r="E1654" s="23" t="str">
        <f>IF($D1654="","",IFERROR(VLOOKUP($D1654,'SAMA Capital Tracker'!$A:$H,8,FALSE()),""))</f>
        <v/>
      </c>
      <c r="F1654" s="24"/>
      <c r="G1654" s="25" t="str">
        <f>IF($D1654="","",IFERROR(VLOOKUP($D1654,'SAMA Capital Tracker'!$A:$D,4,FALSE()),""))</f>
        <v/>
      </c>
      <c r="H1654" s="22"/>
    </row>
    <row r="1655" spans="1:8">
      <c r="A1655" s="21"/>
      <c r="B1655" s="22"/>
      <c r="C1655" s="22"/>
      <c r="D1655" s="22"/>
      <c r="E1655" s="23" t="str">
        <f>IF($D1655="","",IFERROR(VLOOKUP($D1655,'SAMA Capital Tracker'!$A:$H,8,FALSE()),""))</f>
        <v/>
      </c>
      <c r="F1655" s="24"/>
      <c r="G1655" s="25" t="str">
        <f>IF($D1655="","",IFERROR(VLOOKUP($D1655,'SAMA Capital Tracker'!$A:$D,4,FALSE()),""))</f>
        <v/>
      </c>
      <c r="H1655" s="22"/>
    </row>
    <row r="1656" spans="1:8">
      <c r="A1656" s="21"/>
      <c r="B1656" s="22"/>
      <c r="C1656" s="22"/>
      <c r="D1656" s="22"/>
      <c r="E1656" s="23" t="str">
        <f>IF($D1656="","",IFERROR(VLOOKUP($D1656,'SAMA Capital Tracker'!$A:$H,8,FALSE()),""))</f>
        <v/>
      </c>
      <c r="F1656" s="24"/>
      <c r="G1656" s="25" t="str">
        <f>IF($D1656="","",IFERROR(VLOOKUP($D1656,'SAMA Capital Tracker'!$A:$D,4,FALSE()),""))</f>
        <v/>
      </c>
      <c r="H1656" s="22"/>
    </row>
    <row r="1657" spans="1:8">
      <c r="A1657" s="21"/>
      <c r="B1657" s="22"/>
      <c r="C1657" s="22"/>
      <c r="D1657" s="22"/>
      <c r="E1657" s="23" t="str">
        <f>IF($D1657="","",IFERROR(VLOOKUP($D1657,'SAMA Capital Tracker'!$A:$H,8,FALSE()),""))</f>
        <v/>
      </c>
      <c r="F1657" s="24"/>
      <c r="G1657" s="25" t="str">
        <f>IF($D1657="","",IFERROR(VLOOKUP($D1657,'SAMA Capital Tracker'!$A:$D,4,FALSE()),""))</f>
        <v/>
      </c>
      <c r="H1657" s="22"/>
    </row>
    <row r="1658" spans="1:8">
      <c r="A1658" s="21"/>
      <c r="B1658" s="22"/>
      <c r="C1658" s="22"/>
      <c r="D1658" s="22"/>
      <c r="E1658" s="23" t="str">
        <f>IF($D1658="","",IFERROR(VLOOKUP($D1658,'SAMA Capital Tracker'!$A:$H,8,FALSE()),""))</f>
        <v/>
      </c>
      <c r="F1658" s="24"/>
      <c r="G1658" s="25" t="str">
        <f>IF($D1658="","",IFERROR(VLOOKUP($D1658,'SAMA Capital Tracker'!$A:$D,4,FALSE()),""))</f>
        <v/>
      </c>
      <c r="H1658" s="22"/>
    </row>
    <row r="1659" spans="1:8">
      <c r="A1659" s="21"/>
      <c r="B1659" s="22"/>
      <c r="C1659" s="22"/>
      <c r="D1659" s="22"/>
      <c r="E1659" s="23" t="str">
        <f>IF($D1659="","",IFERROR(VLOOKUP($D1659,'SAMA Capital Tracker'!$A:$H,8,FALSE()),""))</f>
        <v/>
      </c>
      <c r="F1659" s="24"/>
      <c r="G1659" s="25" t="str">
        <f>IF($D1659="","",IFERROR(VLOOKUP($D1659,'SAMA Capital Tracker'!$A:$D,4,FALSE()),""))</f>
        <v/>
      </c>
      <c r="H1659" s="22"/>
    </row>
    <row r="1660" spans="1:8">
      <c r="A1660" s="21"/>
      <c r="B1660" s="22"/>
      <c r="C1660" s="22"/>
      <c r="D1660" s="22"/>
      <c r="E1660" s="23" t="str">
        <f>IF($D1660="","",IFERROR(VLOOKUP($D1660,'SAMA Capital Tracker'!$A:$H,8,FALSE()),""))</f>
        <v/>
      </c>
      <c r="F1660" s="24"/>
      <c r="G1660" s="25" t="str">
        <f>IF($D1660="","",IFERROR(VLOOKUP($D1660,'SAMA Capital Tracker'!$A:$D,4,FALSE()),""))</f>
        <v/>
      </c>
      <c r="H1660" s="22"/>
    </row>
    <row r="1661" spans="1:8">
      <c r="A1661" s="21"/>
      <c r="B1661" s="22"/>
      <c r="C1661" s="22"/>
      <c r="D1661" s="22"/>
      <c r="E1661" s="23" t="str">
        <f>IF($D1661="","",IFERROR(VLOOKUP($D1661,'SAMA Capital Tracker'!$A:$H,8,FALSE()),""))</f>
        <v/>
      </c>
      <c r="F1661" s="24"/>
      <c r="G1661" s="25" t="str">
        <f>IF($D1661="","",IFERROR(VLOOKUP($D1661,'SAMA Capital Tracker'!$A:$D,4,FALSE()),""))</f>
        <v/>
      </c>
      <c r="H1661" s="22"/>
    </row>
    <row r="1662" spans="1:8">
      <c r="A1662" s="21"/>
      <c r="B1662" s="22"/>
      <c r="C1662" s="22"/>
      <c r="D1662" s="22"/>
      <c r="E1662" s="23" t="str">
        <f>IF($D1662="","",IFERROR(VLOOKUP($D1662,'SAMA Capital Tracker'!$A:$H,8,FALSE()),""))</f>
        <v/>
      </c>
      <c r="F1662" s="24"/>
      <c r="G1662" s="25" t="str">
        <f>IF($D1662="","",IFERROR(VLOOKUP($D1662,'SAMA Capital Tracker'!$A:$D,4,FALSE()),""))</f>
        <v/>
      </c>
      <c r="H1662" s="22"/>
    </row>
    <row r="1663" spans="1:8">
      <c r="A1663" s="21"/>
      <c r="B1663" s="22"/>
      <c r="C1663" s="22"/>
      <c r="D1663" s="22"/>
      <c r="E1663" s="23" t="str">
        <f>IF($D1663="","",IFERROR(VLOOKUP($D1663,'SAMA Capital Tracker'!$A:$H,8,FALSE()),""))</f>
        <v/>
      </c>
      <c r="F1663" s="24"/>
      <c r="G1663" s="25" t="str">
        <f>IF($D1663="","",IFERROR(VLOOKUP($D1663,'SAMA Capital Tracker'!$A:$D,4,FALSE()),""))</f>
        <v/>
      </c>
      <c r="H1663" s="22"/>
    </row>
    <row r="1664" spans="1:8">
      <c r="A1664" s="21"/>
      <c r="B1664" s="22"/>
      <c r="C1664" s="22"/>
      <c r="D1664" s="22"/>
      <c r="E1664" s="23" t="str">
        <f>IF($D1664="","",IFERROR(VLOOKUP($D1664,'SAMA Capital Tracker'!$A:$H,8,FALSE()),""))</f>
        <v/>
      </c>
      <c r="F1664" s="24"/>
      <c r="G1664" s="25" t="str">
        <f>IF($D1664="","",IFERROR(VLOOKUP($D1664,'SAMA Capital Tracker'!$A:$D,4,FALSE()),""))</f>
        <v/>
      </c>
      <c r="H1664" s="22"/>
    </row>
    <row r="1665" spans="1:8">
      <c r="A1665" s="21"/>
      <c r="B1665" s="22"/>
      <c r="C1665" s="22"/>
      <c r="D1665" s="22"/>
      <c r="E1665" s="23" t="str">
        <f>IF($D1665="","",IFERROR(VLOOKUP($D1665,'SAMA Capital Tracker'!$A:$H,8,FALSE()),""))</f>
        <v/>
      </c>
      <c r="F1665" s="24"/>
      <c r="G1665" s="25" t="str">
        <f>IF($D1665="","",IFERROR(VLOOKUP($D1665,'SAMA Capital Tracker'!$A:$D,4,FALSE()),""))</f>
        <v/>
      </c>
      <c r="H1665" s="22"/>
    </row>
    <row r="1666" spans="1:8">
      <c r="A1666" s="21"/>
      <c r="B1666" s="22"/>
      <c r="C1666" s="22"/>
      <c r="D1666" s="22"/>
      <c r="E1666" s="23" t="str">
        <f>IF($D1666="","",IFERROR(VLOOKUP($D1666,'SAMA Capital Tracker'!$A:$H,8,FALSE()),""))</f>
        <v/>
      </c>
      <c r="F1666" s="24"/>
      <c r="G1666" s="25" t="str">
        <f>IF($D1666="","",IFERROR(VLOOKUP($D1666,'SAMA Capital Tracker'!$A:$D,4,FALSE()),""))</f>
        <v/>
      </c>
      <c r="H1666" s="22"/>
    </row>
    <row r="1667" spans="1:8">
      <c r="A1667" s="21"/>
      <c r="B1667" s="22"/>
      <c r="C1667" s="22"/>
      <c r="D1667" s="22"/>
      <c r="E1667" s="23" t="str">
        <f>IF($D1667="","",IFERROR(VLOOKUP($D1667,'SAMA Capital Tracker'!$A:$H,8,FALSE()),""))</f>
        <v/>
      </c>
      <c r="F1667" s="24"/>
      <c r="G1667" s="25" t="str">
        <f>IF($D1667="","",IFERROR(VLOOKUP($D1667,'SAMA Capital Tracker'!$A:$D,4,FALSE()),""))</f>
        <v/>
      </c>
      <c r="H1667" s="22"/>
    </row>
    <row r="1668" spans="1:8">
      <c r="A1668" s="21"/>
      <c r="B1668" s="22"/>
      <c r="C1668" s="22"/>
      <c r="D1668" s="22"/>
      <c r="E1668" s="23" t="str">
        <f>IF($D1668="","",IFERROR(VLOOKUP($D1668,'SAMA Capital Tracker'!$A:$H,8,FALSE()),""))</f>
        <v/>
      </c>
      <c r="F1668" s="24"/>
      <c r="G1668" s="25" t="str">
        <f>IF($D1668="","",IFERROR(VLOOKUP($D1668,'SAMA Capital Tracker'!$A:$D,4,FALSE()),""))</f>
        <v/>
      </c>
      <c r="H1668" s="22"/>
    </row>
    <row r="1669" spans="1:8">
      <c r="A1669" s="21"/>
      <c r="B1669" s="22"/>
      <c r="C1669" s="22"/>
      <c r="D1669" s="22"/>
      <c r="E1669" s="23" t="str">
        <f>IF($D1669="","",IFERROR(VLOOKUP($D1669,'SAMA Capital Tracker'!$A:$H,8,FALSE()),""))</f>
        <v/>
      </c>
      <c r="F1669" s="24"/>
      <c r="G1669" s="25" t="str">
        <f>IF($D1669="","",IFERROR(VLOOKUP($D1669,'SAMA Capital Tracker'!$A:$D,4,FALSE()),""))</f>
        <v/>
      </c>
      <c r="H1669" s="22"/>
    </row>
    <row r="1670" spans="1:8">
      <c r="A1670" s="21"/>
      <c r="B1670" s="22"/>
      <c r="C1670" s="22"/>
      <c r="D1670" s="22"/>
      <c r="E1670" s="23" t="str">
        <f>IF($D1670="","",IFERROR(VLOOKUP($D1670,'SAMA Capital Tracker'!$A:$H,8,FALSE()),""))</f>
        <v/>
      </c>
      <c r="F1670" s="24"/>
      <c r="G1670" s="25" t="str">
        <f>IF($D1670="","",IFERROR(VLOOKUP($D1670,'SAMA Capital Tracker'!$A:$D,4,FALSE()),""))</f>
        <v/>
      </c>
      <c r="H1670" s="22"/>
    </row>
    <row r="1671" spans="1:8">
      <c r="A1671" s="21"/>
      <c r="B1671" s="22"/>
      <c r="C1671" s="22"/>
      <c r="D1671" s="22"/>
      <c r="E1671" s="23" t="str">
        <f>IF($D1671="","",IFERROR(VLOOKUP($D1671,'SAMA Capital Tracker'!$A:$H,8,FALSE()),""))</f>
        <v/>
      </c>
      <c r="F1671" s="24"/>
      <c r="G1671" s="25" t="str">
        <f>IF($D1671="","",IFERROR(VLOOKUP($D1671,'SAMA Capital Tracker'!$A:$D,4,FALSE()),""))</f>
        <v/>
      </c>
      <c r="H1671" s="22"/>
    </row>
    <row r="1672" spans="1:8">
      <c r="A1672" s="21"/>
      <c r="B1672" s="22"/>
      <c r="C1672" s="22"/>
      <c r="D1672" s="22"/>
      <c r="E1672" s="23" t="str">
        <f>IF($D1672="","",IFERROR(VLOOKUP($D1672,'SAMA Capital Tracker'!$A:$H,8,FALSE()),""))</f>
        <v/>
      </c>
      <c r="F1672" s="24"/>
      <c r="G1672" s="25" t="str">
        <f>IF($D1672="","",IFERROR(VLOOKUP($D1672,'SAMA Capital Tracker'!$A:$D,4,FALSE()),""))</f>
        <v/>
      </c>
      <c r="H1672" s="22"/>
    </row>
    <row r="1673" spans="1:8">
      <c r="A1673" s="21"/>
      <c r="B1673" s="22"/>
      <c r="C1673" s="22"/>
      <c r="D1673" s="22"/>
      <c r="E1673" s="23" t="str">
        <f>IF($D1673="","",IFERROR(VLOOKUP($D1673,'SAMA Capital Tracker'!$A:$H,8,FALSE()),""))</f>
        <v/>
      </c>
      <c r="F1673" s="24"/>
      <c r="G1673" s="25" t="str">
        <f>IF($D1673="","",IFERROR(VLOOKUP($D1673,'SAMA Capital Tracker'!$A:$D,4,FALSE()),""))</f>
        <v/>
      </c>
      <c r="H1673" s="22"/>
    </row>
    <row r="1674" spans="1:8">
      <c r="A1674" s="21"/>
      <c r="B1674" s="22"/>
      <c r="C1674" s="22"/>
      <c r="D1674" s="22"/>
      <c r="E1674" s="23" t="str">
        <f>IF($D1674="","",IFERROR(VLOOKUP($D1674,'SAMA Capital Tracker'!$A:$H,8,FALSE()),""))</f>
        <v/>
      </c>
      <c r="F1674" s="24"/>
      <c r="G1674" s="25" t="str">
        <f>IF($D1674="","",IFERROR(VLOOKUP($D1674,'SAMA Capital Tracker'!$A:$D,4,FALSE()),""))</f>
        <v/>
      </c>
      <c r="H1674" s="22"/>
    </row>
    <row r="1675" spans="1:8">
      <c r="A1675" s="21"/>
      <c r="B1675" s="22"/>
      <c r="C1675" s="22"/>
      <c r="D1675" s="22"/>
      <c r="E1675" s="23" t="str">
        <f>IF($D1675="","",IFERROR(VLOOKUP($D1675,'SAMA Capital Tracker'!$A:$H,8,FALSE()),""))</f>
        <v/>
      </c>
      <c r="F1675" s="24"/>
      <c r="G1675" s="25" t="str">
        <f>IF($D1675="","",IFERROR(VLOOKUP($D1675,'SAMA Capital Tracker'!$A:$D,4,FALSE()),""))</f>
        <v/>
      </c>
      <c r="H1675" s="22"/>
    </row>
    <row r="1676" spans="1:8">
      <c r="A1676" s="21"/>
      <c r="B1676" s="22"/>
      <c r="C1676" s="22"/>
      <c r="D1676" s="22"/>
      <c r="E1676" s="23" t="str">
        <f>IF($D1676="","",IFERROR(VLOOKUP($D1676,'SAMA Capital Tracker'!$A:$H,8,FALSE()),""))</f>
        <v/>
      </c>
      <c r="F1676" s="24"/>
      <c r="G1676" s="25" t="str">
        <f>IF($D1676="","",IFERROR(VLOOKUP($D1676,'SAMA Capital Tracker'!$A:$D,4,FALSE()),""))</f>
        <v/>
      </c>
      <c r="H1676" s="22"/>
    </row>
    <row r="1677" spans="1:8">
      <c r="A1677" s="21"/>
      <c r="B1677" s="22"/>
      <c r="C1677" s="22"/>
      <c r="D1677" s="22"/>
      <c r="E1677" s="23" t="str">
        <f>IF($D1677="","",IFERROR(VLOOKUP($D1677,'SAMA Capital Tracker'!$A:$H,8,FALSE()),""))</f>
        <v/>
      </c>
      <c r="F1677" s="24"/>
      <c r="G1677" s="25" t="str">
        <f>IF($D1677="","",IFERROR(VLOOKUP($D1677,'SAMA Capital Tracker'!$A:$D,4,FALSE()),""))</f>
        <v/>
      </c>
      <c r="H1677" s="22"/>
    </row>
    <row r="1678" spans="1:8">
      <c r="A1678" s="21"/>
      <c r="B1678" s="22"/>
      <c r="C1678" s="22"/>
      <c r="D1678" s="22"/>
      <c r="E1678" s="23" t="str">
        <f>IF($D1678="","",IFERROR(VLOOKUP($D1678,'SAMA Capital Tracker'!$A:$H,8,FALSE()),""))</f>
        <v/>
      </c>
      <c r="F1678" s="24"/>
      <c r="G1678" s="25" t="str">
        <f>IF($D1678="","",IFERROR(VLOOKUP($D1678,'SAMA Capital Tracker'!$A:$D,4,FALSE()),""))</f>
        <v/>
      </c>
      <c r="H1678" s="22"/>
    </row>
    <row r="1679" spans="1:8">
      <c r="A1679" s="21"/>
      <c r="B1679" s="22"/>
      <c r="C1679" s="22"/>
      <c r="D1679" s="22"/>
      <c r="E1679" s="23" t="str">
        <f>IF($D1679="","",IFERROR(VLOOKUP($D1679,'SAMA Capital Tracker'!$A:$H,8,FALSE()),""))</f>
        <v/>
      </c>
      <c r="F1679" s="24"/>
      <c r="G1679" s="25" t="str">
        <f>IF($D1679="","",IFERROR(VLOOKUP($D1679,'SAMA Capital Tracker'!$A:$D,4,FALSE()),""))</f>
        <v/>
      </c>
      <c r="H1679" s="22"/>
    </row>
    <row r="1680" spans="1:8">
      <c r="A1680" s="21"/>
      <c r="B1680" s="22"/>
      <c r="C1680" s="22"/>
      <c r="D1680" s="22"/>
      <c r="E1680" s="23" t="str">
        <f>IF($D1680="","",IFERROR(VLOOKUP($D1680,'SAMA Capital Tracker'!$A:$H,8,FALSE()),""))</f>
        <v/>
      </c>
      <c r="F1680" s="24"/>
      <c r="G1680" s="25" t="str">
        <f>IF($D1680="","",IFERROR(VLOOKUP($D1680,'SAMA Capital Tracker'!$A:$D,4,FALSE()),""))</f>
        <v/>
      </c>
      <c r="H1680" s="22"/>
    </row>
    <row r="1681" spans="1:8">
      <c r="A1681" s="21"/>
      <c r="B1681" s="22"/>
      <c r="C1681" s="22"/>
      <c r="D1681" s="22"/>
      <c r="E1681" s="23" t="str">
        <f>IF($D1681="","",IFERROR(VLOOKUP($D1681,'SAMA Capital Tracker'!$A:$H,8,FALSE()),""))</f>
        <v/>
      </c>
      <c r="F1681" s="24"/>
      <c r="G1681" s="25" t="str">
        <f>IF($D1681="","",IFERROR(VLOOKUP($D1681,'SAMA Capital Tracker'!$A:$D,4,FALSE()),""))</f>
        <v/>
      </c>
      <c r="H1681" s="22"/>
    </row>
    <row r="1682" spans="1:8">
      <c r="A1682" s="21"/>
      <c r="B1682" s="22"/>
      <c r="C1682" s="22"/>
      <c r="D1682" s="22"/>
      <c r="E1682" s="23" t="str">
        <f>IF($D1682="","",IFERROR(VLOOKUP($D1682,'SAMA Capital Tracker'!$A:$H,8,FALSE()),""))</f>
        <v/>
      </c>
      <c r="F1682" s="24"/>
      <c r="G1682" s="25" t="str">
        <f>IF($D1682="","",IFERROR(VLOOKUP($D1682,'SAMA Capital Tracker'!$A:$D,4,FALSE()),""))</f>
        <v/>
      </c>
      <c r="H1682" s="22"/>
    </row>
    <row r="1683" spans="1:8">
      <c r="A1683" s="21"/>
      <c r="B1683" s="22"/>
      <c r="C1683" s="22"/>
      <c r="D1683" s="22"/>
      <c r="E1683" s="23" t="str">
        <f>IF($D1683="","",IFERROR(VLOOKUP($D1683,'SAMA Capital Tracker'!$A:$H,8,FALSE()),""))</f>
        <v/>
      </c>
      <c r="F1683" s="24"/>
      <c r="G1683" s="25" t="str">
        <f>IF($D1683="","",IFERROR(VLOOKUP($D1683,'SAMA Capital Tracker'!$A:$D,4,FALSE()),""))</f>
        <v/>
      </c>
      <c r="H1683" s="22"/>
    </row>
    <row r="1684" spans="1:8">
      <c r="A1684" s="21"/>
      <c r="B1684" s="22"/>
      <c r="C1684" s="22"/>
      <c r="D1684" s="22"/>
      <c r="E1684" s="23" t="str">
        <f>IF($D1684="","",IFERROR(VLOOKUP($D1684,'SAMA Capital Tracker'!$A:$H,8,FALSE()),""))</f>
        <v/>
      </c>
      <c r="F1684" s="24"/>
      <c r="G1684" s="25" t="str">
        <f>IF($D1684="","",IFERROR(VLOOKUP($D1684,'SAMA Capital Tracker'!$A:$D,4,FALSE()),""))</f>
        <v/>
      </c>
      <c r="H1684" s="22"/>
    </row>
    <row r="1685" spans="1:8">
      <c r="A1685" s="21"/>
      <c r="B1685" s="22"/>
      <c r="C1685" s="22"/>
      <c r="D1685" s="22"/>
      <c r="E1685" s="23" t="str">
        <f>IF($D1685="","",IFERROR(VLOOKUP($D1685,'SAMA Capital Tracker'!$A:$H,8,FALSE()),""))</f>
        <v/>
      </c>
      <c r="F1685" s="24"/>
      <c r="G1685" s="25" t="str">
        <f>IF($D1685="","",IFERROR(VLOOKUP($D1685,'SAMA Capital Tracker'!$A:$D,4,FALSE()),""))</f>
        <v/>
      </c>
      <c r="H1685" s="22"/>
    </row>
    <row r="1686" spans="1:8">
      <c r="A1686" s="21"/>
      <c r="B1686" s="22"/>
      <c r="C1686" s="22"/>
      <c r="D1686" s="22"/>
      <c r="E1686" s="23" t="str">
        <f>IF($D1686="","",IFERROR(VLOOKUP($D1686,'SAMA Capital Tracker'!$A:$H,8,FALSE()),""))</f>
        <v/>
      </c>
      <c r="F1686" s="24"/>
      <c r="G1686" s="25" t="str">
        <f>IF($D1686="","",IFERROR(VLOOKUP($D1686,'SAMA Capital Tracker'!$A:$D,4,FALSE()),""))</f>
        <v/>
      </c>
      <c r="H1686" s="22"/>
    </row>
    <row r="1687" spans="1:8">
      <c r="A1687" s="21"/>
      <c r="B1687" s="22"/>
      <c r="C1687" s="22"/>
      <c r="D1687" s="22"/>
      <c r="E1687" s="23" t="str">
        <f>IF($D1687="","",IFERROR(VLOOKUP($D1687,'SAMA Capital Tracker'!$A:$H,8,FALSE()),""))</f>
        <v/>
      </c>
      <c r="F1687" s="24"/>
      <c r="G1687" s="25" t="str">
        <f>IF($D1687="","",IFERROR(VLOOKUP($D1687,'SAMA Capital Tracker'!$A:$D,4,FALSE()),""))</f>
        <v/>
      </c>
      <c r="H1687" s="22"/>
    </row>
    <row r="1688" spans="1:8">
      <c r="A1688" s="21"/>
      <c r="B1688" s="22"/>
      <c r="C1688" s="22"/>
      <c r="D1688" s="22"/>
      <c r="E1688" s="23" t="str">
        <f>IF($D1688="","",IFERROR(VLOOKUP($D1688,'SAMA Capital Tracker'!$A:$H,8,FALSE()),""))</f>
        <v/>
      </c>
      <c r="F1688" s="24"/>
      <c r="G1688" s="25" t="str">
        <f>IF($D1688="","",IFERROR(VLOOKUP($D1688,'SAMA Capital Tracker'!$A:$D,4,FALSE()),""))</f>
        <v/>
      </c>
      <c r="H1688" s="22"/>
    </row>
    <row r="1689" spans="1:8">
      <c r="A1689" s="21"/>
      <c r="B1689" s="22"/>
      <c r="C1689" s="22"/>
      <c r="D1689" s="22"/>
      <c r="E1689" s="23" t="str">
        <f>IF($D1689="","",IFERROR(VLOOKUP($D1689,'SAMA Capital Tracker'!$A:$H,8,FALSE()),""))</f>
        <v/>
      </c>
      <c r="F1689" s="24"/>
      <c r="G1689" s="25" t="str">
        <f>IF($D1689="","",IFERROR(VLOOKUP($D1689,'SAMA Capital Tracker'!$A:$D,4,FALSE()),""))</f>
        <v/>
      </c>
      <c r="H1689" s="22"/>
    </row>
    <row r="1690" spans="1:8">
      <c r="A1690" s="21"/>
      <c r="B1690" s="22"/>
      <c r="C1690" s="22"/>
      <c r="D1690" s="22"/>
      <c r="E1690" s="23" t="str">
        <f>IF($D1690="","",IFERROR(VLOOKUP($D1690,'SAMA Capital Tracker'!$A:$H,8,FALSE()),""))</f>
        <v/>
      </c>
      <c r="F1690" s="24"/>
      <c r="G1690" s="25" t="str">
        <f>IF($D1690="","",IFERROR(VLOOKUP($D1690,'SAMA Capital Tracker'!$A:$D,4,FALSE()),""))</f>
        <v/>
      </c>
      <c r="H1690" s="22"/>
    </row>
    <row r="1691" spans="1:8">
      <c r="A1691" s="21"/>
      <c r="B1691" s="22"/>
      <c r="C1691" s="22"/>
      <c r="D1691" s="22"/>
      <c r="E1691" s="23" t="str">
        <f>IF($D1691="","",IFERROR(VLOOKUP($D1691,'SAMA Capital Tracker'!$A:$H,8,FALSE()),""))</f>
        <v/>
      </c>
      <c r="F1691" s="24"/>
      <c r="G1691" s="25" t="str">
        <f>IF($D1691="","",IFERROR(VLOOKUP($D1691,'SAMA Capital Tracker'!$A:$D,4,FALSE()),""))</f>
        <v/>
      </c>
      <c r="H1691" s="22"/>
    </row>
    <row r="1692" spans="1:8">
      <c r="A1692" s="21"/>
      <c r="B1692" s="22"/>
      <c r="C1692" s="22"/>
      <c r="D1692" s="22"/>
      <c r="E1692" s="23" t="str">
        <f>IF($D1692="","",IFERROR(VLOOKUP($D1692,'SAMA Capital Tracker'!$A:$H,8,FALSE()),""))</f>
        <v/>
      </c>
      <c r="F1692" s="24"/>
      <c r="G1692" s="25" t="str">
        <f>IF($D1692="","",IFERROR(VLOOKUP($D1692,'SAMA Capital Tracker'!$A:$D,4,FALSE()),""))</f>
        <v/>
      </c>
      <c r="H1692" s="22"/>
    </row>
    <row r="1693" spans="1:8">
      <c r="A1693" s="21"/>
      <c r="B1693" s="22"/>
      <c r="C1693" s="22"/>
      <c r="D1693" s="22"/>
      <c r="E1693" s="23" t="str">
        <f>IF($D1693="","",IFERROR(VLOOKUP($D1693,'SAMA Capital Tracker'!$A:$H,8,FALSE()),""))</f>
        <v/>
      </c>
      <c r="F1693" s="24"/>
      <c r="G1693" s="25" t="str">
        <f>IF($D1693="","",IFERROR(VLOOKUP($D1693,'SAMA Capital Tracker'!$A:$D,4,FALSE()),""))</f>
        <v/>
      </c>
      <c r="H1693" s="22"/>
    </row>
    <row r="1694" spans="1:8">
      <c r="A1694" s="21"/>
      <c r="B1694" s="22"/>
      <c r="C1694" s="22"/>
      <c r="D1694" s="22"/>
      <c r="E1694" s="23" t="str">
        <f>IF($D1694="","",IFERROR(VLOOKUP($D1694,'SAMA Capital Tracker'!$A:$H,8,FALSE()),""))</f>
        <v/>
      </c>
      <c r="F1694" s="24"/>
      <c r="G1694" s="25" t="str">
        <f>IF($D1694="","",IFERROR(VLOOKUP($D1694,'SAMA Capital Tracker'!$A:$D,4,FALSE()),""))</f>
        <v/>
      </c>
      <c r="H1694" s="22"/>
    </row>
    <row r="1695" spans="1:8">
      <c r="A1695" s="21"/>
      <c r="B1695" s="22"/>
      <c r="C1695" s="22"/>
      <c r="D1695" s="22"/>
      <c r="E1695" s="23" t="str">
        <f>IF($D1695="","",IFERROR(VLOOKUP($D1695,'SAMA Capital Tracker'!$A:$H,8,FALSE()),""))</f>
        <v/>
      </c>
      <c r="F1695" s="24"/>
      <c r="G1695" s="25" t="str">
        <f>IF($D1695="","",IFERROR(VLOOKUP($D1695,'SAMA Capital Tracker'!$A:$D,4,FALSE()),""))</f>
        <v/>
      </c>
      <c r="H1695" s="22"/>
    </row>
    <row r="1696" spans="1:8">
      <c r="A1696" s="21"/>
      <c r="B1696" s="22"/>
      <c r="C1696" s="22"/>
      <c r="D1696" s="22"/>
      <c r="E1696" s="23" t="str">
        <f>IF($D1696="","",IFERROR(VLOOKUP($D1696,'SAMA Capital Tracker'!$A:$H,8,FALSE()),""))</f>
        <v/>
      </c>
      <c r="F1696" s="24"/>
      <c r="G1696" s="25" t="str">
        <f>IF($D1696="","",IFERROR(VLOOKUP($D1696,'SAMA Capital Tracker'!$A:$D,4,FALSE()),""))</f>
        <v/>
      </c>
      <c r="H1696" s="22"/>
    </row>
    <row r="1697" spans="1:8">
      <c r="A1697" s="21"/>
      <c r="B1697" s="22"/>
      <c r="C1697" s="22"/>
      <c r="D1697" s="22"/>
      <c r="E1697" s="23" t="str">
        <f>IF($D1697="","",IFERROR(VLOOKUP($D1697,'SAMA Capital Tracker'!$A:$H,8,FALSE()),""))</f>
        <v/>
      </c>
      <c r="F1697" s="24"/>
      <c r="G1697" s="25" t="str">
        <f>IF($D1697="","",IFERROR(VLOOKUP($D1697,'SAMA Capital Tracker'!$A:$D,4,FALSE()),""))</f>
        <v/>
      </c>
      <c r="H1697" s="22"/>
    </row>
    <row r="1698" spans="1:8">
      <c r="A1698" s="21"/>
      <c r="B1698" s="22"/>
      <c r="C1698" s="22"/>
      <c r="D1698" s="22"/>
      <c r="E1698" s="23" t="str">
        <f>IF($D1698="","",IFERROR(VLOOKUP($D1698,'SAMA Capital Tracker'!$A:$H,8,FALSE()),""))</f>
        <v/>
      </c>
      <c r="F1698" s="24"/>
      <c r="G1698" s="25" t="str">
        <f>IF($D1698="","",IFERROR(VLOOKUP($D1698,'SAMA Capital Tracker'!$A:$D,4,FALSE()),""))</f>
        <v/>
      </c>
      <c r="H1698" s="22"/>
    </row>
    <row r="1699" spans="1:8">
      <c r="A1699" s="21"/>
      <c r="B1699" s="22"/>
      <c r="C1699" s="22"/>
      <c r="D1699" s="22"/>
      <c r="E1699" s="23" t="str">
        <f>IF($D1699="","",IFERROR(VLOOKUP($D1699,'SAMA Capital Tracker'!$A:$H,8,FALSE()),""))</f>
        <v/>
      </c>
      <c r="F1699" s="24"/>
      <c r="G1699" s="25" t="str">
        <f>IF($D1699="","",IFERROR(VLOOKUP($D1699,'SAMA Capital Tracker'!$A:$D,4,FALSE()),""))</f>
        <v/>
      </c>
      <c r="H1699" s="22"/>
    </row>
    <row r="1700" spans="1:8">
      <c r="A1700" s="21"/>
      <c r="B1700" s="22"/>
      <c r="C1700" s="22"/>
      <c r="D1700" s="22"/>
      <c r="E1700" s="23" t="str">
        <f>IF($D1700="","",IFERROR(VLOOKUP($D1700,'SAMA Capital Tracker'!$A:$H,8,FALSE()),""))</f>
        <v/>
      </c>
      <c r="F1700" s="24"/>
      <c r="G1700" s="25" t="str">
        <f>IF($D1700="","",IFERROR(VLOOKUP($D1700,'SAMA Capital Tracker'!$A:$D,4,FALSE()),""))</f>
        <v/>
      </c>
      <c r="H1700" s="22"/>
    </row>
    <row r="1701" spans="1:8">
      <c r="A1701" s="21"/>
      <c r="B1701" s="22"/>
      <c r="C1701" s="22"/>
      <c r="D1701" s="22"/>
      <c r="E1701" s="23" t="str">
        <f>IF($D1701="","",IFERROR(VLOOKUP($D1701,'SAMA Capital Tracker'!$A:$H,8,FALSE()),""))</f>
        <v/>
      </c>
      <c r="F1701" s="24"/>
      <c r="G1701" s="25" t="str">
        <f>IF($D1701="","",IFERROR(VLOOKUP($D1701,'SAMA Capital Tracker'!$A:$D,4,FALSE()),""))</f>
        <v/>
      </c>
      <c r="H1701" s="22"/>
    </row>
    <row r="1702" spans="1:8">
      <c r="A1702" s="21"/>
      <c r="B1702" s="22"/>
      <c r="C1702" s="22"/>
      <c r="D1702" s="22"/>
      <c r="E1702" s="23" t="str">
        <f>IF($D1702="","",IFERROR(VLOOKUP($D1702,'SAMA Capital Tracker'!$A:$H,8,FALSE()),""))</f>
        <v/>
      </c>
      <c r="F1702" s="24"/>
      <c r="G1702" s="25" t="str">
        <f>IF($D1702="","",IFERROR(VLOOKUP($D1702,'SAMA Capital Tracker'!$A:$D,4,FALSE()),""))</f>
        <v/>
      </c>
      <c r="H1702" s="22"/>
    </row>
    <row r="1703" spans="1:8">
      <c r="A1703" s="21"/>
      <c r="B1703" s="22"/>
      <c r="C1703" s="22"/>
      <c r="D1703" s="22"/>
      <c r="E1703" s="23" t="str">
        <f>IF($D1703="","",IFERROR(VLOOKUP($D1703,'SAMA Capital Tracker'!$A:$H,8,FALSE()),""))</f>
        <v/>
      </c>
      <c r="F1703" s="24"/>
      <c r="G1703" s="25" t="str">
        <f>IF($D1703="","",IFERROR(VLOOKUP($D1703,'SAMA Capital Tracker'!$A:$D,4,FALSE()),""))</f>
        <v/>
      </c>
      <c r="H1703" s="22"/>
    </row>
    <row r="1704" spans="1:8">
      <c r="A1704" s="21"/>
      <c r="B1704" s="22"/>
      <c r="C1704" s="22"/>
      <c r="D1704" s="22"/>
      <c r="E1704" s="23" t="str">
        <f>IF($D1704="","",IFERROR(VLOOKUP($D1704,'SAMA Capital Tracker'!$A:$H,8,FALSE()),""))</f>
        <v/>
      </c>
      <c r="F1704" s="24"/>
      <c r="G1704" s="25" t="str">
        <f>IF($D1704="","",IFERROR(VLOOKUP($D1704,'SAMA Capital Tracker'!$A:$D,4,FALSE()),""))</f>
        <v/>
      </c>
      <c r="H1704" s="22"/>
    </row>
    <row r="1705" spans="1:8">
      <c r="A1705" s="21"/>
      <c r="B1705" s="22"/>
      <c r="C1705" s="22"/>
      <c r="D1705" s="22"/>
      <c r="E1705" s="23" t="str">
        <f>IF($D1705="","",IFERROR(VLOOKUP($D1705,'SAMA Capital Tracker'!$A:$H,8,FALSE()),""))</f>
        <v/>
      </c>
      <c r="F1705" s="24"/>
      <c r="G1705" s="25" t="str">
        <f>IF($D1705="","",IFERROR(VLOOKUP($D1705,'SAMA Capital Tracker'!$A:$D,4,FALSE()),""))</f>
        <v/>
      </c>
      <c r="H1705" s="22"/>
    </row>
    <row r="1706" spans="1:8">
      <c r="A1706" s="21"/>
      <c r="B1706" s="22"/>
      <c r="C1706" s="22"/>
      <c r="D1706" s="22"/>
      <c r="E1706" s="23" t="str">
        <f>IF($D1706="","",IFERROR(VLOOKUP($D1706,'SAMA Capital Tracker'!$A:$H,8,FALSE()),""))</f>
        <v/>
      </c>
      <c r="F1706" s="24"/>
      <c r="G1706" s="25" t="str">
        <f>IF($D1706="","",IFERROR(VLOOKUP($D1706,'SAMA Capital Tracker'!$A:$D,4,FALSE()),""))</f>
        <v/>
      </c>
      <c r="H1706" s="22"/>
    </row>
    <row r="1707" spans="1:8">
      <c r="A1707" s="21"/>
      <c r="B1707" s="22"/>
      <c r="C1707" s="22"/>
      <c r="D1707" s="22"/>
      <c r="E1707" s="23" t="str">
        <f>IF($D1707="","",IFERROR(VLOOKUP($D1707,'SAMA Capital Tracker'!$A:$H,8,FALSE()),""))</f>
        <v/>
      </c>
      <c r="F1707" s="24"/>
      <c r="G1707" s="25" t="str">
        <f>IF($D1707="","",IFERROR(VLOOKUP($D1707,'SAMA Capital Tracker'!$A:$D,4,FALSE()),""))</f>
        <v/>
      </c>
      <c r="H1707" s="22"/>
    </row>
    <row r="1708" spans="1:8">
      <c r="A1708" s="21"/>
      <c r="B1708" s="22"/>
      <c r="C1708" s="22"/>
      <c r="D1708" s="22"/>
      <c r="E1708" s="23" t="str">
        <f>IF($D1708="","",IFERROR(VLOOKUP($D1708,'SAMA Capital Tracker'!$A:$H,8,FALSE()),""))</f>
        <v/>
      </c>
      <c r="F1708" s="24"/>
      <c r="G1708" s="25" t="str">
        <f>IF($D1708="","",IFERROR(VLOOKUP($D1708,'SAMA Capital Tracker'!$A:$D,4,FALSE()),""))</f>
        <v/>
      </c>
      <c r="H1708" s="22"/>
    </row>
    <row r="1709" spans="1:8">
      <c r="A1709" s="21"/>
      <c r="B1709" s="22"/>
      <c r="C1709" s="22"/>
      <c r="D1709" s="22"/>
      <c r="E1709" s="23" t="str">
        <f>IF($D1709="","",IFERROR(VLOOKUP($D1709,'SAMA Capital Tracker'!$A:$H,8,FALSE()),""))</f>
        <v/>
      </c>
      <c r="F1709" s="24"/>
      <c r="G1709" s="25" t="str">
        <f>IF($D1709="","",IFERROR(VLOOKUP($D1709,'SAMA Capital Tracker'!$A:$D,4,FALSE()),""))</f>
        <v/>
      </c>
      <c r="H1709" s="22"/>
    </row>
    <row r="1710" spans="1:8">
      <c r="A1710" s="21"/>
      <c r="B1710" s="22"/>
      <c r="C1710" s="22"/>
      <c r="D1710" s="22"/>
      <c r="E1710" s="23" t="str">
        <f>IF($D1710="","",IFERROR(VLOOKUP($D1710,'SAMA Capital Tracker'!$A:$H,8,FALSE()),""))</f>
        <v/>
      </c>
      <c r="F1710" s="24"/>
      <c r="G1710" s="25" t="str">
        <f>IF($D1710="","",IFERROR(VLOOKUP($D1710,'SAMA Capital Tracker'!$A:$D,4,FALSE()),""))</f>
        <v/>
      </c>
      <c r="H1710" s="22"/>
    </row>
    <row r="1711" spans="1:8">
      <c r="A1711" s="21"/>
      <c r="B1711" s="22"/>
      <c r="C1711" s="22"/>
      <c r="D1711" s="22"/>
      <c r="E1711" s="23" t="str">
        <f>IF($D1711="","",IFERROR(VLOOKUP($D1711,'SAMA Capital Tracker'!$A:$H,8,FALSE()),""))</f>
        <v/>
      </c>
      <c r="F1711" s="24"/>
      <c r="G1711" s="25" t="str">
        <f>IF($D1711="","",IFERROR(VLOOKUP($D1711,'SAMA Capital Tracker'!$A:$D,4,FALSE()),""))</f>
        <v/>
      </c>
      <c r="H1711" s="22"/>
    </row>
    <row r="1712" spans="1:8">
      <c r="A1712" s="21"/>
      <c r="B1712" s="22"/>
      <c r="C1712" s="22"/>
      <c r="D1712" s="22"/>
      <c r="E1712" s="23" t="str">
        <f>IF($D1712="","",IFERROR(VLOOKUP($D1712,'SAMA Capital Tracker'!$A:$H,8,FALSE()),""))</f>
        <v/>
      </c>
      <c r="F1712" s="24"/>
      <c r="G1712" s="25" t="str">
        <f>IF($D1712="","",IFERROR(VLOOKUP($D1712,'SAMA Capital Tracker'!$A:$D,4,FALSE()),""))</f>
        <v/>
      </c>
      <c r="H1712" s="22"/>
    </row>
    <row r="1713" spans="1:8">
      <c r="A1713" s="21"/>
      <c r="B1713" s="22"/>
      <c r="C1713" s="22"/>
      <c r="D1713" s="22"/>
      <c r="E1713" s="23" t="str">
        <f>IF($D1713="","",IFERROR(VLOOKUP($D1713,'SAMA Capital Tracker'!$A:$H,8,FALSE()),""))</f>
        <v/>
      </c>
      <c r="F1713" s="24"/>
      <c r="G1713" s="25" t="str">
        <f>IF($D1713="","",IFERROR(VLOOKUP($D1713,'SAMA Capital Tracker'!$A:$D,4,FALSE()),""))</f>
        <v/>
      </c>
      <c r="H1713" s="22"/>
    </row>
    <row r="1714" spans="1:8">
      <c r="A1714" s="21"/>
      <c r="B1714" s="22"/>
      <c r="C1714" s="22"/>
      <c r="D1714" s="22"/>
      <c r="E1714" s="23" t="str">
        <f>IF($D1714="","",IFERROR(VLOOKUP($D1714,'SAMA Capital Tracker'!$A:$H,8,FALSE()),""))</f>
        <v/>
      </c>
      <c r="F1714" s="24"/>
      <c r="G1714" s="25" t="str">
        <f>IF($D1714="","",IFERROR(VLOOKUP($D1714,'SAMA Capital Tracker'!$A:$D,4,FALSE()),""))</f>
        <v/>
      </c>
      <c r="H1714" s="22"/>
    </row>
    <row r="1715" spans="1:8">
      <c r="A1715" s="21"/>
      <c r="B1715" s="22"/>
      <c r="C1715" s="22"/>
      <c r="D1715" s="22"/>
      <c r="E1715" s="23" t="str">
        <f>IF($D1715="","",IFERROR(VLOOKUP($D1715,'SAMA Capital Tracker'!$A:$H,8,FALSE()),""))</f>
        <v/>
      </c>
      <c r="F1715" s="24"/>
      <c r="G1715" s="25" t="str">
        <f>IF($D1715="","",IFERROR(VLOOKUP($D1715,'SAMA Capital Tracker'!$A:$D,4,FALSE()),""))</f>
        <v/>
      </c>
      <c r="H1715" s="22"/>
    </row>
    <row r="1716" spans="1:8">
      <c r="A1716" s="21"/>
      <c r="B1716" s="22"/>
      <c r="C1716" s="22"/>
      <c r="D1716" s="22"/>
      <c r="E1716" s="23" t="str">
        <f>IF($D1716="","",IFERROR(VLOOKUP($D1716,'SAMA Capital Tracker'!$A:$H,8,FALSE()),""))</f>
        <v/>
      </c>
      <c r="F1716" s="24"/>
      <c r="G1716" s="25" t="str">
        <f>IF($D1716="","",IFERROR(VLOOKUP($D1716,'SAMA Capital Tracker'!$A:$D,4,FALSE()),""))</f>
        <v/>
      </c>
      <c r="H1716" s="22"/>
    </row>
    <row r="1717" spans="1:8">
      <c r="A1717" s="21"/>
      <c r="B1717" s="22"/>
      <c r="C1717" s="22"/>
      <c r="D1717" s="22"/>
      <c r="E1717" s="23" t="str">
        <f>IF($D1717="","",IFERROR(VLOOKUP($D1717,'SAMA Capital Tracker'!$A:$H,8,FALSE()),""))</f>
        <v/>
      </c>
      <c r="F1717" s="24"/>
      <c r="G1717" s="25" t="str">
        <f>IF($D1717="","",IFERROR(VLOOKUP($D1717,'SAMA Capital Tracker'!$A:$D,4,FALSE()),""))</f>
        <v/>
      </c>
      <c r="H1717" s="22"/>
    </row>
    <row r="1718" spans="1:8">
      <c r="A1718" s="21"/>
      <c r="B1718" s="22"/>
      <c r="C1718" s="22"/>
      <c r="D1718" s="22"/>
      <c r="E1718" s="23" t="str">
        <f>IF($D1718="","",IFERROR(VLOOKUP($D1718,'SAMA Capital Tracker'!$A:$H,8,FALSE()),""))</f>
        <v/>
      </c>
      <c r="F1718" s="24"/>
      <c r="G1718" s="25" t="str">
        <f>IF($D1718="","",IFERROR(VLOOKUP($D1718,'SAMA Capital Tracker'!$A:$D,4,FALSE()),""))</f>
        <v/>
      </c>
      <c r="H1718" s="22"/>
    </row>
    <row r="1719" spans="1:8">
      <c r="A1719" s="21"/>
      <c r="B1719" s="22"/>
      <c r="C1719" s="22"/>
      <c r="D1719" s="22"/>
      <c r="E1719" s="23" t="str">
        <f>IF($D1719="","",IFERROR(VLOOKUP($D1719,'SAMA Capital Tracker'!$A:$H,8,FALSE()),""))</f>
        <v/>
      </c>
      <c r="F1719" s="24"/>
      <c r="G1719" s="25" t="str">
        <f>IF($D1719="","",IFERROR(VLOOKUP($D1719,'SAMA Capital Tracker'!$A:$D,4,FALSE()),""))</f>
        <v/>
      </c>
      <c r="H1719" s="22"/>
    </row>
    <row r="1720" spans="1:8">
      <c r="A1720" s="21"/>
      <c r="B1720" s="22"/>
      <c r="C1720" s="22"/>
      <c r="D1720" s="22"/>
      <c r="E1720" s="23" t="str">
        <f>IF($D1720="","",IFERROR(VLOOKUP($D1720,'SAMA Capital Tracker'!$A:$H,8,FALSE()),""))</f>
        <v/>
      </c>
      <c r="F1720" s="24"/>
      <c r="G1720" s="25" t="str">
        <f>IF($D1720="","",IFERROR(VLOOKUP($D1720,'SAMA Capital Tracker'!$A:$D,4,FALSE()),""))</f>
        <v/>
      </c>
      <c r="H1720" s="22"/>
    </row>
    <row r="1721" spans="1:8">
      <c r="A1721" s="21"/>
      <c r="B1721" s="22"/>
      <c r="C1721" s="22"/>
      <c r="D1721" s="22"/>
      <c r="E1721" s="23" t="str">
        <f>IF($D1721="","",IFERROR(VLOOKUP($D1721,'SAMA Capital Tracker'!$A:$H,8,FALSE()),""))</f>
        <v/>
      </c>
      <c r="F1721" s="24"/>
      <c r="G1721" s="25" t="str">
        <f>IF($D1721="","",IFERROR(VLOOKUP($D1721,'SAMA Capital Tracker'!$A:$D,4,FALSE()),""))</f>
        <v/>
      </c>
      <c r="H1721" s="22"/>
    </row>
    <row r="1722" spans="1:8">
      <c r="A1722" s="21"/>
      <c r="B1722" s="22"/>
      <c r="C1722" s="22"/>
      <c r="D1722" s="22"/>
      <c r="E1722" s="23" t="str">
        <f>IF($D1722="","",IFERROR(VLOOKUP($D1722,'SAMA Capital Tracker'!$A:$H,8,FALSE()),""))</f>
        <v/>
      </c>
      <c r="F1722" s="24"/>
      <c r="G1722" s="25" t="str">
        <f>IF($D1722="","",IFERROR(VLOOKUP($D1722,'SAMA Capital Tracker'!$A:$D,4,FALSE()),""))</f>
        <v/>
      </c>
      <c r="H1722" s="22"/>
    </row>
    <row r="1723" spans="1:8">
      <c r="A1723" s="21"/>
      <c r="B1723" s="22"/>
      <c r="C1723" s="22"/>
      <c r="D1723" s="22"/>
      <c r="E1723" s="23" t="str">
        <f>IF($D1723="","",IFERROR(VLOOKUP($D1723,'SAMA Capital Tracker'!$A:$H,8,FALSE()),""))</f>
        <v/>
      </c>
      <c r="F1723" s="24"/>
      <c r="G1723" s="25" t="str">
        <f>IF($D1723="","",IFERROR(VLOOKUP($D1723,'SAMA Capital Tracker'!$A:$D,4,FALSE()),""))</f>
        <v/>
      </c>
      <c r="H1723" s="22"/>
    </row>
    <row r="1724" spans="1:8">
      <c r="A1724" s="21"/>
      <c r="B1724" s="22"/>
      <c r="C1724" s="22"/>
      <c r="D1724" s="22"/>
      <c r="E1724" s="23" t="str">
        <f>IF($D1724="","",IFERROR(VLOOKUP($D1724,'SAMA Capital Tracker'!$A:$H,8,FALSE()),""))</f>
        <v/>
      </c>
      <c r="F1724" s="24"/>
      <c r="G1724" s="25" t="str">
        <f>IF($D1724="","",IFERROR(VLOOKUP($D1724,'SAMA Capital Tracker'!$A:$D,4,FALSE()),""))</f>
        <v/>
      </c>
      <c r="H1724" s="22"/>
    </row>
    <row r="1725" spans="1:8">
      <c r="A1725" s="21"/>
      <c r="B1725" s="22"/>
      <c r="C1725" s="22"/>
      <c r="D1725" s="22"/>
      <c r="E1725" s="23" t="str">
        <f>IF($D1725="","",IFERROR(VLOOKUP($D1725,'SAMA Capital Tracker'!$A:$H,8,FALSE()),""))</f>
        <v/>
      </c>
      <c r="F1725" s="24"/>
      <c r="G1725" s="25" t="str">
        <f>IF($D1725="","",IFERROR(VLOOKUP($D1725,'SAMA Capital Tracker'!$A:$D,4,FALSE()),""))</f>
        <v/>
      </c>
      <c r="H1725" s="22"/>
    </row>
    <row r="1726" spans="1:8">
      <c r="A1726" s="21"/>
      <c r="B1726" s="22"/>
      <c r="C1726" s="22"/>
      <c r="D1726" s="22"/>
      <c r="E1726" s="23" t="str">
        <f>IF($D1726="","",IFERROR(VLOOKUP($D1726,'SAMA Capital Tracker'!$A:$H,8,FALSE()),""))</f>
        <v/>
      </c>
      <c r="F1726" s="24"/>
      <c r="G1726" s="25" t="str">
        <f>IF($D1726="","",IFERROR(VLOOKUP($D1726,'SAMA Capital Tracker'!$A:$D,4,FALSE()),""))</f>
        <v/>
      </c>
      <c r="H1726" s="22"/>
    </row>
    <row r="1727" spans="1:8">
      <c r="A1727" s="21"/>
      <c r="B1727" s="22"/>
      <c r="C1727" s="22"/>
      <c r="D1727" s="22"/>
      <c r="E1727" s="23" t="str">
        <f>IF($D1727="","",IFERROR(VLOOKUP($D1727,'SAMA Capital Tracker'!$A:$H,8,FALSE()),""))</f>
        <v/>
      </c>
      <c r="F1727" s="24"/>
      <c r="G1727" s="25" t="str">
        <f>IF($D1727="","",IFERROR(VLOOKUP($D1727,'SAMA Capital Tracker'!$A:$D,4,FALSE()),""))</f>
        <v/>
      </c>
      <c r="H1727" s="22"/>
    </row>
    <row r="1728" spans="1:8">
      <c r="A1728" s="21"/>
      <c r="B1728" s="22"/>
      <c r="C1728" s="22"/>
      <c r="D1728" s="22"/>
      <c r="E1728" s="23" t="str">
        <f>IF($D1728="","",IFERROR(VLOOKUP($D1728,'SAMA Capital Tracker'!$A:$H,8,FALSE()),""))</f>
        <v/>
      </c>
      <c r="F1728" s="24"/>
      <c r="G1728" s="25" t="str">
        <f>IF($D1728="","",IFERROR(VLOOKUP($D1728,'SAMA Capital Tracker'!$A:$D,4,FALSE()),""))</f>
        <v/>
      </c>
      <c r="H1728" s="22"/>
    </row>
    <row r="1729" spans="1:8">
      <c r="A1729" s="21"/>
      <c r="B1729" s="22"/>
      <c r="C1729" s="22"/>
      <c r="D1729" s="22"/>
      <c r="E1729" s="23" t="str">
        <f>IF($D1729="","",IFERROR(VLOOKUP($D1729,'SAMA Capital Tracker'!$A:$H,8,FALSE()),""))</f>
        <v/>
      </c>
      <c r="F1729" s="24"/>
      <c r="G1729" s="25" t="str">
        <f>IF($D1729="","",IFERROR(VLOOKUP($D1729,'SAMA Capital Tracker'!$A:$D,4,FALSE()),""))</f>
        <v/>
      </c>
      <c r="H1729" s="22"/>
    </row>
    <row r="1730" spans="1:8">
      <c r="A1730" s="21"/>
      <c r="B1730" s="22"/>
      <c r="C1730" s="22"/>
      <c r="D1730" s="22"/>
      <c r="E1730" s="23" t="str">
        <f>IF($D1730="","",IFERROR(VLOOKUP($D1730,'SAMA Capital Tracker'!$A:$H,8,FALSE()),""))</f>
        <v/>
      </c>
      <c r="F1730" s="24"/>
      <c r="G1730" s="25" t="str">
        <f>IF($D1730="","",IFERROR(VLOOKUP($D1730,'SAMA Capital Tracker'!$A:$D,4,FALSE()),""))</f>
        <v/>
      </c>
      <c r="H1730" s="22"/>
    </row>
    <row r="1731" spans="1:8">
      <c r="A1731" s="21"/>
      <c r="B1731" s="22"/>
      <c r="C1731" s="22"/>
      <c r="D1731" s="22"/>
      <c r="E1731" s="23" t="str">
        <f>IF($D1731="","",IFERROR(VLOOKUP($D1731,'SAMA Capital Tracker'!$A:$H,8,FALSE()),""))</f>
        <v/>
      </c>
      <c r="F1731" s="24"/>
      <c r="G1731" s="25" t="str">
        <f>IF($D1731="","",IFERROR(VLOOKUP($D1731,'SAMA Capital Tracker'!$A:$D,4,FALSE()),""))</f>
        <v/>
      </c>
      <c r="H1731" s="22"/>
    </row>
    <row r="1732" spans="1:8">
      <c r="A1732" s="21"/>
      <c r="B1732" s="22"/>
      <c r="C1732" s="22"/>
      <c r="D1732" s="22"/>
      <c r="E1732" s="23" t="str">
        <f>IF($D1732="","",IFERROR(VLOOKUP($D1732,'SAMA Capital Tracker'!$A:$H,8,FALSE()),""))</f>
        <v/>
      </c>
      <c r="F1732" s="24"/>
      <c r="G1732" s="25" t="str">
        <f>IF($D1732="","",IFERROR(VLOOKUP($D1732,'SAMA Capital Tracker'!$A:$D,4,FALSE()),""))</f>
        <v/>
      </c>
      <c r="H1732" s="22"/>
    </row>
    <row r="1733" spans="1:8">
      <c r="A1733" s="21"/>
      <c r="B1733" s="22"/>
      <c r="C1733" s="22"/>
      <c r="D1733" s="22"/>
      <c r="E1733" s="23" t="str">
        <f>IF($D1733="","",IFERROR(VLOOKUP($D1733,'SAMA Capital Tracker'!$A:$H,8,FALSE()),""))</f>
        <v/>
      </c>
      <c r="F1733" s="24"/>
      <c r="G1733" s="25" t="str">
        <f>IF($D1733="","",IFERROR(VLOOKUP($D1733,'SAMA Capital Tracker'!$A:$D,4,FALSE()),""))</f>
        <v/>
      </c>
      <c r="H1733" s="22"/>
    </row>
    <row r="1734" spans="1:8">
      <c r="A1734" s="21"/>
      <c r="B1734" s="22"/>
      <c r="C1734" s="22"/>
      <c r="D1734" s="22"/>
      <c r="E1734" s="23" t="str">
        <f>IF($D1734="","",IFERROR(VLOOKUP($D1734,'SAMA Capital Tracker'!$A:$H,8,FALSE()),""))</f>
        <v/>
      </c>
      <c r="F1734" s="24"/>
      <c r="G1734" s="25" t="str">
        <f>IF($D1734="","",IFERROR(VLOOKUP($D1734,'SAMA Capital Tracker'!$A:$D,4,FALSE()),""))</f>
        <v/>
      </c>
      <c r="H1734" s="22"/>
    </row>
    <row r="1735" spans="1:8">
      <c r="A1735" s="21"/>
      <c r="B1735" s="22"/>
      <c r="C1735" s="22"/>
      <c r="D1735" s="22"/>
      <c r="E1735" s="23" t="str">
        <f>IF($D1735="","",IFERROR(VLOOKUP($D1735,'SAMA Capital Tracker'!$A:$H,8,FALSE()),""))</f>
        <v/>
      </c>
      <c r="F1735" s="24"/>
      <c r="G1735" s="25" t="str">
        <f>IF($D1735="","",IFERROR(VLOOKUP($D1735,'SAMA Capital Tracker'!$A:$D,4,FALSE()),""))</f>
        <v/>
      </c>
      <c r="H1735" s="22"/>
    </row>
    <row r="1736" spans="1:8">
      <c r="A1736" s="21"/>
      <c r="B1736" s="22"/>
      <c r="C1736" s="22"/>
      <c r="D1736" s="22"/>
      <c r="E1736" s="23" t="str">
        <f>IF($D1736="","",IFERROR(VLOOKUP($D1736,'SAMA Capital Tracker'!$A:$H,8,FALSE()),""))</f>
        <v/>
      </c>
      <c r="F1736" s="24"/>
      <c r="G1736" s="25" t="str">
        <f>IF($D1736="","",IFERROR(VLOOKUP($D1736,'SAMA Capital Tracker'!$A:$D,4,FALSE()),""))</f>
        <v/>
      </c>
      <c r="H1736" s="22"/>
    </row>
    <row r="1737" spans="1:8">
      <c r="A1737" s="21"/>
      <c r="B1737" s="22"/>
      <c r="C1737" s="22"/>
      <c r="D1737" s="22"/>
      <c r="E1737" s="23" t="str">
        <f>IF($D1737="","",IFERROR(VLOOKUP($D1737,'SAMA Capital Tracker'!$A:$H,8,FALSE()),""))</f>
        <v/>
      </c>
      <c r="F1737" s="24"/>
      <c r="G1737" s="25" t="str">
        <f>IF($D1737="","",IFERROR(VLOOKUP($D1737,'SAMA Capital Tracker'!$A:$D,4,FALSE()),""))</f>
        <v/>
      </c>
      <c r="H1737" s="22"/>
    </row>
    <row r="1738" spans="1:8">
      <c r="A1738" s="21"/>
      <c r="B1738" s="22"/>
      <c r="C1738" s="22"/>
      <c r="D1738" s="22"/>
      <c r="E1738" s="23" t="str">
        <f>IF($D1738="","",IFERROR(VLOOKUP($D1738,'SAMA Capital Tracker'!$A:$H,8,FALSE()),""))</f>
        <v/>
      </c>
      <c r="F1738" s="24"/>
      <c r="G1738" s="25" t="str">
        <f>IF($D1738="","",IFERROR(VLOOKUP($D1738,'SAMA Capital Tracker'!$A:$D,4,FALSE()),""))</f>
        <v/>
      </c>
      <c r="H1738" s="22"/>
    </row>
    <row r="1739" spans="1:8">
      <c r="A1739" s="21"/>
      <c r="B1739" s="22"/>
      <c r="C1739" s="22"/>
      <c r="D1739" s="22"/>
      <c r="E1739" s="23" t="str">
        <f>IF($D1739="","",IFERROR(VLOOKUP($D1739,'SAMA Capital Tracker'!$A:$H,8,FALSE()),""))</f>
        <v/>
      </c>
      <c r="F1739" s="24"/>
      <c r="G1739" s="25" t="str">
        <f>IF($D1739="","",IFERROR(VLOOKUP($D1739,'SAMA Capital Tracker'!$A:$D,4,FALSE()),""))</f>
        <v/>
      </c>
      <c r="H1739" s="22"/>
    </row>
    <row r="1740" spans="1:8">
      <c r="A1740" s="21"/>
      <c r="B1740" s="22"/>
      <c r="C1740" s="22"/>
      <c r="D1740" s="22"/>
      <c r="E1740" s="23" t="str">
        <f>IF($D1740="","",IFERROR(VLOOKUP($D1740,'SAMA Capital Tracker'!$A:$H,8,FALSE()),""))</f>
        <v/>
      </c>
      <c r="F1740" s="24"/>
      <c r="G1740" s="25" t="str">
        <f>IF($D1740="","",IFERROR(VLOOKUP($D1740,'SAMA Capital Tracker'!$A:$D,4,FALSE()),""))</f>
        <v/>
      </c>
      <c r="H1740" s="22"/>
    </row>
    <row r="1741" spans="1:8">
      <c r="A1741" s="21"/>
      <c r="B1741" s="22"/>
      <c r="C1741" s="22"/>
      <c r="D1741" s="22"/>
      <c r="E1741" s="23" t="str">
        <f>IF($D1741="","",IFERROR(VLOOKUP($D1741,'SAMA Capital Tracker'!$A:$H,8,FALSE()),""))</f>
        <v/>
      </c>
      <c r="F1741" s="24"/>
      <c r="G1741" s="25" t="str">
        <f>IF($D1741="","",IFERROR(VLOOKUP($D1741,'SAMA Capital Tracker'!$A:$D,4,FALSE()),""))</f>
        <v/>
      </c>
      <c r="H1741" s="22"/>
    </row>
    <row r="1742" spans="1:8">
      <c r="A1742" s="21"/>
      <c r="B1742" s="22"/>
      <c r="C1742" s="22"/>
      <c r="D1742" s="22"/>
      <c r="E1742" s="23" t="str">
        <f>IF($D1742="","",IFERROR(VLOOKUP($D1742,'SAMA Capital Tracker'!$A:$H,8,FALSE()),""))</f>
        <v/>
      </c>
      <c r="F1742" s="24"/>
      <c r="G1742" s="25" t="str">
        <f>IF($D1742="","",IFERROR(VLOOKUP($D1742,'SAMA Capital Tracker'!$A:$D,4,FALSE()),""))</f>
        <v/>
      </c>
      <c r="H1742" s="22"/>
    </row>
    <row r="1743" spans="1:8">
      <c r="A1743" s="21"/>
      <c r="B1743" s="22"/>
      <c r="C1743" s="22"/>
      <c r="D1743" s="22"/>
      <c r="E1743" s="23" t="str">
        <f>IF($D1743="","",IFERROR(VLOOKUP($D1743,'SAMA Capital Tracker'!$A:$H,8,FALSE()),""))</f>
        <v/>
      </c>
      <c r="F1743" s="24"/>
      <c r="G1743" s="25" t="str">
        <f>IF($D1743="","",IFERROR(VLOOKUP($D1743,'SAMA Capital Tracker'!$A:$D,4,FALSE()),""))</f>
        <v/>
      </c>
      <c r="H1743" s="22"/>
    </row>
    <row r="1744" spans="1:8">
      <c r="A1744" s="21"/>
      <c r="B1744" s="22"/>
      <c r="C1744" s="22"/>
      <c r="D1744" s="22"/>
      <c r="E1744" s="23" t="str">
        <f>IF($D1744="","",IFERROR(VLOOKUP($D1744,'SAMA Capital Tracker'!$A:$H,8,FALSE()),""))</f>
        <v/>
      </c>
      <c r="F1744" s="24"/>
      <c r="G1744" s="25" t="str">
        <f>IF($D1744="","",IFERROR(VLOOKUP($D1744,'SAMA Capital Tracker'!$A:$D,4,FALSE()),""))</f>
        <v/>
      </c>
      <c r="H1744" s="22"/>
    </row>
    <row r="1745" spans="1:8">
      <c r="A1745" s="21"/>
      <c r="B1745" s="22"/>
      <c r="C1745" s="22"/>
      <c r="D1745" s="22"/>
      <c r="E1745" s="23" t="str">
        <f>IF($D1745="","",IFERROR(VLOOKUP($D1745,'SAMA Capital Tracker'!$A:$H,8,FALSE()),""))</f>
        <v/>
      </c>
      <c r="F1745" s="24"/>
      <c r="G1745" s="25" t="str">
        <f>IF($D1745="","",IFERROR(VLOOKUP($D1745,'SAMA Capital Tracker'!$A:$D,4,FALSE()),""))</f>
        <v/>
      </c>
      <c r="H1745" s="22"/>
    </row>
    <row r="1746" spans="1:8">
      <c r="A1746" s="21"/>
      <c r="B1746" s="22"/>
      <c r="C1746" s="22"/>
      <c r="D1746" s="22"/>
      <c r="E1746" s="23" t="str">
        <f>IF($D1746="","",IFERROR(VLOOKUP($D1746,'SAMA Capital Tracker'!$A:$H,8,FALSE()),""))</f>
        <v/>
      </c>
      <c r="F1746" s="24"/>
      <c r="G1746" s="25" t="str">
        <f>IF($D1746="","",IFERROR(VLOOKUP($D1746,'SAMA Capital Tracker'!$A:$D,4,FALSE()),""))</f>
        <v/>
      </c>
      <c r="H1746" s="22"/>
    </row>
    <row r="1747" spans="1:8">
      <c r="A1747" s="21"/>
      <c r="B1747" s="22"/>
      <c r="C1747" s="22"/>
      <c r="D1747" s="22"/>
      <c r="E1747" s="23" t="str">
        <f>IF($D1747="","",IFERROR(VLOOKUP($D1747,'SAMA Capital Tracker'!$A:$H,8,FALSE()),""))</f>
        <v/>
      </c>
      <c r="F1747" s="24"/>
      <c r="G1747" s="25" t="str">
        <f>IF($D1747="","",IFERROR(VLOOKUP($D1747,'SAMA Capital Tracker'!$A:$D,4,FALSE()),""))</f>
        <v/>
      </c>
      <c r="H1747" s="22"/>
    </row>
    <row r="1748" spans="1:8">
      <c r="A1748" s="21"/>
      <c r="B1748" s="22"/>
      <c r="C1748" s="22"/>
      <c r="D1748" s="22"/>
      <c r="E1748" s="23" t="str">
        <f>IF($D1748="","",IFERROR(VLOOKUP($D1748,'SAMA Capital Tracker'!$A:$H,8,FALSE()),""))</f>
        <v/>
      </c>
      <c r="F1748" s="24"/>
      <c r="G1748" s="25" t="str">
        <f>IF($D1748="","",IFERROR(VLOOKUP($D1748,'SAMA Capital Tracker'!$A:$D,4,FALSE()),""))</f>
        <v/>
      </c>
      <c r="H1748" s="22"/>
    </row>
    <row r="1749" spans="1:8">
      <c r="A1749" s="21"/>
      <c r="B1749" s="22"/>
      <c r="C1749" s="22"/>
      <c r="D1749" s="22"/>
      <c r="E1749" s="23" t="str">
        <f>IF($D1749="","",IFERROR(VLOOKUP($D1749,'SAMA Capital Tracker'!$A:$H,8,FALSE()),""))</f>
        <v/>
      </c>
      <c r="F1749" s="24"/>
      <c r="G1749" s="25" t="str">
        <f>IF($D1749="","",IFERROR(VLOOKUP($D1749,'SAMA Capital Tracker'!$A:$D,4,FALSE()),""))</f>
        <v/>
      </c>
      <c r="H1749" s="22"/>
    </row>
    <row r="1750" spans="1:8">
      <c r="A1750" s="21"/>
      <c r="B1750" s="22"/>
      <c r="C1750" s="22"/>
      <c r="D1750" s="22"/>
      <c r="E1750" s="23" t="str">
        <f>IF($D1750="","",IFERROR(VLOOKUP($D1750,'SAMA Capital Tracker'!$A:$H,8,FALSE()),""))</f>
        <v/>
      </c>
      <c r="F1750" s="24"/>
      <c r="G1750" s="25" t="str">
        <f>IF($D1750="","",IFERROR(VLOOKUP($D1750,'SAMA Capital Tracker'!$A:$D,4,FALSE()),""))</f>
        <v/>
      </c>
      <c r="H1750" s="22"/>
    </row>
    <row r="1751" spans="1:8">
      <c r="A1751" s="21"/>
      <c r="B1751" s="22"/>
      <c r="C1751" s="22"/>
      <c r="D1751" s="22"/>
      <c r="E1751" s="23" t="str">
        <f>IF($D1751="","",IFERROR(VLOOKUP($D1751,'SAMA Capital Tracker'!$A:$H,8,FALSE()),""))</f>
        <v/>
      </c>
      <c r="F1751" s="24"/>
      <c r="G1751" s="25" t="str">
        <f>IF($D1751="","",IFERROR(VLOOKUP($D1751,'SAMA Capital Tracker'!$A:$D,4,FALSE()),""))</f>
        <v/>
      </c>
      <c r="H1751" s="22"/>
    </row>
    <row r="1752" spans="1:8">
      <c r="A1752" s="21"/>
      <c r="B1752" s="22"/>
      <c r="C1752" s="22"/>
      <c r="D1752" s="22"/>
      <c r="E1752" s="23" t="str">
        <f>IF($D1752="","",IFERROR(VLOOKUP($D1752,'SAMA Capital Tracker'!$A:$H,8,FALSE()),""))</f>
        <v/>
      </c>
      <c r="F1752" s="24"/>
      <c r="G1752" s="25" t="str">
        <f>IF($D1752="","",IFERROR(VLOOKUP($D1752,'SAMA Capital Tracker'!$A:$D,4,FALSE()),""))</f>
        <v/>
      </c>
      <c r="H1752" s="22"/>
    </row>
    <row r="1753" spans="1:8">
      <c r="A1753" s="21"/>
      <c r="B1753" s="22"/>
      <c r="C1753" s="22"/>
      <c r="D1753" s="22"/>
      <c r="E1753" s="23" t="str">
        <f>IF($D1753="","",IFERROR(VLOOKUP($D1753,'SAMA Capital Tracker'!$A:$H,8,FALSE()),""))</f>
        <v/>
      </c>
      <c r="F1753" s="24"/>
      <c r="G1753" s="25" t="str">
        <f>IF($D1753="","",IFERROR(VLOOKUP($D1753,'SAMA Capital Tracker'!$A:$D,4,FALSE()),""))</f>
        <v/>
      </c>
      <c r="H1753" s="22"/>
    </row>
    <row r="1754" spans="1:8">
      <c r="A1754" s="21"/>
      <c r="B1754" s="22"/>
      <c r="C1754" s="22"/>
      <c r="D1754" s="22"/>
      <c r="E1754" s="23" t="str">
        <f>IF($D1754="","",IFERROR(VLOOKUP($D1754,'SAMA Capital Tracker'!$A:$H,8,FALSE()),""))</f>
        <v/>
      </c>
      <c r="F1754" s="24"/>
      <c r="G1754" s="25" t="str">
        <f>IF($D1754="","",IFERROR(VLOOKUP($D1754,'SAMA Capital Tracker'!$A:$D,4,FALSE()),""))</f>
        <v/>
      </c>
      <c r="H1754" s="22"/>
    </row>
    <row r="1755" spans="1:8">
      <c r="A1755" s="21"/>
      <c r="B1755" s="22"/>
      <c r="C1755" s="22"/>
      <c r="D1755" s="22"/>
      <c r="E1755" s="23" t="str">
        <f>IF($D1755="","",IFERROR(VLOOKUP($D1755,'SAMA Capital Tracker'!$A:$H,8,FALSE()),""))</f>
        <v/>
      </c>
      <c r="F1755" s="24"/>
      <c r="G1755" s="25" t="str">
        <f>IF($D1755="","",IFERROR(VLOOKUP($D1755,'SAMA Capital Tracker'!$A:$D,4,FALSE()),""))</f>
        <v/>
      </c>
      <c r="H1755" s="22"/>
    </row>
    <row r="1756" spans="1:8">
      <c r="A1756" s="21"/>
      <c r="B1756" s="22"/>
      <c r="C1756" s="22"/>
      <c r="D1756" s="22"/>
      <c r="E1756" s="23" t="str">
        <f>IF($D1756="","",IFERROR(VLOOKUP($D1756,'SAMA Capital Tracker'!$A:$H,8,FALSE()),""))</f>
        <v/>
      </c>
      <c r="F1756" s="24"/>
      <c r="G1756" s="25" t="str">
        <f>IF($D1756="","",IFERROR(VLOOKUP($D1756,'SAMA Capital Tracker'!$A:$D,4,FALSE()),""))</f>
        <v/>
      </c>
      <c r="H1756" s="22"/>
    </row>
    <row r="1757" spans="1:8">
      <c r="A1757" s="21"/>
      <c r="B1757" s="22"/>
      <c r="C1757" s="22"/>
      <c r="D1757" s="22"/>
      <c r="E1757" s="23" t="str">
        <f>IF($D1757="","",IFERROR(VLOOKUP($D1757,'SAMA Capital Tracker'!$A:$H,8,FALSE()),""))</f>
        <v/>
      </c>
      <c r="F1757" s="24"/>
      <c r="G1757" s="25" t="str">
        <f>IF($D1757="","",IFERROR(VLOOKUP($D1757,'SAMA Capital Tracker'!$A:$D,4,FALSE()),""))</f>
        <v/>
      </c>
      <c r="H1757" s="22"/>
    </row>
    <row r="1758" spans="1:8">
      <c r="A1758" s="21"/>
      <c r="B1758" s="22"/>
      <c r="C1758" s="22"/>
      <c r="D1758" s="22"/>
      <c r="E1758" s="23" t="str">
        <f>IF($D1758="","",IFERROR(VLOOKUP($D1758,'SAMA Capital Tracker'!$A:$H,8,FALSE()),""))</f>
        <v/>
      </c>
      <c r="F1758" s="24"/>
      <c r="G1758" s="25" t="str">
        <f>IF($D1758="","",IFERROR(VLOOKUP($D1758,'SAMA Capital Tracker'!$A:$D,4,FALSE()),""))</f>
        <v/>
      </c>
      <c r="H1758" s="22"/>
    </row>
    <row r="1759" spans="1:8">
      <c r="A1759" s="21"/>
      <c r="B1759" s="22"/>
      <c r="C1759" s="22"/>
      <c r="D1759" s="22"/>
      <c r="E1759" s="23" t="str">
        <f>IF($D1759="","",IFERROR(VLOOKUP($D1759,'SAMA Capital Tracker'!$A:$H,8,FALSE()),""))</f>
        <v/>
      </c>
      <c r="F1759" s="24"/>
      <c r="G1759" s="25" t="str">
        <f>IF($D1759="","",IFERROR(VLOOKUP($D1759,'SAMA Capital Tracker'!$A:$D,4,FALSE()),""))</f>
        <v/>
      </c>
      <c r="H1759" s="22"/>
    </row>
    <row r="1760" spans="1:8">
      <c r="A1760" s="21"/>
      <c r="B1760" s="22"/>
      <c r="C1760" s="22"/>
      <c r="D1760" s="22"/>
      <c r="E1760" s="23" t="str">
        <f>IF($D1760="","",IFERROR(VLOOKUP($D1760,'SAMA Capital Tracker'!$A:$H,8,FALSE()),""))</f>
        <v/>
      </c>
      <c r="F1760" s="24"/>
      <c r="G1760" s="25" t="str">
        <f>IF($D1760="","",IFERROR(VLOOKUP($D1760,'SAMA Capital Tracker'!$A:$D,4,FALSE()),""))</f>
        <v/>
      </c>
      <c r="H1760" s="22"/>
    </row>
    <row r="1761" spans="1:8">
      <c r="A1761" s="21"/>
      <c r="B1761" s="22"/>
      <c r="C1761" s="22"/>
      <c r="D1761" s="22"/>
      <c r="E1761" s="23" t="str">
        <f>IF($D1761="","",IFERROR(VLOOKUP($D1761,'SAMA Capital Tracker'!$A:$H,8,FALSE()),""))</f>
        <v/>
      </c>
      <c r="F1761" s="24"/>
      <c r="G1761" s="25" t="str">
        <f>IF($D1761="","",IFERROR(VLOOKUP($D1761,'SAMA Capital Tracker'!$A:$D,4,FALSE()),""))</f>
        <v/>
      </c>
      <c r="H1761" s="22"/>
    </row>
    <row r="1762" spans="1:8">
      <c r="A1762" s="21"/>
      <c r="B1762" s="22"/>
      <c r="C1762" s="22"/>
      <c r="D1762" s="22"/>
      <c r="E1762" s="23" t="str">
        <f>IF($D1762="","",IFERROR(VLOOKUP($D1762,'SAMA Capital Tracker'!$A:$H,8,FALSE()),""))</f>
        <v/>
      </c>
      <c r="F1762" s="24"/>
      <c r="G1762" s="25" t="str">
        <f>IF($D1762="","",IFERROR(VLOOKUP($D1762,'SAMA Capital Tracker'!$A:$D,4,FALSE()),""))</f>
        <v/>
      </c>
      <c r="H1762" s="22"/>
    </row>
    <row r="1763" spans="1:8">
      <c r="A1763" s="21"/>
      <c r="B1763" s="22"/>
      <c r="C1763" s="22"/>
      <c r="D1763" s="22"/>
      <c r="E1763" s="23" t="str">
        <f>IF($D1763="","",IFERROR(VLOOKUP($D1763,'SAMA Capital Tracker'!$A:$H,8,FALSE()),""))</f>
        <v/>
      </c>
      <c r="F1763" s="24"/>
      <c r="G1763" s="25" t="str">
        <f>IF($D1763="","",IFERROR(VLOOKUP($D1763,'SAMA Capital Tracker'!$A:$D,4,FALSE()),""))</f>
        <v/>
      </c>
      <c r="H1763" s="22"/>
    </row>
    <row r="1764" spans="1:8">
      <c r="A1764" s="21"/>
      <c r="B1764" s="22"/>
      <c r="C1764" s="22"/>
      <c r="D1764" s="22"/>
      <c r="E1764" s="23" t="str">
        <f>IF($D1764="","",IFERROR(VLOOKUP($D1764,'SAMA Capital Tracker'!$A:$H,8,FALSE()),""))</f>
        <v/>
      </c>
      <c r="F1764" s="24"/>
      <c r="G1764" s="25" t="str">
        <f>IF($D1764="","",IFERROR(VLOOKUP($D1764,'SAMA Capital Tracker'!$A:$D,4,FALSE()),""))</f>
        <v/>
      </c>
      <c r="H1764" s="22"/>
    </row>
    <row r="1765" spans="1:8">
      <c r="A1765" s="21"/>
      <c r="B1765" s="22"/>
      <c r="C1765" s="22"/>
      <c r="D1765" s="22"/>
      <c r="E1765" s="23" t="str">
        <f>IF($D1765="","",IFERROR(VLOOKUP($D1765,'SAMA Capital Tracker'!$A:$H,8,FALSE()),""))</f>
        <v/>
      </c>
      <c r="F1765" s="24"/>
      <c r="G1765" s="25" t="str">
        <f>IF($D1765="","",IFERROR(VLOOKUP($D1765,'SAMA Capital Tracker'!$A:$D,4,FALSE()),""))</f>
        <v/>
      </c>
      <c r="H1765" s="22"/>
    </row>
    <row r="1766" spans="1:8">
      <c r="A1766" s="21"/>
      <c r="B1766" s="22"/>
      <c r="C1766" s="22"/>
      <c r="D1766" s="22"/>
      <c r="E1766" s="23" t="str">
        <f>IF($D1766="","",IFERROR(VLOOKUP($D1766,'SAMA Capital Tracker'!$A:$H,8,FALSE()),""))</f>
        <v/>
      </c>
      <c r="F1766" s="24"/>
      <c r="G1766" s="25" t="str">
        <f>IF($D1766="","",IFERROR(VLOOKUP($D1766,'SAMA Capital Tracker'!$A:$D,4,FALSE()),""))</f>
        <v/>
      </c>
      <c r="H1766" s="22"/>
    </row>
    <row r="1767" spans="1:8">
      <c r="A1767" s="21"/>
      <c r="B1767" s="22"/>
      <c r="C1767" s="22"/>
      <c r="D1767" s="22"/>
      <c r="E1767" s="23" t="str">
        <f>IF($D1767="","",IFERROR(VLOOKUP($D1767,'SAMA Capital Tracker'!$A:$H,8,FALSE()),""))</f>
        <v/>
      </c>
      <c r="F1767" s="24"/>
      <c r="G1767" s="25" t="str">
        <f>IF($D1767="","",IFERROR(VLOOKUP($D1767,'SAMA Capital Tracker'!$A:$D,4,FALSE()),""))</f>
        <v/>
      </c>
      <c r="H1767" s="22"/>
    </row>
    <row r="1768" spans="1:8">
      <c r="A1768" s="21"/>
      <c r="B1768" s="22"/>
      <c r="C1768" s="22"/>
      <c r="D1768" s="22"/>
      <c r="E1768" s="23" t="str">
        <f>IF($D1768="","",IFERROR(VLOOKUP($D1768,'SAMA Capital Tracker'!$A:$H,8,FALSE()),""))</f>
        <v/>
      </c>
      <c r="F1768" s="24"/>
      <c r="G1768" s="25" t="str">
        <f>IF($D1768="","",IFERROR(VLOOKUP($D1768,'SAMA Capital Tracker'!$A:$D,4,FALSE()),""))</f>
        <v/>
      </c>
      <c r="H1768" s="22"/>
    </row>
    <row r="1769" spans="1:8">
      <c r="A1769" s="21"/>
      <c r="B1769" s="22"/>
      <c r="C1769" s="22"/>
      <c r="D1769" s="22"/>
      <c r="E1769" s="23" t="str">
        <f>IF($D1769="","",IFERROR(VLOOKUP($D1769,'SAMA Capital Tracker'!$A:$H,8,FALSE()),""))</f>
        <v/>
      </c>
      <c r="F1769" s="24"/>
      <c r="G1769" s="25" t="str">
        <f>IF($D1769="","",IFERROR(VLOOKUP($D1769,'SAMA Capital Tracker'!$A:$D,4,FALSE()),""))</f>
        <v/>
      </c>
      <c r="H1769" s="22"/>
    </row>
    <row r="1770" spans="1:8">
      <c r="A1770" s="21"/>
      <c r="B1770" s="22"/>
      <c r="C1770" s="22"/>
      <c r="D1770" s="22"/>
      <c r="E1770" s="23" t="str">
        <f>IF($D1770="","",IFERROR(VLOOKUP($D1770,'SAMA Capital Tracker'!$A:$H,8,FALSE()),""))</f>
        <v/>
      </c>
      <c r="F1770" s="24"/>
      <c r="G1770" s="25" t="str">
        <f>IF($D1770="","",IFERROR(VLOOKUP($D1770,'SAMA Capital Tracker'!$A:$D,4,FALSE()),""))</f>
        <v/>
      </c>
      <c r="H1770" s="22"/>
    </row>
    <row r="1771" spans="1:8">
      <c r="A1771" s="21"/>
      <c r="B1771" s="22"/>
      <c r="C1771" s="22"/>
      <c r="D1771" s="22"/>
      <c r="E1771" s="23" t="str">
        <f>IF($D1771="","",IFERROR(VLOOKUP($D1771,'SAMA Capital Tracker'!$A:$H,8,FALSE()),""))</f>
        <v/>
      </c>
      <c r="F1771" s="24"/>
      <c r="G1771" s="25" t="str">
        <f>IF($D1771="","",IFERROR(VLOOKUP($D1771,'SAMA Capital Tracker'!$A:$D,4,FALSE()),""))</f>
        <v/>
      </c>
      <c r="H1771" s="22"/>
    </row>
    <row r="1772" spans="1:8">
      <c r="A1772" s="21"/>
      <c r="B1772" s="22"/>
      <c r="C1772" s="22"/>
      <c r="D1772" s="22"/>
      <c r="E1772" s="23" t="str">
        <f>IF($D1772="","",IFERROR(VLOOKUP($D1772,'SAMA Capital Tracker'!$A:$H,8,FALSE()),""))</f>
        <v/>
      </c>
      <c r="F1772" s="24"/>
      <c r="G1772" s="25" t="str">
        <f>IF($D1772="","",IFERROR(VLOOKUP($D1772,'SAMA Capital Tracker'!$A:$D,4,FALSE()),""))</f>
        <v/>
      </c>
      <c r="H1772" s="22"/>
    </row>
    <row r="1773" spans="1:8">
      <c r="A1773" s="21"/>
      <c r="B1773" s="22"/>
      <c r="C1773" s="22"/>
      <c r="D1773" s="22"/>
      <c r="E1773" s="23" t="str">
        <f>IF($D1773="","",IFERROR(VLOOKUP($D1773,'SAMA Capital Tracker'!$A:$H,8,FALSE()),""))</f>
        <v/>
      </c>
      <c r="F1773" s="24"/>
      <c r="G1773" s="25" t="str">
        <f>IF($D1773="","",IFERROR(VLOOKUP($D1773,'SAMA Capital Tracker'!$A:$D,4,FALSE()),""))</f>
        <v/>
      </c>
      <c r="H1773" s="22"/>
    </row>
    <row r="1774" spans="1:8">
      <c r="A1774" s="21"/>
      <c r="B1774" s="22"/>
      <c r="C1774" s="22"/>
      <c r="D1774" s="22"/>
      <c r="E1774" s="23" t="str">
        <f>IF($D1774="","",IFERROR(VLOOKUP($D1774,'SAMA Capital Tracker'!$A:$H,8,FALSE()),""))</f>
        <v/>
      </c>
      <c r="F1774" s="24"/>
      <c r="G1774" s="25" t="str">
        <f>IF($D1774="","",IFERROR(VLOOKUP($D1774,'SAMA Capital Tracker'!$A:$D,4,FALSE()),""))</f>
        <v/>
      </c>
      <c r="H1774" s="22"/>
    </row>
    <row r="1775" spans="1:8">
      <c r="A1775" s="21"/>
      <c r="B1775" s="22"/>
      <c r="C1775" s="22"/>
      <c r="D1775" s="22"/>
      <c r="E1775" s="23" t="str">
        <f>IF($D1775="","",IFERROR(VLOOKUP($D1775,'SAMA Capital Tracker'!$A:$H,8,FALSE()),""))</f>
        <v/>
      </c>
      <c r="F1775" s="24"/>
      <c r="G1775" s="25" t="str">
        <f>IF($D1775="","",IFERROR(VLOOKUP($D1775,'SAMA Capital Tracker'!$A:$D,4,FALSE()),""))</f>
        <v/>
      </c>
      <c r="H1775" s="22"/>
    </row>
    <row r="1776" spans="1:8">
      <c r="A1776" s="21"/>
      <c r="B1776" s="22"/>
      <c r="C1776" s="22"/>
      <c r="D1776" s="22"/>
      <c r="E1776" s="23" t="str">
        <f>IF($D1776="","",IFERROR(VLOOKUP($D1776,'SAMA Capital Tracker'!$A:$H,8,FALSE()),""))</f>
        <v/>
      </c>
      <c r="F1776" s="24"/>
      <c r="G1776" s="25" t="str">
        <f>IF($D1776="","",IFERROR(VLOOKUP($D1776,'SAMA Capital Tracker'!$A:$D,4,FALSE()),""))</f>
        <v/>
      </c>
      <c r="H1776" s="22"/>
    </row>
    <row r="1777" spans="1:8">
      <c r="A1777" s="21"/>
      <c r="B1777" s="22"/>
      <c r="C1777" s="22"/>
      <c r="D1777" s="22"/>
      <c r="E1777" s="23" t="str">
        <f>IF($D1777="","",IFERROR(VLOOKUP($D1777,'SAMA Capital Tracker'!$A:$H,8,FALSE()),""))</f>
        <v/>
      </c>
      <c r="F1777" s="24"/>
      <c r="G1777" s="25" t="str">
        <f>IF($D1777="","",IFERROR(VLOOKUP($D1777,'SAMA Capital Tracker'!$A:$D,4,FALSE()),""))</f>
        <v/>
      </c>
      <c r="H1777" s="22"/>
    </row>
    <row r="1778" spans="1:8">
      <c r="A1778" s="21"/>
      <c r="B1778" s="22"/>
      <c r="C1778" s="22"/>
      <c r="D1778" s="22"/>
      <c r="E1778" s="23" t="str">
        <f>IF($D1778="","",IFERROR(VLOOKUP($D1778,'SAMA Capital Tracker'!$A:$H,8,FALSE()),""))</f>
        <v/>
      </c>
      <c r="F1778" s="24"/>
      <c r="G1778" s="25" t="str">
        <f>IF($D1778="","",IFERROR(VLOOKUP($D1778,'SAMA Capital Tracker'!$A:$D,4,FALSE()),""))</f>
        <v/>
      </c>
      <c r="H1778" s="22"/>
    </row>
    <row r="1779" spans="1:8">
      <c r="A1779" s="21"/>
      <c r="B1779" s="22"/>
      <c r="C1779" s="22"/>
      <c r="D1779" s="22"/>
      <c r="E1779" s="23" t="str">
        <f>IF($D1779="","",IFERROR(VLOOKUP($D1779,'SAMA Capital Tracker'!$A:$H,8,FALSE()),""))</f>
        <v/>
      </c>
      <c r="F1779" s="24"/>
      <c r="G1779" s="25" t="str">
        <f>IF($D1779="","",IFERROR(VLOOKUP($D1779,'SAMA Capital Tracker'!$A:$D,4,FALSE()),""))</f>
        <v/>
      </c>
      <c r="H1779" s="22"/>
    </row>
    <row r="1780" spans="1:8">
      <c r="A1780" s="21"/>
      <c r="B1780" s="22"/>
      <c r="C1780" s="22"/>
      <c r="D1780" s="22"/>
      <c r="E1780" s="23" t="str">
        <f>IF($D1780="","",IFERROR(VLOOKUP($D1780,'SAMA Capital Tracker'!$A:$H,8,FALSE()),""))</f>
        <v/>
      </c>
      <c r="F1780" s="24"/>
      <c r="G1780" s="25" t="str">
        <f>IF($D1780="","",IFERROR(VLOOKUP($D1780,'SAMA Capital Tracker'!$A:$D,4,FALSE()),""))</f>
        <v/>
      </c>
      <c r="H1780" s="22"/>
    </row>
    <row r="1781" spans="1:8">
      <c r="A1781" s="21"/>
      <c r="B1781" s="22"/>
      <c r="C1781" s="22"/>
      <c r="D1781" s="22"/>
      <c r="E1781" s="23" t="str">
        <f>IF($D1781="","",IFERROR(VLOOKUP($D1781,'SAMA Capital Tracker'!$A:$H,8,FALSE()),""))</f>
        <v/>
      </c>
      <c r="F1781" s="24"/>
      <c r="G1781" s="25" t="str">
        <f>IF($D1781="","",IFERROR(VLOOKUP($D1781,'SAMA Capital Tracker'!$A:$D,4,FALSE()),""))</f>
        <v/>
      </c>
      <c r="H1781" s="22"/>
    </row>
    <row r="1782" spans="1:8">
      <c r="A1782" s="21"/>
      <c r="B1782" s="22"/>
      <c r="C1782" s="22"/>
      <c r="D1782" s="22"/>
      <c r="E1782" s="23" t="str">
        <f>IF($D1782="","",IFERROR(VLOOKUP($D1782,'SAMA Capital Tracker'!$A:$H,8,FALSE()),""))</f>
        <v/>
      </c>
      <c r="F1782" s="24"/>
      <c r="G1782" s="25" t="str">
        <f>IF($D1782="","",IFERROR(VLOOKUP($D1782,'SAMA Capital Tracker'!$A:$D,4,FALSE()),""))</f>
        <v/>
      </c>
      <c r="H1782" s="22"/>
    </row>
    <row r="1783" spans="1:8">
      <c r="A1783" s="21"/>
      <c r="B1783" s="22"/>
      <c r="C1783" s="22"/>
      <c r="D1783" s="22"/>
      <c r="E1783" s="23" t="str">
        <f>IF($D1783="","",IFERROR(VLOOKUP($D1783,'SAMA Capital Tracker'!$A:$H,8,FALSE()),""))</f>
        <v/>
      </c>
      <c r="F1783" s="24"/>
      <c r="G1783" s="25" t="str">
        <f>IF($D1783="","",IFERROR(VLOOKUP($D1783,'SAMA Capital Tracker'!$A:$D,4,FALSE()),""))</f>
        <v/>
      </c>
      <c r="H1783" s="22"/>
    </row>
    <row r="1784" spans="1:8">
      <c r="A1784" s="21"/>
      <c r="B1784" s="22"/>
      <c r="C1784" s="22"/>
      <c r="D1784" s="22"/>
      <c r="E1784" s="23" t="str">
        <f>IF($D1784="","",IFERROR(VLOOKUP($D1784,'SAMA Capital Tracker'!$A:$H,8,FALSE()),""))</f>
        <v/>
      </c>
      <c r="F1784" s="24"/>
      <c r="G1784" s="25" t="str">
        <f>IF($D1784="","",IFERROR(VLOOKUP($D1784,'SAMA Capital Tracker'!$A:$D,4,FALSE()),""))</f>
        <v/>
      </c>
      <c r="H1784" s="22"/>
    </row>
    <row r="1785" spans="1:8">
      <c r="A1785" s="21"/>
      <c r="B1785" s="22"/>
      <c r="C1785" s="22"/>
      <c r="D1785" s="22"/>
      <c r="E1785" s="23" t="str">
        <f>IF($D1785="","",IFERROR(VLOOKUP($D1785,'SAMA Capital Tracker'!$A:$H,8,FALSE()),""))</f>
        <v/>
      </c>
      <c r="F1785" s="24"/>
      <c r="G1785" s="25" t="str">
        <f>IF($D1785="","",IFERROR(VLOOKUP($D1785,'SAMA Capital Tracker'!$A:$D,4,FALSE()),""))</f>
        <v/>
      </c>
      <c r="H1785" s="22"/>
    </row>
    <row r="1786" spans="1:8">
      <c r="A1786" s="21"/>
      <c r="B1786" s="22"/>
      <c r="C1786" s="22"/>
      <c r="D1786" s="22"/>
      <c r="E1786" s="23" t="str">
        <f>IF($D1786="","",IFERROR(VLOOKUP($D1786,'SAMA Capital Tracker'!$A:$H,8,FALSE()),""))</f>
        <v/>
      </c>
      <c r="F1786" s="24"/>
      <c r="G1786" s="25" t="str">
        <f>IF($D1786="","",IFERROR(VLOOKUP($D1786,'SAMA Capital Tracker'!$A:$D,4,FALSE()),""))</f>
        <v/>
      </c>
      <c r="H1786" s="22"/>
    </row>
    <row r="1787" spans="1:8">
      <c r="A1787" s="21"/>
      <c r="B1787" s="22"/>
      <c r="C1787" s="22"/>
      <c r="D1787" s="22"/>
      <c r="E1787" s="23" t="str">
        <f>IF($D1787="","",IFERROR(VLOOKUP($D1787,'SAMA Capital Tracker'!$A:$H,8,FALSE()),""))</f>
        <v/>
      </c>
      <c r="F1787" s="24"/>
      <c r="G1787" s="25" t="str">
        <f>IF($D1787="","",IFERROR(VLOOKUP($D1787,'SAMA Capital Tracker'!$A:$D,4,FALSE()),""))</f>
        <v/>
      </c>
      <c r="H1787" s="22"/>
    </row>
    <row r="1788" spans="1:8">
      <c r="A1788" s="21"/>
      <c r="B1788" s="22"/>
      <c r="C1788" s="22"/>
      <c r="D1788" s="22"/>
      <c r="E1788" s="23" t="str">
        <f>IF($D1788="","",IFERROR(VLOOKUP($D1788,'SAMA Capital Tracker'!$A:$H,8,FALSE()),""))</f>
        <v/>
      </c>
      <c r="F1788" s="24"/>
      <c r="G1788" s="25" t="str">
        <f>IF($D1788="","",IFERROR(VLOOKUP($D1788,'SAMA Capital Tracker'!$A:$D,4,FALSE()),""))</f>
        <v/>
      </c>
      <c r="H1788" s="22"/>
    </row>
    <row r="1789" spans="1:8">
      <c r="A1789" s="21"/>
      <c r="B1789" s="22"/>
      <c r="C1789" s="22"/>
      <c r="D1789" s="22"/>
      <c r="E1789" s="23" t="str">
        <f>IF($D1789="","",IFERROR(VLOOKUP($D1789,'SAMA Capital Tracker'!$A:$H,8,FALSE()),""))</f>
        <v/>
      </c>
      <c r="F1789" s="24"/>
      <c r="G1789" s="25" t="str">
        <f>IF($D1789="","",IFERROR(VLOOKUP($D1789,'SAMA Capital Tracker'!$A:$D,4,FALSE()),""))</f>
        <v/>
      </c>
      <c r="H1789" s="22"/>
    </row>
    <row r="1790" spans="1:8">
      <c r="A1790" s="21"/>
      <c r="B1790" s="22"/>
      <c r="C1790" s="22"/>
      <c r="D1790" s="22"/>
      <c r="E1790" s="23" t="str">
        <f>IF($D1790="","",IFERROR(VLOOKUP($D1790,'SAMA Capital Tracker'!$A:$H,8,FALSE()),""))</f>
        <v/>
      </c>
      <c r="F1790" s="24"/>
      <c r="G1790" s="25" t="str">
        <f>IF($D1790="","",IFERROR(VLOOKUP($D1790,'SAMA Capital Tracker'!$A:$D,4,FALSE()),""))</f>
        <v/>
      </c>
      <c r="H1790" s="22"/>
    </row>
    <row r="1791" spans="1:8">
      <c r="A1791" s="21"/>
      <c r="B1791" s="22"/>
      <c r="C1791" s="22"/>
      <c r="D1791" s="22"/>
      <c r="E1791" s="23" t="str">
        <f>IF($D1791="","",IFERROR(VLOOKUP($D1791,'SAMA Capital Tracker'!$A:$H,8,FALSE()),""))</f>
        <v/>
      </c>
      <c r="F1791" s="24"/>
      <c r="G1791" s="25" t="str">
        <f>IF($D1791="","",IFERROR(VLOOKUP($D1791,'SAMA Capital Tracker'!$A:$D,4,FALSE()),""))</f>
        <v/>
      </c>
      <c r="H1791" s="22"/>
    </row>
    <row r="1792" spans="1:8">
      <c r="A1792" s="21"/>
      <c r="B1792" s="22"/>
      <c r="C1792" s="22"/>
      <c r="D1792" s="22"/>
      <c r="E1792" s="23" t="str">
        <f>IF($D1792="","",IFERROR(VLOOKUP($D1792,'SAMA Capital Tracker'!$A:$H,8,FALSE()),""))</f>
        <v/>
      </c>
      <c r="F1792" s="24"/>
      <c r="G1792" s="25" t="str">
        <f>IF($D1792="","",IFERROR(VLOOKUP($D1792,'SAMA Capital Tracker'!$A:$D,4,FALSE()),""))</f>
        <v/>
      </c>
      <c r="H1792" s="22"/>
    </row>
    <row r="1793" spans="1:8">
      <c r="A1793" s="21"/>
      <c r="B1793" s="22"/>
      <c r="C1793" s="22"/>
      <c r="D1793" s="22"/>
      <c r="E1793" s="23" t="str">
        <f>IF($D1793="","",IFERROR(VLOOKUP($D1793,'SAMA Capital Tracker'!$A:$H,8,FALSE()),""))</f>
        <v/>
      </c>
      <c r="F1793" s="24"/>
      <c r="G1793" s="25" t="str">
        <f>IF($D1793="","",IFERROR(VLOOKUP($D1793,'SAMA Capital Tracker'!$A:$D,4,FALSE()),""))</f>
        <v/>
      </c>
      <c r="H1793" s="22"/>
    </row>
    <row r="1794" spans="1:8">
      <c r="A1794" s="21"/>
      <c r="B1794" s="22"/>
      <c r="C1794" s="22"/>
      <c r="D1794" s="22"/>
      <c r="E1794" s="23" t="str">
        <f>IF($D1794="","",IFERROR(VLOOKUP($D1794,'SAMA Capital Tracker'!$A:$H,8,FALSE()),""))</f>
        <v/>
      </c>
      <c r="F1794" s="24"/>
      <c r="G1794" s="25" t="str">
        <f>IF($D1794="","",IFERROR(VLOOKUP($D1794,'SAMA Capital Tracker'!$A:$D,4,FALSE()),""))</f>
        <v/>
      </c>
      <c r="H1794" s="22"/>
    </row>
    <row r="1795" spans="1:8">
      <c r="A1795" s="21"/>
      <c r="B1795" s="22"/>
      <c r="C1795" s="22"/>
      <c r="D1795" s="22"/>
      <c r="E1795" s="23" t="str">
        <f>IF($D1795="","",IFERROR(VLOOKUP($D1795,'SAMA Capital Tracker'!$A:$H,8,FALSE()),""))</f>
        <v/>
      </c>
      <c r="F1795" s="24"/>
      <c r="G1795" s="25" t="str">
        <f>IF($D1795="","",IFERROR(VLOOKUP($D1795,'SAMA Capital Tracker'!$A:$D,4,FALSE()),""))</f>
        <v/>
      </c>
      <c r="H1795" s="22"/>
    </row>
    <row r="1796" spans="1:8">
      <c r="A1796" s="21"/>
      <c r="B1796" s="22"/>
      <c r="C1796" s="22"/>
      <c r="D1796" s="22"/>
      <c r="E1796" s="23" t="str">
        <f>IF($D1796="","",IFERROR(VLOOKUP($D1796,'SAMA Capital Tracker'!$A:$H,8,FALSE()),""))</f>
        <v/>
      </c>
      <c r="F1796" s="24"/>
      <c r="G1796" s="25" t="str">
        <f>IF($D1796="","",IFERROR(VLOOKUP($D1796,'SAMA Capital Tracker'!$A:$D,4,FALSE()),""))</f>
        <v/>
      </c>
      <c r="H1796" s="22"/>
    </row>
    <row r="1797" spans="1:8">
      <c r="A1797" s="21"/>
      <c r="B1797" s="22"/>
      <c r="C1797" s="22"/>
      <c r="D1797" s="22"/>
      <c r="E1797" s="23" t="str">
        <f>IF($D1797="","",IFERROR(VLOOKUP($D1797,'SAMA Capital Tracker'!$A:$H,8,FALSE()),""))</f>
        <v/>
      </c>
      <c r="F1797" s="24"/>
      <c r="G1797" s="25" t="str">
        <f>IF($D1797="","",IFERROR(VLOOKUP($D1797,'SAMA Capital Tracker'!$A:$D,4,FALSE()),""))</f>
        <v/>
      </c>
      <c r="H1797" s="22"/>
    </row>
    <row r="1798" spans="1:8">
      <c r="A1798" s="21"/>
      <c r="B1798" s="22"/>
      <c r="C1798" s="22"/>
      <c r="D1798" s="22"/>
      <c r="E1798" s="23" t="str">
        <f>IF($D1798="","",IFERROR(VLOOKUP($D1798,'SAMA Capital Tracker'!$A:$H,8,FALSE()),""))</f>
        <v/>
      </c>
      <c r="F1798" s="24"/>
      <c r="G1798" s="25" t="str">
        <f>IF($D1798="","",IFERROR(VLOOKUP($D1798,'SAMA Capital Tracker'!$A:$D,4,FALSE()),""))</f>
        <v/>
      </c>
      <c r="H1798" s="22"/>
    </row>
    <row r="1799" spans="1:8">
      <c r="A1799" s="21"/>
      <c r="B1799" s="22"/>
      <c r="C1799" s="22"/>
      <c r="D1799" s="22"/>
      <c r="E1799" s="23" t="str">
        <f>IF($D1799="","",IFERROR(VLOOKUP($D1799,'SAMA Capital Tracker'!$A:$H,8,FALSE()),""))</f>
        <v/>
      </c>
      <c r="F1799" s="24"/>
      <c r="G1799" s="25" t="str">
        <f>IF($D1799="","",IFERROR(VLOOKUP($D1799,'SAMA Capital Tracker'!$A:$D,4,FALSE()),""))</f>
        <v/>
      </c>
      <c r="H1799" s="22"/>
    </row>
    <row r="1800" spans="1:8">
      <c r="A1800" s="21"/>
      <c r="B1800" s="22"/>
      <c r="C1800" s="22"/>
      <c r="D1800" s="22"/>
      <c r="E1800" s="23" t="str">
        <f>IF($D1800="","",IFERROR(VLOOKUP($D1800,'SAMA Capital Tracker'!$A:$H,8,FALSE()),""))</f>
        <v/>
      </c>
      <c r="F1800" s="24"/>
      <c r="G1800" s="25" t="str">
        <f>IF($D1800="","",IFERROR(VLOOKUP($D1800,'SAMA Capital Tracker'!$A:$D,4,FALSE()),""))</f>
        <v/>
      </c>
      <c r="H1800" s="22"/>
    </row>
    <row r="1801" spans="1:8">
      <c r="A1801" s="21"/>
      <c r="B1801" s="22"/>
      <c r="C1801" s="22"/>
      <c r="D1801" s="22"/>
      <c r="E1801" s="23" t="str">
        <f>IF($D1801="","",IFERROR(VLOOKUP($D1801,'SAMA Capital Tracker'!$A:$H,8,FALSE()),""))</f>
        <v/>
      </c>
      <c r="F1801" s="24"/>
      <c r="G1801" s="25" t="str">
        <f>IF($D1801="","",IFERROR(VLOOKUP($D1801,'SAMA Capital Tracker'!$A:$D,4,FALSE()),""))</f>
        <v/>
      </c>
      <c r="H1801" s="22"/>
    </row>
    <row r="1802" spans="1:8">
      <c r="A1802" s="21"/>
      <c r="B1802" s="22"/>
      <c r="C1802" s="22"/>
      <c r="D1802" s="22"/>
      <c r="E1802" s="23" t="str">
        <f>IF($D1802="","",IFERROR(VLOOKUP($D1802,'SAMA Capital Tracker'!$A:$H,8,FALSE()),""))</f>
        <v/>
      </c>
      <c r="F1802" s="24"/>
      <c r="G1802" s="25" t="str">
        <f>IF($D1802="","",IFERROR(VLOOKUP($D1802,'SAMA Capital Tracker'!$A:$D,4,FALSE()),""))</f>
        <v/>
      </c>
      <c r="H1802" s="22"/>
    </row>
    <row r="1803" spans="1:8">
      <c r="A1803" s="21"/>
      <c r="B1803" s="22"/>
      <c r="C1803" s="22"/>
      <c r="D1803" s="22"/>
      <c r="E1803" s="23" t="str">
        <f>IF($D1803="","",IFERROR(VLOOKUP($D1803,'SAMA Capital Tracker'!$A:$H,8,FALSE()),""))</f>
        <v/>
      </c>
      <c r="F1803" s="24"/>
      <c r="G1803" s="25" t="str">
        <f>IF($D1803="","",IFERROR(VLOOKUP($D1803,'SAMA Capital Tracker'!$A:$D,4,FALSE()),""))</f>
        <v/>
      </c>
      <c r="H1803" s="22"/>
    </row>
    <row r="1804" spans="1:8">
      <c r="A1804" s="21"/>
      <c r="B1804" s="22"/>
      <c r="C1804" s="22"/>
      <c r="D1804" s="22"/>
      <c r="E1804" s="23" t="str">
        <f>IF($D1804="","",IFERROR(VLOOKUP($D1804,'SAMA Capital Tracker'!$A:$H,8,FALSE()),""))</f>
        <v/>
      </c>
      <c r="F1804" s="24"/>
      <c r="G1804" s="25" t="str">
        <f>IF($D1804="","",IFERROR(VLOOKUP($D1804,'SAMA Capital Tracker'!$A:$D,4,FALSE()),""))</f>
        <v/>
      </c>
      <c r="H1804" s="22"/>
    </row>
    <row r="1805" spans="1:8">
      <c r="A1805" s="21"/>
      <c r="B1805" s="22"/>
      <c r="C1805" s="22"/>
      <c r="D1805" s="22"/>
      <c r="E1805" s="23" t="str">
        <f>IF($D1805="","",IFERROR(VLOOKUP($D1805,'SAMA Capital Tracker'!$A:$H,8,FALSE()),""))</f>
        <v/>
      </c>
      <c r="F1805" s="24"/>
      <c r="G1805" s="25" t="str">
        <f>IF($D1805="","",IFERROR(VLOOKUP($D1805,'SAMA Capital Tracker'!$A:$D,4,FALSE()),""))</f>
        <v/>
      </c>
      <c r="H1805" s="22"/>
    </row>
    <row r="1806" spans="1:8">
      <c r="A1806" s="21"/>
      <c r="B1806" s="22"/>
      <c r="C1806" s="22"/>
      <c r="D1806" s="22"/>
      <c r="E1806" s="23" t="str">
        <f>IF($D1806="","",IFERROR(VLOOKUP($D1806,'SAMA Capital Tracker'!$A:$H,8,FALSE()),""))</f>
        <v/>
      </c>
      <c r="F1806" s="24"/>
      <c r="G1806" s="25" t="str">
        <f>IF($D1806="","",IFERROR(VLOOKUP($D1806,'SAMA Capital Tracker'!$A:$D,4,FALSE()),""))</f>
        <v/>
      </c>
      <c r="H1806" s="22"/>
    </row>
    <row r="1807" spans="1:8">
      <c r="A1807" s="21"/>
      <c r="B1807" s="22"/>
      <c r="C1807" s="22"/>
      <c r="D1807" s="22"/>
      <c r="E1807" s="23" t="str">
        <f>IF($D1807="","",IFERROR(VLOOKUP($D1807,'SAMA Capital Tracker'!$A:$H,8,FALSE()),""))</f>
        <v/>
      </c>
      <c r="F1807" s="24"/>
      <c r="G1807" s="25" t="str">
        <f>IF($D1807="","",IFERROR(VLOOKUP($D1807,'SAMA Capital Tracker'!$A:$D,4,FALSE()),""))</f>
        <v/>
      </c>
      <c r="H1807" s="22"/>
    </row>
    <row r="1808" spans="1:8">
      <c r="A1808" s="21"/>
      <c r="B1808" s="22"/>
      <c r="C1808" s="22"/>
      <c r="D1808" s="22"/>
      <c r="E1808" s="23" t="str">
        <f>IF($D1808="","",IFERROR(VLOOKUP($D1808,'SAMA Capital Tracker'!$A:$H,8,FALSE()),""))</f>
        <v/>
      </c>
      <c r="F1808" s="24"/>
      <c r="G1808" s="25" t="str">
        <f>IF($D1808="","",IFERROR(VLOOKUP($D1808,'SAMA Capital Tracker'!$A:$D,4,FALSE()),""))</f>
        <v/>
      </c>
      <c r="H1808" s="22"/>
    </row>
    <row r="1809" spans="1:8">
      <c r="A1809" s="21"/>
      <c r="B1809" s="22"/>
      <c r="C1809" s="22"/>
      <c r="D1809" s="22"/>
      <c r="E1809" s="23" t="str">
        <f>IF($D1809="","",IFERROR(VLOOKUP($D1809,'SAMA Capital Tracker'!$A:$H,8,FALSE()),""))</f>
        <v/>
      </c>
      <c r="F1809" s="24"/>
      <c r="G1809" s="25" t="str">
        <f>IF($D1809="","",IFERROR(VLOOKUP($D1809,'SAMA Capital Tracker'!$A:$D,4,FALSE()),""))</f>
        <v/>
      </c>
      <c r="H1809" s="22"/>
    </row>
    <row r="1810" spans="1:8">
      <c r="A1810" s="21"/>
      <c r="B1810" s="22"/>
      <c r="C1810" s="22"/>
      <c r="D1810" s="22"/>
      <c r="E1810" s="23" t="str">
        <f>IF($D1810="","",IFERROR(VLOOKUP($D1810,'SAMA Capital Tracker'!$A:$H,8,FALSE()),""))</f>
        <v/>
      </c>
      <c r="F1810" s="24"/>
      <c r="G1810" s="25" t="str">
        <f>IF($D1810="","",IFERROR(VLOOKUP($D1810,'SAMA Capital Tracker'!$A:$D,4,FALSE()),""))</f>
        <v/>
      </c>
      <c r="H1810" s="22"/>
    </row>
    <row r="1811" spans="1:8">
      <c r="A1811" s="21"/>
      <c r="B1811" s="22"/>
      <c r="C1811" s="22"/>
      <c r="D1811" s="22"/>
      <c r="E1811" s="23" t="str">
        <f>IF($D1811="","",IFERROR(VLOOKUP($D1811,'SAMA Capital Tracker'!$A:$H,8,FALSE()),""))</f>
        <v/>
      </c>
      <c r="F1811" s="24"/>
      <c r="G1811" s="25" t="str">
        <f>IF($D1811="","",IFERROR(VLOOKUP($D1811,'SAMA Capital Tracker'!$A:$D,4,FALSE()),""))</f>
        <v/>
      </c>
      <c r="H1811" s="22"/>
    </row>
    <row r="1812" spans="1:8">
      <c r="A1812" s="21"/>
      <c r="B1812" s="22"/>
      <c r="C1812" s="22"/>
      <c r="D1812" s="22"/>
      <c r="E1812" s="23" t="str">
        <f>IF($D1812="","",IFERROR(VLOOKUP($D1812,'SAMA Capital Tracker'!$A:$H,8,FALSE()),""))</f>
        <v/>
      </c>
      <c r="F1812" s="24"/>
      <c r="G1812" s="25" t="str">
        <f>IF($D1812="","",IFERROR(VLOOKUP($D1812,'SAMA Capital Tracker'!$A:$D,4,FALSE()),""))</f>
        <v/>
      </c>
      <c r="H1812" s="22"/>
    </row>
    <row r="1813" spans="1:8">
      <c r="A1813" s="21"/>
      <c r="B1813" s="22"/>
      <c r="C1813" s="22"/>
      <c r="D1813" s="22"/>
      <c r="E1813" s="23" t="str">
        <f>IF($D1813="","",IFERROR(VLOOKUP($D1813,'SAMA Capital Tracker'!$A:$H,8,FALSE()),""))</f>
        <v/>
      </c>
      <c r="F1813" s="24"/>
      <c r="G1813" s="25" t="str">
        <f>IF($D1813="","",IFERROR(VLOOKUP($D1813,'SAMA Capital Tracker'!$A:$D,4,FALSE()),""))</f>
        <v/>
      </c>
      <c r="H1813" s="22"/>
    </row>
    <row r="1814" spans="1:8">
      <c r="A1814" s="21"/>
      <c r="B1814" s="22"/>
      <c r="C1814" s="22"/>
      <c r="D1814" s="22"/>
      <c r="E1814" s="23" t="str">
        <f>IF($D1814="","",IFERROR(VLOOKUP($D1814,'SAMA Capital Tracker'!$A:$H,8,FALSE()),""))</f>
        <v/>
      </c>
      <c r="F1814" s="24"/>
      <c r="G1814" s="25" t="str">
        <f>IF($D1814="","",IFERROR(VLOOKUP($D1814,'SAMA Capital Tracker'!$A:$D,4,FALSE()),""))</f>
        <v/>
      </c>
      <c r="H1814" s="22"/>
    </row>
    <row r="1815" spans="1:8">
      <c r="A1815" s="21"/>
      <c r="B1815" s="22"/>
      <c r="C1815" s="22"/>
      <c r="D1815" s="22"/>
      <c r="E1815" s="23" t="str">
        <f>IF($D1815="","",IFERROR(VLOOKUP($D1815,'SAMA Capital Tracker'!$A:$H,8,FALSE()),""))</f>
        <v/>
      </c>
      <c r="F1815" s="24"/>
      <c r="G1815" s="25" t="str">
        <f>IF($D1815="","",IFERROR(VLOOKUP($D1815,'SAMA Capital Tracker'!$A:$D,4,FALSE()),""))</f>
        <v/>
      </c>
      <c r="H1815" s="22"/>
    </row>
    <row r="1816" spans="1:8">
      <c r="A1816" s="21"/>
      <c r="B1816" s="22"/>
      <c r="C1816" s="22"/>
      <c r="D1816" s="22"/>
      <c r="E1816" s="23" t="str">
        <f>IF($D1816="","",IFERROR(VLOOKUP($D1816,'SAMA Capital Tracker'!$A:$H,8,FALSE()),""))</f>
        <v/>
      </c>
      <c r="F1816" s="24"/>
      <c r="G1816" s="25" t="str">
        <f>IF($D1816="","",IFERROR(VLOOKUP($D1816,'SAMA Capital Tracker'!$A:$D,4,FALSE()),""))</f>
        <v/>
      </c>
      <c r="H1816" s="22"/>
    </row>
    <row r="1817" spans="1:8">
      <c r="A1817" s="21"/>
      <c r="B1817" s="22"/>
      <c r="C1817" s="22"/>
      <c r="D1817" s="22"/>
      <c r="E1817" s="23" t="str">
        <f>IF($D1817="","",IFERROR(VLOOKUP($D1817,'SAMA Capital Tracker'!$A:$H,8,FALSE()),""))</f>
        <v/>
      </c>
      <c r="F1817" s="24"/>
      <c r="G1817" s="25" t="str">
        <f>IF($D1817="","",IFERROR(VLOOKUP($D1817,'SAMA Capital Tracker'!$A:$D,4,FALSE()),""))</f>
        <v/>
      </c>
      <c r="H1817" s="22"/>
    </row>
    <row r="1818" spans="1:8">
      <c r="A1818" s="21"/>
      <c r="B1818" s="22"/>
      <c r="C1818" s="22"/>
      <c r="D1818" s="22"/>
      <c r="E1818" s="23" t="str">
        <f>IF($D1818="","",IFERROR(VLOOKUP($D1818,'SAMA Capital Tracker'!$A:$H,8,FALSE()),""))</f>
        <v/>
      </c>
      <c r="F1818" s="24"/>
      <c r="G1818" s="25" t="str">
        <f>IF($D1818="","",IFERROR(VLOOKUP($D1818,'SAMA Capital Tracker'!$A:$D,4,FALSE()),""))</f>
        <v/>
      </c>
      <c r="H1818" s="22"/>
    </row>
    <row r="1819" spans="1:8">
      <c r="A1819" s="21"/>
      <c r="B1819" s="22"/>
      <c r="C1819" s="22"/>
      <c r="D1819" s="22"/>
      <c r="E1819" s="23" t="str">
        <f>IF($D1819="","",IFERROR(VLOOKUP($D1819,'SAMA Capital Tracker'!$A:$H,8,FALSE()),""))</f>
        <v/>
      </c>
      <c r="F1819" s="24"/>
      <c r="G1819" s="25" t="str">
        <f>IF($D1819="","",IFERROR(VLOOKUP($D1819,'SAMA Capital Tracker'!$A:$D,4,FALSE()),""))</f>
        <v/>
      </c>
      <c r="H1819" s="22"/>
    </row>
    <row r="1820" spans="1:8">
      <c r="A1820" s="21"/>
      <c r="B1820" s="22"/>
      <c r="C1820" s="22"/>
      <c r="D1820" s="22"/>
      <c r="E1820" s="23" t="str">
        <f>IF($D1820="","",IFERROR(VLOOKUP($D1820,'SAMA Capital Tracker'!$A:$H,8,FALSE()),""))</f>
        <v/>
      </c>
      <c r="F1820" s="24"/>
      <c r="G1820" s="25" t="str">
        <f>IF($D1820="","",IFERROR(VLOOKUP($D1820,'SAMA Capital Tracker'!$A:$D,4,FALSE()),""))</f>
        <v/>
      </c>
      <c r="H1820" s="22"/>
    </row>
    <row r="1821" spans="1:8">
      <c r="A1821" s="21"/>
      <c r="B1821" s="22"/>
      <c r="C1821" s="22"/>
      <c r="D1821" s="22"/>
      <c r="E1821" s="23" t="str">
        <f>IF($D1821="","",IFERROR(VLOOKUP($D1821,'SAMA Capital Tracker'!$A:$H,8,FALSE()),""))</f>
        <v/>
      </c>
      <c r="F1821" s="24"/>
      <c r="G1821" s="25" t="str">
        <f>IF($D1821="","",IFERROR(VLOOKUP($D1821,'SAMA Capital Tracker'!$A:$D,4,FALSE()),""))</f>
        <v/>
      </c>
      <c r="H1821" s="22"/>
    </row>
    <row r="1822" spans="1:8">
      <c r="A1822" s="21"/>
      <c r="B1822" s="22"/>
      <c r="C1822" s="22"/>
      <c r="D1822" s="22"/>
      <c r="E1822" s="23" t="str">
        <f>IF($D1822="","",IFERROR(VLOOKUP($D1822,'SAMA Capital Tracker'!$A:$H,8,FALSE()),""))</f>
        <v/>
      </c>
      <c r="F1822" s="24"/>
      <c r="G1822" s="25" t="str">
        <f>IF($D1822="","",IFERROR(VLOOKUP($D1822,'SAMA Capital Tracker'!$A:$D,4,FALSE()),""))</f>
        <v/>
      </c>
      <c r="H1822" s="22"/>
    </row>
    <row r="1823" spans="1:8">
      <c r="A1823" s="21"/>
      <c r="B1823" s="22"/>
      <c r="C1823" s="22"/>
      <c r="D1823" s="22"/>
      <c r="E1823" s="23" t="str">
        <f>IF($D1823="","",IFERROR(VLOOKUP($D1823,'SAMA Capital Tracker'!$A:$H,8,FALSE()),""))</f>
        <v/>
      </c>
      <c r="F1823" s="24"/>
      <c r="G1823" s="25" t="str">
        <f>IF($D1823="","",IFERROR(VLOOKUP($D1823,'SAMA Capital Tracker'!$A:$D,4,FALSE()),""))</f>
        <v/>
      </c>
      <c r="H1823" s="22"/>
    </row>
    <row r="1824" spans="1:8">
      <c r="A1824" s="21"/>
      <c r="B1824" s="22"/>
      <c r="C1824" s="22"/>
      <c r="D1824" s="22"/>
      <c r="E1824" s="23" t="str">
        <f>IF($D1824="","",IFERROR(VLOOKUP($D1824,'SAMA Capital Tracker'!$A:$H,8,FALSE()),""))</f>
        <v/>
      </c>
      <c r="F1824" s="24"/>
      <c r="G1824" s="25" t="str">
        <f>IF($D1824="","",IFERROR(VLOOKUP($D1824,'SAMA Capital Tracker'!$A:$D,4,FALSE()),""))</f>
        <v/>
      </c>
      <c r="H1824" s="22"/>
    </row>
    <row r="1825" spans="1:8">
      <c r="A1825" s="21"/>
      <c r="B1825" s="22"/>
      <c r="C1825" s="22"/>
      <c r="D1825" s="22"/>
      <c r="E1825" s="23" t="str">
        <f>IF($D1825="","",IFERROR(VLOOKUP($D1825,'SAMA Capital Tracker'!$A:$H,8,FALSE()),""))</f>
        <v/>
      </c>
      <c r="F1825" s="24"/>
      <c r="G1825" s="25" t="str">
        <f>IF($D1825="","",IFERROR(VLOOKUP($D1825,'SAMA Capital Tracker'!$A:$D,4,FALSE()),""))</f>
        <v/>
      </c>
      <c r="H1825" s="22"/>
    </row>
    <row r="1826" spans="1:8">
      <c r="A1826" s="21"/>
      <c r="B1826" s="22"/>
      <c r="C1826" s="22"/>
      <c r="D1826" s="22"/>
      <c r="E1826" s="23" t="str">
        <f>IF($D1826="","",IFERROR(VLOOKUP($D1826,'SAMA Capital Tracker'!$A:$H,8,FALSE()),""))</f>
        <v/>
      </c>
      <c r="F1826" s="24"/>
      <c r="G1826" s="25" t="str">
        <f>IF($D1826="","",IFERROR(VLOOKUP($D1826,'SAMA Capital Tracker'!$A:$D,4,FALSE()),""))</f>
        <v/>
      </c>
      <c r="H1826" s="22"/>
    </row>
    <row r="1827" spans="1:8">
      <c r="A1827" s="21"/>
      <c r="B1827" s="22"/>
      <c r="C1827" s="22"/>
      <c r="D1827" s="22"/>
      <c r="E1827" s="23" t="str">
        <f>IF($D1827="","",IFERROR(VLOOKUP($D1827,'SAMA Capital Tracker'!$A:$H,8,FALSE()),""))</f>
        <v/>
      </c>
      <c r="F1827" s="24"/>
      <c r="G1827" s="25" t="str">
        <f>IF($D1827="","",IFERROR(VLOOKUP($D1827,'SAMA Capital Tracker'!$A:$D,4,FALSE()),""))</f>
        <v/>
      </c>
      <c r="H1827" s="22"/>
    </row>
    <row r="1828" spans="1:8">
      <c r="A1828" s="21"/>
      <c r="B1828" s="22"/>
      <c r="C1828" s="22"/>
      <c r="D1828" s="22"/>
      <c r="E1828" s="23" t="str">
        <f>IF($D1828="","",IFERROR(VLOOKUP($D1828,'SAMA Capital Tracker'!$A:$H,8,FALSE()),""))</f>
        <v/>
      </c>
      <c r="F1828" s="24"/>
      <c r="G1828" s="25" t="str">
        <f>IF($D1828="","",IFERROR(VLOOKUP($D1828,'SAMA Capital Tracker'!$A:$D,4,FALSE()),""))</f>
        <v/>
      </c>
      <c r="H1828" s="22"/>
    </row>
    <row r="1829" spans="1:8">
      <c r="A1829" s="21"/>
      <c r="B1829" s="22"/>
      <c r="C1829" s="22"/>
      <c r="D1829" s="22"/>
      <c r="E1829" s="23" t="str">
        <f>IF($D1829="","",IFERROR(VLOOKUP($D1829,'SAMA Capital Tracker'!$A:$H,8,FALSE()),""))</f>
        <v/>
      </c>
      <c r="F1829" s="24"/>
      <c r="G1829" s="25" t="str">
        <f>IF($D1829="","",IFERROR(VLOOKUP($D1829,'SAMA Capital Tracker'!$A:$D,4,FALSE()),""))</f>
        <v/>
      </c>
      <c r="H1829" s="22"/>
    </row>
    <row r="1830" spans="1:8">
      <c r="A1830" s="21"/>
      <c r="B1830" s="22"/>
      <c r="C1830" s="22"/>
      <c r="D1830" s="22"/>
      <c r="E1830" s="23" t="str">
        <f>IF($D1830="","",IFERROR(VLOOKUP($D1830,'SAMA Capital Tracker'!$A:$H,8,FALSE()),""))</f>
        <v/>
      </c>
      <c r="F1830" s="24"/>
      <c r="G1830" s="25" t="str">
        <f>IF($D1830="","",IFERROR(VLOOKUP($D1830,'SAMA Capital Tracker'!$A:$D,4,FALSE()),""))</f>
        <v/>
      </c>
      <c r="H1830" s="22"/>
    </row>
    <row r="1831" spans="1:8">
      <c r="A1831" s="21"/>
      <c r="B1831" s="22"/>
      <c r="C1831" s="22"/>
      <c r="D1831" s="22"/>
      <c r="E1831" s="23" t="str">
        <f>IF($D1831="","",IFERROR(VLOOKUP($D1831,'SAMA Capital Tracker'!$A:$H,8,FALSE()),""))</f>
        <v/>
      </c>
      <c r="F1831" s="24"/>
      <c r="G1831" s="25" t="str">
        <f>IF($D1831="","",IFERROR(VLOOKUP($D1831,'SAMA Capital Tracker'!$A:$D,4,FALSE()),""))</f>
        <v/>
      </c>
      <c r="H1831" s="22"/>
    </row>
    <row r="1832" spans="1:8">
      <c r="A1832" s="21"/>
      <c r="B1832" s="22"/>
      <c r="C1832" s="22"/>
      <c r="D1832" s="22"/>
      <c r="E1832" s="23" t="str">
        <f>IF($D1832="","",IFERROR(VLOOKUP($D1832,'SAMA Capital Tracker'!$A:$H,8,FALSE()),""))</f>
        <v/>
      </c>
      <c r="F1832" s="24"/>
      <c r="G1832" s="25" t="str">
        <f>IF($D1832="","",IFERROR(VLOOKUP($D1832,'SAMA Capital Tracker'!$A:$D,4,FALSE()),""))</f>
        <v/>
      </c>
      <c r="H1832" s="22"/>
    </row>
    <row r="1833" spans="1:8">
      <c r="A1833" s="21"/>
      <c r="B1833" s="22"/>
      <c r="C1833" s="22"/>
      <c r="D1833" s="22"/>
      <c r="E1833" s="23" t="str">
        <f>IF($D1833="","",IFERROR(VLOOKUP($D1833,'SAMA Capital Tracker'!$A:$H,8,FALSE()),""))</f>
        <v/>
      </c>
      <c r="F1833" s="24"/>
      <c r="G1833" s="25" t="str">
        <f>IF($D1833="","",IFERROR(VLOOKUP($D1833,'SAMA Capital Tracker'!$A:$D,4,FALSE()),""))</f>
        <v/>
      </c>
      <c r="H1833" s="22"/>
    </row>
    <row r="1834" spans="1:8">
      <c r="A1834" s="21"/>
      <c r="B1834" s="22"/>
      <c r="C1834" s="22"/>
      <c r="D1834" s="22"/>
      <c r="E1834" s="23" t="str">
        <f>IF($D1834="","",IFERROR(VLOOKUP($D1834,'SAMA Capital Tracker'!$A:$H,8,FALSE()),""))</f>
        <v/>
      </c>
      <c r="F1834" s="24"/>
      <c r="G1834" s="25" t="str">
        <f>IF($D1834="","",IFERROR(VLOOKUP($D1834,'SAMA Capital Tracker'!$A:$D,4,FALSE()),""))</f>
        <v/>
      </c>
      <c r="H1834" s="22"/>
    </row>
    <row r="1835" spans="1:8">
      <c r="A1835" s="21"/>
      <c r="B1835" s="22"/>
      <c r="C1835" s="22"/>
      <c r="D1835" s="22"/>
      <c r="E1835" s="23" t="str">
        <f>IF($D1835="","",IFERROR(VLOOKUP($D1835,'SAMA Capital Tracker'!$A:$H,8,FALSE()),""))</f>
        <v/>
      </c>
      <c r="F1835" s="24"/>
      <c r="G1835" s="25" t="str">
        <f>IF($D1835="","",IFERROR(VLOOKUP($D1835,'SAMA Capital Tracker'!$A:$D,4,FALSE()),""))</f>
        <v/>
      </c>
      <c r="H1835" s="22"/>
    </row>
    <row r="1836" spans="1:8">
      <c r="A1836" s="21"/>
      <c r="B1836" s="22"/>
      <c r="C1836" s="22"/>
      <c r="D1836" s="22"/>
      <c r="E1836" s="23" t="str">
        <f>IF($D1836="","",IFERROR(VLOOKUP($D1836,'SAMA Capital Tracker'!$A:$H,8,FALSE()),""))</f>
        <v/>
      </c>
      <c r="F1836" s="24"/>
      <c r="G1836" s="25" t="str">
        <f>IF($D1836="","",IFERROR(VLOOKUP($D1836,'SAMA Capital Tracker'!$A:$D,4,FALSE()),""))</f>
        <v/>
      </c>
      <c r="H1836" s="22"/>
    </row>
    <row r="1837" spans="1:8">
      <c r="A1837" s="21"/>
      <c r="B1837" s="22"/>
      <c r="C1837" s="22"/>
      <c r="D1837" s="22"/>
      <c r="E1837" s="23" t="str">
        <f>IF($D1837="","",IFERROR(VLOOKUP($D1837,'SAMA Capital Tracker'!$A:$H,8,FALSE()),""))</f>
        <v/>
      </c>
      <c r="F1837" s="24"/>
      <c r="G1837" s="25" t="str">
        <f>IF($D1837="","",IFERROR(VLOOKUP($D1837,'SAMA Capital Tracker'!$A:$D,4,FALSE()),""))</f>
        <v/>
      </c>
      <c r="H1837" s="22"/>
    </row>
    <row r="1838" spans="1:8">
      <c r="A1838" s="21"/>
      <c r="B1838" s="22"/>
      <c r="C1838" s="22"/>
      <c r="D1838" s="22"/>
      <c r="E1838" s="23" t="str">
        <f>IF($D1838="","",IFERROR(VLOOKUP($D1838,'SAMA Capital Tracker'!$A:$H,8,FALSE()),""))</f>
        <v/>
      </c>
      <c r="F1838" s="24"/>
      <c r="G1838" s="25" t="str">
        <f>IF($D1838="","",IFERROR(VLOOKUP($D1838,'SAMA Capital Tracker'!$A:$D,4,FALSE()),""))</f>
        <v/>
      </c>
      <c r="H1838" s="22"/>
    </row>
    <row r="1839" spans="1:8">
      <c r="A1839" s="21"/>
      <c r="B1839" s="22"/>
      <c r="C1839" s="22"/>
      <c r="D1839" s="22"/>
      <c r="E1839" s="23" t="str">
        <f>IF($D1839="","",IFERROR(VLOOKUP($D1839,'SAMA Capital Tracker'!$A:$H,8,FALSE()),""))</f>
        <v/>
      </c>
      <c r="F1839" s="24"/>
      <c r="G1839" s="25" t="str">
        <f>IF($D1839="","",IFERROR(VLOOKUP($D1839,'SAMA Capital Tracker'!$A:$D,4,FALSE()),""))</f>
        <v/>
      </c>
      <c r="H1839" s="22"/>
    </row>
    <row r="1840" spans="1:8">
      <c r="A1840" s="21"/>
      <c r="B1840" s="22"/>
      <c r="C1840" s="22"/>
      <c r="D1840" s="22"/>
      <c r="E1840" s="23" t="str">
        <f>IF($D1840="","",IFERROR(VLOOKUP($D1840,'SAMA Capital Tracker'!$A:$H,8,FALSE()),""))</f>
        <v/>
      </c>
      <c r="F1840" s="24"/>
      <c r="G1840" s="25" t="str">
        <f>IF($D1840="","",IFERROR(VLOOKUP($D1840,'SAMA Capital Tracker'!$A:$D,4,FALSE()),""))</f>
        <v/>
      </c>
      <c r="H1840" s="22"/>
    </row>
    <row r="1841" spans="1:8">
      <c r="A1841" s="21"/>
      <c r="B1841" s="22"/>
      <c r="C1841" s="22"/>
      <c r="D1841" s="22"/>
      <c r="E1841" s="23" t="str">
        <f>IF($D1841="","",IFERROR(VLOOKUP($D1841,'SAMA Capital Tracker'!$A:$H,8,FALSE()),""))</f>
        <v/>
      </c>
      <c r="F1841" s="24"/>
      <c r="G1841" s="25" t="str">
        <f>IF($D1841="","",IFERROR(VLOOKUP($D1841,'SAMA Capital Tracker'!$A:$D,4,FALSE()),""))</f>
        <v/>
      </c>
      <c r="H1841" s="22"/>
    </row>
    <row r="1842" spans="1:8">
      <c r="A1842" s="21"/>
      <c r="B1842" s="22"/>
      <c r="C1842" s="22"/>
      <c r="D1842" s="22"/>
      <c r="E1842" s="23" t="str">
        <f>IF($D1842="","",IFERROR(VLOOKUP($D1842,'SAMA Capital Tracker'!$A:$H,8,FALSE()),""))</f>
        <v/>
      </c>
      <c r="F1842" s="24"/>
      <c r="G1842" s="25" t="str">
        <f>IF($D1842="","",IFERROR(VLOOKUP($D1842,'SAMA Capital Tracker'!$A:$D,4,FALSE()),""))</f>
        <v/>
      </c>
      <c r="H1842" s="22"/>
    </row>
    <row r="1843" spans="1:8">
      <c r="A1843" s="21"/>
      <c r="B1843" s="22"/>
      <c r="C1843" s="22"/>
      <c r="D1843" s="22"/>
      <c r="E1843" s="23" t="str">
        <f>IF($D1843="","",IFERROR(VLOOKUP($D1843,'SAMA Capital Tracker'!$A:$H,8,FALSE()),""))</f>
        <v/>
      </c>
      <c r="F1843" s="24"/>
      <c r="G1843" s="25" t="str">
        <f>IF($D1843="","",IFERROR(VLOOKUP($D1843,'SAMA Capital Tracker'!$A:$D,4,FALSE()),""))</f>
        <v/>
      </c>
      <c r="H1843" s="22"/>
    </row>
    <row r="1844" spans="1:8">
      <c r="A1844" s="21"/>
      <c r="B1844" s="22"/>
      <c r="C1844" s="22"/>
      <c r="D1844" s="22"/>
      <c r="E1844" s="23" t="str">
        <f>IF($D1844="","",IFERROR(VLOOKUP($D1844,'SAMA Capital Tracker'!$A:$H,8,FALSE()),""))</f>
        <v/>
      </c>
      <c r="F1844" s="24"/>
      <c r="G1844" s="25" t="str">
        <f>IF($D1844="","",IFERROR(VLOOKUP($D1844,'SAMA Capital Tracker'!$A:$D,4,FALSE()),""))</f>
        <v/>
      </c>
      <c r="H1844" s="22"/>
    </row>
    <row r="1845" spans="1:8">
      <c r="A1845" s="21"/>
      <c r="B1845" s="22"/>
      <c r="C1845" s="22"/>
      <c r="D1845" s="22"/>
      <c r="E1845" s="23" t="str">
        <f>IF($D1845="","",IFERROR(VLOOKUP($D1845,'SAMA Capital Tracker'!$A:$H,8,FALSE()),""))</f>
        <v/>
      </c>
      <c r="F1845" s="24"/>
      <c r="G1845" s="25" t="str">
        <f>IF($D1845="","",IFERROR(VLOOKUP($D1845,'SAMA Capital Tracker'!$A:$D,4,FALSE()),""))</f>
        <v/>
      </c>
      <c r="H1845" s="22"/>
    </row>
    <row r="1846" spans="1:8">
      <c r="A1846" s="21"/>
      <c r="B1846" s="22"/>
      <c r="C1846" s="22"/>
      <c r="D1846" s="22"/>
      <c r="E1846" s="23" t="str">
        <f>IF($D1846="","",IFERROR(VLOOKUP($D1846,'SAMA Capital Tracker'!$A:$H,8,FALSE()),""))</f>
        <v/>
      </c>
      <c r="F1846" s="24"/>
      <c r="G1846" s="25" t="str">
        <f>IF($D1846="","",IFERROR(VLOOKUP($D1846,'SAMA Capital Tracker'!$A:$D,4,FALSE()),""))</f>
        <v/>
      </c>
      <c r="H1846" s="22"/>
    </row>
    <row r="1847" spans="1:8">
      <c r="A1847" s="21"/>
      <c r="B1847" s="22"/>
      <c r="C1847" s="22"/>
      <c r="D1847" s="22"/>
      <c r="E1847" s="23" t="str">
        <f>IF($D1847="","",IFERROR(VLOOKUP($D1847,'SAMA Capital Tracker'!$A:$H,8,FALSE()),""))</f>
        <v/>
      </c>
      <c r="F1847" s="24"/>
      <c r="G1847" s="25" t="str">
        <f>IF($D1847="","",IFERROR(VLOOKUP($D1847,'SAMA Capital Tracker'!$A:$D,4,FALSE()),""))</f>
        <v/>
      </c>
      <c r="H1847" s="22"/>
    </row>
    <row r="1848" spans="1:8">
      <c r="A1848" s="21"/>
      <c r="B1848" s="22"/>
      <c r="C1848" s="22"/>
      <c r="D1848" s="22"/>
      <c r="E1848" s="23" t="str">
        <f>IF($D1848="","",IFERROR(VLOOKUP($D1848,'SAMA Capital Tracker'!$A:$H,8,FALSE()),""))</f>
        <v/>
      </c>
      <c r="F1848" s="24"/>
      <c r="G1848" s="25" t="str">
        <f>IF($D1848="","",IFERROR(VLOOKUP($D1848,'SAMA Capital Tracker'!$A:$D,4,FALSE()),""))</f>
        <v/>
      </c>
      <c r="H1848" s="22"/>
    </row>
    <row r="1849" spans="1:8">
      <c r="A1849" s="21"/>
      <c r="B1849" s="22"/>
      <c r="C1849" s="22"/>
      <c r="D1849" s="22"/>
      <c r="E1849" s="23" t="str">
        <f>IF($D1849="","",IFERROR(VLOOKUP($D1849,'SAMA Capital Tracker'!$A:$H,8,FALSE()),""))</f>
        <v/>
      </c>
      <c r="F1849" s="24"/>
      <c r="G1849" s="25" t="str">
        <f>IF($D1849="","",IFERROR(VLOOKUP($D1849,'SAMA Capital Tracker'!$A:$D,4,FALSE()),""))</f>
        <v/>
      </c>
      <c r="H1849" s="22"/>
    </row>
    <row r="1850" spans="1:8">
      <c r="A1850" s="21"/>
      <c r="B1850" s="22"/>
      <c r="C1850" s="22"/>
      <c r="D1850" s="22"/>
      <c r="E1850" s="23" t="str">
        <f>IF($D1850="","",IFERROR(VLOOKUP($D1850,'SAMA Capital Tracker'!$A:$H,8,FALSE()),""))</f>
        <v/>
      </c>
      <c r="F1850" s="24"/>
      <c r="G1850" s="25" t="str">
        <f>IF($D1850="","",IFERROR(VLOOKUP($D1850,'SAMA Capital Tracker'!$A:$D,4,FALSE()),""))</f>
        <v/>
      </c>
      <c r="H1850" s="22"/>
    </row>
    <row r="1851" spans="1:8">
      <c r="A1851" s="21"/>
      <c r="B1851" s="22"/>
      <c r="C1851" s="22"/>
      <c r="D1851" s="22"/>
      <c r="E1851" s="23" t="str">
        <f>IF($D1851="","",IFERROR(VLOOKUP($D1851,'SAMA Capital Tracker'!$A:$H,8,FALSE()),""))</f>
        <v/>
      </c>
      <c r="F1851" s="24"/>
      <c r="G1851" s="25" t="str">
        <f>IF($D1851="","",IFERROR(VLOOKUP($D1851,'SAMA Capital Tracker'!$A:$D,4,FALSE()),""))</f>
        <v/>
      </c>
      <c r="H1851" s="22"/>
    </row>
    <row r="1852" spans="1:8">
      <c r="A1852" s="21"/>
      <c r="B1852" s="22"/>
      <c r="C1852" s="22"/>
      <c r="D1852" s="22"/>
      <c r="E1852" s="23" t="str">
        <f>IF($D1852="","",IFERROR(VLOOKUP($D1852,'SAMA Capital Tracker'!$A:$H,8,FALSE()),""))</f>
        <v/>
      </c>
      <c r="F1852" s="24"/>
      <c r="G1852" s="25" t="str">
        <f>IF($D1852="","",IFERROR(VLOOKUP($D1852,'SAMA Capital Tracker'!$A:$D,4,FALSE()),""))</f>
        <v/>
      </c>
      <c r="H1852" s="22"/>
    </row>
    <row r="1853" spans="1:8">
      <c r="A1853" s="21"/>
      <c r="B1853" s="22"/>
      <c r="C1853" s="22"/>
      <c r="D1853" s="22"/>
      <c r="E1853" s="23" t="str">
        <f>IF($D1853="","",IFERROR(VLOOKUP($D1853,'SAMA Capital Tracker'!$A:$H,8,FALSE()),""))</f>
        <v/>
      </c>
      <c r="F1853" s="24"/>
      <c r="G1853" s="25" t="str">
        <f>IF($D1853="","",IFERROR(VLOOKUP($D1853,'SAMA Capital Tracker'!$A:$D,4,FALSE()),""))</f>
        <v/>
      </c>
      <c r="H1853" s="22"/>
    </row>
    <row r="1854" spans="1:8">
      <c r="A1854" s="21"/>
      <c r="B1854" s="22"/>
      <c r="C1854" s="22"/>
      <c r="D1854" s="22"/>
      <c r="E1854" s="23" t="str">
        <f>IF($D1854="","",IFERROR(VLOOKUP($D1854,'SAMA Capital Tracker'!$A:$H,8,FALSE()),""))</f>
        <v/>
      </c>
      <c r="F1854" s="24"/>
      <c r="G1854" s="25" t="str">
        <f>IF($D1854="","",IFERROR(VLOOKUP($D1854,'SAMA Capital Tracker'!$A:$D,4,FALSE()),""))</f>
        <v/>
      </c>
      <c r="H1854" s="22"/>
    </row>
    <row r="1855" spans="1:8">
      <c r="A1855" s="21"/>
      <c r="B1855" s="22"/>
      <c r="C1855" s="22"/>
      <c r="D1855" s="22"/>
      <c r="E1855" s="23" t="str">
        <f>IF($D1855="","",IFERROR(VLOOKUP($D1855,'SAMA Capital Tracker'!$A:$H,8,FALSE()),""))</f>
        <v/>
      </c>
      <c r="F1855" s="24"/>
      <c r="G1855" s="25" t="str">
        <f>IF($D1855="","",IFERROR(VLOOKUP($D1855,'SAMA Capital Tracker'!$A:$D,4,FALSE()),""))</f>
        <v/>
      </c>
      <c r="H1855" s="22"/>
    </row>
    <row r="1856" spans="1:8">
      <c r="A1856" s="21"/>
      <c r="B1856" s="22"/>
      <c r="C1856" s="22"/>
      <c r="D1856" s="22"/>
      <c r="E1856" s="23" t="str">
        <f>IF($D1856="","",IFERROR(VLOOKUP($D1856,'SAMA Capital Tracker'!$A:$H,8,FALSE()),""))</f>
        <v/>
      </c>
      <c r="F1856" s="24"/>
      <c r="G1856" s="25" t="str">
        <f>IF($D1856="","",IFERROR(VLOOKUP($D1856,'SAMA Capital Tracker'!$A:$D,4,FALSE()),""))</f>
        <v/>
      </c>
      <c r="H1856" s="22"/>
    </row>
    <row r="1857" spans="1:8">
      <c r="A1857" s="21"/>
      <c r="B1857" s="22"/>
      <c r="C1857" s="22"/>
      <c r="D1857" s="22"/>
      <c r="E1857" s="23" t="str">
        <f>IF($D1857="","",IFERROR(VLOOKUP($D1857,'SAMA Capital Tracker'!$A:$H,8,FALSE()),""))</f>
        <v/>
      </c>
      <c r="F1857" s="24"/>
      <c r="G1857" s="25" t="str">
        <f>IF($D1857="","",IFERROR(VLOOKUP($D1857,'SAMA Capital Tracker'!$A:$D,4,FALSE()),""))</f>
        <v/>
      </c>
      <c r="H1857" s="22"/>
    </row>
    <row r="1858" spans="1:8">
      <c r="A1858" s="21"/>
      <c r="B1858" s="22"/>
      <c r="C1858" s="22"/>
      <c r="D1858" s="22"/>
      <c r="E1858" s="23" t="str">
        <f>IF($D1858="","",IFERROR(VLOOKUP($D1858,'SAMA Capital Tracker'!$A:$H,8,FALSE()),""))</f>
        <v/>
      </c>
      <c r="F1858" s="24"/>
      <c r="G1858" s="25" t="str">
        <f>IF($D1858="","",IFERROR(VLOOKUP($D1858,'SAMA Capital Tracker'!$A:$D,4,FALSE()),""))</f>
        <v/>
      </c>
      <c r="H1858" s="22"/>
    </row>
    <row r="1859" spans="1:8">
      <c r="A1859" s="21"/>
      <c r="B1859" s="22"/>
      <c r="C1859" s="22"/>
      <c r="D1859" s="22"/>
      <c r="E1859" s="23" t="str">
        <f>IF($D1859="","",IFERROR(VLOOKUP($D1859,'SAMA Capital Tracker'!$A:$H,8,FALSE()),""))</f>
        <v/>
      </c>
      <c r="F1859" s="24"/>
      <c r="G1859" s="25" t="str">
        <f>IF($D1859="","",IFERROR(VLOOKUP($D1859,'SAMA Capital Tracker'!$A:$D,4,FALSE()),""))</f>
        <v/>
      </c>
      <c r="H1859" s="22"/>
    </row>
    <row r="1860" spans="1:8">
      <c r="A1860" s="21"/>
      <c r="B1860" s="22"/>
      <c r="C1860" s="22"/>
      <c r="D1860" s="22"/>
      <c r="E1860" s="23" t="str">
        <f>IF($D1860="","",IFERROR(VLOOKUP($D1860,'SAMA Capital Tracker'!$A:$H,8,FALSE()),""))</f>
        <v/>
      </c>
      <c r="F1860" s="24"/>
      <c r="G1860" s="25" t="str">
        <f>IF($D1860="","",IFERROR(VLOOKUP($D1860,'SAMA Capital Tracker'!$A:$D,4,FALSE()),""))</f>
        <v/>
      </c>
      <c r="H1860" s="22"/>
    </row>
    <row r="1861" spans="1:8">
      <c r="A1861" s="21"/>
      <c r="B1861" s="22"/>
      <c r="C1861" s="22"/>
      <c r="D1861" s="22"/>
      <c r="E1861" s="23" t="str">
        <f>IF($D1861="","",IFERROR(VLOOKUP($D1861,'SAMA Capital Tracker'!$A:$H,8,FALSE()),""))</f>
        <v/>
      </c>
      <c r="F1861" s="24"/>
      <c r="G1861" s="25" t="str">
        <f>IF($D1861="","",IFERROR(VLOOKUP($D1861,'SAMA Capital Tracker'!$A:$D,4,FALSE()),""))</f>
        <v/>
      </c>
      <c r="H1861" s="22"/>
    </row>
    <row r="1862" spans="1:8">
      <c r="A1862" s="21"/>
      <c r="B1862" s="22"/>
      <c r="C1862" s="22"/>
      <c r="D1862" s="22"/>
      <c r="E1862" s="23" t="str">
        <f>IF($D1862="","",IFERROR(VLOOKUP($D1862,'SAMA Capital Tracker'!$A:$H,8,FALSE()),""))</f>
        <v/>
      </c>
      <c r="F1862" s="24"/>
      <c r="G1862" s="25" t="str">
        <f>IF($D1862="","",IFERROR(VLOOKUP($D1862,'SAMA Capital Tracker'!$A:$D,4,FALSE()),""))</f>
        <v/>
      </c>
      <c r="H1862" s="22"/>
    </row>
    <row r="1863" spans="1:8">
      <c r="A1863" s="21"/>
      <c r="B1863" s="22"/>
      <c r="C1863" s="22"/>
      <c r="D1863" s="22"/>
      <c r="E1863" s="23" t="str">
        <f>IF($D1863="","",IFERROR(VLOOKUP($D1863,'SAMA Capital Tracker'!$A:$H,8,FALSE()),""))</f>
        <v/>
      </c>
      <c r="F1863" s="24"/>
      <c r="G1863" s="25" t="str">
        <f>IF($D1863="","",IFERROR(VLOOKUP($D1863,'SAMA Capital Tracker'!$A:$D,4,FALSE()),""))</f>
        <v/>
      </c>
      <c r="H1863" s="22"/>
    </row>
    <row r="1864" spans="1:8">
      <c r="A1864" s="21"/>
      <c r="B1864" s="22"/>
      <c r="C1864" s="22"/>
      <c r="D1864" s="22"/>
      <c r="E1864" s="23" t="str">
        <f>IF($D1864="","",IFERROR(VLOOKUP($D1864,'SAMA Capital Tracker'!$A:$H,8,FALSE()),""))</f>
        <v/>
      </c>
      <c r="F1864" s="24"/>
      <c r="G1864" s="25" t="str">
        <f>IF($D1864="","",IFERROR(VLOOKUP($D1864,'SAMA Capital Tracker'!$A:$D,4,FALSE()),""))</f>
        <v/>
      </c>
      <c r="H1864" s="22"/>
    </row>
    <row r="1865" spans="1:8">
      <c r="A1865" s="21"/>
      <c r="B1865" s="22"/>
      <c r="C1865" s="22"/>
      <c r="D1865" s="22"/>
      <c r="E1865" s="23" t="str">
        <f>IF($D1865="","",IFERROR(VLOOKUP($D1865,'SAMA Capital Tracker'!$A:$H,8,FALSE()),""))</f>
        <v/>
      </c>
      <c r="F1865" s="24"/>
      <c r="G1865" s="25" t="str">
        <f>IF($D1865="","",IFERROR(VLOOKUP($D1865,'SAMA Capital Tracker'!$A:$D,4,FALSE()),""))</f>
        <v/>
      </c>
      <c r="H1865" s="22"/>
    </row>
    <row r="1866" spans="1:8">
      <c r="A1866" s="21"/>
      <c r="B1866" s="22"/>
      <c r="C1866" s="22"/>
      <c r="D1866" s="22"/>
      <c r="E1866" s="23" t="str">
        <f>IF($D1866="","",IFERROR(VLOOKUP($D1866,'SAMA Capital Tracker'!$A:$H,8,FALSE()),""))</f>
        <v/>
      </c>
      <c r="F1866" s="24"/>
      <c r="G1866" s="25" t="str">
        <f>IF($D1866="","",IFERROR(VLOOKUP($D1866,'SAMA Capital Tracker'!$A:$D,4,FALSE()),""))</f>
        <v/>
      </c>
      <c r="H1866" s="22"/>
    </row>
    <row r="1867" spans="1:8">
      <c r="A1867" s="21"/>
      <c r="B1867" s="22"/>
      <c r="C1867" s="22"/>
      <c r="D1867" s="22"/>
      <c r="E1867" s="23" t="str">
        <f>IF($D1867="","",IFERROR(VLOOKUP($D1867,'SAMA Capital Tracker'!$A:$H,8,FALSE()),""))</f>
        <v/>
      </c>
      <c r="F1867" s="24"/>
      <c r="G1867" s="25" t="str">
        <f>IF($D1867="","",IFERROR(VLOOKUP($D1867,'SAMA Capital Tracker'!$A:$D,4,FALSE()),""))</f>
        <v/>
      </c>
      <c r="H1867" s="22"/>
    </row>
    <row r="1868" spans="1:8">
      <c r="A1868" s="21"/>
      <c r="B1868" s="22"/>
      <c r="C1868" s="22"/>
      <c r="D1868" s="22"/>
      <c r="E1868" s="23" t="str">
        <f>IF($D1868="","",IFERROR(VLOOKUP($D1868,'SAMA Capital Tracker'!$A:$H,8,FALSE()),""))</f>
        <v/>
      </c>
      <c r="F1868" s="24"/>
      <c r="G1868" s="25" t="str">
        <f>IF($D1868="","",IFERROR(VLOOKUP($D1868,'SAMA Capital Tracker'!$A:$D,4,FALSE()),""))</f>
        <v/>
      </c>
      <c r="H1868" s="22"/>
    </row>
    <row r="1869" spans="1:8">
      <c r="A1869" s="21"/>
      <c r="B1869" s="22"/>
      <c r="C1869" s="22"/>
      <c r="D1869" s="22"/>
      <c r="E1869" s="23" t="str">
        <f>IF($D1869="","",IFERROR(VLOOKUP($D1869,'SAMA Capital Tracker'!$A:$H,8,FALSE()),""))</f>
        <v/>
      </c>
      <c r="F1869" s="24"/>
      <c r="G1869" s="25" t="str">
        <f>IF($D1869="","",IFERROR(VLOOKUP($D1869,'SAMA Capital Tracker'!$A:$D,4,FALSE()),""))</f>
        <v/>
      </c>
      <c r="H1869" s="22"/>
    </row>
    <row r="1870" spans="1:8">
      <c r="A1870" s="21"/>
      <c r="B1870" s="22"/>
      <c r="C1870" s="22"/>
      <c r="D1870" s="22"/>
      <c r="E1870" s="23" t="str">
        <f>IF($D1870="","",IFERROR(VLOOKUP($D1870,'SAMA Capital Tracker'!$A:$H,8,FALSE()),""))</f>
        <v/>
      </c>
      <c r="F1870" s="24"/>
      <c r="G1870" s="25" t="str">
        <f>IF($D1870="","",IFERROR(VLOOKUP($D1870,'SAMA Capital Tracker'!$A:$D,4,FALSE()),""))</f>
        <v/>
      </c>
      <c r="H1870" s="22"/>
    </row>
    <row r="1871" spans="1:8">
      <c r="A1871" s="21"/>
      <c r="B1871" s="22"/>
      <c r="C1871" s="22"/>
      <c r="D1871" s="22"/>
      <c r="E1871" s="23" t="str">
        <f>IF($D1871="","",IFERROR(VLOOKUP($D1871,'SAMA Capital Tracker'!$A:$H,8,FALSE()),""))</f>
        <v/>
      </c>
      <c r="F1871" s="24"/>
      <c r="G1871" s="25" t="str">
        <f>IF($D1871="","",IFERROR(VLOOKUP($D1871,'SAMA Capital Tracker'!$A:$D,4,FALSE()),""))</f>
        <v/>
      </c>
      <c r="H1871" s="22"/>
    </row>
    <row r="1872" spans="1:8">
      <c r="A1872" s="21"/>
      <c r="B1872" s="22"/>
      <c r="C1872" s="22"/>
      <c r="D1872" s="22"/>
      <c r="E1872" s="23" t="str">
        <f>IF($D1872="","",IFERROR(VLOOKUP($D1872,'SAMA Capital Tracker'!$A:$H,8,FALSE()),""))</f>
        <v/>
      </c>
      <c r="F1872" s="24"/>
      <c r="G1872" s="25" t="str">
        <f>IF($D1872="","",IFERROR(VLOOKUP($D1872,'SAMA Capital Tracker'!$A:$D,4,FALSE()),""))</f>
        <v/>
      </c>
      <c r="H1872" s="22"/>
    </row>
    <row r="1873" spans="1:8">
      <c r="A1873" s="21"/>
      <c r="B1873" s="22"/>
      <c r="C1873" s="22"/>
      <c r="D1873" s="22"/>
      <c r="E1873" s="23" t="str">
        <f>IF($D1873="","",IFERROR(VLOOKUP($D1873,'SAMA Capital Tracker'!$A:$H,8,FALSE()),""))</f>
        <v/>
      </c>
      <c r="F1873" s="24"/>
      <c r="G1873" s="25" t="str">
        <f>IF($D1873="","",IFERROR(VLOOKUP($D1873,'SAMA Capital Tracker'!$A:$D,4,FALSE()),""))</f>
        <v/>
      </c>
      <c r="H1873" s="22"/>
    </row>
    <row r="1874" spans="1:8">
      <c r="A1874" s="21"/>
      <c r="B1874" s="22"/>
      <c r="C1874" s="22"/>
      <c r="D1874" s="22"/>
      <c r="E1874" s="23" t="str">
        <f>IF($D1874="","",IFERROR(VLOOKUP($D1874,'SAMA Capital Tracker'!$A:$H,8,FALSE()),""))</f>
        <v/>
      </c>
      <c r="F1874" s="24"/>
      <c r="G1874" s="25" t="str">
        <f>IF($D1874="","",IFERROR(VLOOKUP($D1874,'SAMA Capital Tracker'!$A:$D,4,FALSE()),""))</f>
        <v/>
      </c>
      <c r="H1874" s="22"/>
    </row>
    <row r="1875" spans="1:8">
      <c r="A1875" s="21"/>
      <c r="B1875" s="22"/>
      <c r="C1875" s="22"/>
      <c r="D1875" s="22"/>
      <c r="E1875" s="23" t="str">
        <f>IF($D1875="","",IFERROR(VLOOKUP($D1875,'SAMA Capital Tracker'!$A:$H,8,FALSE()),""))</f>
        <v/>
      </c>
      <c r="F1875" s="24"/>
      <c r="G1875" s="25" t="str">
        <f>IF($D1875="","",IFERROR(VLOOKUP($D1875,'SAMA Capital Tracker'!$A:$D,4,FALSE()),""))</f>
        <v/>
      </c>
      <c r="H1875" s="22"/>
    </row>
    <row r="1876" spans="1:8">
      <c r="A1876" s="21"/>
      <c r="B1876" s="22"/>
      <c r="C1876" s="22"/>
      <c r="D1876" s="22"/>
      <c r="E1876" s="23" t="str">
        <f>IF($D1876="","",IFERROR(VLOOKUP($D1876,'SAMA Capital Tracker'!$A:$H,8,FALSE()),""))</f>
        <v/>
      </c>
      <c r="F1876" s="24"/>
      <c r="G1876" s="25" t="str">
        <f>IF($D1876="","",IFERROR(VLOOKUP($D1876,'SAMA Capital Tracker'!$A:$D,4,FALSE()),""))</f>
        <v/>
      </c>
      <c r="H1876" s="22"/>
    </row>
    <row r="1877" spans="1:8">
      <c r="A1877" s="21"/>
      <c r="B1877" s="22"/>
      <c r="C1877" s="22"/>
      <c r="D1877" s="22"/>
      <c r="E1877" s="23" t="str">
        <f>IF($D1877="","",IFERROR(VLOOKUP($D1877,'SAMA Capital Tracker'!$A:$H,8,FALSE()),""))</f>
        <v/>
      </c>
      <c r="F1877" s="24"/>
      <c r="G1877" s="25" t="str">
        <f>IF($D1877="","",IFERROR(VLOOKUP($D1877,'SAMA Capital Tracker'!$A:$D,4,FALSE()),""))</f>
        <v/>
      </c>
      <c r="H1877" s="22"/>
    </row>
    <row r="1878" spans="1:8">
      <c r="A1878" s="21"/>
      <c r="B1878" s="22"/>
      <c r="C1878" s="22"/>
      <c r="D1878" s="22"/>
      <c r="E1878" s="23" t="str">
        <f>IF($D1878="","",IFERROR(VLOOKUP($D1878,'SAMA Capital Tracker'!$A:$H,8,FALSE()),""))</f>
        <v/>
      </c>
      <c r="F1878" s="24"/>
      <c r="G1878" s="25" t="str">
        <f>IF($D1878="","",IFERROR(VLOOKUP($D1878,'SAMA Capital Tracker'!$A:$D,4,FALSE()),""))</f>
        <v/>
      </c>
      <c r="H1878" s="22"/>
    </row>
    <row r="1879" spans="1:8">
      <c r="A1879" s="21"/>
      <c r="B1879" s="22"/>
      <c r="C1879" s="22"/>
      <c r="D1879" s="22"/>
      <c r="E1879" s="23" t="str">
        <f>IF($D1879="","",IFERROR(VLOOKUP($D1879,'SAMA Capital Tracker'!$A:$H,8,FALSE()),""))</f>
        <v/>
      </c>
      <c r="F1879" s="24"/>
      <c r="G1879" s="25" t="str">
        <f>IF($D1879="","",IFERROR(VLOOKUP($D1879,'SAMA Capital Tracker'!$A:$D,4,FALSE()),""))</f>
        <v/>
      </c>
      <c r="H1879" s="22"/>
    </row>
    <row r="1880" spans="1:8">
      <c r="A1880" s="21"/>
      <c r="B1880" s="22"/>
      <c r="C1880" s="22"/>
      <c r="D1880" s="22"/>
      <c r="E1880" s="23" t="str">
        <f>IF($D1880="","",IFERROR(VLOOKUP($D1880,'SAMA Capital Tracker'!$A:$H,8,FALSE()),""))</f>
        <v/>
      </c>
      <c r="F1880" s="24"/>
      <c r="G1880" s="25" t="str">
        <f>IF($D1880="","",IFERROR(VLOOKUP($D1880,'SAMA Capital Tracker'!$A:$D,4,FALSE()),""))</f>
        <v/>
      </c>
      <c r="H1880" s="22"/>
    </row>
    <row r="1881" spans="1:8">
      <c r="A1881" s="21"/>
      <c r="B1881" s="22"/>
      <c r="C1881" s="22"/>
      <c r="D1881" s="22"/>
      <c r="E1881" s="23" t="str">
        <f>IF($D1881="","",IFERROR(VLOOKUP($D1881,'SAMA Capital Tracker'!$A:$H,8,FALSE()),""))</f>
        <v/>
      </c>
      <c r="F1881" s="24"/>
      <c r="G1881" s="25" t="str">
        <f>IF($D1881="","",IFERROR(VLOOKUP($D1881,'SAMA Capital Tracker'!$A:$D,4,FALSE()),""))</f>
        <v/>
      </c>
      <c r="H1881" s="22"/>
    </row>
    <row r="1882" spans="1:8">
      <c r="A1882" s="21"/>
      <c r="B1882" s="22"/>
      <c r="C1882" s="22"/>
      <c r="D1882" s="22"/>
      <c r="E1882" s="23" t="str">
        <f>IF($D1882="","",IFERROR(VLOOKUP($D1882,'SAMA Capital Tracker'!$A:$H,8,FALSE()),""))</f>
        <v/>
      </c>
      <c r="F1882" s="24"/>
      <c r="G1882" s="25" t="str">
        <f>IF($D1882="","",IFERROR(VLOOKUP($D1882,'SAMA Capital Tracker'!$A:$D,4,FALSE()),""))</f>
        <v/>
      </c>
      <c r="H1882" s="22"/>
    </row>
    <row r="1883" spans="1:8">
      <c r="A1883" s="21"/>
      <c r="B1883" s="22"/>
      <c r="C1883" s="22"/>
      <c r="D1883" s="22"/>
      <c r="E1883" s="23" t="str">
        <f>IF($D1883="","",IFERROR(VLOOKUP($D1883,'SAMA Capital Tracker'!$A:$H,8,FALSE()),""))</f>
        <v/>
      </c>
      <c r="F1883" s="24"/>
      <c r="G1883" s="25" t="str">
        <f>IF($D1883="","",IFERROR(VLOOKUP($D1883,'SAMA Capital Tracker'!$A:$D,4,FALSE()),""))</f>
        <v/>
      </c>
      <c r="H1883" s="22"/>
    </row>
    <row r="1884" spans="1:8">
      <c r="A1884" s="21"/>
      <c r="B1884" s="22"/>
      <c r="C1884" s="22"/>
      <c r="D1884" s="22"/>
      <c r="E1884" s="23" t="str">
        <f>IF($D1884="","",IFERROR(VLOOKUP($D1884,'SAMA Capital Tracker'!$A:$H,8,FALSE()),""))</f>
        <v/>
      </c>
      <c r="F1884" s="24"/>
      <c r="G1884" s="25" t="str">
        <f>IF($D1884="","",IFERROR(VLOOKUP($D1884,'SAMA Capital Tracker'!$A:$D,4,FALSE()),""))</f>
        <v/>
      </c>
      <c r="H1884" s="22"/>
    </row>
    <row r="1885" spans="1:8">
      <c r="A1885" s="21"/>
      <c r="B1885" s="22"/>
      <c r="C1885" s="22"/>
      <c r="D1885" s="22"/>
      <c r="E1885" s="23" t="str">
        <f>IF($D1885="","",IFERROR(VLOOKUP($D1885,'SAMA Capital Tracker'!$A:$H,8,FALSE()),""))</f>
        <v/>
      </c>
      <c r="F1885" s="24"/>
      <c r="G1885" s="25" t="str">
        <f>IF($D1885="","",IFERROR(VLOOKUP($D1885,'SAMA Capital Tracker'!$A:$D,4,FALSE()),""))</f>
        <v/>
      </c>
      <c r="H1885" s="22"/>
    </row>
    <row r="1886" spans="1:8">
      <c r="A1886" s="21"/>
      <c r="B1886" s="22"/>
      <c r="C1886" s="22"/>
      <c r="D1886" s="22"/>
      <c r="E1886" s="23" t="str">
        <f>IF($D1886="","",IFERROR(VLOOKUP($D1886,'SAMA Capital Tracker'!$A:$H,8,FALSE()),""))</f>
        <v/>
      </c>
      <c r="F1886" s="24"/>
      <c r="G1886" s="25" t="str">
        <f>IF($D1886="","",IFERROR(VLOOKUP($D1886,'SAMA Capital Tracker'!$A:$D,4,FALSE()),""))</f>
        <v/>
      </c>
      <c r="H1886" s="22"/>
    </row>
    <row r="1887" spans="1:8">
      <c r="A1887" s="21"/>
      <c r="B1887" s="22"/>
      <c r="C1887" s="22"/>
      <c r="D1887" s="22"/>
      <c r="E1887" s="23" t="str">
        <f>IF($D1887="","",IFERROR(VLOOKUP($D1887,'SAMA Capital Tracker'!$A:$H,8,FALSE()),""))</f>
        <v/>
      </c>
      <c r="F1887" s="24"/>
      <c r="G1887" s="25" t="str">
        <f>IF($D1887="","",IFERROR(VLOOKUP($D1887,'SAMA Capital Tracker'!$A:$D,4,FALSE()),""))</f>
        <v/>
      </c>
      <c r="H1887" s="22"/>
    </row>
    <row r="1888" spans="1:8">
      <c r="A1888" s="21"/>
      <c r="B1888" s="22"/>
      <c r="C1888" s="22"/>
      <c r="D1888" s="22"/>
      <c r="E1888" s="23" t="str">
        <f>IF($D1888="","",IFERROR(VLOOKUP($D1888,'SAMA Capital Tracker'!$A:$H,8,FALSE()),""))</f>
        <v/>
      </c>
      <c r="F1888" s="24"/>
      <c r="G1888" s="25" t="str">
        <f>IF($D1888="","",IFERROR(VLOOKUP($D1888,'SAMA Capital Tracker'!$A:$D,4,FALSE()),""))</f>
        <v/>
      </c>
      <c r="H1888" s="22"/>
    </row>
    <row r="1889" spans="1:8">
      <c r="A1889" s="21"/>
      <c r="B1889" s="22"/>
      <c r="C1889" s="22"/>
      <c r="D1889" s="22"/>
      <c r="E1889" s="23" t="str">
        <f>IF($D1889="","",IFERROR(VLOOKUP($D1889,'SAMA Capital Tracker'!$A:$H,8,FALSE()),""))</f>
        <v/>
      </c>
      <c r="F1889" s="24"/>
      <c r="G1889" s="25" t="str">
        <f>IF($D1889="","",IFERROR(VLOOKUP($D1889,'SAMA Capital Tracker'!$A:$D,4,FALSE()),""))</f>
        <v/>
      </c>
      <c r="H1889" s="22"/>
    </row>
    <row r="1890" spans="1:8">
      <c r="A1890" s="21"/>
      <c r="B1890" s="22"/>
      <c r="C1890" s="22"/>
      <c r="D1890" s="22"/>
      <c r="E1890" s="23" t="str">
        <f>IF($D1890="","",IFERROR(VLOOKUP($D1890,'SAMA Capital Tracker'!$A:$H,8,FALSE()),""))</f>
        <v/>
      </c>
      <c r="F1890" s="24"/>
      <c r="G1890" s="25" t="str">
        <f>IF($D1890="","",IFERROR(VLOOKUP($D1890,'SAMA Capital Tracker'!$A:$D,4,FALSE()),""))</f>
        <v/>
      </c>
      <c r="H1890" s="22"/>
    </row>
    <row r="1891" spans="1:8">
      <c r="A1891" s="21"/>
      <c r="B1891" s="22"/>
      <c r="C1891" s="22"/>
      <c r="D1891" s="22"/>
      <c r="E1891" s="23" t="str">
        <f>IF($D1891="","",IFERROR(VLOOKUP($D1891,'SAMA Capital Tracker'!$A:$H,8,FALSE()),""))</f>
        <v/>
      </c>
      <c r="F1891" s="24"/>
      <c r="G1891" s="25" t="str">
        <f>IF($D1891="","",IFERROR(VLOOKUP($D1891,'SAMA Capital Tracker'!$A:$D,4,FALSE()),""))</f>
        <v/>
      </c>
      <c r="H1891" s="22"/>
    </row>
    <row r="1892" spans="1:8">
      <c r="A1892" s="21"/>
      <c r="B1892" s="22"/>
      <c r="C1892" s="22"/>
      <c r="D1892" s="22"/>
      <c r="E1892" s="23" t="str">
        <f>IF($D1892="","",IFERROR(VLOOKUP($D1892,'SAMA Capital Tracker'!$A:$H,8,FALSE()),""))</f>
        <v/>
      </c>
      <c r="F1892" s="24"/>
      <c r="G1892" s="25" t="str">
        <f>IF($D1892="","",IFERROR(VLOOKUP($D1892,'SAMA Capital Tracker'!$A:$D,4,FALSE()),""))</f>
        <v/>
      </c>
      <c r="H1892" s="22"/>
    </row>
    <row r="1893" spans="1:8">
      <c r="A1893" s="21"/>
      <c r="B1893" s="22"/>
      <c r="C1893" s="22"/>
      <c r="D1893" s="22"/>
      <c r="E1893" s="23" t="str">
        <f>IF($D1893="","",IFERROR(VLOOKUP($D1893,'SAMA Capital Tracker'!$A:$H,8,FALSE()),""))</f>
        <v/>
      </c>
      <c r="F1893" s="24"/>
      <c r="G1893" s="25" t="str">
        <f>IF($D1893="","",IFERROR(VLOOKUP($D1893,'SAMA Capital Tracker'!$A:$D,4,FALSE()),""))</f>
        <v/>
      </c>
      <c r="H1893" s="22"/>
    </row>
    <row r="1894" spans="1:8">
      <c r="A1894" s="21"/>
      <c r="B1894" s="22"/>
      <c r="C1894" s="22"/>
      <c r="D1894" s="22"/>
      <c r="E1894" s="23" t="str">
        <f>IF($D1894="","",IFERROR(VLOOKUP($D1894,'SAMA Capital Tracker'!$A:$H,8,FALSE()),""))</f>
        <v/>
      </c>
      <c r="F1894" s="24"/>
      <c r="G1894" s="25" t="str">
        <f>IF($D1894="","",IFERROR(VLOOKUP($D1894,'SAMA Capital Tracker'!$A:$D,4,FALSE()),""))</f>
        <v/>
      </c>
      <c r="H1894" s="22"/>
    </row>
    <row r="1895" spans="1:8">
      <c r="A1895" s="21"/>
      <c r="B1895" s="22"/>
      <c r="C1895" s="22"/>
      <c r="D1895" s="22"/>
      <c r="E1895" s="23" t="str">
        <f>IF($D1895="","",IFERROR(VLOOKUP($D1895,'SAMA Capital Tracker'!$A:$H,8,FALSE()),""))</f>
        <v/>
      </c>
      <c r="F1895" s="24"/>
      <c r="G1895" s="25" t="str">
        <f>IF($D1895="","",IFERROR(VLOOKUP($D1895,'SAMA Capital Tracker'!$A:$D,4,FALSE()),""))</f>
        <v/>
      </c>
      <c r="H1895" s="22"/>
    </row>
    <row r="1896" spans="1:8">
      <c r="A1896" s="21"/>
      <c r="B1896" s="22"/>
      <c r="C1896" s="22"/>
      <c r="D1896" s="22"/>
      <c r="E1896" s="23" t="str">
        <f>IF($D1896="","",IFERROR(VLOOKUP($D1896,'SAMA Capital Tracker'!$A:$H,8,FALSE()),""))</f>
        <v/>
      </c>
      <c r="F1896" s="24"/>
      <c r="G1896" s="25" t="str">
        <f>IF($D1896="","",IFERROR(VLOOKUP($D1896,'SAMA Capital Tracker'!$A:$D,4,FALSE()),""))</f>
        <v/>
      </c>
      <c r="H1896" s="22"/>
    </row>
    <row r="1897" spans="1:8">
      <c r="A1897" s="21"/>
      <c r="B1897" s="22"/>
      <c r="C1897" s="22"/>
      <c r="D1897" s="22"/>
      <c r="E1897" s="23" t="str">
        <f>IF($D1897="","",IFERROR(VLOOKUP($D1897,'SAMA Capital Tracker'!$A:$H,8,FALSE()),""))</f>
        <v/>
      </c>
      <c r="F1897" s="24"/>
      <c r="G1897" s="25" t="str">
        <f>IF($D1897="","",IFERROR(VLOOKUP($D1897,'SAMA Capital Tracker'!$A:$D,4,FALSE()),""))</f>
        <v/>
      </c>
      <c r="H1897" s="22"/>
    </row>
    <row r="1898" spans="1:8">
      <c r="A1898" s="21"/>
      <c r="B1898" s="22"/>
      <c r="C1898" s="22"/>
      <c r="D1898" s="22"/>
      <c r="E1898" s="23" t="str">
        <f>IF($D1898="","",IFERROR(VLOOKUP($D1898,'SAMA Capital Tracker'!$A:$H,8,FALSE()),""))</f>
        <v/>
      </c>
      <c r="F1898" s="24"/>
      <c r="G1898" s="25" t="str">
        <f>IF($D1898="","",IFERROR(VLOOKUP($D1898,'SAMA Capital Tracker'!$A:$D,4,FALSE()),""))</f>
        <v/>
      </c>
      <c r="H1898" s="22"/>
    </row>
    <row r="1899" spans="1:8">
      <c r="A1899" s="21"/>
      <c r="B1899" s="22"/>
      <c r="C1899" s="22"/>
      <c r="D1899" s="22"/>
      <c r="E1899" s="23" t="str">
        <f>IF($D1899="","",IFERROR(VLOOKUP($D1899,'SAMA Capital Tracker'!$A:$H,8,FALSE()),""))</f>
        <v/>
      </c>
      <c r="F1899" s="24"/>
      <c r="G1899" s="25" t="str">
        <f>IF($D1899="","",IFERROR(VLOOKUP($D1899,'SAMA Capital Tracker'!$A:$D,4,FALSE()),""))</f>
        <v/>
      </c>
      <c r="H1899" s="22"/>
    </row>
    <row r="1900" spans="1:8">
      <c r="A1900" s="21"/>
      <c r="B1900" s="22"/>
      <c r="C1900" s="22"/>
      <c r="D1900" s="22"/>
      <c r="E1900" s="23" t="str">
        <f>IF($D1900="","",IFERROR(VLOOKUP($D1900,'SAMA Capital Tracker'!$A:$H,8,FALSE()),""))</f>
        <v/>
      </c>
      <c r="F1900" s="24"/>
      <c r="G1900" s="25" t="str">
        <f>IF($D1900="","",IFERROR(VLOOKUP($D1900,'SAMA Capital Tracker'!$A:$D,4,FALSE()),""))</f>
        <v/>
      </c>
      <c r="H1900" s="22"/>
    </row>
    <row r="1901" spans="1:8">
      <c r="A1901" s="21"/>
      <c r="B1901" s="22"/>
      <c r="C1901" s="22"/>
      <c r="D1901" s="22"/>
      <c r="E1901" s="23" t="str">
        <f>IF($D1901="","",IFERROR(VLOOKUP($D1901,'SAMA Capital Tracker'!$A:$H,8,FALSE()),""))</f>
        <v/>
      </c>
      <c r="F1901" s="24"/>
      <c r="G1901" s="25" t="str">
        <f>IF($D1901="","",IFERROR(VLOOKUP($D1901,'SAMA Capital Tracker'!$A:$D,4,FALSE()),""))</f>
        <v/>
      </c>
      <c r="H1901" s="22"/>
    </row>
    <row r="1902" spans="1:8">
      <c r="A1902" s="21"/>
      <c r="B1902" s="22"/>
      <c r="C1902" s="22"/>
      <c r="D1902" s="22"/>
      <c r="E1902" s="23" t="str">
        <f>IF($D1902="","",IFERROR(VLOOKUP($D1902,'SAMA Capital Tracker'!$A:$H,8,FALSE()),""))</f>
        <v/>
      </c>
      <c r="F1902" s="24"/>
      <c r="G1902" s="25" t="str">
        <f>IF($D1902="","",IFERROR(VLOOKUP($D1902,'SAMA Capital Tracker'!$A:$D,4,FALSE()),""))</f>
        <v/>
      </c>
      <c r="H1902" s="22"/>
    </row>
    <row r="1903" spans="1:8">
      <c r="A1903" s="21"/>
      <c r="B1903" s="22"/>
      <c r="C1903" s="22"/>
      <c r="D1903" s="22"/>
      <c r="E1903" s="23" t="str">
        <f>IF($D1903="","",IFERROR(VLOOKUP($D1903,'SAMA Capital Tracker'!$A:$H,8,FALSE()),""))</f>
        <v/>
      </c>
      <c r="F1903" s="24"/>
      <c r="G1903" s="25" t="str">
        <f>IF($D1903="","",IFERROR(VLOOKUP($D1903,'SAMA Capital Tracker'!$A:$D,4,FALSE()),""))</f>
        <v/>
      </c>
      <c r="H1903" s="22"/>
    </row>
    <row r="1904" spans="1:8">
      <c r="A1904" s="21"/>
      <c r="B1904" s="22"/>
      <c r="C1904" s="22"/>
      <c r="D1904" s="22"/>
      <c r="E1904" s="23" t="str">
        <f>IF($D1904="","",IFERROR(VLOOKUP($D1904,'SAMA Capital Tracker'!$A:$H,8,FALSE()),""))</f>
        <v/>
      </c>
      <c r="F1904" s="24"/>
      <c r="G1904" s="25" t="str">
        <f>IF($D1904="","",IFERROR(VLOOKUP($D1904,'SAMA Capital Tracker'!$A:$D,4,FALSE()),""))</f>
        <v/>
      </c>
      <c r="H1904" s="22"/>
    </row>
    <row r="1905" spans="1:8">
      <c r="A1905" s="21"/>
      <c r="B1905" s="22"/>
      <c r="C1905" s="22"/>
      <c r="D1905" s="22"/>
      <c r="E1905" s="23" t="str">
        <f>IF($D1905="","",IFERROR(VLOOKUP($D1905,'SAMA Capital Tracker'!$A:$H,8,FALSE()),""))</f>
        <v/>
      </c>
      <c r="F1905" s="24"/>
      <c r="G1905" s="25" t="str">
        <f>IF($D1905="","",IFERROR(VLOOKUP($D1905,'SAMA Capital Tracker'!$A:$D,4,FALSE()),""))</f>
        <v/>
      </c>
      <c r="H1905" s="22"/>
    </row>
    <row r="1906" spans="1:8">
      <c r="A1906" s="21"/>
      <c r="B1906" s="22"/>
      <c r="C1906" s="22"/>
      <c r="D1906" s="22"/>
      <c r="E1906" s="23" t="str">
        <f>IF($D1906="","",IFERROR(VLOOKUP($D1906,'SAMA Capital Tracker'!$A:$H,8,FALSE()),""))</f>
        <v/>
      </c>
      <c r="F1906" s="24"/>
      <c r="G1906" s="25" t="str">
        <f>IF($D1906="","",IFERROR(VLOOKUP($D1906,'SAMA Capital Tracker'!$A:$D,4,FALSE()),""))</f>
        <v/>
      </c>
      <c r="H1906" s="22"/>
    </row>
    <row r="1907" spans="1:8">
      <c r="A1907" s="21"/>
      <c r="B1907" s="22"/>
      <c r="C1907" s="22"/>
      <c r="D1907" s="22"/>
      <c r="E1907" s="23" t="str">
        <f>IF($D1907="","",IFERROR(VLOOKUP($D1907,'SAMA Capital Tracker'!$A:$H,8,FALSE()),""))</f>
        <v/>
      </c>
      <c r="F1907" s="24"/>
      <c r="G1907" s="25" t="str">
        <f>IF($D1907="","",IFERROR(VLOOKUP($D1907,'SAMA Capital Tracker'!$A:$D,4,FALSE()),""))</f>
        <v/>
      </c>
      <c r="H1907" s="22"/>
    </row>
    <row r="1908" spans="1:8">
      <c r="A1908" s="21"/>
      <c r="B1908" s="22"/>
      <c r="C1908" s="22"/>
      <c r="D1908" s="22"/>
      <c r="E1908" s="23" t="str">
        <f>IF($D1908="","",IFERROR(VLOOKUP($D1908,'SAMA Capital Tracker'!$A:$H,8,FALSE()),""))</f>
        <v/>
      </c>
      <c r="F1908" s="24"/>
      <c r="G1908" s="25" t="str">
        <f>IF($D1908="","",IFERROR(VLOOKUP($D1908,'SAMA Capital Tracker'!$A:$D,4,FALSE()),""))</f>
        <v/>
      </c>
      <c r="H1908" s="22"/>
    </row>
    <row r="1909" spans="1:8">
      <c r="A1909" s="21"/>
      <c r="B1909" s="22"/>
      <c r="C1909" s="22"/>
      <c r="D1909" s="22"/>
      <c r="E1909" s="23" t="str">
        <f>IF($D1909="","",IFERROR(VLOOKUP($D1909,'SAMA Capital Tracker'!$A:$H,8,FALSE()),""))</f>
        <v/>
      </c>
      <c r="F1909" s="24"/>
      <c r="G1909" s="25" t="str">
        <f>IF($D1909="","",IFERROR(VLOOKUP($D1909,'SAMA Capital Tracker'!$A:$D,4,FALSE()),""))</f>
        <v/>
      </c>
      <c r="H1909" s="22"/>
    </row>
    <row r="1910" spans="1:8">
      <c r="A1910" s="21"/>
      <c r="B1910" s="22"/>
      <c r="C1910" s="22"/>
      <c r="D1910" s="22"/>
      <c r="E1910" s="23" t="str">
        <f>IF($D1910="","",IFERROR(VLOOKUP($D1910,'SAMA Capital Tracker'!$A:$H,8,FALSE()),""))</f>
        <v/>
      </c>
      <c r="F1910" s="24"/>
      <c r="G1910" s="25" t="str">
        <f>IF($D1910="","",IFERROR(VLOOKUP($D1910,'SAMA Capital Tracker'!$A:$D,4,FALSE()),""))</f>
        <v/>
      </c>
      <c r="H1910" s="22"/>
    </row>
    <row r="1911" spans="1:8">
      <c r="A1911" s="21"/>
      <c r="B1911" s="22"/>
      <c r="C1911" s="22"/>
      <c r="D1911" s="22"/>
      <c r="E1911" s="23" t="str">
        <f>IF($D1911="","",IFERROR(VLOOKUP($D1911,'SAMA Capital Tracker'!$A:$H,8,FALSE()),""))</f>
        <v/>
      </c>
      <c r="F1911" s="24"/>
      <c r="G1911" s="25" t="str">
        <f>IF($D1911="","",IFERROR(VLOOKUP($D1911,'SAMA Capital Tracker'!$A:$D,4,FALSE()),""))</f>
        <v/>
      </c>
      <c r="H1911" s="22"/>
    </row>
    <row r="1912" spans="1:8">
      <c r="A1912" s="21"/>
      <c r="B1912" s="22"/>
      <c r="C1912" s="22"/>
      <c r="D1912" s="22"/>
      <c r="E1912" s="23" t="str">
        <f>IF($D1912="","",IFERROR(VLOOKUP($D1912,'SAMA Capital Tracker'!$A:$H,8,FALSE()),""))</f>
        <v/>
      </c>
      <c r="F1912" s="24"/>
      <c r="G1912" s="25" t="str">
        <f>IF($D1912="","",IFERROR(VLOOKUP($D1912,'SAMA Capital Tracker'!$A:$D,4,FALSE()),""))</f>
        <v/>
      </c>
      <c r="H1912" s="22"/>
    </row>
    <row r="1913" spans="1:8">
      <c r="A1913" s="21"/>
      <c r="B1913" s="22"/>
      <c r="C1913" s="22"/>
      <c r="D1913" s="22"/>
      <c r="E1913" s="23" t="str">
        <f>IF($D1913="","",IFERROR(VLOOKUP($D1913,'SAMA Capital Tracker'!$A:$H,8,FALSE()),""))</f>
        <v/>
      </c>
      <c r="F1913" s="24"/>
      <c r="G1913" s="25" t="str">
        <f>IF($D1913="","",IFERROR(VLOOKUP($D1913,'SAMA Capital Tracker'!$A:$D,4,FALSE()),""))</f>
        <v/>
      </c>
      <c r="H1913" s="22"/>
    </row>
    <row r="1914" spans="1:8">
      <c r="A1914" s="21"/>
      <c r="B1914" s="22"/>
      <c r="C1914" s="22"/>
      <c r="D1914" s="22"/>
      <c r="E1914" s="23" t="str">
        <f>IF($D1914="","",IFERROR(VLOOKUP($D1914,'SAMA Capital Tracker'!$A:$H,8,FALSE()),""))</f>
        <v/>
      </c>
      <c r="F1914" s="24"/>
      <c r="G1914" s="25" t="str">
        <f>IF($D1914="","",IFERROR(VLOOKUP($D1914,'SAMA Capital Tracker'!$A:$D,4,FALSE()),""))</f>
        <v/>
      </c>
      <c r="H1914" s="22"/>
    </row>
    <row r="1915" spans="1:8">
      <c r="A1915" s="21"/>
      <c r="B1915" s="22"/>
      <c r="C1915" s="22"/>
      <c r="D1915" s="22"/>
      <c r="E1915" s="23" t="str">
        <f>IF($D1915="","",IFERROR(VLOOKUP($D1915,'SAMA Capital Tracker'!$A:$H,8,FALSE()),""))</f>
        <v/>
      </c>
      <c r="F1915" s="24"/>
      <c r="G1915" s="25" t="str">
        <f>IF($D1915="","",IFERROR(VLOOKUP($D1915,'SAMA Capital Tracker'!$A:$D,4,FALSE()),""))</f>
        <v/>
      </c>
      <c r="H1915" s="22"/>
    </row>
    <row r="1916" spans="1:8">
      <c r="A1916" s="21"/>
      <c r="B1916" s="22"/>
      <c r="C1916" s="22"/>
      <c r="D1916" s="22"/>
      <c r="E1916" s="23" t="str">
        <f>IF($D1916="","",IFERROR(VLOOKUP($D1916,'SAMA Capital Tracker'!$A:$H,8,FALSE()),""))</f>
        <v/>
      </c>
      <c r="F1916" s="24"/>
      <c r="G1916" s="25" t="str">
        <f>IF($D1916="","",IFERROR(VLOOKUP($D1916,'SAMA Capital Tracker'!$A:$D,4,FALSE()),""))</f>
        <v/>
      </c>
      <c r="H1916" s="22"/>
    </row>
    <row r="1917" spans="1:8">
      <c r="A1917" s="21"/>
      <c r="B1917" s="22"/>
      <c r="C1917" s="22"/>
      <c r="D1917" s="22"/>
      <c r="E1917" s="23" t="str">
        <f>IF($D1917="","",IFERROR(VLOOKUP($D1917,'SAMA Capital Tracker'!$A:$H,8,FALSE()),""))</f>
        <v/>
      </c>
      <c r="F1917" s="24"/>
      <c r="G1917" s="25" t="str">
        <f>IF($D1917="","",IFERROR(VLOOKUP($D1917,'SAMA Capital Tracker'!$A:$D,4,FALSE()),""))</f>
        <v/>
      </c>
      <c r="H1917" s="22"/>
    </row>
    <row r="1918" spans="1:8">
      <c r="A1918" s="21"/>
      <c r="B1918" s="22"/>
      <c r="C1918" s="22"/>
      <c r="D1918" s="22"/>
      <c r="E1918" s="23" t="str">
        <f>IF($D1918="","",IFERROR(VLOOKUP($D1918,'SAMA Capital Tracker'!$A:$H,8,FALSE()),""))</f>
        <v/>
      </c>
      <c r="F1918" s="24"/>
      <c r="G1918" s="25" t="str">
        <f>IF($D1918="","",IFERROR(VLOOKUP($D1918,'SAMA Capital Tracker'!$A:$D,4,FALSE()),""))</f>
        <v/>
      </c>
      <c r="H1918" s="22"/>
    </row>
    <row r="1919" spans="1:8">
      <c r="A1919" s="21"/>
      <c r="B1919" s="22"/>
      <c r="C1919" s="22"/>
      <c r="D1919" s="22"/>
      <c r="E1919" s="23" t="str">
        <f>IF($D1919="","",IFERROR(VLOOKUP($D1919,'SAMA Capital Tracker'!$A:$H,8,FALSE()),""))</f>
        <v/>
      </c>
      <c r="F1919" s="24"/>
      <c r="G1919" s="25" t="str">
        <f>IF($D1919="","",IFERROR(VLOOKUP($D1919,'SAMA Capital Tracker'!$A:$D,4,FALSE()),""))</f>
        <v/>
      </c>
      <c r="H1919" s="22"/>
    </row>
    <row r="1920" spans="1:8">
      <c r="A1920" s="21"/>
      <c r="B1920" s="22"/>
      <c r="C1920" s="22"/>
      <c r="D1920" s="22"/>
      <c r="E1920" s="23" t="str">
        <f>IF($D1920="","",IFERROR(VLOOKUP($D1920,'SAMA Capital Tracker'!$A:$H,8,FALSE()),""))</f>
        <v/>
      </c>
      <c r="F1920" s="24"/>
      <c r="G1920" s="25" t="str">
        <f>IF($D1920="","",IFERROR(VLOOKUP($D1920,'SAMA Capital Tracker'!$A:$D,4,FALSE()),""))</f>
        <v/>
      </c>
      <c r="H1920" s="22"/>
    </row>
    <row r="1921" spans="1:8">
      <c r="A1921" s="21"/>
      <c r="B1921" s="22"/>
      <c r="C1921" s="22"/>
      <c r="D1921" s="22"/>
      <c r="E1921" s="23" t="str">
        <f>IF($D1921="","",IFERROR(VLOOKUP($D1921,'SAMA Capital Tracker'!$A:$H,8,FALSE()),""))</f>
        <v/>
      </c>
      <c r="F1921" s="24"/>
      <c r="G1921" s="25" t="str">
        <f>IF($D1921="","",IFERROR(VLOOKUP($D1921,'SAMA Capital Tracker'!$A:$D,4,FALSE()),""))</f>
        <v/>
      </c>
      <c r="H1921" s="22"/>
    </row>
    <row r="1922" spans="1:8">
      <c r="A1922" s="21"/>
      <c r="B1922" s="22"/>
      <c r="C1922" s="22"/>
      <c r="D1922" s="22"/>
      <c r="E1922" s="23" t="str">
        <f>IF($D1922="","",IFERROR(VLOOKUP($D1922,'SAMA Capital Tracker'!$A:$H,8,FALSE()),""))</f>
        <v/>
      </c>
      <c r="F1922" s="24"/>
      <c r="G1922" s="25" t="str">
        <f>IF($D1922="","",IFERROR(VLOOKUP($D1922,'SAMA Capital Tracker'!$A:$D,4,FALSE()),""))</f>
        <v/>
      </c>
      <c r="H1922" s="22"/>
    </row>
    <row r="1923" spans="1:8">
      <c r="A1923" s="21"/>
      <c r="B1923" s="22"/>
      <c r="C1923" s="22"/>
      <c r="D1923" s="22"/>
      <c r="E1923" s="23" t="str">
        <f>IF($D1923="","",IFERROR(VLOOKUP($D1923,'SAMA Capital Tracker'!$A:$H,8,FALSE()),""))</f>
        <v/>
      </c>
      <c r="F1923" s="24"/>
      <c r="G1923" s="25" t="str">
        <f>IF($D1923="","",IFERROR(VLOOKUP($D1923,'SAMA Capital Tracker'!$A:$D,4,FALSE()),""))</f>
        <v/>
      </c>
      <c r="H1923" s="22"/>
    </row>
    <row r="1924" spans="1:8">
      <c r="A1924" s="21"/>
      <c r="B1924" s="22"/>
      <c r="C1924" s="22"/>
      <c r="D1924" s="22"/>
      <c r="E1924" s="23" t="str">
        <f>IF($D1924="","",IFERROR(VLOOKUP($D1924,'SAMA Capital Tracker'!$A:$H,8,FALSE()),""))</f>
        <v/>
      </c>
      <c r="F1924" s="24"/>
      <c r="G1924" s="25" t="str">
        <f>IF($D1924="","",IFERROR(VLOOKUP($D1924,'SAMA Capital Tracker'!$A:$D,4,FALSE()),""))</f>
        <v/>
      </c>
      <c r="H1924" s="22"/>
    </row>
    <row r="1925" spans="1:8">
      <c r="A1925" s="21"/>
      <c r="B1925" s="22"/>
      <c r="C1925" s="22"/>
      <c r="D1925" s="22"/>
      <c r="E1925" s="23" t="str">
        <f>IF($D1925="","",IFERROR(VLOOKUP($D1925,'SAMA Capital Tracker'!$A:$H,8,FALSE()),""))</f>
        <v/>
      </c>
      <c r="F1925" s="24"/>
      <c r="G1925" s="25" t="str">
        <f>IF($D1925="","",IFERROR(VLOOKUP($D1925,'SAMA Capital Tracker'!$A:$D,4,FALSE()),""))</f>
        <v/>
      </c>
      <c r="H1925" s="22"/>
    </row>
    <row r="1926" spans="1:8">
      <c r="A1926" s="21"/>
      <c r="B1926" s="22"/>
      <c r="C1926" s="22"/>
      <c r="D1926" s="22"/>
      <c r="E1926" s="23" t="str">
        <f>IF($D1926="","",IFERROR(VLOOKUP($D1926,'SAMA Capital Tracker'!$A:$H,8,FALSE()),""))</f>
        <v/>
      </c>
      <c r="F1926" s="24"/>
      <c r="G1926" s="25" t="str">
        <f>IF($D1926="","",IFERROR(VLOOKUP($D1926,'SAMA Capital Tracker'!$A:$D,4,FALSE()),""))</f>
        <v/>
      </c>
      <c r="H1926" s="22"/>
    </row>
    <row r="1927" spans="1:8">
      <c r="A1927" s="21"/>
      <c r="B1927" s="22"/>
      <c r="C1927" s="22"/>
      <c r="D1927" s="22"/>
      <c r="E1927" s="23" t="str">
        <f>IF($D1927="","",IFERROR(VLOOKUP($D1927,'SAMA Capital Tracker'!$A:$H,8,FALSE()),""))</f>
        <v/>
      </c>
      <c r="F1927" s="24"/>
      <c r="G1927" s="25" t="str">
        <f>IF($D1927="","",IFERROR(VLOOKUP($D1927,'SAMA Capital Tracker'!$A:$D,4,FALSE()),""))</f>
        <v/>
      </c>
      <c r="H1927" s="22"/>
    </row>
    <row r="1928" spans="1:8">
      <c r="A1928" s="21"/>
      <c r="B1928" s="22"/>
      <c r="C1928" s="22"/>
      <c r="D1928" s="22"/>
      <c r="E1928" s="23" t="str">
        <f>IF($D1928="","",IFERROR(VLOOKUP($D1928,'SAMA Capital Tracker'!$A:$H,8,FALSE()),""))</f>
        <v/>
      </c>
      <c r="F1928" s="24"/>
      <c r="G1928" s="25" t="str">
        <f>IF($D1928="","",IFERROR(VLOOKUP($D1928,'SAMA Capital Tracker'!$A:$D,4,FALSE()),""))</f>
        <v/>
      </c>
      <c r="H1928" s="22"/>
    </row>
    <row r="1929" spans="1:8">
      <c r="A1929" s="21"/>
      <c r="B1929" s="22"/>
      <c r="C1929" s="22"/>
      <c r="D1929" s="22"/>
      <c r="E1929" s="23" t="str">
        <f>IF($D1929="","",IFERROR(VLOOKUP($D1929,'SAMA Capital Tracker'!$A:$H,8,FALSE()),""))</f>
        <v/>
      </c>
      <c r="F1929" s="24"/>
      <c r="G1929" s="25" t="str">
        <f>IF($D1929="","",IFERROR(VLOOKUP($D1929,'SAMA Capital Tracker'!$A:$D,4,FALSE()),""))</f>
        <v/>
      </c>
      <c r="H1929" s="22"/>
    </row>
    <row r="1930" spans="1:8">
      <c r="A1930" s="21"/>
      <c r="B1930" s="22"/>
      <c r="C1930" s="22"/>
      <c r="D1930" s="22"/>
      <c r="E1930" s="23" t="str">
        <f>IF($D1930="","",IFERROR(VLOOKUP($D1930,'SAMA Capital Tracker'!$A:$H,8,FALSE()),""))</f>
        <v/>
      </c>
      <c r="F1930" s="24"/>
      <c r="G1930" s="25" t="str">
        <f>IF($D1930="","",IFERROR(VLOOKUP($D1930,'SAMA Capital Tracker'!$A:$D,4,FALSE()),""))</f>
        <v/>
      </c>
      <c r="H1930" s="22"/>
    </row>
    <row r="1931" spans="1:8">
      <c r="A1931" s="21"/>
      <c r="B1931" s="22"/>
      <c r="C1931" s="22"/>
      <c r="D1931" s="22"/>
      <c r="E1931" s="23" t="str">
        <f>IF($D1931="","",IFERROR(VLOOKUP($D1931,'SAMA Capital Tracker'!$A:$H,8,FALSE()),""))</f>
        <v/>
      </c>
      <c r="F1931" s="24"/>
      <c r="G1931" s="25" t="str">
        <f>IF($D1931="","",IFERROR(VLOOKUP($D1931,'SAMA Capital Tracker'!$A:$D,4,FALSE()),""))</f>
        <v/>
      </c>
      <c r="H1931" s="22"/>
    </row>
    <row r="1932" spans="1:8">
      <c r="A1932" s="21"/>
      <c r="B1932" s="22"/>
      <c r="C1932" s="22"/>
      <c r="D1932" s="22"/>
      <c r="E1932" s="23" t="str">
        <f>IF($D1932="","",IFERROR(VLOOKUP($D1932,'SAMA Capital Tracker'!$A:$H,8,FALSE()),""))</f>
        <v/>
      </c>
      <c r="F1932" s="24"/>
      <c r="G1932" s="25" t="str">
        <f>IF($D1932="","",IFERROR(VLOOKUP($D1932,'SAMA Capital Tracker'!$A:$D,4,FALSE()),""))</f>
        <v/>
      </c>
      <c r="H1932" s="22"/>
    </row>
    <row r="1933" spans="1:8">
      <c r="A1933" s="21"/>
      <c r="B1933" s="22"/>
      <c r="C1933" s="22"/>
      <c r="D1933" s="22"/>
      <c r="E1933" s="23" t="str">
        <f>IF($D1933="","",IFERROR(VLOOKUP($D1933,'SAMA Capital Tracker'!$A:$H,8,FALSE()),""))</f>
        <v/>
      </c>
      <c r="F1933" s="24"/>
      <c r="G1933" s="25" t="str">
        <f>IF($D1933="","",IFERROR(VLOOKUP($D1933,'SAMA Capital Tracker'!$A:$D,4,FALSE()),""))</f>
        <v/>
      </c>
      <c r="H1933" s="22"/>
    </row>
    <row r="1934" spans="1:8">
      <c r="A1934" s="21"/>
      <c r="B1934" s="22"/>
      <c r="C1934" s="22"/>
      <c r="D1934" s="22"/>
      <c r="E1934" s="23" t="str">
        <f>IF($D1934="","",IFERROR(VLOOKUP($D1934,'SAMA Capital Tracker'!$A:$H,8,FALSE()),""))</f>
        <v/>
      </c>
      <c r="F1934" s="24"/>
      <c r="G1934" s="25" t="str">
        <f>IF($D1934="","",IFERROR(VLOOKUP($D1934,'SAMA Capital Tracker'!$A:$D,4,FALSE()),""))</f>
        <v/>
      </c>
      <c r="H1934" s="22"/>
    </row>
    <row r="1935" spans="1:8">
      <c r="A1935" s="21"/>
      <c r="B1935" s="22"/>
      <c r="C1935" s="22"/>
      <c r="D1935" s="22"/>
      <c r="E1935" s="23" t="str">
        <f>IF($D1935="","",IFERROR(VLOOKUP($D1935,'SAMA Capital Tracker'!$A:$H,8,FALSE()),""))</f>
        <v/>
      </c>
      <c r="F1935" s="24"/>
      <c r="G1935" s="25" t="str">
        <f>IF($D1935="","",IFERROR(VLOOKUP($D1935,'SAMA Capital Tracker'!$A:$D,4,FALSE()),""))</f>
        <v/>
      </c>
      <c r="H1935" s="22"/>
    </row>
    <row r="1936" spans="1:8">
      <c r="A1936" s="21"/>
      <c r="B1936" s="22"/>
      <c r="C1936" s="22"/>
      <c r="D1936" s="22"/>
      <c r="E1936" s="23" t="str">
        <f>IF($D1936="","",IFERROR(VLOOKUP($D1936,'SAMA Capital Tracker'!$A:$H,8,FALSE()),""))</f>
        <v/>
      </c>
      <c r="F1936" s="24"/>
      <c r="G1936" s="25" t="str">
        <f>IF($D1936="","",IFERROR(VLOOKUP($D1936,'SAMA Capital Tracker'!$A:$D,4,FALSE()),""))</f>
        <v/>
      </c>
      <c r="H1936" s="22"/>
    </row>
    <row r="1937" spans="1:8">
      <c r="A1937" s="21"/>
      <c r="B1937" s="22"/>
      <c r="C1937" s="22"/>
      <c r="D1937" s="22"/>
      <c r="E1937" s="23" t="str">
        <f>IF($D1937="","",IFERROR(VLOOKUP($D1937,'SAMA Capital Tracker'!$A:$H,8,FALSE()),""))</f>
        <v/>
      </c>
      <c r="F1937" s="24"/>
      <c r="G1937" s="25" t="str">
        <f>IF($D1937="","",IFERROR(VLOOKUP($D1937,'SAMA Capital Tracker'!$A:$D,4,FALSE()),""))</f>
        <v/>
      </c>
      <c r="H1937" s="22"/>
    </row>
    <row r="1938" spans="1:8">
      <c r="A1938" s="21"/>
      <c r="B1938" s="22"/>
      <c r="C1938" s="22"/>
      <c r="D1938" s="22"/>
      <c r="E1938" s="23" t="str">
        <f>IF($D1938="","",IFERROR(VLOOKUP($D1938,'SAMA Capital Tracker'!$A:$H,8,FALSE()),""))</f>
        <v/>
      </c>
      <c r="F1938" s="24"/>
      <c r="G1938" s="25" t="str">
        <f>IF($D1938="","",IFERROR(VLOOKUP($D1938,'SAMA Capital Tracker'!$A:$D,4,FALSE()),""))</f>
        <v/>
      </c>
      <c r="H1938" s="22"/>
    </row>
    <row r="1939" spans="1:8">
      <c r="A1939" s="21"/>
      <c r="B1939" s="22"/>
      <c r="C1939" s="22"/>
      <c r="D1939" s="22"/>
      <c r="E1939" s="23" t="str">
        <f>IF($D1939="","",IFERROR(VLOOKUP($D1939,'SAMA Capital Tracker'!$A:$H,8,FALSE()),""))</f>
        <v/>
      </c>
      <c r="F1939" s="24"/>
      <c r="G1939" s="25" t="str">
        <f>IF($D1939="","",IFERROR(VLOOKUP($D1939,'SAMA Capital Tracker'!$A:$D,4,FALSE()),""))</f>
        <v/>
      </c>
      <c r="H1939" s="22"/>
    </row>
    <row r="1940" spans="1:8">
      <c r="A1940" s="21"/>
      <c r="B1940" s="22"/>
      <c r="C1940" s="22"/>
      <c r="D1940" s="22"/>
      <c r="E1940" s="23" t="str">
        <f>IF($D1940="","",IFERROR(VLOOKUP($D1940,'SAMA Capital Tracker'!$A:$H,8,FALSE()),""))</f>
        <v/>
      </c>
      <c r="F1940" s="24"/>
      <c r="G1940" s="25" t="str">
        <f>IF($D1940="","",IFERROR(VLOOKUP($D1940,'SAMA Capital Tracker'!$A:$D,4,FALSE()),""))</f>
        <v/>
      </c>
      <c r="H1940" s="22"/>
    </row>
    <row r="1941" spans="1:8">
      <c r="A1941" s="21"/>
      <c r="B1941" s="22"/>
      <c r="C1941" s="22"/>
      <c r="D1941" s="22"/>
      <c r="E1941" s="23" t="str">
        <f>IF($D1941="","",IFERROR(VLOOKUP($D1941,'SAMA Capital Tracker'!$A:$H,8,FALSE()),""))</f>
        <v/>
      </c>
      <c r="F1941" s="24"/>
      <c r="G1941" s="25" t="str">
        <f>IF($D1941="","",IFERROR(VLOOKUP($D1941,'SAMA Capital Tracker'!$A:$D,4,FALSE()),""))</f>
        <v/>
      </c>
      <c r="H1941" s="22"/>
    </row>
    <row r="1942" spans="1:8">
      <c r="A1942" s="21"/>
      <c r="B1942" s="22"/>
      <c r="C1942" s="22"/>
      <c r="D1942" s="22"/>
      <c r="E1942" s="23" t="str">
        <f>IF($D1942="","",IFERROR(VLOOKUP($D1942,'SAMA Capital Tracker'!$A:$H,8,FALSE()),""))</f>
        <v/>
      </c>
      <c r="F1942" s="24"/>
      <c r="G1942" s="25" t="str">
        <f>IF($D1942="","",IFERROR(VLOOKUP($D1942,'SAMA Capital Tracker'!$A:$D,4,FALSE()),""))</f>
        <v/>
      </c>
      <c r="H1942" s="22"/>
    </row>
    <row r="1943" spans="1:8">
      <c r="A1943" s="21"/>
      <c r="B1943" s="22"/>
      <c r="C1943" s="22"/>
      <c r="D1943" s="22"/>
      <c r="E1943" s="23" t="str">
        <f>IF($D1943="","",IFERROR(VLOOKUP($D1943,'SAMA Capital Tracker'!$A:$H,8,FALSE()),""))</f>
        <v/>
      </c>
      <c r="F1943" s="24"/>
      <c r="G1943" s="25" t="str">
        <f>IF($D1943="","",IFERROR(VLOOKUP($D1943,'SAMA Capital Tracker'!$A:$D,4,FALSE()),""))</f>
        <v/>
      </c>
      <c r="H1943" s="22"/>
    </row>
    <row r="1944" spans="1:8">
      <c r="A1944" s="21"/>
      <c r="B1944" s="22"/>
      <c r="C1944" s="22"/>
      <c r="D1944" s="22"/>
      <c r="E1944" s="23" t="str">
        <f>IF($D1944="","",IFERROR(VLOOKUP($D1944,'SAMA Capital Tracker'!$A:$H,8,FALSE()),""))</f>
        <v/>
      </c>
      <c r="F1944" s="24"/>
      <c r="G1944" s="25" t="str">
        <f>IF($D1944="","",IFERROR(VLOOKUP($D1944,'SAMA Capital Tracker'!$A:$D,4,FALSE()),""))</f>
        <v/>
      </c>
      <c r="H1944" s="22"/>
    </row>
    <row r="1945" spans="1:8">
      <c r="A1945" s="21"/>
      <c r="B1945" s="22"/>
      <c r="C1945" s="22"/>
      <c r="D1945" s="22"/>
      <c r="E1945" s="23" t="str">
        <f>IF($D1945="","",IFERROR(VLOOKUP($D1945,'SAMA Capital Tracker'!$A:$H,8,FALSE()),""))</f>
        <v/>
      </c>
      <c r="F1945" s="24"/>
      <c r="G1945" s="25" t="str">
        <f>IF($D1945="","",IFERROR(VLOOKUP($D1945,'SAMA Capital Tracker'!$A:$D,4,FALSE()),""))</f>
        <v/>
      </c>
      <c r="H1945" s="22"/>
    </row>
    <row r="1946" spans="1:8">
      <c r="A1946" s="21"/>
      <c r="B1946" s="22"/>
      <c r="C1946" s="22"/>
      <c r="D1946" s="22"/>
      <c r="E1946" s="23" t="str">
        <f>IF($D1946="","",IFERROR(VLOOKUP($D1946,'SAMA Capital Tracker'!$A:$H,8,FALSE()),""))</f>
        <v/>
      </c>
      <c r="F1946" s="24"/>
      <c r="G1946" s="25" t="str">
        <f>IF($D1946="","",IFERROR(VLOOKUP($D1946,'SAMA Capital Tracker'!$A:$D,4,FALSE()),""))</f>
        <v/>
      </c>
      <c r="H1946" s="22"/>
    </row>
    <row r="1947" spans="1:8">
      <c r="A1947" s="21"/>
      <c r="B1947" s="22"/>
      <c r="C1947" s="22"/>
      <c r="D1947" s="22"/>
      <c r="E1947" s="23" t="str">
        <f>IF($D1947="","",IFERROR(VLOOKUP($D1947,'SAMA Capital Tracker'!$A:$H,8,FALSE()),""))</f>
        <v/>
      </c>
      <c r="F1947" s="24"/>
      <c r="G1947" s="25" t="str">
        <f>IF($D1947="","",IFERROR(VLOOKUP($D1947,'SAMA Capital Tracker'!$A:$D,4,FALSE()),""))</f>
        <v/>
      </c>
      <c r="H1947" s="22"/>
    </row>
    <row r="1948" spans="1:8">
      <c r="A1948" s="21"/>
      <c r="B1948" s="22"/>
      <c r="C1948" s="22"/>
      <c r="D1948" s="22"/>
      <c r="E1948" s="23" t="str">
        <f>IF($D1948="","",IFERROR(VLOOKUP($D1948,'SAMA Capital Tracker'!$A:$H,8,FALSE()),""))</f>
        <v/>
      </c>
      <c r="F1948" s="24"/>
      <c r="G1948" s="25" t="str">
        <f>IF($D1948="","",IFERROR(VLOOKUP($D1948,'SAMA Capital Tracker'!$A:$D,4,FALSE()),""))</f>
        <v/>
      </c>
      <c r="H1948" s="22"/>
    </row>
    <row r="1949" spans="1:8">
      <c r="A1949" s="21"/>
      <c r="B1949" s="22"/>
      <c r="C1949" s="22"/>
      <c r="D1949" s="22"/>
      <c r="E1949" s="23" t="str">
        <f>IF($D1949="","",IFERROR(VLOOKUP($D1949,'SAMA Capital Tracker'!$A:$H,8,FALSE()),""))</f>
        <v/>
      </c>
      <c r="F1949" s="24"/>
      <c r="G1949" s="25" t="str">
        <f>IF($D1949="","",IFERROR(VLOOKUP($D1949,'SAMA Capital Tracker'!$A:$D,4,FALSE()),""))</f>
        <v/>
      </c>
      <c r="H1949" s="22"/>
    </row>
    <row r="1950" spans="1:8">
      <c r="A1950" s="21"/>
      <c r="B1950" s="22"/>
      <c r="C1950" s="22"/>
      <c r="D1950" s="22"/>
      <c r="E1950" s="23" t="str">
        <f>IF($D1950="","",IFERROR(VLOOKUP($D1950,'SAMA Capital Tracker'!$A:$H,8,FALSE()),""))</f>
        <v/>
      </c>
      <c r="F1950" s="24"/>
      <c r="G1950" s="25" t="str">
        <f>IF($D1950="","",IFERROR(VLOOKUP($D1950,'SAMA Capital Tracker'!$A:$D,4,FALSE()),""))</f>
        <v/>
      </c>
      <c r="H1950" s="22"/>
    </row>
    <row r="1951" spans="1:8">
      <c r="A1951" s="21"/>
      <c r="B1951" s="22"/>
      <c r="C1951" s="22"/>
      <c r="D1951" s="22"/>
      <c r="E1951" s="23" t="str">
        <f>IF($D1951="","",IFERROR(VLOOKUP($D1951,'SAMA Capital Tracker'!$A:$H,8,FALSE()),""))</f>
        <v/>
      </c>
      <c r="F1951" s="24"/>
      <c r="G1951" s="25" t="str">
        <f>IF($D1951="","",IFERROR(VLOOKUP($D1951,'SAMA Capital Tracker'!$A:$D,4,FALSE()),""))</f>
        <v/>
      </c>
      <c r="H1951" s="22"/>
    </row>
    <row r="1952" spans="1:8">
      <c r="A1952" s="21"/>
      <c r="B1952" s="22"/>
      <c r="C1952" s="22"/>
      <c r="D1952" s="22"/>
      <c r="E1952" s="23" t="str">
        <f>IF($D1952="","",IFERROR(VLOOKUP($D1952,'SAMA Capital Tracker'!$A:$H,8,FALSE()),""))</f>
        <v/>
      </c>
      <c r="F1952" s="24"/>
      <c r="G1952" s="25" t="str">
        <f>IF($D1952="","",IFERROR(VLOOKUP($D1952,'SAMA Capital Tracker'!$A:$D,4,FALSE()),""))</f>
        <v/>
      </c>
      <c r="H1952" s="22"/>
    </row>
    <row r="1953" spans="1:8">
      <c r="A1953" s="21"/>
      <c r="B1953" s="22"/>
      <c r="C1953" s="22"/>
      <c r="D1953" s="22"/>
      <c r="E1953" s="23" t="str">
        <f>IF($D1953="","",IFERROR(VLOOKUP($D1953,'SAMA Capital Tracker'!$A:$H,8,FALSE()),""))</f>
        <v/>
      </c>
      <c r="F1953" s="24"/>
      <c r="G1953" s="25" t="str">
        <f>IF($D1953="","",IFERROR(VLOOKUP($D1953,'SAMA Capital Tracker'!$A:$D,4,FALSE()),""))</f>
        <v/>
      </c>
      <c r="H1953" s="22"/>
    </row>
    <row r="1954" spans="1:8">
      <c r="A1954" s="21"/>
      <c r="B1954" s="22"/>
      <c r="C1954" s="22"/>
      <c r="D1954" s="22"/>
      <c r="E1954" s="23" t="str">
        <f>IF($D1954="","",IFERROR(VLOOKUP($D1954,'SAMA Capital Tracker'!$A:$H,8,FALSE()),""))</f>
        <v/>
      </c>
      <c r="F1954" s="24"/>
      <c r="G1954" s="25" t="str">
        <f>IF($D1954="","",IFERROR(VLOOKUP($D1954,'SAMA Capital Tracker'!$A:$D,4,FALSE()),""))</f>
        <v/>
      </c>
      <c r="H1954" s="22"/>
    </row>
    <row r="1955" spans="1:8">
      <c r="A1955" s="21"/>
      <c r="B1955" s="22"/>
      <c r="C1955" s="22"/>
      <c r="D1955" s="22"/>
      <c r="E1955" s="23" t="str">
        <f>IF($D1955="","",IFERROR(VLOOKUP($D1955,'SAMA Capital Tracker'!$A:$H,8,FALSE()),""))</f>
        <v/>
      </c>
      <c r="F1955" s="24"/>
      <c r="G1955" s="25" t="str">
        <f>IF($D1955="","",IFERROR(VLOOKUP($D1955,'SAMA Capital Tracker'!$A:$D,4,FALSE()),""))</f>
        <v/>
      </c>
      <c r="H1955" s="22"/>
    </row>
    <row r="1956" spans="1:8">
      <c r="A1956" s="21"/>
      <c r="B1956" s="22"/>
      <c r="C1956" s="22"/>
      <c r="D1956" s="22"/>
      <c r="E1956" s="23" t="str">
        <f>IF($D1956="","",IFERROR(VLOOKUP($D1956,'SAMA Capital Tracker'!$A:$H,8,FALSE()),""))</f>
        <v/>
      </c>
      <c r="F1956" s="24"/>
      <c r="G1956" s="25" t="str">
        <f>IF($D1956="","",IFERROR(VLOOKUP($D1956,'SAMA Capital Tracker'!$A:$D,4,FALSE()),""))</f>
        <v/>
      </c>
      <c r="H1956" s="22"/>
    </row>
    <row r="1957" spans="1:8">
      <c r="A1957" s="21"/>
      <c r="B1957" s="22"/>
      <c r="C1957" s="22"/>
      <c r="D1957" s="22"/>
      <c r="E1957" s="23" t="str">
        <f>IF($D1957="","",IFERROR(VLOOKUP($D1957,'SAMA Capital Tracker'!$A:$H,8,FALSE()),""))</f>
        <v/>
      </c>
      <c r="F1957" s="24"/>
      <c r="G1957" s="25" t="str">
        <f>IF($D1957="","",IFERROR(VLOOKUP($D1957,'SAMA Capital Tracker'!$A:$D,4,FALSE()),""))</f>
        <v/>
      </c>
      <c r="H1957" s="22"/>
    </row>
    <row r="1958" spans="1:8">
      <c r="A1958" s="21"/>
      <c r="B1958" s="22"/>
      <c r="C1958" s="22"/>
      <c r="D1958" s="22"/>
      <c r="E1958" s="23" t="str">
        <f>IF($D1958="","",IFERROR(VLOOKUP($D1958,'SAMA Capital Tracker'!$A:$H,8,FALSE()),""))</f>
        <v/>
      </c>
      <c r="F1958" s="24"/>
      <c r="G1958" s="25" t="str">
        <f>IF($D1958="","",IFERROR(VLOOKUP($D1958,'SAMA Capital Tracker'!$A:$D,4,FALSE()),""))</f>
        <v/>
      </c>
      <c r="H1958" s="22"/>
    </row>
    <row r="1959" spans="1:8">
      <c r="A1959" s="21"/>
      <c r="B1959" s="22"/>
      <c r="C1959" s="22"/>
      <c r="D1959" s="22"/>
      <c r="E1959" s="23" t="str">
        <f>IF($D1959="","",IFERROR(VLOOKUP($D1959,'SAMA Capital Tracker'!$A:$H,8,FALSE()),""))</f>
        <v/>
      </c>
      <c r="F1959" s="24"/>
      <c r="G1959" s="25" t="str">
        <f>IF($D1959="","",IFERROR(VLOOKUP($D1959,'SAMA Capital Tracker'!$A:$D,4,FALSE()),""))</f>
        <v/>
      </c>
      <c r="H1959" s="22"/>
    </row>
    <row r="1960" spans="1:8">
      <c r="A1960" s="21"/>
      <c r="B1960" s="22"/>
      <c r="C1960" s="22"/>
      <c r="D1960" s="22"/>
      <c r="E1960" s="23" t="str">
        <f>IF($D1960="","",IFERROR(VLOOKUP($D1960,'SAMA Capital Tracker'!$A:$H,8,FALSE()),""))</f>
        <v/>
      </c>
      <c r="F1960" s="24"/>
      <c r="G1960" s="25" t="str">
        <f>IF($D1960="","",IFERROR(VLOOKUP($D1960,'SAMA Capital Tracker'!$A:$D,4,FALSE()),""))</f>
        <v/>
      </c>
      <c r="H1960" s="22"/>
    </row>
    <row r="1961" spans="1:8">
      <c r="A1961" s="21"/>
      <c r="B1961" s="22"/>
      <c r="C1961" s="22"/>
      <c r="D1961" s="22"/>
      <c r="E1961" s="23" t="str">
        <f>IF($D1961="","",IFERROR(VLOOKUP($D1961,'SAMA Capital Tracker'!$A:$H,8,FALSE()),""))</f>
        <v/>
      </c>
      <c r="F1961" s="24"/>
      <c r="G1961" s="25" t="str">
        <f>IF($D1961="","",IFERROR(VLOOKUP($D1961,'SAMA Capital Tracker'!$A:$D,4,FALSE()),""))</f>
        <v/>
      </c>
      <c r="H1961" s="22"/>
    </row>
    <row r="1962" spans="1:8">
      <c r="A1962" s="21"/>
      <c r="B1962" s="22"/>
      <c r="C1962" s="22"/>
      <c r="D1962" s="22"/>
      <c r="E1962" s="23" t="str">
        <f>IF($D1962="","",IFERROR(VLOOKUP($D1962,'SAMA Capital Tracker'!$A:$H,8,FALSE()),""))</f>
        <v/>
      </c>
      <c r="F1962" s="24"/>
      <c r="G1962" s="25" t="str">
        <f>IF($D1962="","",IFERROR(VLOOKUP($D1962,'SAMA Capital Tracker'!$A:$D,4,FALSE()),""))</f>
        <v/>
      </c>
      <c r="H1962" s="22"/>
    </row>
    <row r="1963" spans="1:8">
      <c r="A1963" s="21"/>
      <c r="B1963" s="22"/>
      <c r="C1963" s="22"/>
      <c r="D1963" s="22"/>
      <c r="E1963" s="23" t="str">
        <f>IF($D1963="","",IFERROR(VLOOKUP($D1963,'SAMA Capital Tracker'!$A:$H,8,FALSE()),""))</f>
        <v/>
      </c>
      <c r="F1963" s="24"/>
      <c r="G1963" s="25" t="str">
        <f>IF($D1963="","",IFERROR(VLOOKUP($D1963,'SAMA Capital Tracker'!$A:$D,4,FALSE()),""))</f>
        <v/>
      </c>
      <c r="H1963" s="22"/>
    </row>
    <row r="1964" spans="1:8">
      <c r="A1964" s="21"/>
      <c r="B1964" s="22"/>
      <c r="C1964" s="22"/>
      <c r="D1964" s="22"/>
      <c r="E1964" s="23" t="str">
        <f>IF($D1964="","",IFERROR(VLOOKUP($D1964,'SAMA Capital Tracker'!$A:$H,8,FALSE()),""))</f>
        <v/>
      </c>
      <c r="F1964" s="24"/>
      <c r="G1964" s="25" t="str">
        <f>IF($D1964="","",IFERROR(VLOOKUP($D1964,'SAMA Capital Tracker'!$A:$D,4,FALSE()),""))</f>
        <v/>
      </c>
      <c r="H1964" s="22"/>
    </row>
    <row r="1965" spans="1:8">
      <c r="A1965" s="21"/>
      <c r="B1965" s="22"/>
      <c r="C1965" s="22"/>
      <c r="D1965" s="22"/>
      <c r="E1965" s="23" t="str">
        <f>IF($D1965="","",IFERROR(VLOOKUP($D1965,'SAMA Capital Tracker'!$A:$H,8,FALSE()),""))</f>
        <v/>
      </c>
      <c r="F1965" s="24"/>
      <c r="G1965" s="25" t="str">
        <f>IF($D1965="","",IFERROR(VLOOKUP($D1965,'SAMA Capital Tracker'!$A:$D,4,FALSE()),""))</f>
        <v/>
      </c>
      <c r="H1965" s="22"/>
    </row>
    <row r="1966" spans="1:8">
      <c r="A1966" s="21"/>
      <c r="B1966" s="22"/>
      <c r="C1966" s="22"/>
      <c r="D1966" s="22"/>
      <c r="E1966" s="23" t="str">
        <f>IF($D1966="","",IFERROR(VLOOKUP($D1966,'SAMA Capital Tracker'!$A:$H,8,FALSE()),""))</f>
        <v/>
      </c>
      <c r="F1966" s="24"/>
      <c r="G1966" s="25" t="str">
        <f>IF($D1966="","",IFERROR(VLOOKUP($D1966,'SAMA Capital Tracker'!$A:$D,4,FALSE()),""))</f>
        <v/>
      </c>
      <c r="H1966" s="22"/>
    </row>
    <row r="1967" spans="1:8">
      <c r="A1967" s="21"/>
      <c r="B1967" s="22"/>
      <c r="C1967" s="22"/>
      <c r="D1967" s="22"/>
      <c r="E1967" s="23" t="str">
        <f>IF($D1967="","",IFERROR(VLOOKUP($D1967,'SAMA Capital Tracker'!$A:$H,8,FALSE()),""))</f>
        <v/>
      </c>
      <c r="F1967" s="24"/>
      <c r="G1967" s="25" t="str">
        <f>IF($D1967="","",IFERROR(VLOOKUP($D1967,'SAMA Capital Tracker'!$A:$D,4,FALSE()),""))</f>
        <v/>
      </c>
      <c r="H1967" s="22"/>
    </row>
    <row r="1968" spans="1:8">
      <c r="A1968" s="21"/>
      <c r="B1968" s="22"/>
      <c r="C1968" s="22"/>
      <c r="D1968" s="22"/>
      <c r="E1968" s="23" t="str">
        <f>IF($D1968="","",IFERROR(VLOOKUP($D1968,'SAMA Capital Tracker'!$A:$H,8,FALSE()),""))</f>
        <v/>
      </c>
      <c r="F1968" s="24"/>
      <c r="G1968" s="25" t="str">
        <f>IF($D1968="","",IFERROR(VLOOKUP($D1968,'SAMA Capital Tracker'!$A:$D,4,FALSE()),""))</f>
        <v/>
      </c>
      <c r="H1968" s="22"/>
    </row>
    <row r="1969" spans="1:8">
      <c r="A1969" s="21"/>
      <c r="B1969" s="22"/>
      <c r="C1969" s="22"/>
      <c r="D1969" s="22"/>
      <c r="E1969" s="23" t="str">
        <f>IF($D1969="","",IFERROR(VLOOKUP($D1969,'SAMA Capital Tracker'!$A:$H,8,FALSE()),""))</f>
        <v/>
      </c>
      <c r="F1969" s="24"/>
      <c r="G1969" s="25" t="str">
        <f>IF($D1969="","",IFERROR(VLOOKUP($D1969,'SAMA Capital Tracker'!$A:$D,4,FALSE()),""))</f>
        <v/>
      </c>
      <c r="H1969" s="22"/>
    </row>
    <row r="1970" spans="1:8">
      <c r="A1970" s="21"/>
      <c r="B1970" s="22"/>
      <c r="C1970" s="22"/>
      <c r="D1970" s="22"/>
      <c r="E1970" s="23" t="str">
        <f>IF($D1970="","",IFERROR(VLOOKUP($D1970,'SAMA Capital Tracker'!$A:$H,8,FALSE()),""))</f>
        <v/>
      </c>
      <c r="F1970" s="24"/>
      <c r="G1970" s="25" t="str">
        <f>IF($D1970="","",IFERROR(VLOOKUP($D1970,'SAMA Capital Tracker'!$A:$D,4,FALSE()),""))</f>
        <v/>
      </c>
      <c r="H1970" s="22"/>
    </row>
    <row r="1971" spans="1:8">
      <c r="A1971" s="21"/>
      <c r="B1971" s="22"/>
      <c r="C1971" s="22"/>
      <c r="D1971" s="22"/>
      <c r="E1971" s="23" t="str">
        <f>IF($D1971="","",IFERROR(VLOOKUP($D1971,'SAMA Capital Tracker'!$A:$H,8,FALSE()),""))</f>
        <v/>
      </c>
      <c r="F1971" s="24"/>
      <c r="G1971" s="25" t="str">
        <f>IF($D1971="","",IFERROR(VLOOKUP($D1971,'SAMA Capital Tracker'!$A:$D,4,FALSE()),""))</f>
        <v/>
      </c>
      <c r="H1971" s="22"/>
    </row>
    <row r="1972" spans="1:8">
      <c r="A1972" s="21"/>
      <c r="B1972" s="22"/>
      <c r="C1972" s="22"/>
      <c r="D1972" s="22"/>
      <c r="E1972" s="23" t="str">
        <f>IF($D1972="","",IFERROR(VLOOKUP($D1972,'SAMA Capital Tracker'!$A:$H,8,FALSE()),""))</f>
        <v/>
      </c>
      <c r="F1972" s="24"/>
      <c r="G1972" s="25" t="str">
        <f>IF($D1972="","",IFERROR(VLOOKUP($D1972,'SAMA Capital Tracker'!$A:$D,4,FALSE()),""))</f>
        <v/>
      </c>
      <c r="H1972" s="22"/>
    </row>
    <row r="1973" spans="1:8">
      <c r="A1973" s="21"/>
      <c r="B1973" s="22"/>
      <c r="C1973" s="22"/>
      <c r="D1973" s="22"/>
      <c r="E1973" s="23" t="str">
        <f>IF($D1973="","",IFERROR(VLOOKUP($D1973,'SAMA Capital Tracker'!$A:$H,8,FALSE()),""))</f>
        <v/>
      </c>
      <c r="F1973" s="24"/>
      <c r="G1973" s="25" t="str">
        <f>IF($D1973="","",IFERROR(VLOOKUP($D1973,'SAMA Capital Tracker'!$A:$D,4,FALSE()),""))</f>
        <v/>
      </c>
      <c r="H1973" s="22"/>
    </row>
    <row r="1974" spans="1:8">
      <c r="A1974" s="21"/>
      <c r="B1974" s="22"/>
      <c r="C1974" s="22"/>
      <c r="D1974" s="22"/>
      <c r="E1974" s="23" t="str">
        <f>IF($D1974="","",IFERROR(VLOOKUP($D1974,'SAMA Capital Tracker'!$A:$H,8,FALSE()),""))</f>
        <v/>
      </c>
      <c r="F1974" s="24"/>
      <c r="G1974" s="25" t="str">
        <f>IF($D1974="","",IFERROR(VLOOKUP($D1974,'SAMA Capital Tracker'!$A:$D,4,FALSE()),""))</f>
        <v/>
      </c>
      <c r="H1974" s="22"/>
    </row>
    <row r="1975" spans="1:8">
      <c r="A1975" s="21"/>
      <c r="B1975" s="22"/>
      <c r="C1975" s="22"/>
      <c r="D1975" s="22"/>
      <c r="E1975" s="23" t="str">
        <f>IF($D1975="","",IFERROR(VLOOKUP($D1975,'SAMA Capital Tracker'!$A:$H,8,FALSE()),""))</f>
        <v/>
      </c>
      <c r="F1975" s="24"/>
      <c r="G1975" s="25" t="str">
        <f>IF($D1975="","",IFERROR(VLOOKUP($D1975,'SAMA Capital Tracker'!$A:$D,4,FALSE()),""))</f>
        <v/>
      </c>
      <c r="H1975" s="22"/>
    </row>
    <row r="1976" spans="1:8">
      <c r="A1976" s="21"/>
      <c r="B1976" s="22"/>
      <c r="C1976" s="22"/>
      <c r="D1976" s="22"/>
      <c r="E1976" s="23" t="str">
        <f>IF($D1976="","",IFERROR(VLOOKUP($D1976,'SAMA Capital Tracker'!$A:$H,8,FALSE()),""))</f>
        <v/>
      </c>
      <c r="F1976" s="24"/>
      <c r="G1976" s="25" t="str">
        <f>IF($D1976="","",IFERROR(VLOOKUP($D1976,'SAMA Capital Tracker'!$A:$D,4,FALSE()),""))</f>
        <v/>
      </c>
      <c r="H1976" s="22"/>
    </row>
    <row r="1977" spans="1:8">
      <c r="A1977" s="21"/>
      <c r="B1977" s="22"/>
      <c r="C1977" s="22"/>
      <c r="D1977" s="22"/>
      <c r="E1977" s="23" t="str">
        <f>IF($D1977="","",IFERROR(VLOOKUP($D1977,'SAMA Capital Tracker'!$A:$H,8,FALSE()),""))</f>
        <v/>
      </c>
      <c r="F1977" s="24"/>
      <c r="G1977" s="25" t="str">
        <f>IF($D1977="","",IFERROR(VLOOKUP($D1977,'SAMA Capital Tracker'!$A:$D,4,FALSE()),""))</f>
        <v/>
      </c>
      <c r="H1977" s="22"/>
    </row>
    <row r="1978" spans="1:8">
      <c r="A1978" s="21"/>
      <c r="B1978" s="22"/>
      <c r="C1978" s="22"/>
      <c r="D1978" s="22"/>
      <c r="E1978" s="23" t="str">
        <f>IF($D1978="","",IFERROR(VLOOKUP($D1978,'SAMA Capital Tracker'!$A:$H,8,FALSE()),""))</f>
        <v/>
      </c>
      <c r="F1978" s="24"/>
      <c r="G1978" s="25" t="str">
        <f>IF($D1978="","",IFERROR(VLOOKUP($D1978,'SAMA Capital Tracker'!$A:$D,4,FALSE()),""))</f>
        <v/>
      </c>
      <c r="H1978" s="22"/>
    </row>
    <row r="1979" spans="1:8">
      <c r="A1979" s="21"/>
      <c r="B1979" s="22"/>
      <c r="C1979" s="22"/>
      <c r="D1979" s="22"/>
      <c r="E1979" s="23" t="str">
        <f>IF($D1979="","",IFERROR(VLOOKUP($D1979,'SAMA Capital Tracker'!$A:$H,8,FALSE()),""))</f>
        <v/>
      </c>
      <c r="F1979" s="24"/>
      <c r="G1979" s="25" t="str">
        <f>IF($D1979="","",IFERROR(VLOOKUP($D1979,'SAMA Capital Tracker'!$A:$D,4,FALSE()),""))</f>
        <v/>
      </c>
      <c r="H1979" s="22"/>
    </row>
    <row r="1980" spans="1:8">
      <c r="A1980" s="21"/>
      <c r="B1980" s="22"/>
      <c r="C1980" s="22"/>
      <c r="D1980" s="22"/>
      <c r="E1980" s="23" t="str">
        <f>IF($D1980="","",IFERROR(VLOOKUP($D1980,'SAMA Capital Tracker'!$A:$H,8,FALSE()),""))</f>
        <v/>
      </c>
      <c r="F1980" s="24"/>
      <c r="G1980" s="25" t="str">
        <f>IF($D1980="","",IFERROR(VLOOKUP($D1980,'SAMA Capital Tracker'!$A:$D,4,FALSE()),""))</f>
        <v/>
      </c>
      <c r="H1980" s="22"/>
    </row>
    <row r="1981" spans="1:8">
      <c r="A1981" s="21"/>
      <c r="B1981" s="22"/>
      <c r="C1981" s="22"/>
      <c r="D1981" s="22"/>
      <c r="E1981" s="23" t="str">
        <f>IF($D1981="","",IFERROR(VLOOKUP($D1981,'SAMA Capital Tracker'!$A:$H,8,FALSE()),""))</f>
        <v/>
      </c>
      <c r="F1981" s="24"/>
      <c r="G1981" s="25" t="str">
        <f>IF($D1981="","",IFERROR(VLOOKUP($D1981,'SAMA Capital Tracker'!$A:$D,4,FALSE()),""))</f>
        <v/>
      </c>
      <c r="H1981" s="22"/>
    </row>
    <row r="1982" spans="1:8">
      <c r="A1982" s="21"/>
      <c r="B1982" s="22"/>
      <c r="C1982" s="22"/>
      <c r="D1982" s="22"/>
      <c r="E1982" s="23" t="str">
        <f>IF($D1982="","",IFERROR(VLOOKUP($D1982,'SAMA Capital Tracker'!$A:$H,8,FALSE()),""))</f>
        <v/>
      </c>
      <c r="F1982" s="24"/>
      <c r="G1982" s="25" t="str">
        <f>IF($D1982="","",IFERROR(VLOOKUP($D1982,'SAMA Capital Tracker'!$A:$D,4,FALSE()),""))</f>
        <v/>
      </c>
      <c r="H1982" s="22"/>
    </row>
    <row r="1983" spans="1:8">
      <c r="A1983" s="21"/>
      <c r="B1983" s="22"/>
      <c r="C1983" s="22"/>
      <c r="D1983" s="22"/>
      <c r="E1983" s="23" t="str">
        <f>IF($D1983="","",IFERROR(VLOOKUP($D1983,'SAMA Capital Tracker'!$A:$H,8,FALSE()),""))</f>
        <v/>
      </c>
      <c r="F1983" s="24"/>
      <c r="G1983" s="25" t="str">
        <f>IF($D1983="","",IFERROR(VLOOKUP($D1983,'SAMA Capital Tracker'!$A:$D,4,FALSE()),""))</f>
        <v/>
      </c>
      <c r="H1983" s="22"/>
    </row>
    <row r="1984" spans="1:8">
      <c r="A1984" s="21"/>
      <c r="B1984" s="22"/>
      <c r="C1984" s="22"/>
      <c r="D1984" s="22"/>
      <c r="E1984" s="23" t="str">
        <f>IF($D1984="","",IFERROR(VLOOKUP($D1984,'SAMA Capital Tracker'!$A:$H,8,FALSE()),""))</f>
        <v/>
      </c>
      <c r="F1984" s="24"/>
      <c r="G1984" s="25" t="str">
        <f>IF($D1984="","",IFERROR(VLOOKUP($D1984,'SAMA Capital Tracker'!$A:$D,4,FALSE()),""))</f>
        <v/>
      </c>
      <c r="H1984" s="22"/>
    </row>
    <row r="1985" spans="1:8">
      <c r="A1985" s="21"/>
      <c r="B1985" s="22"/>
      <c r="C1985" s="22"/>
      <c r="D1985" s="22"/>
      <c r="E1985" s="23" t="str">
        <f>IF($D1985="","",IFERROR(VLOOKUP($D1985,'SAMA Capital Tracker'!$A:$H,8,FALSE()),""))</f>
        <v/>
      </c>
      <c r="F1985" s="24"/>
      <c r="G1985" s="25" t="str">
        <f>IF($D1985="","",IFERROR(VLOOKUP($D1985,'SAMA Capital Tracker'!$A:$D,4,FALSE()),""))</f>
        <v/>
      </c>
      <c r="H1985" s="22"/>
    </row>
    <row r="1986" spans="1:8">
      <c r="A1986" s="21"/>
      <c r="B1986" s="22"/>
      <c r="C1986" s="22"/>
      <c r="D1986" s="22"/>
      <c r="E1986" s="23" t="str">
        <f>IF($D1986="","",IFERROR(VLOOKUP($D1986,'SAMA Capital Tracker'!$A:$H,8,FALSE()),""))</f>
        <v/>
      </c>
      <c r="F1986" s="24"/>
      <c r="G1986" s="25" t="str">
        <f>IF($D1986="","",IFERROR(VLOOKUP($D1986,'SAMA Capital Tracker'!$A:$D,4,FALSE()),""))</f>
        <v/>
      </c>
      <c r="H1986" s="22"/>
    </row>
    <row r="1987" spans="1:8">
      <c r="A1987" s="21"/>
      <c r="B1987" s="22"/>
      <c r="C1987" s="22"/>
      <c r="D1987" s="22"/>
      <c r="E1987" s="23" t="str">
        <f>IF($D1987="","",IFERROR(VLOOKUP($D1987,'SAMA Capital Tracker'!$A:$H,8,FALSE()),""))</f>
        <v/>
      </c>
      <c r="F1987" s="24"/>
      <c r="G1987" s="25" t="str">
        <f>IF($D1987="","",IFERROR(VLOOKUP($D1987,'SAMA Capital Tracker'!$A:$D,4,FALSE()),""))</f>
        <v/>
      </c>
      <c r="H1987" s="22"/>
    </row>
    <row r="1988" spans="1:8">
      <c r="A1988" s="21"/>
      <c r="B1988" s="22"/>
      <c r="C1988" s="22"/>
      <c r="D1988" s="22"/>
      <c r="E1988" s="23" t="str">
        <f>IF($D1988="","",IFERROR(VLOOKUP($D1988,'SAMA Capital Tracker'!$A:$H,8,FALSE()),""))</f>
        <v/>
      </c>
      <c r="F1988" s="24"/>
      <c r="G1988" s="25" t="str">
        <f>IF($D1988="","",IFERROR(VLOOKUP($D1988,'SAMA Capital Tracker'!$A:$D,4,FALSE()),""))</f>
        <v/>
      </c>
      <c r="H1988" s="22"/>
    </row>
    <row r="1989" spans="1:8">
      <c r="A1989" s="21"/>
      <c r="B1989" s="22"/>
      <c r="C1989" s="22"/>
      <c r="D1989" s="22"/>
      <c r="E1989" s="23" t="str">
        <f>IF($D1989="","",IFERROR(VLOOKUP($D1989,'SAMA Capital Tracker'!$A:$H,8,FALSE()),""))</f>
        <v/>
      </c>
      <c r="F1989" s="24"/>
      <c r="G1989" s="25" t="str">
        <f>IF($D1989="","",IFERROR(VLOOKUP($D1989,'SAMA Capital Tracker'!$A:$D,4,FALSE()),""))</f>
        <v/>
      </c>
      <c r="H1989" s="22"/>
    </row>
    <row r="1990" spans="1:8">
      <c r="A1990" s="21"/>
      <c r="B1990" s="22"/>
      <c r="C1990" s="22"/>
      <c r="D1990" s="22"/>
      <c r="E1990" s="23" t="str">
        <f>IF($D1990="","",IFERROR(VLOOKUP($D1990,'SAMA Capital Tracker'!$A:$H,8,FALSE()),""))</f>
        <v/>
      </c>
      <c r="F1990" s="24"/>
      <c r="G1990" s="25" t="str">
        <f>IF($D1990="","",IFERROR(VLOOKUP($D1990,'SAMA Capital Tracker'!$A:$D,4,FALSE()),""))</f>
        <v/>
      </c>
      <c r="H1990" s="22"/>
    </row>
    <row r="1991" spans="1:8">
      <c r="A1991" s="21"/>
      <c r="B1991" s="22"/>
      <c r="C1991" s="22"/>
      <c r="D1991" s="22"/>
      <c r="E1991" s="23" t="str">
        <f>IF($D1991="","",IFERROR(VLOOKUP($D1991,'SAMA Capital Tracker'!$A:$H,8,FALSE()),""))</f>
        <v/>
      </c>
      <c r="F1991" s="24"/>
      <c r="G1991" s="25" t="str">
        <f>IF($D1991="","",IFERROR(VLOOKUP($D1991,'SAMA Capital Tracker'!$A:$D,4,FALSE()),""))</f>
        <v/>
      </c>
      <c r="H1991" s="22"/>
    </row>
    <row r="1992" spans="1:8">
      <c r="A1992" s="21"/>
      <c r="B1992" s="22"/>
      <c r="C1992" s="22"/>
      <c r="D1992" s="22"/>
      <c r="E1992" s="23" t="str">
        <f>IF($D1992="","",IFERROR(VLOOKUP($D1992,'SAMA Capital Tracker'!$A:$H,8,FALSE()),""))</f>
        <v/>
      </c>
      <c r="F1992" s="24"/>
      <c r="G1992" s="25" t="str">
        <f>IF($D1992="","",IFERROR(VLOOKUP($D1992,'SAMA Capital Tracker'!$A:$D,4,FALSE()),""))</f>
        <v/>
      </c>
      <c r="H1992" s="22"/>
    </row>
    <row r="1993" spans="1:8">
      <c r="A1993" s="21"/>
      <c r="B1993" s="22"/>
      <c r="C1993" s="22"/>
      <c r="D1993" s="22"/>
      <c r="E1993" s="23" t="str">
        <f>IF($D1993="","",IFERROR(VLOOKUP($D1993,'SAMA Capital Tracker'!$A:$H,8,FALSE()),""))</f>
        <v/>
      </c>
      <c r="F1993" s="24"/>
      <c r="G1993" s="25" t="str">
        <f>IF($D1993="","",IFERROR(VLOOKUP($D1993,'SAMA Capital Tracker'!$A:$D,4,FALSE()),""))</f>
        <v/>
      </c>
      <c r="H1993" s="22"/>
    </row>
    <row r="1994" spans="1:8">
      <c r="A1994" s="21"/>
      <c r="B1994" s="22"/>
      <c r="C1994" s="22"/>
      <c r="D1994" s="22"/>
      <c r="E1994" s="23" t="str">
        <f>IF($D1994="","",IFERROR(VLOOKUP($D1994,'SAMA Capital Tracker'!$A:$H,8,FALSE()),""))</f>
        <v/>
      </c>
      <c r="F1994" s="24"/>
      <c r="G1994" s="25" t="str">
        <f>IF($D1994="","",IFERROR(VLOOKUP($D1994,'SAMA Capital Tracker'!$A:$D,4,FALSE()),""))</f>
        <v/>
      </c>
      <c r="H1994" s="22"/>
    </row>
    <row r="1995" spans="1:8">
      <c r="A1995" s="21"/>
      <c r="B1995" s="22"/>
      <c r="C1995" s="22"/>
      <c r="D1995" s="22"/>
      <c r="E1995" s="23" t="str">
        <f>IF($D1995="","",IFERROR(VLOOKUP($D1995,'SAMA Capital Tracker'!$A:$H,8,FALSE()),""))</f>
        <v/>
      </c>
      <c r="F1995" s="24"/>
      <c r="G1995" s="25" t="str">
        <f>IF($D1995="","",IFERROR(VLOOKUP($D1995,'SAMA Capital Tracker'!$A:$D,4,FALSE()),""))</f>
        <v/>
      </c>
      <c r="H1995" s="22"/>
    </row>
    <row r="1996" spans="1:8">
      <c r="A1996" s="21"/>
      <c r="B1996" s="22"/>
      <c r="C1996" s="22"/>
      <c r="D1996" s="22"/>
      <c r="E1996" s="23" t="str">
        <f>IF($D1996="","",IFERROR(VLOOKUP($D1996,'SAMA Capital Tracker'!$A:$H,8,FALSE()),""))</f>
        <v/>
      </c>
      <c r="F1996" s="24"/>
      <c r="G1996" s="25" t="str">
        <f>IF($D1996="","",IFERROR(VLOOKUP($D1996,'SAMA Capital Tracker'!$A:$D,4,FALSE()),""))</f>
        <v/>
      </c>
      <c r="H1996" s="22"/>
    </row>
    <row r="1997" spans="1:8">
      <c r="A1997" s="21"/>
      <c r="B1997" s="22"/>
      <c r="C1997" s="22"/>
      <c r="D1997" s="22"/>
      <c r="E1997" s="23" t="str">
        <f>IF($D1997="","",IFERROR(VLOOKUP($D1997,'SAMA Capital Tracker'!$A:$H,8,FALSE()),""))</f>
        <v/>
      </c>
      <c r="F1997" s="24"/>
      <c r="G1997" s="25" t="str">
        <f>IF($D1997="","",IFERROR(VLOOKUP($D1997,'SAMA Capital Tracker'!$A:$D,4,FALSE()),""))</f>
        <v/>
      </c>
      <c r="H1997" s="22"/>
    </row>
    <row r="1998" spans="1:8">
      <c r="A1998" s="21"/>
      <c r="B1998" s="22"/>
      <c r="C1998" s="22"/>
      <c r="D1998" s="22"/>
      <c r="E1998" s="23" t="str">
        <f>IF($D1998="","",IFERROR(VLOOKUP($D1998,'SAMA Capital Tracker'!$A:$H,8,FALSE()),""))</f>
        <v/>
      </c>
      <c r="F1998" s="24"/>
      <c r="G1998" s="25" t="str">
        <f>IF($D1998="","",IFERROR(VLOOKUP($D1998,'SAMA Capital Tracker'!$A:$D,4,FALSE()),""))</f>
        <v/>
      </c>
      <c r="H1998" s="22"/>
    </row>
    <row r="1999" spans="1:8">
      <c r="A1999" s="21"/>
      <c r="B1999" s="22"/>
      <c r="C1999" s="22"/>
      <c r="D1999" s="22"/>
      <c r="E1999" s="23" t="str">
        <f>IF($D1999="","",IFERROR(VLOOKUP($D1999,'SAMA Capital Tracker'!$A:$H,8,FALSE()),""))</f>
        <v/>
      </c>
      <c r="F1999" s="24"/>
      <c r="G1999" s="25" t="str">
        <f>IF($D1999="","",IFERROR(VLOOKUP($D1999,'SAMA Capital Tracker'!$A:$D,4,FALSE()),""))</f>
        <v/>
      </c>
      <c r="H1999" s="22"/>
    </row>
    <row r="2000" spans="1:8">
      <c r="A2000" s="21"/>
      <c r="B2000" s="22"/>
      <c r="C2000" s="22"/>
      <c r="D2000" s="22"/>
      <c r="E2000" s="23" t="str">
        <f>IF($D2000="","",IFERROR(VLOOKUP($D2000,'SAMA Capital Tracker'!$A:$H,8,FALSE()),""))</f>
        <v/>
      </c>
      <c r="F2000" s="24"/>
      <c r="G2000" s="25" t="str">
        <f>IF($D2000="","",IFERROR(VLOOKUP($D2000,'SAMA Capital Tracker'!$A:$D,4,FALSE()),""))</f>
        <v/>
      </c>
      <c r="H2000" s="22"/>
    </row>
    <row r="2002" spans="4:6">
      <c r="D2002" s="26" t="s">
        <v>110</v>
      </c>
      <c r="F2002" s="27">
        <f>SUM(F4:F2000)</f>
        <v>0</v>
      </c>
    </row>
  </sheetData>
  <autoFilter ref="A3:H2000" xr:uid="{00000000-0009-0000-0000-00000A000000}"/>
  <mergeCells count="2">
    <mergeCell ref="A1:H1"/>
    <mergeCell ref="A2:H2"/>
  </mergeCells>
  <dataValidations count="1">
    <dataValidation type="list" allowBlank="1" promptTitle="Unique Code" prompt="Select the Unique Code" sqref="D4:D2000" xr:uid="{00000000-0002-0000-0A00-000000000000}">
      <formula1>$J$2:$J$14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M24"/>
  <sheetViews>
    <sheetView zoomScaleNormal="100" workbookViewId="0">
      <pane ySplit="3" topLeftCell="A4" activePane="bottomLeft" state="frozen"/>
      <selection pane="bottomLeft" activeCell="A16" sqref="A16:XFD16"/>
    </sheetView>
  </sheetViews>
  <sheetFormatPr defaultColWidth="8.7109375" defaultRowHeight="15"/>
  <cols>
    <col min="1" max="1" width="14" customWidth="1"/>
    <col min="2" max="2" width="5" customWidth="1"/>
    <col min="3" max="3" width="40" customWidth="1"/>
    <col min="4" max="4" width="12" customWidth="1"/>
    <col min="5" max="5" width="13" customWidth="1"/>
    <col min="6" max="6" width="11" customWidth="1"/>
    <col min="7" max="8" width="12" customWidth="1"/>
    <col min="9" max="9" width="60.85546875" customWidth="1"/>
    <col min="10" max="13" width="13" hidden="1" customWidth="1"/>
  </cols>
  <sheetData>
    <row r="1" spans="1:13" ht="16.5">
      <c r="A1" s="36" t="s">
        <v>362</v>
      </c>
      <c r="B1" s="36"/>
      <c r="C1" s="36"/>
      <c r="D1" s="36"/>
      <c r="E1" s="36"/>
      <c r="F1" s="36"/>
      <c r="G1" s="36"/>
      <c r="H1" s="36"/>
      <c r="I1" s="36"/>
    </row>
    <row r="2" spans="1:13">
      <c r="A2" s="12" t="s">
        <v>36</v>
      </c>
      <c r="C2" s="13" t="str">
        <f>'IT Budget Summary'!$C$2</f>
        <v>Offline Optimized</v>
      </c>
      <c r="E2" s="37" t="s">
        <v>37</v>
      </c>
      <c r="F2" s="37"/>
      <c r="G2" s="37"/>
      <c r="H2" s="37"/>
      <c r="I2" s="37"/>
    </row>
    <row r="3" spans="1:13" ht="24">
      <c r="A3" s="2" t="s">
        <v>38</v>
      </c>
      <c r="B3" s="2" t="s">
        <v>39</v>
      </c>
      <c r="C3" s="2" t="s">
        <v>40</v>
      </c>
      <c r="D3" s="2" t="s">
        <v>20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</row>
    <row r="4" spans="1:13">
      <c r="A4" s="14" t="s">
        <v>363</v>
      </c>
      <c r="B4" s="14">
        <v>1</v>
      </c>
      <c r="C4" s="15" t="s">
        <v>364</v>
      </c>
      <c r="D4" s="14">
        <v>5202200001</v>
      </c>
      <c r="E4" s="16">
        <f>CHOOSE(MATCH($C$2,{"Offline Optimized","Offline + Online Hybrid","Online Optimized"},0),J4,K4,L4)</f>
        <v>3500</v>
      </c>
      <c r="F4" s="16">
        <f>SUMIF('SAMA Consumables Log'!$D$4:$D$2000,A4,'SAMA Consumables Log'!$F$4:$F$2000)</f>
        <v>0</v>
      </c>
      <c r="G4" s="17">
        <v>0</v>
      </c>
      <c r="H4" s="18">
        <f t="shared" ref="H4:H24" si="0">E4+G4-F4</f>
        <v>3500</v>
      </c>
      <c r="I4" s="15" t="str">
        <f t="shared" ref="I4:I24" si="1">IFERROR(IF(($E4+$G4)&lt;=0,"",REPT("█",MIN(20,ROUND($F4/($E4+$G4)*20,0)))),"")</f>
        <v/>
      </c>
      <c r="J4" s="19">
        <v>3500</v>
      </c>
      <c r="K4" s="19">
        <v>0</v>
      </c>
      <c r="L4" s="19">
        <v>0</v>
      </c>
      <c r="M4" s="19">
        <v>2800</v>
      </c>
    </row>
    <row r="5" spans="1:13">
      <c r="A5" s="14" t="s">
        <v>365</v>
      </c>
      <c r="B5" s="14">
        <v>2</v>
      </c>
      <c r="C5" s="15" t="s">
        <v>366</v>
      </c>
      <c r="D5" s="14">
        <v>5202200001</v>
      </c>
      <c r="E5" s="16">
        <f>CHOOSE(MATCH($C$2,{"Offline Optimized","Offline + Online Hybrid","Online Optimized"},0),J5,K5,L5)</f>
        <v>150</v>
      </c>
      <c r="F5" s="16">
        <f>SUMIF('SAMA Consumables Log'!$D$4:$D$2000,A5,'SAMA Consumables Log'!$F$4:$F$2000)</f>
        <v>0</v>
      </c>
      <c r="G5" s="17">
        <v>0</v>
      </c>
      <c r="H5" s="18">
        <f t="shared" si="0"/>
        <v>150</v>
      </c>
      <c r="I5" s="15" t="str">
        <f t="shared" si="1"/>
        <v/>
      </c>
      <c r="J5" s="19">
        <v>150</v>
      </c>
      <c r="K5" s="19">
        <v>0</v>
      </c>
      <c r="L5" s="19">
        <v>0</v>
      </c>
      <c r="M5" s="19">
        <v>150</v>
      </c>
    </row>
    <row r="6" spans="1:13">
      <c r="A6" s="14" t="s">
        <v>367</v>
      </c>
      <c r="B6" s="14">
        <v>3</v>
      </c>
      <c r="C6" s="15" t="s">
        <v>368</v>
      </c>
      <c r="D6" s="14">
        <v>5202200001</v>
      </c>
      <c r="E6" s="16">
        <f>CHOOSE(MATCH($C$2,{"Offline Optimized","Offline + Online Hybrid","Online Optimized"},0),J6,K6,L6)</f>
        <v>2000</v>
      </c>
      <c r="F6" s="16">
        <f>SUMIF('SAMA Consumables Log'!$D$4:$D$2000,A6,'SAMA Consumables Log'!$F$4:$F$2000)</f>
        <v>0</v>
      </c>
      <c r="G6" s="17">
        <v>0</v>
      </c>
      <c r="H6" s="18">
        <f t="shared" si="0"/>
        <v>2000</v>
      </c>
      <c r="I6" s="15" t="str">
        <f t="shared" si="1"/>
        <v/>
      </c>
      <c r="J6" s="19">
        <v>2000</v>
      </c>
      <c r="K6" s="19">
        <v>0</v>
      </c>
      <c r="L6" s="19">
        <v>0</v>
      </c>
      <c r="M6" s="19">
        <v>2000</v>
      </c>
    </row>
    <row r="7" spans="1:13">
      <c r="A7" s="14" t="s">
        <v>369</v>
      </c>
      <c r="B7" s="14">
        <v>4</v>
      </c>
      <c r="C7" s="15" t="s">
        <v>370</v>
      </c>
      <c r="D7" s="14">
        <v>5202200001</v>
      </c>
      <c r="E7" s="16">
        <f>CHOOSE(MATCH($C$2,{"Offline Optimized","Offline + Online Hybrid","Online Optimized"},0),J7,K7,L7)</f>
        <v>0</v>
      </c>
      <c r="F7" s="16">
        <f>SUMIF('SAMA Consumables Log'!$D$4:$D$2000,A7,'SAMA Consumables Log'!$F$4:$F$2000)</f>
        <v>0</v>
      </c>
      <c r="G7" s="17">
        <v>0</v>
      </c>
      <c r="H7" s="18">
        <f t="shared" si="0"/>
        <v>0</v>
      </c>
      <c r="I7" s="15" t="str">
        <f t="shared" si="1"/>
        <v/>
      </c>
      <c r="J7" s="19">
        <v>0</v>
      </c>
      <c r="K7" s="19">
        <v>0</v>
      </c>
      <c r="L7" s="19">
        <v>0</v>
      </c>
      <c r="M7" s="19">
        <v>0</v>
      </c>
    </row>
    <row r="8" spans="1:13">
      <c r="A8" s="14" t="s">
        <v>371</v>
      </c>
      <c r="B8" s="14">
        <v>5</v>
      </c>
      <c r="C8" s="15" t="s">
        <v>135</v>
      </c>
      <c r="D8" s="14">
        <v>5202180001</v>
      </c>
      <c r="E8" s="16">
        <f>CHOOSE(MATCH($C$2,{"Offline Optimized","Offline + Online Hybrid","Online Optimized"},0),J8,K8,L8)</f>
        <v>1500</v>
      </c>
      <c r="F8" s="16">
        <f>SUMIF('SAMA Consumables Log'!$D$4:$D$2000,A8,'SAMA Consumables Log'!$F$4:$F$2000)</f>
        <v>0</v>
      </c>
      <c r="G8" s="17">
        <v>0</v>
      </c>
      <c r="H8" s="18">
        <f t="shared" si="0"/>
        <v>1500</v>
      </c>
      <c r="I8" s="15" t="str">
        <f t="shared" si="1"/>
        <v/>
      </c>
      <c r="J8" s="19">
        <v>1500</v>
      </c>
      <c r="K8" s="19">
        <v>0</v>
      </c>
      <c r="L8" s="19">
        <v>0</v>
      </c>
      <c r="M8" s="19">
        <v>1000</v>
      </c>
    </row>
    <row r="9" spans="1:13">
      <c r="A9" s="14" t="s">
        <v>372</v>
      </c>
      <c r="B9" s="14">
        <v>6</v>
      </c>
      <c r="C9" s="15" t="s">
        <v>150</v>
      </c>
      <c r="D9" s="14">
        <v>5202200001</v>
      </c>
      <c r="E9" s="16">
        <f>CHOOSE(MATCH($C$2,{"Offline Optimized","Offline + Online Hybrid","Online Optimized"},0),J9,K9,L9)</f>
        <v>1500</v>
      </c>
      <c r="F9" s="16">
        <f>SUMIF('SAMA Consumables Log'!$D$4:$D$2000,A9,'SAMA Consumables Log'!$F$4:$F$2000)</f>
        <v>0</v>
      </c>
      <c r="G9" s="17">
        <v>0</v>
      </c>
      <c r="H9" s="18">
        <f t="shared" si="0"/>
        <v>1500</v>
      </c>
      <c r="I9" s="15" t="str">
        <f t="shared" si="1"/>
        <v/>
      </c>
      <c r="J9" s="19">
        <v>1500</v>
      </c>
      <c r="K9" s="19">
        <v>0</v>
      </c>
      <c r="L9" s="19">
        <v>0</v>
      </c>
      <c r="M9" s="19">
        <v>1000</v>
      </c>
    </row>
    <row r="10" spans="1:13">
      <c r="A10" s="14" t="s">
        <v>373</v>
      </c>
      <c r="B10" s="14">
        <v>7</v>
      </c>
      <c r="C10" s="15" t="s">
        <v>374</v>
      </c>
      <c r="D10" s="14">
        <v>5202190005</v>
      </c>
      <c r="E10" s="16">
        <f>CHOOSE(MATCH($C$2,{"Offline Optimized","Offline + Online Hybrid","Online Optimized"},0),J10,K10,L10)</f>
        <v>250</v>
      </c>
      <c r="F10" s="16">
        <f>SUMIF('SAMA Consumables Log'!$D$4:$D$2000,A10,'SAMA Consumables Log'!$F$4:$F$2000)</f>
        <v>0</v>
      </c>
      <c r="G10" s="17">
        <v>0</v>
      </c>
      <c r="H10" s="18">
        <f t="shared" si="0"/>
        <v>250</v>
      </c>
      <c r="I10" s="15" t="str">
        <f t="shared" si="1"/>
        <v/>
      </c>
      <c r="J10" s="19">
        <v>250</v>
      </c>
      <c r="K10" s="19">
        <v>0</v>
      </c>
      <c r="L10" s="19">
        <v>0</v>
      </c>
      <c r="M10" s="19">
        <v>250</v>
      </c>
    </row>
    <row r="11" spans="1:13">
      <c r="A11" s="14" t="s">
        <v>375</v>
      </c>
      <c r="B11" s="14">
        <v>8</v>
      </c>
      <c r="C11" s="15" t="s">
        <v>376</v>
      </c>
      <c r="D11" s="14">
        <v>5202180001</v>
      </c>
      <c r="E11" s="16">
        <f>CHOOSE(MATCH($C$2,{"Offline Optimized","Offline + Online Hybrid","Online Optimized"},0),J11,K11,L11)</f>
        <v>1000</v>
      </c>
      <c r="F11" s="16">
        <f>SUMIF('SAMA Consumables Log'!$D$4:$D$2000,A11,'SAMA Consumables Log'!$F$4:$F$2000)</f>
        <v>0</v>
      </c>
      <c r="G11" s="17">
        <v>0</v>
      </c>
      <c r="H11" s="18">
        <f t="shared" si="0"/>
        <v>1000</v>
      </c>
      <c r="I11" s="15" t="str">
        <f t="shared" si="1"/>
        <v/>
      </c>
      <c r="J11" s="19">
        <v>1000</v>
      </c>
      <c r="K11" s="19">
        <v>0</v>
      </c>
      <c r="L11" s="19">
        <v>0</v>
      </c>
      <c r="M11" s="19">
        <v>1000</v>
      </c>
    </row>
    <row r="12" spans="1:13">
      <c r="A12" s="14" t="s">
        <v>377</v>
      </c>
      <c r="B12" s="14">
        <v>9</v>
      </c>
      <c r="C12" s="15" t="s">
        <v>378</v>
      </c>
      <c r="D12" s="14">
        <v>5202180001</v>
      </c>
      <c r="E12" s="16">
        <f>CHOOSE(MATCH($C$2,{"Offline Optimized","Offline + Online Hybrid","Online Optimized"},0),J12,K12,L12)</f>
        <v>4000</v>
      </c>
      <c r="F12" s="16">
        <f>SUMIF('SAMA Consumables Log'!$D$4:$D$2000,A12,'SAMA Consumables Log'!$F$4:$F$2000)</f>
        <v>0</v>
      </c>
      <c r="G12" s="17">
        <v>0</v>
      </c>
      <c r="H12" s="18">
        <f t="shared" si="0"/>
        <v>4000</v>
      </c>
      <c r="I12" s="15" t="str">
        <f t="shared" si="1"/>
        <v/>
      </c>
      <c r="J12" s="19">
        <v>4000</v>
      </c>
      <c r="K12" s="19">
        <v>0</v>
      </c>
      <c r="L12" s="19">
        <v>0</v>
      </c>
      <c r="M12" s="19">
        <v>2000</v>
      </c>
    </row>
    <row r="13" spans="1:13">
      <c r="A13" s="14" t="s">
        <v>379</v>
      </c>
      <c r="B13" s="14">
        <v>10</v>
      </c>
      <c r="C13" s="15" t="s">
        <v>380</v>
      </c>
      <c r="D13" s="14">
        <v>5202180001</v>
      </c>
      <c r="E13" s="16">
        <f>CHOOSE(MATCH($C$2,{"Offline Optimized","Offline + Online Hybrid","Online Optimized"},0),J13,K13,L13)</f>
        <v>25000</v>
      </c>
      <c r="F13" s="16">
        <f>SUMIF('SAMA Consumables Log'!$D$4:$D$2000,A13,'SAMA Consumables Log'!$F$4:$F$2000)</f>
        <v>0</v>
      </c>
      <c r="G13" s="17">
        <v>0</v>
      </c>
      <c r="H13" s="18">
        <f t="shared" si="0"/>
        <v>25000</v>
      </c>
      <c r="I13" s="15" t="str">
        <f t="shared" si="1"/>
        <v/>
      </c>
      <c r="J13" s="19">
        <v>25000</v>
      </c>
      <c r="K13" s="19">
        <v>0</v>
      </c>
      <c r="L13" s="19">
        <v>0</v>
      </c>
      <c r="M13" s="19">
        <v>18000</v>
      </c>
    </row>
    <row r="14" spans="1:13">
      <c r="A14" s="14" t="s">
        <v>381</v>
      </c>
      <c r="B14" s="14">
        <v>11</v>
      </c>
      <c r="C14" s="15" t="s">
        <v>382</v>
      </c>
      <c r="D14" s="14">
        <v>5202180001</v>
      </c>
      <c r="E14" s="16">
        <f>CHOOSE(MATCH($C$2,{"Offline Optimized","Offline + Online Hybrid","Online Optimized"},0),J14,K14,L14)</f>
        <v>1000</v>
      </c>
      <c r="F14" s="16">
        <f>SUMIF('SAMA Consumables Log'!$D$4:$D$2000,A14,'SAMA Consumables Log'!$F$4:$F$2000)</f>
        <v>0</v>
      </c>
      <c r="G14" s="17">
        <v>0</v>
      </c>
      <c r="H14" s="18">
        <f t="shared" si="0"/>
        <v>1000</v>
      </c>
      <c r="I14" s="15" t="str">
        <f t="shared" si="1"/>
        <v/>
      </c>
      <c r="J14" s="19">
        <v>1000</v>
      </c>
      <c r="K14" s="19">
        <v>0</v>
      </c>
      <c r="L14" s="19">
        <v>0</v>
      </c>
      <c r="M14" s="19">
        <v>1000</v>
      </c>
    </row>
    <row r="15" spans="1:13">
      <c r="A15" s="14" t="s">
        <v>383</v>
      </c>
      <c r="B15" s="14">
        <v>12</v>
      </c>
      <c r="C15" s="15" t="s">
        <v>384</v>
      </c>
      <c r="D15" s="14">
        <v>5202200005</v>
      </c>
      <c r="E15" s="16">
        <f>CHOOSE(MATCH($C$2,{"Offline Optimized","Offline + Online Hybrid","Online Optimized"},0),J15,K15,L15)</f>
        <v>0</v>
      </c>
      <c r="F15" s="16">
        <f>SUMIF('SAMA Consumables Log'!$D$4:$D$2000,A15,'SAMA Consumables Log'!$F$4:$F$2000)</f>
        <v>0</v>
      </c>
      <c r="G15" s="17">
        <v>0</v>
      </c>
      <c r="H15" s="18">
        <f t="shared" si="0"/>
        <v>0</v>
      </c>
      <c r="I15" s="15" t="str">
        <f t="shared" si="1"/>
        <v/>
      </c>
      <c r="J15" s="19">
        <v>0</v>
      </c>
      <c r="K15" s="19">
        <v>0</v>
      </c>
      <c r="L15" s="19">
        <v>0</v>
      </c>
      <c r="M15" s="19">
        <v>0</v>
      </c>
    </row>
    <row r="16" spans="1:13">
      <c r="A16" s="14" t="s">
        <v>385</v>
      </c>
      <c r="B16" s="14">
        <v>13</v>
      </c>
      <c r="C16" s="15" t="s">
        <v>177</v>
      </c>
      <c r="D16" s="14">
        <v>5202180001</v>
      </c>
      <c r="E16" s="16">
        <f>CHOOSE(MATCH($C$2,{"Offline Optimized","Offline + Online Hybrid","Online Optimized"},0),J16,K16,L16)</f>
        <v>2500</v>
      </c>
      <c r="F16" s="16">
        <f>SUMIF('SAMA Consumables Log'!$D$4:$D$2000,A16,'SAMA Consumables Log'!$F$4:$F$2000)</f>
        <v>750</v>
      </c>
      <c r="G16" s="17">
        <v>0</v>
      </c>
      <c r="H16" s="18">
        <f t="shared" si="0"/>
        <v>1750</v>
      </c>
      <c r="I16" s="15" t="str">
        <f t="shared" si="1"/>
        <v>██████</v>
      </c>
      <c r="J16" s="19">
        <v>2500</v>
      </c>
      <c r="K16" s="19">
        <v>0</v>
      </c>
      <c r="L16" s="19">
        <v>0</v>
      </c>
      <c r="M16" s="19">
        <v>0</v>
      </c>
    </row>
    <row r="17" spans="1:13">
      <c r="A17" s="14" t="s">
        <v>386</v>
      </c>
      <c r="B17" s="14">
        <v>14</v>
      </c>
      <c r="C17" s="15" t="s">
        <v>174</v>
      </c>
      <c r="D17" s="14">
        <v>5101030002</v>
      </c>
      <c r="E17" s="16">
        <f>CHOOSE(MATCH($C$2,{"Offline Optimized","Offline + Online Hybrid","Online Optimized"},0),J17,K17,L17)</f>
        <v>1500</v>
      </c>
      <c r="F17" s="16">
        <f>SUMIF('SAMA Consumables Log'!$D$4:$D$2000,A17,'SAMA Consumables Log'!$F$4:$F$2000)</f>
        <v>0</v>
      </c>
      <c r="G17" s="17">
        <v>0</v>
      </c>
      <c r="H17" s="18">
        <f t="shared" si="0"/>
        <v>1500</v>
      </c>
      <c r="I17" s="15" t="str">
        <f t="shared" si="1"/>
        <v/>
      </c>
      <c r="J17" s="19">
        <v>1500</v>
      </c>
      <c r="K17" s="19">
        <v>0</v>
      </c>
      <c r="L17" s="19">
        <v>0</v>
      </c>
      <c r="M17" s="19">
        <v>1000</v>
      </c>
    </row>
    <row r="18" spans="1:13">
      <c r="A18" s="14" t="s">
        <v>387</v>
      </c>
      <c r="B18" s="14">
        <v>15</v>
      </c>
      <c r="C18" s="15" t="s">
        <v>388</v>
      </c>
      <c r="D18" s="14">
        <v>5202010022</v>
      </c>
      <c r="E18" s="16">
        <f>CHOOSE(MATCH($C$2,{"Offline Optimized","Offline + Online Hybrid","Online Optimized"},0),J18,K18,L18)</f>
        <v>3000</v>
      </c>
      <c r="F18" s="16">
        <f>SUMIF('SAMA Consumables Log'!$D$4:$D$2000,A18,'SAMA Consumables Log'!$F$4:$F$2000)</f>
        <v>0</v>
      </c>
      <c r="G18" s="17">
        <v>0</v>
      </c>
      <c r="H18" s="18">
        <f t="shared" si="0"/>
        <v>3000</v>
      </c>
      <c r="I18" s="15" t="str">
        <f t="shared" si="1"/>
        <v/>
      </c>
      <c r="J18" s="19">
        <v>3000</v>
      </c>
      <c r="K18" s="19">
        <v>0</v>
      </c>
      <c r="L18" s="19">
        <v>0</v>
      </c>
      <c r="M18" s="19">
        <v>0</v>
      </c>
    </row>
    <row r="19" spans="1:13">
      <c r="A19" s="14" t="s">
        <v>389</v>
      </c>
      <c r="B19" s="14">
        <v>16</v>
      </c>
      <c r="C19" s="15" t="s">
        <v>183</v>
      </c>
      <c r="D19" s="14">
        <v>5202180001</v>
      </c>
      <c r="E19" s="16">
        <f>CHOOSE(MATCH($C$2,{"Offline Optimized","Offline + Online Hybrid","Online Optimized"},0),J19,K19,L19)</f>
        <v>0</v>
      </c>
      <c r="F19" s="16">
        <f>SUMIF('SAMA Consumables Log'!$D$4:$D$2000,A19,'SAMA Consumables Log'!$F$4:$F$2000)</f>
        <v>0</v>
      </c>
      <c r="G19" s="17">
        <v>0</v>
      </c>
      <c r="H19" s="18">
        <f t="shared" si="0"/>
        <v>0</v>
      </c>
      <c r="I19" s="15" t="str">
        <f t="shared" si="1"/>
        <v/>
      </c>
      <c r="J19" s="19">
        <v>0</v>
      </c>
      <c r="K19" s="19">
        <v>0</v>
      </c>
      <c r="L19" s="19">
        <v>0</v>
      </c>
      <c r="M19" s="19">
        <v>0</v>
      </c>
    </row>
    <row r="20" spans="1:13">
      <c r="A20" s="14" t="s">
        <v>390</v>
      </c>
      <c r="B20" s="14">
        <v>17</v>
      </c>
      <c r="C20" s="15" t="s">
        <v>219</v>
      </c>
      <c r="D20" s="14">
        <v>5101130003</v>
      </c>
      <c r="E20" s="16">
        <f>CHOOSE(MATCH($C$2,{"Offline Optimized","Offline + Online Hybrid","Online Optimized"},0),J20,K20,L20)</f>
        <v>2500</v>
      </c>
      <c r="F20" s="16">
        <f>SUMIF('SAMA Consumables Log'!$D$4:$D$2000,A20,'SAMA Consumables Log'!$F$4:$F$2000)</f>
        <v>0</v>
      </c>
      <c r="G20" s="17">
        <v>0</v>
      </c>
      <c r="H20" s="18">
        <f t="shared" si="0"/>
        <v>2500</v>
      </c>
      <c r="I20" s="15" t="str">
        <f t="shared" si="1"/>
        <v/>
      </c>
      <c r="J20" s="19">
        <v>2500</v>
      </c>
      <c r="K20" s="19">
        <v>0</v>
      </c>
      <c r="L20" s="19">
        <v>0</v>
      </c>
      <c r="M20" s="19">
        <v>2000</v>
      </c>
    </row>
    <row r="21" spans="1:13">
      <c r="A21" s="14" t="s">
        <v>391</v>
      </c>
      <c r="B21" s="14">
        <v>18</v>
      </c>
      <c r="C21" s="15" t="s">
        <v>392</v>
      </c>
      <c r="D21" s="14">
        <v>5101160003</v>
      </c>
      <c r="E21" s="16">
        <f>CHOOSE(MATCH($C$2,{"Offline Optimized","Offline + Online Hybrid","Online Optimized"},0),J21,K21,L21)</f>
        <v>250</v>
      </c>
      <c r="F21" s="16">
        <f>SUMIF('SAMA Consumables Log'!$D$4:$D$2000,A21,'SAMA Consumables Log'!$F$4:$F$2000)</f>
        <v>0</v>
      </c>
      <c r="G21" s="17">
        <v>0</v>
      </c>
      <c r="H21" s="18">
        <f t="shared" si="0"/>
        <v>250</v>
      </c>
      <c r="I21" s="15" t="str">
        <f t="shared" si="1"/>
        <v/>
      </c>
      <c r="J21" s="19">
        <v>250</v>
      </c>
      <c r="K21" s="19">
        <v>0</v>
      </c>
      <c r="L21" s="19">
        <v>0</v>
      </c>
      <c r="M21" s="19">
        <v>250</v>
      </c>
    </row>
    <row r="22" spans="1:13">
      <c r="A22" s="14" t="s">
        <v>393</v>
      </c>
      <c r="B22" s="14">
        <v>19</v>
      </c>
      <c r="C22" s="15" t="s">
        <v>394</v>
      </c>
      <c r="D22" s="14">
        <v>5101130003</v>
      </c>
      <c r="E22" s="16">
        <f>CHOOSE(MATCH($C$2,{"Offline Optimized","Offline + Online Hybrid","Online Optimized"},0),J22,K22,L22)</f>
        <v>250</v>
      </c>
      <c r="F22" s="16">
        <f>SUMIF('SAMA Consumables Log'!$D$4:$D$2000,A22,'SAMA Consumables Log'!$F$4:$F$2000)</f>
        <v>0</v>
      </c>
      <c r="G22" s="17">
        <v>0</v>
      </c>
      <c r="H22" s="18">
        <f t="shared" si="0"/>
        <v>250</v>
      </c>
      <c r="I22" s="15" t="str">
        <f t="shared" si="1"/>
        <v/>
      </c>
      <c r="J22" s="19">
        <v>250</v>
      </c>
      <c r="K22" s="19">
        <v>0</v>
      </c>
      <c r="L22" s="19">
        <v>0</v>
      </c>
      <c r="M22" s="19">
        <v>250</v>
      </c>
    </row>
    <row r="23" spans="1:13">
      <c r="A23" s="14" t="s">
        <v>395</v>
      </c>
      <c r="B23" s="14">
        <v>20</v>
      </c>
      <c r="C23" s="15" t="s">
        <v>97</v>
      </c>
      <c r="D23" s="14">
        <v>5101130003</v>
      </c>
      <c r="E23" s="16">
        <f>CHOOSE(MATCH($C$2,{"Offline Optimized","Offline + Online Hybrid","Online Optimized"},0),J23,K23,L23)</f>
        <v>6000</v>
      </c>
      <c r="F23" s="16">
        <f>SUMIF('SAMA Consumables Log'!$D$4:$D$2000,A23,'SAMA Consumables Log'!$F$4:$F$2000)</f>
        <v>0</v>
      </c>
      <c r="G23" s="17">
        <v>0</v>
      </c>
      <c r="H23" s="18">
        <f t="shared" si="0"/>
        <v>6000</v>
      </c>
      <c r="I23" s="15" t="str">
        <f t="shared" si="1"/>
        <v/>
      </c>
      <c r="J23" s="19">
        <v>6000</v>
      </c>
      <c r="K23" s="19">
        <v>0</v>
      </c>
      <c r="L23" s="19">
        <v>0</v>
      </c>
      <c r="M23" s="19">
        <v>6000</v>
      </c>
    </row>
    <row r="24" spans="1:13">
      <c r="A24" s="8"/>
      <c r="B24" s="8"/>
      <c r="C24" s="7" t="s">
        <v>396</v>
      </c>
      <c r="D24" s="8"/>
      <c r="E24" s="9">
        <f>SUM(E4:E23)</f>
        <v>55900</v>
      </c>
      <c r="F24" s="9">
        <f>SUM(F4:F23)</f>
        <v>750</v>
      </c>
      <c r="G24" s="9">
        <f>SUM(G4:G23)</f>
        <v>0</v>
      </c>
      <c r="H24" s="9">
        <f t="shared" si="0"/>
        <v>55150</v>
      </c>
      <c r="I24" s="7" t="str">
        <f t="shared" si="1"/>
        <v/>
      </c>
      <c r="M24">
        <f>SUM(M4:M23)</f>
        <v>38700</v>
      </c>
    </row>
  </sheetData>
  <mergeCells count="2">
    <mergeCell ref="A1:I1"/>
    <mergeCell ref="E2:I2"/>
  </mergeCells>
  <conditionalFormatting sqref="I4:I24">
    <cfRule type="expression" dxfId="2" priority="2">
      <formula>IFERROR($F4/($E4+$G4),0)&gt;0.75</formula>
    </cfRule>
    <cfRule type="expression" dxfId="1" priority="3">
      <formula>AND(IFERROR($F4/($E4+$G4),0)&gt;0.5,IFERROR($F4/($E4+$G4),0)&lt;=0.75)</formula>
    </cfRule>
    <cfRule type="expression" dxfId="0" priority="4">
      <formula>IFERROR($F4/($E4+$G4),0)&gt;0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02"/>
  <sheetViews>
    <sheetView tabSelected="1" zoomScaleNormal="100" workbookViewId="0">
      <pane ySplit="3" topLeftCell="A4" activePane="bottomLeft" state="frozen"/>
      <selection pane="bottomLeft" activeCell="N13" sqref="N12:N13"/>
    </sheetView>
  </sheetViews>
  <sheetFormatPr defaultColWidth="8.7109375" defaultRowHeight="15"/>
  <cols>
    <col min="1" max="1" width="12" customWidth="1"/>
    <col min="2" max="2" width="14" customWidth="1"/>
    <col min="3" max="3" width="34" customWidth="1"/>
    <col min="4" max="4" width="16" customWidth="1"/>
    <col min="5" max="5" width="13" customWidth="1"/>
    <col min="6" max="6" width="11" customWidth="1"/>
    <col min="7" max="7" width="13" customWidth="1"/>
    <col min="8" max="8" width="26" customWidth="1"/>
    <col min="10" max="10" width="13" hidden="1" customWidth="1"/>
  </cols>
  <sheetData>
    <row r="1" spans="1:10" ht="16.5">
      <c r="A1" s="36" t="s">
        <v>397</v>
      </c>
      <c r="B1" s="36"/>
      <c r="C1" s="36"/>
      <c r="D1" s="36"/>
      <c r="E1" s="36"/>
      <c r="F1" s="36"/>
      <c r="G1" s="36"/>
      <c r="H1" s="36"/>
      <c r="J1" s="20" t="s">
        <v>100</v>
      </c>
    </row>
    <row r="2" spans="1:10">
      <c r="A2" s="34" t="s">
        <v>398</v>
      </c>
      <c r="B2" s="34"/>
      <c r="C2" s="34"/>
      <c r="D2" s="34"/>
      <c r="E2" s="34"/>
      <c r="F2" s="34"/>
      <c r="G2" s="34"/>
      <c r="H2" s="34"/>
      <c r="J2" t="s">
        <v>363</v>
      </c>
    </row>
    <row r="3" spans="1:10" ht="24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J3" t="s">
        <v>365</v>
      </c>
    </row>
    <row r="4" spans="1:10">
      <c r="A4" s="21">
        <v>46218</v>
      </c>
      <c r="B4" s="22">
        <v>7477</v>
      </c>
      <c r="C4" s="22" t="s">
        <v>399</v>
      </c>
      <c r="D4" s="22" t="s">
        <v>385</v>
      </c>
      <c r="E4" s="23">
        <f>IF($D4="","",IFERROR(VLOOKUP($D4,'SAMA Consumables Tracker'!$A:$H,8,FALSE()),""))</f>
        <v>1750</v>
      </c>
      <c r="F4" s="24">
        <f>2400*0.3125</f>
        <v>750</v>
      </c>
      <c r="G4" s="25">
        <f>IF($D4="","",IFERROR(VLOOKUP($D4,'SAMA Consumables Tracker'!$A:$D,4,FALSE()),""))</f>
        <v>5202180001</v>
      </c>
      <c r="H4" s="22"/>
      <c r="J4" t="s">
        <v>367</v>
      </c>
    </row>
    <row r="5" spans="1:10">
      <c r="A5" s="21"/>
      <c r="B5" s="22"/>
      <c r="C5" s="22"/>
      <c r="D5" s="22"/>
      <c r="E5" s="23" t="str">
        <f>IF($D5="","",IFERROR(VLOOKUP($D5,'SAMA Consumables Tracker'!$A:$H,8,FALSE()),""))</f>
        <v/>
      </c>
      <c r="F5" s="24"/>
      <c r="G5" s="25" t="str">
        <f>IF($D5="","",IFERROR(VLOOKUP($D5,'SAMA Consumables Tracker'!$A:$D,4,FALSE()),""))</f>
        <v/>
      </c>
      <c r="H5" s="22"/>
      <c r="J5" t="s">
        <v>369</v>
      </c>
    </row>
    <row r="6" spans="1:10">
      <c r="A6" s="21"/>
      <c r="B6" s="22"/>
      <c r="C6" s="22"/>
      <c r="D6" s="22"/>
      <c r="E6" s="23" t="str">
        <f>IF($D6="","",IFERROR(VLOOKUP($D6,'SAMA Consumables Tracker'!$A:$H,8,FALSE()),""))</f>
        <v/>
      </c>
      <c r="F6" s="24"/>
      <c r="G6" s="25" t="str">
        <f>IF($D6="","",IFERROR(VLOOKUP($D6,'SAMA Consumables Tracker'!$A:$D,4,FALSE()),""))</f>
        <v/>
      </c>
      <c r="H6" s="22"/>
      <c r="J6" t="s">
        <v>371</v>
      </c>
    </row>
    <row r="7" spans="1:10">
      <c r="A7" s="21"/>
      <c r="B7" s="22"/>
      <c r="C7" s="22"/>
      <c r="D7" s="22"/>
      <c r="E7" s="23" t="str">
        <f>IF($D7="","",IFERROR(VLOOKUP($D7,'SAMA Consumables Tracker'!$A:$H,8,FALSE()),""))</f>
        <v/>
      </c>
      <c r="F7" s="24"/>
      <c r="G7" s="25" t="str">
        <f>IF($D7="","",IFERROR(VLOOKUP($D7,'SAMA Consumables Tracker'!$A:$D,4,FALSE()),""))</f>
        <v/>
      </c>
      <c r="H7" s="22"/>
      <c r="J7" t="s">
        <v>372</v>
      </c>
    </row>
    <row r="8" spans="1:10">
      <c r="A8" s="21"/>
      <c r="B8" s="22"/>
      <c r="C8" s="22"/>
      <c r="D8" s="22"/>
      <c r="E8" s="23" t="str">
        <f>IF($D8="","",IFERROR(VLOOKUP($D8,'SAMA Consumables Tracker'!$A:$H,8,FALSE()),""))</f>
        <v/>
      </c>
      <c r="F8" s="24"/>
      <c r="G8" s="25" t="str">
        <f>IF($D8="","",IFERROR(VLOOKUP($D8,'SAMA Consumables Tracker'!$A:$D,4,FALSE()),""))</f>
        <v/>
      </c>
      <c r="H8" s="22"/>
      <c r="J8" t="s">
        <v>373</v>
      </c>
    </row>
    <row r="9" spans="1:10">
      <c r="A9" s="21"/>
      <c r="B9" s="22"/>
      <c r="C9" s="22"/>
      <c r="D9" s="22"/>
      <c r="E9" s="23" t="str">
        <f>IF($D9="","",IFERROR(VLOOKUP($D9,'SAMA Consumables Tracker'!$A:$H,8,FALSE()),""))</f>
        <v/>
      </c>
      <c r="F9" s="24"/>
      <c r="G9" s="25" t="str">
        <f>IF($D9="","",IFERROR(VLOOKUP($D9,'SAMA Consumables Tracker'!$A:$D,4,FALSE()),""))</f>
        <v/>
      </c>
      <c r="H9" s="22"/>
      <c r="J9" t="s">
        <v>375</v>
      </c>
    </row>
    <row r="10" spans="1:10">
      <c r="A10" s="21"/>
      <c r="B10" s="22"/>
      <c r="C10" s="22"/>
      <c r="D10" s="22"/>
      <c r="E10" s="23" t="str">
        <f>IF($D10="","",IFERROR(VLOOKUP($D10,'SAMA Consumables Tracker'!$A:$H,8,FALSE()),""))</f>
        <v/>
      </c>
      <c r="F10" s="24"/>
      <c r="G10" s="25" t="str">
        <f>IF($D10="","",IFERROR(VLOOKUP($D10,'SAMA Consumables Tracker'!$A:$D,4,FALSE()),""))</f>
        <v/>
      </c>
      <c r="H10" s="22"/>
      <c r="J10" t="s">
        <v>377</v>
      </c>
    </row>
    <row r="11" spans="1:10">
      <c r="A11" s="21"/>
      <c r="B11" s="22"/>
      <c r="C11" s="22"/>
      <c r="D11" s="22"/>
      <c r="E11" s="23" t="str">
        <f>IF($D11="","",IFERROR(VLOOKUP($D11,'SAMA Consumables Tracker'!$A:$H,8,FALSE()),""))</f>
        <v/>
      </c>
      <c r="F11" s="24"/>
      <c r="G11" s="25" t="str">
        <f>IF($D11="","",IFERROR(VLOOKUP($D11,'SAMA Consumables Tracker'!$A:$D,4,FALSE()),""))</f>
        <v/>
      </c>
      <c r="H11" s="22"/>
      <c r="J11" t="s">
        <v>379</v>
      </c>
    </row>
    <row r="12" spans="1:10">
      <c r="A12" s="21"/>
      <c r="B12" s="22"/>
      <c r="C12" s="22"/>
      <c r="D12" s="22"/>
      <c r="E12" s="23" t="str">
        <f>IF($D12="","",IFERROR(VLOOKUP($D12,'SAMA Consumables Tracker'!$A:$H,8,FALSE()),""))</f>
        <v/>
      </c>
      <c r="F12" s="24"/>
      <c r="G12" s="25" t="str">
        <f>IF($D12="","",IFERROR(VLOOKUP($D12,'SAMA Consumables Tracker'!$A:$D,4,FALSE()),""))</f>
        <v/>
      </c>
      <c r="H12" s="22"/>
      <c r="J12" t="s">
        <v>381</v>
      </c>
    </row>
    <row r="13" spans="1:10">
      <c r="A13" s="21"/>
      <c r="B13" s="22"/>
      <c r="C13" s="22"/>
      <c r="D13" s="22"/>
      <c r="E13" s="23" t="str">
        <f>IF($D13="","",IFERROR(VLOOKUP($D13,'SAMA Consumables Tracker'!$A:$H,8,FALSE()),""))</f>
        <v/>
      </c>
      <c r="F13" s="24"/>
      <c r="G13" s="25" t="str">
        <f>IF($D13="","",IFERROR(VLOOKUP($D13,'SAMA Consumables Tracker'!$A:$D,4,FALSE()),""))</f>
        <v/>
      </c>
      <c r="H13" s="22"/>
      <c r="J13" t="s">
        <v>383</v>
      </c>
    </row>
    <row r="14" spans="1:10">
      <c r="A14" s="21"/>
      <c r="B14" s="22"/>
      <c r="C14" s="22"/>
      <c r="D14" s="22"/>
      <c r="E14" s="23" t="str">
        <f>IF($D14="","",IFERROR(VLOOKUP($D14,'SAMA Consumables Tracker'!$A:$H,8,FALSE()),""))</f>
        <v/>
      </c>
      <c r="F14" s="24"/>
      <c r="G14" s="25" t="str">
        <f>IF($D14="","",IFERROR(VLOOKUP($D14,'SAMA Consumables Tracker'!$A:$D,4,FALSE()),""))</f>
        <v/>
      </c>
      <c r="H14" s="22"/>
      <c r="J14" t="s">
        <v>385</v>
      </c>
    </row>
    <row r="15" spans="1:10">
      <c r="A15" s="21"/>
      <c r="B15" s="22"/>
      <c r="C15" s="22"/>
      <c r="D15" s="22"/>
      <c r="E15" s="23" t="str">
        <f>IF($D15="","",IFERROR(VLOOKUP($D15,'SAMA Consumables Tracker'!$A:$H,8,FALSE()),""))</f>
        <v/>
      </c>
      <c r="F15" s="24"/>
      <c r="G15" s="25" t="str">
        <f>IF($D15="","",IFERROR(VLOOKUP($D15,'SAMA Consumables Tracker'!$A:$D,4,FALSE()),""))</f>
        <v/>
      </c>
      <c r="H15" s="22"/>
      <c r="J15" t="s">
        <v>386</v>
      </c>
    </row>
    <row r="16" spans="1:10">
      <c r="A16" s="21"/>
      <c r="B16" s="22"/>
      <c r="C16" s="22"/>
      <c r="D16" s="22"/>
      <c r="E16" s="23" t="str">
        <f>IF($D16="","",IFERROR(VLOOKUP($D16,'SAMA Consumables Tracker'!$A:$H,8,FALSE()),""))</f>
        <v/>
      </c>
      <c r="F16" s="24"/>
      <c r="G16" s="25" t="str">
        <f>IF($D16="","",IFERROR(VLOOKUP($D16,'SAMA Consumables Tracker'!$A:$D,4,FALSE()),""))</f>
        <v/>
      </c>
      <c r="H16" s="22"/>
      <c r="J16" t="s">
        <v>387</v>
      </c>
    </row>
    <row r="17" spans="1:10">
      <c r="A17" s="21"/>
      <c r="B17" s="22"/>
      <c r="C17" s="22"/>
      <c r="D17" s="22"/>
      <c r="E17" s="23" t="str">
        <f>IF($D17="","",IFERROR(VLOOKUP($D17,'SAMA Consumables Tracker'!$A:$H,8,FALSE()),""))</f>
        <v/>
      </c>
      <c r="F17" s="24"/>
      <c r="G17" s="25" t="str">
        <f>IF($D17="","",IFERROR(VLOOKUP($D17,'SAMA Consumables Tracker'!$A:$D,4,FALSE()),""))</f>
        <v/>
      </c>
      <c r="H17" s="22"/>
      <c r="J17" t="s">
        <v>389</v>
      </c>
    </row>
    <row r="18" spans="1:10">
      <c r="A18" s="21"/>
      <c r="B18" s="22"/>
      <c r="C18" s="22"/>
      <c r="D18" s="22"/>
      <c r="E18" s="23" t="str">
        <f>IF($D18="","",IFERROR(VLOOKUP($D18,'SAMA Consumables Tracker'!$A:$H,8,FALSE()),""))</f>
        <v/>
      </c>
      <c r="F18" s="24"/>
      <c r="G18" s="25" t="str">
        <f>IF($D18="","",IFERROR(VLOOKUP($D18,'SAMA Consumables Tracker'!$A:$D,4,FALSE()),""))</f>
        <v/>
      </c>
      <c r="H18" s="22"/>
      <c r="J18" t="s">
        <v>390</v>
      </c>
    </row>
    <row r="19" spans="1:10">
      <c r="A19" s="21"/>
      <c r="B19" s="22"/>
      <c r="C19" s="22"/>
      <c r="D19" s="22"/>
      <c r="E19" s="23" t="str">
        <f>IF($D19="","",IFERROR(VLOOKUP($D19,'SAMA Consumables Tracker'!$A:$H,8,FALSE()),""))</f>
        <v/>
      </c>
      <c r="F19" s="24"/>
      <c r="G19" s="25" t="str">
        <f>IF($D19="","",IFERROR(VLOOKUP($D19,'SAMA Consumables Tracker'!$A:$D,4,FALSE()),""))</f>
        <v/>
      </c>
      <c r="H19" s="22"/>
      <c r="J19" t="s">
        <v>391</v>
      </c>
    </row>
    <row r="20" spans="1:10">
      <c r="A20" s="21"/>
      <c r="B20" s="22"/>
      <c r="C20" s="22"/>
      <c r="D20" s="22"/>
      <c r="E20" s="23" t="str">
        <f>IF($D20="","",IFERROR(VLOOKUP($D20,'SAMA Consumables Tracker'!$A:$H,8,FALSE()),""))</f>
        <v/>
      </c>
      <c r="F20" s="24"/>
      <c r="G20" s="25" t="str">
        <f>IF($D20="","",IFERROR(VLOOKUP($D20,'SAMA Consumables Tracker'!$A:$D,4,FALSE()),""))</f>
        <v/>
      </c>
      <c r="H20" s="22"/>
      <c r="J20" t="s">
        <v>393</v>
      </c>
    </row>
    <row r="21" spans="1:10">
      <c r="A21" s="21"/>
      <c r="B21" s="22"/>
      <c r="C21" s="22"/>
      <c r="D21" s="22"/>
      <c r="E21" s="23" t="str">
        <f>IF($D21="","",IFERROR(VLOOKUP($D21,'SAMA Consumables Tracker'!$A:$H,8,FALSE()),""))</f>
        <v/>
      </c>
      <c r="F21" s="24"/>
      <c r="G21" s="25" t="str">
        <f>IF($D21="","",IFERROR(VLOOKUP($D21,'SAMA Consumables Tracker'!$A:$D,4,FALSE()),""))</f>
        <v/>
      </c>
      <c r="H21" s="22"/>
      <c r="J21" t="s">
        <v>395</v>
      </c>
    </row>
    <row r="22" spans="1:10">
      <c r="A22" s="21"/>
      <c r="B22" s="22"/>
      <c r="C22" s="22"/>
      <c r="D22" s="22"/>
      <c r="E22" s="23" t="str">
        <f>IF($D22="","",IFERROR(VLOOKUP($D22,'SAMA Consumables Tracker'!$A:$H,8,FALSE()),""))</f>
        <v/>
      </c>
      <c r="F22" s="24"/>
      <c r="G22" s="25" t="str">
        <f>IF($D22="","",IFERROR(VLOOKUP($D22,'SAMA Consumables Tracker'!$A:$D,4,FALSE()),""))</f>
        <v/>
      </c>
      <c r="H22" s="22"/>
    </row>
    <row r="23" spans="1:10">
      <c r="A23" s="21"/>
      <c r="B23" s="22"/>
      <c r="C23" s="22"/>
      <c r="D23" s="22"/>
      <c r="E23" s="23" t="str">
        <f>IF($D23="","",IFERROR(VLOOKUP($D23,'SAMA Consumables Tracker'!$A:$H,8,FALSE()),""))</f>
        <v/>
      </c>
      <c r="F23" s="24"/>
      <c r="G23" s="25" t="str">
        <f>IF($D23="","",IFERROR(VLOOKUP($D23,'SAMA Consumables Tracker'!$A:$D,4,FALSE()),""))</f>
        <v/>
      </c>
      <c r="H23" s="22"/>
    </row>
    <row r="24" spans="1:10">
      <c r="A24" s="21"/>
      <c r="B24" s="22"/>
      <c r="C24" s="22"/>
      <c r="D24" s="22"/>
      <c r="E24" s="23" t="str">
        <f>IF($D24="","",IFERROR(VLOOKUP($D24,'SAMA Consumables Tracker'!$A:$H,8,FALSE()),""))</f>
        <v/>
      </c>
      <c r="F24" s="24"/>
      <c r="G24" s="25" t="str">
        <f>IF($D24="","",IFERROR(VLOOKUP($D24,'SAMA Consumables Tracker'!$A:$D,4,FALSE()),""))</f>
        <v/>
      </c>
      <c r="H24" s="22"/>
    </row>
    <row r="25" spans="1:10">
      <c r="A25" s="21"/>
      <c r="B25" s="22"/>
      <c r="C25" s="22"/>
      <c r="D25" s="22"/>
      <c r="E25" s="23" t="str">
        <f>IF($D25="","",IFERROR(VLOOKUP($D25,'SAMA Consumables Tracker'!$A:$H,8,FALSE()),""))</f>
        <v/>
      </c>
      <c r="F25" s="24"/>
      <c r="G25" s="25" t="str">
        <f>IF($D25="","",IFERROR(VLOOKUP($D25,'SAMA Consumables Tracker'!$A:$D,4,FALSE()),""))</f>
        <v/>
      </c>
      <c r="H25" s="22"/>
    </row>
    <row r="26" spans="1:10">
      <c r="A26" s="21"/>
      <c r="B26" s="22"/>
      <c r="C26" s="22"/>
      <c r="D26" s="22"/>
      <c r="E26" s="23" t="str">
        <f>IF($D26="","",IFERROR(VLOOKUP($D26,'SAMA Consumables Tracker'!$A:$H,8,FALSE()),""))</f>
        <v/>
      </c>
      <c r="F26" s="24"/>
      <c r="G26" s="25" t="str">
        <f>IF($D26="","",IFERROR(VLOOKUP($D26,'SAMA Consumables Tracker'!$A:$D,4,FALSE()),""))</f>
        <v/>
      </c>
      <c r="H26" s="22"/>
    </row>
    <row r="27" spans="1:10">
      <c r="A27" s="21"/>
      <c r="B27" s="22"/>
      <c r="C27" s="22"/>
      <c r="D27" s="22"/>
      <c r="E27" s="23" t="str">
        <f>IF($D27="","",IFERROR(VLOOKUP($D27,'SAMA Consumables Tracker'!$A:$H,8,FALSE()),""))</f>
        <v/>
      </c>
      <c r="F27" s="24"/>
      <c r="G27" s="25" t="str">
        <f>IF($D27="","",IFERROR(VLOOKUP($D27,'SAMA Consumables Tracker'!$A:$D,4,FALSE()),""))</f>
        <v/>
      </c>
      <c r="H27" s="22"/>
    </row>
    <row r="28" spans="1:10">
      <c r="A28" s="21"/>
      <c r="B28" s="22"/>
      <c r="C28" s="22"/>
      <c r="D28" s="22"/>
      <c r="E28" s="23" t="str">
        <f>IF($D28="","",IFERROR(VLOOKUP($D28,'SAMA Consumables Tracker'!$A:$H,8,FALSE()),""))</f>
        <v/>
      </c>
      <c r="F28" s="24"/>
      <c r="G28" s="25" t="str">
        <f>IF($D28="","",IFERROR(VLOOKUP($D28,'SAMA Consumables Tracker'!$A:$D,4,FALSE()),""))</f>
        <v/>
      </c>
      <c r="H28" s="22"/>
    </row>
    <row r="29" spans="1:10">
      <c r="A29" s="21"/>
      <c r="B29" s="22"/>
      <c r="C29" s="22"/>
      <c r="D29" s="22"/>
      <c r="E29" s="23" t="str">
        <f>IF($D29="","",IFERROR(VLOOKUP($D29,'SAMA Consumables Tracker'!$A:$H,8,FALSE()),""))</f>
        <v/>
      </c>
      <c r="F29" s="24"/>
      <c r="G29" s="25" t="str">
        <f>IF($D29="","",IFERROR(VLOOKUP($D29,'SAMA Consumables Tracker'!$A:$D,4,FALSE()),""))</f>
        <v/>
      </c>
      <c r="H29" s="22"/>
    </row>
    <row r="30" spans="1:10">
      <c r="A30" s="21"/>
      <c r="B30" s="22"/>
      <c r="C30" s="22"/>
      <c r="D30" s="22"/>
      <c r="E30" s="23" t="str">
        <f>IF($D30="","",IFERROR(VLOOKUP($D30,'SAMA Consumables Tracker'!$A:$H,8,FALSE()),""))</f>
        <v/>
      </c>
      <c r="F30" s="24"/>
      <c r="G30" s="25" t="str">
        <f>IF($D30="","",IFERROR(VLOOKUP($D30,'SAMA Consumables Tracker'!$A:$D,4,FALSE()),""))</f>
        <v/>
      </c>
      <c r="H30" s="22"/>
    </row>
    <row r="31" spans="1:10">
      <c r="A31" s="21"/>
      <c r="B31" s="22"/>
      <c r="C31" s="22"/>
      <c r="D31" s="22"/>
      <c r="E31" s="23" t="str">
        <f>IF($D31="","",IFERROR(VLOOKUP($D31,'SAMA Consumables Tracker'!$A:$H,8,FALSE()),""))</f>
        <v/>
      </c>
      <c r="F31" s="24"/>
      <c r="G31" s="25" t="str">
        <f>IF($D31="","",IFERROR(VLOOKUP($D31,'SAMA Consumables Tracker'!$A:$D,4,FALSE()),""))</f>
        <v/>
      </c>
      <c r="H31" s="22"/>
    </row>
    <row r="32" spans="1:10">
      <c r="A32" s="21"/>
      <c r="B32" s="22"/>
      <c r="C32" s="22"/>
      <c r="D32" s="22"/>
      <c r="E32" s="23" t="str">
        <f>IF($D32="","",IFERROR(VLOOKUP($D32,'SAMA Consumables Tracker'!$A:$H,8,FALSE()),""))</f>
        <v/>
      </c>
      <c r="F32" s="24"/>
      <c r="G32" s="25" t="str">
        <f>IF($D32="","",IFERROR(VLOOKUP($D32,'SAMA Consumables Tracker'!$A:$D,4,FALSE()),""))</f>
        <v/>
      </c>
      <c r="H32" s="22"/>
    </row>
    <row r="33" spans="1:8">
      <c r="A33" s="21"/>
      <c r="B33" s="22"/>
      <c r="C33" s="22"/>
      <c r="D33" s="22"/>
      <c r="E33" s="23" t="str">
        <f>IF($D33="","",IFERROR(VLOOKUP($D33,'SAMA Consumables Tracker'!$A:$H,8,FALSE()),""))</f>
        <v/>
      </c>
      <c r="F33" s="24"/>
      <c r="G33" s="25" t="str">
        <f>IF($D33="","",IFERROR(VLOOKUP($D33,'SAMA Consumables Tracker'!$A:$D,4,FALSE()),""))</f>
        <v/>
      </c>
      <c r="H33" s="22"/>
    </row>
    <row r="34" spans="1:8">
      <c r="A34" s="21"/>
      <c r="B34" s="22"/>
      <c r="C34" s="22"/>
      <c r="D34" s="22"/>
      <c r="E34" s="23" t="str">
        <f>IF($D34="","",IFERROR(VLOOKUP($D34,'SAMA Consumables Tracker'!$A:$H,8,FALSE()),""))</f>
        <v/>
      </c>
      <c r="F34" s="24"/>
      <c r="G34" s="25" t="str">
        <f>IF($D34="","",IFERROR(VLOOKUP($D34,'SAMA Consumables Tracker'!$A:$D,4,FALSE()),""))</f>
        <v/>
      </c>
      <c r="H34" s="22"/>
    </row>
    <row r="35" spans="1:8">
      <c r="A35" s="21"/>
      <c r="B35" s="22"/>
      <c r="C35" s="22"/>
      <c r="D35" s="22"/>
      <c r="E35" s="23" t="str">
        <f>IF($D35="","",IFERROR(VLOOKUP($D35,'SAMA Consumables Tracker'!$A:$H,8,FALSE()),""))</f>
        <v/>
      </c>
      <c r="F35" s="24"/>
      <c r="G35" s="25" t="str">
        <f>IF($D35="","",IFERROR(VLOOKUP($D35,'SAMA Consumables Tracker'!$A:$D,4,FALSE()),""))</f>
        <v/>
      </c>
      <c r="H35" s="22"/>
    </row>
    <row r="36" spans="1:8">
      <c r="A36" s="21"/>
      <c r="B36" s="22"/>
      <c r="C36" s="22"/>
      <c r="D36" s="22"/>
      <c r="E36" s="23" t="str">
        <f>IF($D36="","",IFERROR(VLOOKUP($D36,'SAMA Consumables Tracker'!$A:$H,8,FALSE()),""))</f>
        <v/>
      </c>
      <c r="F36" s="24"/>
      <c r="G36" s="25" t="str">
        <f>IF($D36="","",IFERROR(VLOOKUP($D36,'SAMA Consumables Tracker'!$A:$D,4,FALSE()),""))</f>
        <v/>
      </c>
      <c r="H36" s="22"/>
    </row>
    <row r="37" spans="1:8">
      <c r="A37" s="21"/>
      <c r="B37" s="22"/>
      <c r="C37" s="22"/>
      <c r="D37" s="22"/>
      <c r="E37" s="23" t="str">
        <f>IF($D37="","",IFERROR(VLOOKUP($D37,'SAMA Consumables Tracker'!$A:$H,8,FALSE()),""))</f>
        <v/>
      </c>
      <c r="F37" s="24"/>
      <c r="G37" s="25" t="str">
        <f>IF($D37="","",IFERROR(VLOOKUP($D37,'SAMA Consumables Tracker'!$A:$D,4,FALSE()),""))</f>
        <v/>
      </c>
      <c r="H37" s="22"/>
    </row>
    <row r="38" spans="1:8">
      <c r="A38" s="21"/>
      <c r="B38" s="22"/>
      <c r="C38" s="22"/>
      <c r="D38" s="22"/>
      <c r="E38" s="23" t="str">
        <f>IF($D38="","",IFERROR(VLOOKUP($D38,'SAMA Consumables Tracker'!$A:$H,8,FALSE()),""))</f>
        <v/>
      </c>
      <c r="F38" s="24"/>
      <c r="G38" s="25" t="str">
        <f>IF($D38="","",IFERROR(VLOOKUP($D38,'SAMA Consumables Tracker'!$A:$D,4,FALSE()),""))</f>
        <v/>
      </c>
      <c r="H38" s="22"/>
    </row>
    <row r="39" spans="1:8">
      <c r="A39" s="21"/>
      <c r="B39" s="22"/>
      <c r="C39" s="22"/>
      <c r="D39" s="22"/>
      <c r="E39" s="23" t="str">
        <f>IF($D39="","",IFERROR(VLOOKUP($D39,'SAMA Consumables Tracker'!$A:$H,8,FALSE()),""))</f>
        <v/>
      </c>
      <c r="F39" s="24"/>
      <c r="G39" s="25" t="str">
        <f>IF($D39="","",IFERROR(VLOOKUP($D39,'SAMA Consumables Tracker'!$A:$D,4,FALSE()),""))</f>
        <v/>
      </c>
      <c r="H39" s="22"/>
    </row>
    <row r="40" spans="1:8">
      <c r="A40" s="21"/>
      <c r="B40" s="22"/>
      <c r="C40" s="22"/>
      <c r="D40" s="22"/>
      <c r="E40" s="23" t="str">
        <f>IF($D40="","",IFERROR(VLOOKUP($D40,'SAMA Consumables Tracker'!$A:$H,8,FALSE()),""))</f>
        <v/>
      </c>
      <c r="F40" s="24"/>
      <c r="G40" s="25" t="str">
        <f>IF($D40="","",IFERROR(VLOOKUP($D40,'SAMA Consumables Tracker'!$A:$D,4,FALSE()),""))</f>
        <v/>
      </c>
      <c r="H40" s="22"/>
    </row>
    <row r="41" spans="1:8">
      <c r="A41" s="21"/>
      <c r="B41" s="22"/>
      <c r="C41" s="22"/>
      <c r="D41" s="22"/>
      <c r="E41" s="23" t="str">
        <f>IF($D41="","",IFERROR(VLOOKUP($D41,'SAMA Consumables Tracker'!$A:$H,8,FALSE()),""))</f>
        <v/>
      </c>
      <c r="F41" s="24"/>
      <c r="G41" s="25" t="str">
        <f>IF($D41="","",IFERROR(VLOOKUP($D41,'SAMA Consumables Tracker'!$A:$D,4,FALSE()),""))</f>
        <v/>
      </c>
      <c r="H41" s="22"/>
    </row>
    <row r="42" spans="1:8">
      <c r="A42" s="21"/>
      <c r="B42" s="22"/>
      <c r="C42" s="22"/>
      <c r="D42" s="22"/>
      <c r="E42" s="23" t="str">
        <f>IF($D42="","",IFERROR(VLOOKUP($D42,'SAMA Consumables Tracker'!$A:$H,8,FALSE()),""))</f>
        <v/>
      </c>
      <c r="F42" s="24"/>
      <c r="G42" s="25" t="str">
        <f>IF($D42="","",IFERROR(VLOOKUP($D42,'SAMA Consumables Tracker'!$A:$D,4,FALSE()),""))</f>
        <v/>
      </c>
      <c r="H42" s="22"/>
    </row>
    <row r="43" spans="1:8">
      <c r="A43" s="21"/>
      <c r="B43" s="22"/>
      <c r="C43" s="22"/>
      <c r="D43" s="22"/>
      <c r="E43" s="23" t="str">
        <f>IF($D43="","",IFERROR(VLOOKUP($D43,'SAMA Consumables Tracker'!$A:$H,8,FALSE()),""))</f>
        <v/>
      </c>
      <c r="F43" s="24"/>
      <c r="G43" s="25" t="str">
        <f>IF($D43="","",IFERROR(VLOOKUP($D43,'SAMA Consumables Tracker'!$A:$D,4,FALSE()),""))</f>
        <v/>
      </c>
      <c r="H43" s="22"/>
    </row>
    <row r="44" spans="1:8">
      <c r="A44" s="21"/>
      <c r="B44" s="22"/>
      <c r="C44" s="22"/>
      <c r="D44" s="22"/>
      <c r="E44" s="23" t="str">
        <f>IF($D44="","",IFERROR(VLOOKUP($D44,'SAMA Consumables Tracker'!$A:$H,8,FALSE()),""))</f>
        <v/>
      </c>
      <c r="F44" s="24"/>
      <c r="G44" s="25" t="str">
        <f>IF($D44="","",IFERROR(VLOOKUP($D44,'SAMA Consumables Tracker'!$A:$D,4,FALSE()),""))</f>
        <v/>
      </c>
      <c r="H44" s="22"/>
    </row>
    <row r="45" spans="1:8">
      <c r="A45" s="21"/>
      <c r="B45" s="22"/>
      <c r="C45" s="22"/>
      <c r="D45" s="22"/>
      <c r="E45" s="23" t="str">
        <f>IF($D45="","",IFERROR(VLOOKUP($D45,'SAMA Consumables Tracker'!$A:$H,8,FALSE()),""))</f>
        <v/>
      </c>
      <c r="F45" s="24"/>
      <c r="G45" s="25" t="str">
        <f>IF($D45="","",IFERROR(VLOOKUP($D45,'SAMA Consumables Tracker'!$A:$D,4,FALSE()),""))</f>
        <v/>
      </c>
      <c r="H45" s="22"/>
    </row>
    <row r="46" spans="1:8">
      <c r="A46" s="21"/>
      <c r="B46" s="22"/>
      <c r="C46" s="22"/>
      <c r="D46" s="22"/>
      <c r="E46" s="23" t="str">
        <f>IF($D46="","",IFERROR(VLOOKUP($D46,'SAMA Consumables Tracker'!$A:$H,8,FALSE()),""))</f>
        <v/>
      </c>
      <c r="F46" s="24"/>
      <c r="G46" s="25" t="str">
        <f>IF($D46="","",IFERROR(VLOOKUP($D46,'SAMA Consumables Tracker'!$A:$D,4,FALSE()),""))</f>
        <v/>
      </c>
      <c r="H46" s="22"/>
    </row>
    <row r="47" spans="1:8">
      <c r="A47" s="21"/>
      <c r="B47" s="22"/>
      <c r="C47" s="22"/>
      <c r="D47" s="22"/>
      <c r="E47" s="23" t="str">
        <f>IF($D47="","",IFERROR(VLOOKUP($D47,'SAMA Consumables Tracker'!$A:$H,8,FALSE()),""))</f>
        <v/>
      </c>
      <c r="F47" s="24"/>
      <c r="G47" s="25" t="str">
        <f>IF($D47="","",IFERROR(VLOOKUP($D47,'SAMA Consumables Tracker'!$A:$D,4,FALSE()),""))</f>
        <v/>
      </c>
      <c r="H47" s="22"/>
    </row>
    <row r="48" spans="1:8">
      <c r="A48" s="21"/>
      <c r="B48" s="22"/>
      <c r="C48" s="22"/>
      <c r="D48" s="22"/>
      <c r="E48" s="23" t="str">
        <f>IF($D48="","",IFERROR(VLOOKUP($D48,'SAMA Consumables Tracker'!$A:$H,8,FALSE()),""))</f>
        <v/>
      </c>
      <c r="F48" s="24"/>
      <c r="G48" s="25" t="str">
        <f>IF($D48="","",IFERROR(VLOOKUP($D48,'SAMA Consumables Tracker'!$A:$D,4,FALSE()),""))</f>
        <v/>
      </c>
      <c r="H48" s="22"/>
    </row>
    <row r="49" spans="1:8">
      <c r="A49" s="21"/>
      <c r="B49" s="22"/>
      <c r="C49" s="22"/>
      <c r="D49" s="22"/>
      <c r="E49" s="23" t="str">
        <f>IF($D49="","",IFERROR(VLOOKUP($D49,'SAMA Consumables Tracker'!$A:$H,8,FALSE()),""))</f>
        <v/>
      </c>
      <c r="F49" s="24"/>
      <c r="G49" s="25" t="str">
        <f>IF($D49="","",IFERROR(VLOOKUP($D49,'SAMA Consumables Tracker'!$A:$D,4,FALSE()),""))</f>
        <v/>
      </c>
      <c r="H49" s="22"/>
    </row>
    <row r="50" spans="1:8">
      <c r="A50" s="21"/>
      <c r="B50" s="22"/>
      <c r="C50" s="22"/>
      <c r="D50" s="22"/>
      <c r="E50" s="23" t="str">
        <f>IF($D50="","",IFERROR(VLOOKUP($D50,'SAMA Consumables Tracker'!$A:$H,8,FALSE()),""))</f>
        <v/>
      </c>
      <c r="F50" s="24"/>
      <c r="G50" s="25" t="str">
        <f>IF($D50="","",IFERROR(VLOOKUP($D50,'SAMA Consumables Tracker'!$A:$D,4,FALSE()),""))</f>
        <v/>
      </c>
      <c r="H50" s="22"/>
    </row>
    <row r="51" spans="1:8">
      <c r="A51" s="21"/>
      <c r="B51" s="22"/>
      <c r="C51" s="22"/>
      <c r="D51" s="22"/>
      <c r="E51" s="23" t="str">
        <f>IF($D51="","",IFERROR(VLOOKUP($D51,'SAMA Consumables Tracker'!$A:$H,8,FALSE()),""))</f>
        <v/>
      </c>
      <c r="F51" s="24"/>
      <c r="G51" s="25" t="str">
        <f>IF($D51="","",IFERROR(VLOOKUP($D51,'SAMA Consumables Tracker'!$A:$D,4,FALSE()),""))</f>
        <v/>
      </c>
      <c r="H51" s="22"/>
    </row>
    <row r="52" spans="1:8">
      <c r="A52" s="21"/>
      <c r="B52" s="22"/>
      <c r="C52" s="22"/>
      <c r="D52" s="22"/>
      <c r="E52" s="23" t="str">
        <f>IF($D52="","",IFERROR(VLOOKUP($D52,'SAMA Consumables Tracker'!$A:$H,8,FALSE()),""))</f>
        <v/>
      </c>
      <c r="F52" s="24"/>
      <c r="G52" s="25" t="str">
        <f>IF($D52="","",IFERROR(VLOOKUP($D52,'SAMA Consumables Tracker'!$A:$D,4,FALSE()),""))</f>
        <v/>
      </c>
      <c r="H52" s="22"/>
    </row>
    <row r="53" spans="1:8">
      <c r="A53" s="21"/>
      <c r="B53" s="22"/>
      <c r="C53" s="22"/>
      <c r="D53" s="22"/>
      <c r="E53" s="23" t="str">
        <f>IF($D53="","",IFERROR(VLOOKUP($D53,'SAMA Consumables Tracker'!$A:$H,8,FALSE()),""))</f>
        <v/>
      </c>
      <c r="F53" s="24"/>
      <c r="G53" s="25" t="str">
        <f>IF($D53="","",IFERROR(VLOOKUP($D53,'SAMA Consumables Tracker'!$A:$D,4,FALSE()),""))</f>
        <v/>
      </c>
      <c r="H53" s="22"/>
    </row>
    <row r="54" spans="1:8">
      <c r="A54" s="21"/>
      <c r="B54" s="22"/>
      <c r="C54" s="22"/>
      <c r="D54" s="22"/>
      <c r="E54" s="23" t="str">
        <f>IF($D54="","",IFERROR(VLOOKUP($D54,'SAMA Consumables Tracker'!$A:$H,8,FALSE()),""))</f>
        <v/>
      </c>
      <c r="F54" s="24"/>
      <c r="G54" s="25" t="str">
        <f>IF($D54="","",IFERROR(VLOOKUP($D54,'SAMA Consumables Tracker'!$A:$D,4,FALSE()),""))</f>
        <v/>
      </c>
      <c r="H54" s="22"/>
    </row>
    <row r="55" spans="1:8">
      <c r="A55" s="21"/>
      <c r="B55" s="22"/>
      <c r="C55" s="22"/>
      <c r="D55" s="22"/>
      <c r="E55" s="23" t="str">
        <f>IF($D55="","",IFERROR(VLOOKUP($D55,'SAMA Consumables Tracker'!$A:$H,8,FALSE()),""))</f>
        <v/>
      </c>
      <c r="F55" s="24"/>
      <c r="G55" s="25" t="str">
        <f>IF($D55="","",IFERROR(VLOOKUP($D55,'SAMA Consumables Tracker'!$A:$D,4,FALSE()),""))</f>
        <v/>
      </c>
      <c r="H55" s="22"/>
    </row>
    <row r="56" spans="1:8">
      <c r="A56" s="21"/>
      <c r="B56" s="22"/>
      <c r="C56" s="22"/>
      <c r="D56" s="22"/>
      <c r="E56" s="23" t="str">
        <f>IF($D56="","",IFERROR(VLOOKUP($D56,'SAMA Consumables Tracker'!$A:$H,8,FALSE()),""))</f>
        <v/>
      </c>
      <c r="F56" s="24"/>
      <c r="G56" s="25" t="str">
        <f>IF($D56="","",IFERROR(VLOOKUP($D56,'SAMA Consumables Tracker'!$A:$D,4,FALSE()),""))</f>
        <v/>
      </c>
      <c r="H56" s="22"/>
    </row>
    <row r="57" spans="1:8">
      <c r="A57" s="21"/>
      <c r="B57" s="22"/>
      <c r="C57" s="22"/>
      <c r="D57" s="22"/>
      <c r="E57" s="23" t="str">
        <f>IF($D57="","",IFERROR(VLOOKUP($D57,'SAMA Consumables Tracker'!$A:$H,8,FALSE()),""))</f>
        <v/>
      </c>
      <c r="F57" s="24"/>
      <c r="G57" s="25" t="str">
        <f>IF($D57="","",IFERROR(VLOOKUP($D57,'SAMA Consumables Tracker'!$A:$D,4,FALSE()),""))</f>
        <v/>
      </c>
      <c r="H57" s="22"/>
    </row>
    <row r="58" spans="1:8">
      <c r="A58" s="21"/>
      <c r="B58" s="22"/>
      <c r="C58" s="22"/>
      <c r="D58" s="22"/>
      <c r="E58" s="23" t="str">
        <f>IF($D58="","",IFERROR(VLOOKUP($D58,'SAMA Consumables Tracker'!$A:$H,8,FALSE()),""))</f>
        <v/>
      </c>
      <c r="F58" s="24"/>
      <c r="G58" s="25" t="str">
        <f>IF($D58="","",IFERROR(VLOOKUP($D58,'SAMA Consumables Tracker'!$A:$D,4,FALSE()),""))</f>
        <v/>
      </c>
      <c r="H58" s="22"/>
    </row>
    <row r="59" spans="1:8">
      <c r="A59" s="21"/>
      <c r="B59" s="22"/>
      <c r="C59" s="22"/>
      <c r="D59" s="22"/>
      <c r="E59" s="23" t="str">
        <f>IF($D59="","",IFERROR(VLOOKUP($D59,'SAMA Consumables Tracker'!$A:$H,8,FALSE()),""))</f>
        <v/>
      </c>
      <c r="F59" s="24"/>
      <c r="G59" s="25" t="str">
        <f>IF($D59="","",IFERROR(VLOOKUP($D59,'SAMA Consumables Tracker'!$A:$D,4,FALSE()),""))</f>
        <v/>
      </c>
      <c r="H59" s="22"/>
    </row>
    <row r="60" spans="1:8">
      <c r="A60" s="21"/>
      <c r="B60" s="22"/>
      <c r="C60" s="22"/>
      <c r="D60" s="22"/>
      <c r="E60" s="23" t="str">
        <f>IF($D60="","",IFERROR(VLOOKUP($D60,'SAMA Consumables Tracker'!$A:$H,8,FALSE()),""))</f>
        <v/>
      </c>
      <c r="F60" s="24"/>
      <c r="G60" s="25" t="str">
        <f>IF($D60="","",IFERROR(VLOOKUP($D60,'SAMA Consumables Tracker'!$A:$D,4,FALSE()),""))</f>
        <v/>
      </c>
      <c r="H60" s="22"/>
    </row>
    <row r="61" spans="1:8">
      <c r="A61" s="21"/>
      <c r="B61" s="22"/>
      <c r="C61" s="22"/>
      <c r="D61" s="22"/>
      <c r="E61" s="23" t="str">
        <f>IF($D61="","",IFERROR(VLOOKUP($D61,'SAMA Consumables Tracker'!$A:$H,8,FALSE()),""))</f>
        <v/>
      </c>
      <c r="F61" s="24"/>
      <c r="G61" s="25" t="str">
        <f>IF($D61="","",IFERROR(VLOOKUP($D61,'SAMA Consumables Tracker'!$A:$D,4,FALSE()),""))</f>
        <v/>
      </c>
      <c r="H61" s="22"/>
    </row>
    <row r="62" spans="1:8">
      <c r="A62" s="21"/>
      <c r="B62" s="22"/>
      <c r="C62" s="22"/>
      <c r="D62" s="22"/>
      <c r="E62" s="23" t="str">
        <f>IF($D62="","",IFERROR(VLOOKUP($D62,'SAMA Consumables Tracker'!$A:$H,8,FALSE()),""))</f>
        <v/>
      </c>
      <c r="F62" s="24"/>
      <c r="G62" s="25" t="str">
        <f>IF($D62="","",IFERROR(VLOOKUP($D62,'SAMA Consumables Tracker'!$A:$D,4,FALSE()),""))</f>
        <v/>
      </c>
      <c r="H62" s="22"/>
    </row>
    <row r="63" spans="1:8">
      <c r="A63" s="21"/>
      <c r="B63" s="22"/>
      <c r="C63" s="22"/>
      <c r="D63" s="22"/>
      <c r="E63" s="23" t="str">
        <f>IF($D63="","",IFERROR(VLOOKUP($D63,'SAMA Consumables Tracker'!$A:$H,8,FALSE()),""))</f>
        <v/>
      </c>
      <c r="F63" s="24"/>
      <c r="G63" s="25" t="str">
        <f>IF($D63="","",IFERROR(VLOOKUP($D63,'SAMA Consumables Tracker'!$A:$D,4,FALSE()),""))</f>
        <v/>
      </c>
      <c r="H63" s="22"/>
    </row>
    <row r="64" spans="1:8">
      <c r="A64" s="21"/>
      <c r="B64" s="22"/>
      <c r="C64" s="22"/>
      <c r="D64" s="22"/>
      <c r="E64" s="23" t="str">
        <f>IF($D64="","",IFERROR(VLOOKUP($D64,'SAMA Consumables Tracker'!$A:$H,8,FALSE()),""))</f>
        <v/>
      </c>
      <c r="F64" s="24"/>
      <c r="G64" s="25" t="str">
        <f>IF($D64="","",IFERROR(VLOOKUP($D64,'SAMA Consumables Tracker'!$A:$D,4,FALSE()),""))</f>
        <v/>
      </c>
      <c r="H64" s="22"/>
    </row>
    <row r="65" spans="1:8">
      <c r="A65" s="21"/>
      <c r="B65" s="22"/>
      <c r="C65" s="22"/>
      <c r="D65" s="22"/>
      <c r="E65" s="23" t="str">
        <f>IF($D65="","",IFERROR(VLOOKUP($D65,'SAMA Consumables Tracker'!$A:$H,8,FALSE()),""))</f>
        <v/>
      </c>
      <c r="F65" s="24"/>
      <c r="G65" s="25" t="str">
        <f>IF($D65="","",IFERROR(VLOOKUP($D65,'SAMA Consumables Tracker'!$A:$D,4,FALSE()),""))</f>
        <v/>
      </c>
      <c r="H65" s="22"/>
    </row>
    <row r="66" spans="1:8">
      <c r="A66" s="21"/>
      <c r="B66" s="22"/>
      <c r="C66" s="22"/>
      <c r="D66" s="22"/>
      <c r="E66" s="23" t="str">
        <f>IF($D66="","",IFERROR(VLOOKUP($D66,'SAMA Consumables Tracker'!$A:$H,8,FALSE()),""))</f>
        <v/>
      </c>
      <c r="F66" s="24"/>
      <c r="G66" s="25" t="str">
        <f>IF($D66="","",IFERROR(VLOOKUP($D66,'SAMA Consumables Tracker'!$A:$D,4,FALSE()),""))</f>
        <v/>
      </c>
      <c r="H66" s="22"/>
    </row>
    <row r="67" spans="1:8">
      <c r="A67" s="21"/>
      <c r="B67" s="22"/>
      <c r="C67" s="22"/>
      <c r="D67" s="22"/>
      <c r="E67" s="23" t="str">
        <f>IF($D67="","",IFERROR(VLOOKUP($D67,'SAMA Consumables Tracker'!$A:$H,8,FALSE()),""))</f>
        <v/>
      </c>
      <c r="F67" s="24"/>
      <c r="G67" s="25" t="str">
        <f>IF($D67="","",IFERROR(VLOOKUP($D67,'SAMA Consumables Tracker'!$A:$D,4,FALSE()),""))</f>
        <v/>
      </c>
      <c r="H67" s="22"/>
    </row>
    <row r="68" spans="1:8">
      <c r="A68" s="21"/>
      <c r="B68" s="22"/>
      <c r="C68" s="22"/>
      <c r="D68" s="22"/>
      <c r="E68" s="23" t="str">
        <f>IF($D68="","",IFERROR(VLOOKUP($D68,'SAMA Consumables Tracker'!$A:$H,8,FALSE()),""))</f>
        <v/>
      </c>
      <c r="F68" s="24"/>
      <c r="G68" s="25" t="str">
        <f>IF($D68="","",IFERROR(VLOOKUP($D68,'SAMA Consumables Tracker'!$A:$D,4,FALSE()),""))</f>
        <v/>
      </c>
      <c r="H68" s="22"/>
    </row>
    <row r="69" spans="1:8">
      <c r="A69" s="21"/>
      <c r="B69" s="22"/>
      <c r="C69" s="22"/>
      <c r="D69" s="22"/>
      <c r="E69" s="23" t="str">
        <f>IF($D69="","",IFERROR(VLOOKUP($D69,'SAMA Consumables Tracker'!$A:$H,8,FALSE()),""))</f>
        <v/>
      </c>
      <c r="F69" s="24"/>
      <c r="G69" s="25" t="str">
        <f>IF($D69="","",IFERROR(VLOOKUP($D69,'SAMA Consumables Tracker'!$A:$D,4,FALSE()),""))</f>
        <v/>
      </c>
      <c r="H69" s="22"/>
    </row>
    <row r="70" spans="1:8">
      <c r="A70" s="21"/>
      <c r="B70" s="22"/>
      <c r="C70" s="22"/>
      <c r="D70" s="22"/>
      <c r="E70" s="23" t="str">
        <f>IF($D70="","",IFERROR(VLOOKUP($D70,'SAMA Consumables Tracker'!$A:$H,8,FALSE()),""))</f>
        <v/>
      </c>
      <c r="F70" s="24"/>
      <c r="G70" s="25" t="str">
        <f>IF($D70="","",IFERROR(VLOOKUP($D70,'SAMA Consumables Tracker'!$A:$D,4,FALSE()),""))</f>
        <v/>
      </c>
      <c r="H70" s="22"/>
    </row>
    <row r="71" spans="1:8">
      <c r="A71" s="21"/>
      <c r="B71" s="22"/>
      <c r="C71" s="22"/>
      <c r="D71" s="22"/>
      <c r="E71" s="23" t="str">
        <f>IF($D71="","",IFERROR(VLOOKUP($D71,'SAMA Consumables Tracker'!$A:$H,8,FALSE()),""))</f>
        <v/>
      </c>
      <c r="F71" s="24"/>
      <c r="G71" s="25" t="str">
        <f>IF($D71="","",IFERROR(VLOOKUP($D71,'SAMA Consumables Tracker'!$A:$D,4,FALSE()),""))</f>
        <v/>
      </c>
      <c r="H71" s="22"/>
    </row>
    <row r="72" spans="1:8">
      <c r="A72" s="21"/>
      <c r="B72" s="22"/>
      <c r="C72" s="22"/>
      <c r="D72" s="22"/>
      <c r="E72" s="23" t="str">
        <f>IF($D72="","",IFERROR(VLOOKUP($D72,'SAMA Consumables Tracker'!$A:$H,8,FALSE()),""))</f>
        <v/>
      </c>
      <c r="F72" s="24"/>
      <c r="G72" s="25" t="str">
        <f>IF($D72="","",IFERROR(VLOOKUP($D72,'SAMA Consumables Tracker'!$A:$D,4,FALSE()),""))</f>
        <v/>
      </c>
      <c r="H72" s="22"/>
    </row>
    <row r="73" spans="1:8">
      <c r="A73" s="21"/>
      <c r="B73" s="22"/>
      <c r="C73" s="22"/>
      <c r="D73" s="22"/>
      <c r="E73" s="23" t="str">
        <f>IF($D73="","",IFERROR(VLOOKUP($D73,'SAMA Consumables Tracker'!$A:$H,8,FALSE()),""))</f>
        <v/>
      </c>
      <c r="F73" s="24"/>
      <c r="G73" s="25" t="str">
        <f>IF($D73="","",IFERROR(VLOOKUP($D73,'SAMA Consumables Tracker'!$A:$D,4,FALSE()),""))</f>
        <v/>
      </c>
      <c r="H73" s="22"/>
    </row>
    <row r="74" spans="1:8">
      <c r="A74" s="21"/>
      <c r="B74" s="22"/>
      <c r="C74" s="22"/>
      <c r="D74" s="22"/>
      <c r="E74" s="23" t="str">
        <f>IF($D74="","",IFERROR(VLOOKUP($D74,'SAMA Consumables Tracker'!$A:$H,8,FALSE()),""))</f>
        <v/>
      </c>
      <c r="F74" s="24"/>
      <c r="G74" s="25" t="str">
        <f>IF($D74="","",IFERROR(VLOOKUP($D74,'SAMA Consumables Tracker'!$A:$D,4,FALSE()),""))</f>
        <v/>
      </c>
      <c r="H74" s="22"/>
    </row>
    <row r="75" spans="1:8">
      <c r="A75" s="21"/>
      <c r="B75" s="22"/>
      <c r="C75" s="22"/>
      <c r="D75" s="22"/>
      <c r="E75" s="23" t="str">
        <f>IF($D75="","",IFERROR(VLOOKUP($D75,'SAMA Consumables Tracker'!$A:$H,8,FALSE()),""))</f>
        <v/>
      </c>
      <c r="F75" s="24"/>
      <c r="G75" s="25" t="str">
        <f>IF($D75="","",IFERROR(VLOOKUP($D75,'SAMA Consumables Tracker'!$A:$D,4,FALSE()),""))</f>
        <v/>
      </c>
      <c r="H75" s="22"/>
    </row>
    <row r="76" spans="1:8">
      <c r="A76" s="21"/>
      <c r="B76" s="22"/>
      <c r="C76" s="22"/>
      <c r="D76" s="22"/>
      <c r="E76" s="23" t="str">
        <f>IF($D76="","",IFERROR(VLOOKUP($D76,'SAMA Consumables Tracker'!$A:$H,8,FALSE()),""))</f>
        <v/>
      </c>
      <c r="F76" s="24"/>
      <c r="G76" s="25" t="str">
        <f>IF($D76="","",IFERROR(VLOOKUP($D76,'SAMA Consumables Tracker'!$A:$D,4,FALSE()),""))</f>
        <v/>
      </c>
      <c r="H76" s="22"/>
    </row>
    <row r="77" spans="1:8">
      <c r="A77" s="21"/>
      <c r="B77" s="22"/>
      <c r="C77" s="22"/>
      <c r="D77" s="22"/>
      <c r="E77" s="23" t="str">
        <f>IF($D77="","",IFERROR(VLOOKUP($D77,'SAMA Consumables Tracker'!$A:$H,8,FALSE()),""))</f>
        <v/>
      </c>
      <c r="F77" s="24"/>
      <c r="G77" s="25" t="str">
        <f>IF($D77="","",IFERROR(VLOOKUP($D77,'SAMA Consumables Tracker'!$A:$D,4,FALSE()),""))</f>
        <v/>
      </c>
      <c r="H77" s="22"/>
    </row>
    <row r="78" spans="1:8">
      <c r="A78" s="21"/>
      <c r="B78" s="22"/>
      <c r="C78" s="22"/>
      <c r="D78" s="22"/>
      <c r="E78" s="23" t="str">
        <f>IF($D78="","",IFERROR(VLOOKUP($D78,'SAMA Consumables Tracker'!$A:$H,8,FALSE()),""))</f>
        <v/>
      </c>
      <c r="F78" s="24"/>
      <c r="G78" s="25" t="str">
        <f>IF($D78="","",IFERROR(VLOOKUP($D78,'SAMA Consumables Tracker'!$A:$D,4,FALSE()),""))</f>
        <v/>
      </c>
      <c r="H78" s="22"/>
    </row>
    <row r="79" spans="1:8">
      <c r="A79" s="21"/>
      <c r="B79" s="22"/>
      <c r="C79" s="22"/>
      <c r="D79" s="22"/>
      <c r="E79" s="23" t="str">
        <f>IF($D79="","",IFERROR(VLOOKUP($D79,'SAMA Consumables Tracker'!$A:$H,8,FALSE()),""))</f>
        <v/>
      </c>
      <c r="F79" s="24"/>
      <c r="G79" s="25" t="str">
        <f>IF($D79="","",IFERROR(VLOOKUP($D79,'SAMA Consumables Tracker'!$A:$D,4,FALSE()),""))</f>
        <v/>
      </c>
      <c r="H79" s="22"/>
    </row>
    <row r="80" spans="1:8">
      <c r="A80" s="21"/>
      <c r="B80" s="22"/>
      <c r="C80" s="22"/>
      <c r="D80" s="22"/>
      <c r="E80" s="23" t="str">
        <f>IF($D80="","",IFERROR(VLOOKUP($D80,'SAMA Consumables Tracker'!$A:$H,8,FALSE()),""))</f>
        <v/>
      </c>
      <c r="F80" s="24"/>
      <c r="G80" s="25" t="str">
        <f>IF($D80="","",IFERROR(VLOOKUP($D80,'SAMA Consumables Tracker'!$A:$D,4,FALSE()),""))</f>
        <v/>
      </c>
      <c r="H80" s="22"/>
    </row>
    <row r="81" spans="1:8">
      <c r="A81" s="21"/>
      <c r="B81" s="22"/>
      <c r="C81" s="22"/>
      <c r="D81" s="22"/>
      <c r="E81" s="23" t="str">
        <f>IF($D81="","",IFERROR(VLOOKUP($D81,'SAMA Consumables Tracker'!$A:$H,8,FALSE()),""))</f>
        <v/>
      </c>
      <c r="F81" s="24"/>
      <c r="G81" s="25" t="str">
        <f>IF($D81="","",IFERROR(VLOOKUP($D81,'SAMA Consumables Tracker'!$A:$D,4,FALSE()),""))</f>
        <v/>
      </c>
      <c r="H81" s="22"/>
    </row>
    <row r="82" spans="1:8">
      <c r="A82" s="21"/>
      <c r="B82" s="22"/>
      <c r="C82" s="22"/>
      <c r="D82" s="22"/>
      <c r="E82" s="23" t="str">
        <f>IF($D82="","",IFERROR(VLOOKUP($D82,'SAMA Consumables Tracker'!$A:$H,8,FALSE()),""))</f>
        <v/>
      </c>
      <c r="F82" s="24"/>
      <c r="G82" s="25" t="str">
        <f>IF($D82="","",IFERROR(VLOOKUP($D82,'SAMA Consumables Tracker'!$A:$D,4,FALSE()),""))</f>
        <v/>
      </c>
      <c r="H82" s="22"/>
    </row>
    <row r="83" spans="1:8">
      <c r="A83" s="21"/>
      <c r="B83" s="22"/>
      <c r="C83" s="22"/>
      <c r="D83" s="22"/>
      <c r="E83" s="23" t="str">
        <f>IF($D83="","",IFERROR(VLOOKUP($D83,'SAMA Consumables Tracker'!$A:$H,8,FALSE()),""))</f>
        <v/>
      </c>
      <c r="F83" s="24"/>
      <c r="G83" s="25" t="str">
        <f>IF($D83="","",IFERROR(VLOOKUP($D83,'SAMA Consumables Tracker'!$A:$D,4,FALSE()),""))</f>
        <v/>
      </c>
      <c r="H83" s="22"/>
    </row>
    <row r="84" spans="1:8">
      <c r="A84" s="21"/>
      <c r="B84" s="22"/>
      <c r="C84" s="22"/>
      <c r="D84" s="22"/>
      <c r="E84" s="23" t="str">
        <f>IF($D84="","",IFERROR(VLOOKUP($D84,'SAMA Consumables Tracker'!$A:$H,8,FALSE()),""))</f>
        <v/>
      </c>
      <c r="F84" s="24"/>
      <c r="G84" s="25" t="str">
        <f>IF($D84="","",IFERROR(VLOOKUP($D84,'SAMA Consumables Tracker'!$A:$D,4,FALSE()),""))</f>
        <v/>
      </c>
      <c r="H84" s="22"/>
    </row>
    <row r="85" spans="1:8">
      <c r="A85" s="21"/>
      <c r="B85" s="22"/>
      <c r="C85" s="22"/>
      <c r="D85" s="22"/>
      <c r="E85" s="23" t="str">
        <f>IF($D85="","",IFERROR(VLOOKUP($D85,'SAMA Consumables Tracker'!$A:$H,8,FALSE()),""))</f>
        <v/>
      </c>
      <c r="F85" s="24"/>
      <c r="G85" s="25" t="str">
        <f>IF($D85="","",IFERROR(VLOOKUP($D85,'SAMA Consumables Tracker'!$A:$D,4,FALSE()),""))</f>
        <v/>
      </c>
      <c r="H85" s="22"/>
    </row>
    <row r="86" spans="1:8">
      <c r="A86" s="21"/>
      <c r="B86" s="22"/>
      <c r="C86" s="22"/>
      <c r="D86" s="22"/>
      <c r="E86" s="23" t="str">
        <f>IF($D86="","",IFERROR(VLOOKUP($D86,'SAMA Consumables Tracker'!$A:$H,8,FALSE()),""))</f>
        <v/>
      </c>
      <c r="F86" s="24"/>
      <c r="G86" s="25" t="str">
        <f>IF($D86="","",IFERROR(VLOOKUP($D86,'SAMA Consumables Tracker'!$A:$D,4,FALSE()),""))</f>
        <v/>
      </c>
      <c r="H86" s="22"/>
    </row>
    <row r="87" spans="1:8">
      <c r="A87" s="21"/>
      <c r="B87" s="22"/>
      <c r="C87" s="22"/>
      <c r="D87" s="22"/>
      <c r="E87" s="23" t="str">
        <f>IF($D87="","",IFERROR(VLOOKUP($D87,'SAMA Consumables Tracker'!$A:$H,8,FALSE()),""))</f>
        <v/>
      </c>
      <c r="F87" s="24"/>
      <c r="G87" s="25" t="str">
        <f>IF($D87="","",IFERROR(VLOOKUP($D87,'SAMA Consumables Tracker'!$A:$D,4,FALSE()),""))</f>
        <v/>
      </c>
      <c r="H87" s="22"/>
    </row>
    <row r="88" spans="1:8">
      <c r="A88" s="21"/>
      <c r="B88" s="22"/>
      <c r="C88" s="22"/>
      <c r="D88" s="22"/>
      <c r="E88" s="23" t="str">
        <f>IF($D88="","",IFERROR(VLOOKUP($D88,'SAMA Consumables Tracker'!$A:$H,8,FALSE()),""))</f>
        <v/>
      </c>
      <c r="F88" s="24"/>
      <c r="G88" s="25" t="str">
        <f>IF($D88="","",IFERROR(VLOOKUP($D88,'SAMA Consumables Tracker'!$A:$D,4,FALSE()),""))</f>
        <v/>
      </c>
      <c r="H88" s="22"/>
    </row>
    <row r="89" spans="1:8">
      <c r="A89" s="21"/>
      <c r="B89" s="22"/>
      <c r="C89" s="22"/>
      <c r="D89" s="22"/>
      <c r="E89" s="23" t="str">
        <f>IF($D89="","",IFERROR(VLOOKUP($D89,'SAMA Consumables Tracker'!$A:$H,8,FALSE()),""))</f>
        <v/>
      </c>
      <c r="F89" s="24"/>
      <c r="G89" s="25" t="str">
        <f>IF($D89="","",IFERROR(VLOOKUP($D89,'SAMA Consumables Tracker'!$A:$D,4,FALSE()),""))</f>
        <v/>
      </c>
      <c r="H89" s="22"/>
    </row>
    <row r="90" spans="1:8">
      <c r="A90" s="21"/>
      <c r="B90" s="22"/>
      <c r="C90" s="22"/>
      <c r="D90" s="22"/>
      <c r="E90" s="23" t="str">
        <f>IF($D90="","",IFERROR(VLOOKUP($D90,'SAMA Consumables Tracker'!$A:$H,8,FALSE()),""))</f>
        <v/>
      </c>
      <c r="F90" s="24"/>
      <c r="G90" s="25" t="str">
        <f>IF($D90="","",IFERROR(VLOOKUP($D90,'SAMA Consumables Tracker'!$A:$D,4,FALSE()),""))</f>
        <v/>
      </c>
      <c r="H90" s="22"/>
    </row>
    <row r="91" spans="1:8">
      <c r="A91" s="21"/>
      <c r="B91" s="22"/>
      <c r="C91" s="22"/>
      <c r="D91" s="22"/>
      <c r="E91" s="23" t="str">
        <f>IF($D91="","",IFERROR(VLOOKUP($D91,'SAMA Consumables Tracker'!$A:$H,8,FALSE()),""))</f>
        <v/>
      </c>
      <c r="F91" s="24"/>
      <c r="G91" s="25" t="str">
        <f>IF($D91="","",IFERROR(VLOOKUP($D91,'SAMA Consumables Tracker'!$A:$D,4,FALSE()),""))</f>
        <v/>
      </c>
      <c r="H91" s="22"/>
    </row>
    <row r="92" spans="1:8">
      <c r="A92" s="21"/>
      <c r="B92" s="22"/>
      <c r="C92" s="22"/>
      <c r="D92" s="22"/>
      <c r="E92" s="23" t="str">
        <f>IF($D92="","",IFERROR(VLOOKUP($D92,'SAMA Consumables Tracker'!$A:$H,8,FALSE()),""))</f>
        <v/>
      </c>
      <c r="F92" s="24"/>
      <c r="G92" s="25" t="str">
        <f>IF($D92="","",IFERROR(VLOOKUP($D92,'SAMA Consumables Tracker'!$A:$D,4,FALSE()),""))</f>
        <v/>
      </c>
      <c r="H92" s="22"/>
    </row>
    <row r="93" spans="1:8">
      <c r="A93" s="21"/>
      <c r="B93" s="22"/>
      <c r="C93" s="22"/>
      <c r="D93" s="22"/>
      <c r="E93" s="23" t="str">
        <f>IF($D93="","",IFERROR(VLOOKUP($D93,'SAMA Consumables Tracker'!$A:$H,8,FALSE()),""))</f>
        <v/>
      </c>
      <c r="F93" s="24"/>
      <c r="G93" s="25" t="str">
        <f>IF($D93="","",IFERROR(VLOOKUP($D93,'SAMA Consumables Tracker'!$A:$D,4,FALSE()),""))</f>
        <v/>
      </c>
      <c r="H93" s="22"/>
    </row>
    <row r="94" spans="1:8">
      <c r="A94" s="21"/>
      <c r="B94" s="22"/>
      <c r="C94" s="22"/>
      <c r="D94" s="22"/>
      <c r="E94" s="23" t="str">
        <f>IF($D94="","",IFERROR(VLOOKUP($D94,'SAMA Consumables Tracker'!$A:$H,8,FALSE()),""))</f>
        <v/>
      </c>
      <c r="F94" s="24"/>
      <c r="G94" s="25" t="str">
        <f>IF($D94="","",IFERROR(VLOOKUP($D94,'SAMA Consumables Tracker'!$A:$D,4,FALSE()),""))</f>
        <v/>
      </c>
      <c r="H94" s="22"/>
    </row>
    <row r="95" spans="1:8">
      <c r="A95" s="21"/>
      <c r="B95" s="22"/>
      <c r="C95" s="22"/>
      <c r="D95" s="22"/>
      <c r="E95" s="23" t="str">
        <f>IF($D95="","",IFERROR(VLOOKUP($D95,'SAMA Consumables Tracker'!$A:$H,8,FALSE()),""))</f>
        <v/>
      </c>
      <c r="F95" s="24"/>
      <c r="G95" s="25" t="str">
        <f>IF($D95="","",IFERROR(VLOOKUP($D95,'SAMA Consumables Tracker'!$A:$D,4,FALSE()),""))</f>
        <v/>
      </c>
      <c r="H95" s="22"/>
    </row>
    <row r="96" spans="1:8">
      <c r="A96" s="21"/>
      <c r="B96" s="22"/>
      <c r="C96" s="22"/>
      <c r="D96" s="22"/>
      <c r="E96" s="23" t="str">
        <f>IF($D96="","",IFERROR(VLOOKUP($D96,'SAMA Consumables Tracker'!$A:$H,8,FALSE()),""))</f>
        <v/>
      </c>
      <c r="F96" s="24"/>
      <c r="G96" s="25" t="str">
        <f>IF($D96="","",IFERROR(VLOOKUP($D96,'SAMA Consumables Tracker'!$A:$D,4,FALSE()),""))</f>
        <v/>
      </c>
      <c r="H96" s="22"/>
    </row>
    <row r="97" spans="1:8">
      <c r="A97" s="21"/>
      <c r="B97" s="22"/>
      <c r="C97" s="22"/>
      <c r="D97" s="22"/>
      <c r="E97" s="23" t="str">
        <f>IF($D97="","",IFERROR(VLOOKUP($D97,'SAMA Consumables Tracker'!$A:$H,8,FALSE()),""))</f>
        <v/>
      </c>
      <c r="F97" s="24"/>
      <c r="G97" s="25" t="str">
        <f>IF($D97="","",IFERROR(VLOOKUP($D97,'SAMA Consumables Tracker'!$A:$D,4,FALSE()),""))</f>
        <v/>
      </c>
      <c r="H97" s="22"/>
    </row>
    <row r="98" spans="1:8">
      <c r="A98" s="21"/>
      <c r="B98" s="22"/>
      <c r="C98" s="22"/>
      <c r="D98" s="22"/>
      <c r="E98" s="23" t="str">
        <f>IF($D98="","",IFERROR(VLOOKUP($D98,'SAMA Consumables Tracker'!$A:$H,8,FALSE()),""))</f>
        <v/>
      </c>
      <c r="F98" s="24"/>
      <c r="G98" s="25" t="str">
        <f>IF($D98="","",IFERROR(VLOOKUP($D98,'SAMA Consumables Tracker'!$A:$D,4,FALSE()),""))</f>
        <v/>
      </c>
      <c r="H98" s="22"/>
    </row>
    <row r="99" spans="1:8">
      <c r="A99" s="21"/>
      <c r="B99" s="22"/>
      <c r="C99" s="22"/>
      <c r="D99" s="22"/>
      <c r="E99" s="23" t="str">
        <f>IF($D99="","",IFERROR(VLOOKUP($D99,'SAMA Consumables Tracker'!$A:$H,8,FALSE()),""))</f>
        <v/>
      </c>
      <c r="F99" s="24"/>
      <c r="G99" s="25" t="str">
        <f>IF($D99="","",IFERROR(VLOOKUP($D99,'SAMA Consumables Tracker'!$A:$D,4,FALSE()),""))</f>
        <v/>
      </c>
      <c r="H99" s="22"/>
    </row>
    <row r="100" spans="1:8">
      <c r="A100" s="21"/>
      <c r="B100" s="22"/>
      <c r="C100" s="22"/>
      <c r="D100" s="22"/>
      <c r="E100" s="23" t="str">
        <f>IF($D100="","",IFERROR(VLOOKUP($D100,'SAMA Consumables Tracker'!$A:$H,8,FALSE()),""))</f>
        <v/>
      </c>
      <c r="F100" s="24"/>
      <c r="G100" s="25" t="str">
        <f>IF($D100="","",IFERROR(VLOOKUP($D100,'SAMA Consumables Tracker'!$A:$D,4,FALSE()),""))</f>
        <v/>
      </c>
      <c r="H100" s="22"/>
    </row>
    <row r="101" spans="1:8">
      <c r="A101" s="21"/>
      <c r="B101" s="22"/>
      <c r="C101" s="22"/>
      <c r="D101" s="22"/>
      <c r="E101" s="23" t="str">
        <f>IF($D101="","",IFERROR(VLOOKUP($D101,'SAMA Consumables Tracker'!$A:$H,8,FALSE()),""))</f>
        <v/>
      </c>
      <c r="F101" s="24"/>
      <c r="G101" s="25" t="str">
        <f>IF($D101="","",IFERROR(VLOOKUP($D101,'SAMA Consumables Tracker'!$A:$D,4,FALSE()),""))</f>
        <v/>
      </c>
      <c r="H101" s="22"/>
    </row>
    <row r="102" spans="1:8">
      <c r="A102" s="21"/>
      <c r="B102" s="22"/>
      <c r="C102" s="22"/>
      <c r="D102" s="22"/>
      <c r="E102" s="23" t="str">
        <f>IF($D102="","",IFERROR(VLOOKUP($D102,'SAMA Consumables Tracker'!$A:$H,8,FALSE()),""))</f>
        <v/>
      </c>
      <c r="F102" s="24"/>
      <c r="G102" s="25" t="str">
        <f>IF($D102="","",IFERROR(VLOOKUP($D102,'SAMA Consumables Tracker'!$A:$D,4,FALSE()),""))</f>
        <v/>
      </c>
      <c r="H102" s="22"/>
    </row>
    <row r="103" spans="1:8">
      <c r="A103" s="21"/>
      <c r="B103" s="22"/>
      <c r="C103" s="22"/>
      <c r="D103" s="22"/>
      <c r="E103" s="23" t="str">
        <f>IF($D103="","",IFERROR(VLOOKUP($D103,'SAMA Consumables Tracker'!$A:$H,8,FALSE()),""))</f>
        <v/>
      </c>
      <c r="F103" s="24"/>
      <c r="G103" s="25" t="str">
        <f>IF($D103="","",IFERROR(VLOOKUP($D103,'SAMA Consumables Tracker'!$A:$D,4,FALSE()),""))</f>
        <v/>
      </c>
      <c r="H103" s="22"/>
    </row>
    <row r="104" spans="1:8">
      <c r="A104" s="21"/>
      <c r="B104" s="22"/>
      <c r="C104" s="22"/>
      <c r="D104" s="22"/>
      <c r="E104" s="23" t="str">
        <f>IF($D104="","",IFERROR(VLOOKUP($D104,'SAMA Consumables Tracker'!$A:$H,8,FALSE()),""))</f>
        <v/>
      </c>
      <c r="F104" s="24"/>
      <c r="G104" s="25" t="str">
        <f>IF($D104="","",IFERROR(VLOOKUP($D104,'SAMA Consumables Tracker'!$A:$D,4,FALSE()),""))</f>
        <v/>
      </c>
      <c r="H104" s="22"/>
    </row>
    <row r="105" spans="1:8">
      <c r="A105" s="21"/>
      <c r="B105" s="22"/>
      <c r="C105" s="22"/>
      <c r="D105" s="22"/>
      <c r="E105" s="23" t="str">
        <f>IF($D105="","",IFERROR(VLOOKUP($D105,'SAMA Consumables Tracker'!$A:$H,8,FALSE()),""))</f>
        <v/>
      </c>
      <c r="F105" s="24"/>
      <c r="G105" s="25" t="str">
        <f>IF($D105="","",IFERROR(VLOOKUP($D105,'SAMA Consumables Tracker'!$A:$D,4,FALSE()),""))</f>
        <v/>
      </c>
      <c r="H105" s="22"/>
    </row>
    <row r="106" spans="1:8">
      <c r="A106" s="21"/>
      <c r="B106" s="22"/>
      <c r="C106" s="22"/>
      <c r="D106" s="22"/>
      <c r="E106" s="23" t="str">
        <f>IF($D106="","",IFERROR(VLOOKUP($D106,'SAMA Consumables Tracker'!$A:$H,8,FALSE()),""))</f>
        <v/>
      </c>
      <c r="F106" s="24"/>
      <c r="G106" s="25" t="str">
        <f>IF($D106="","",IFERROR(VLOOKUP($D106,'SAMA Consumables Tracker'!$A:$D,4,FALSE()),""))</f>
        <v/>
      </c>
      <c r="H106" s="22"/>
    </row>
    <row r="107" spans="1:8">
      <c r="A107" s="21"/>
      <c r="B107" s="22"/>
      <c r="C107" s="22"/>
      <c r="D107" s="22"/>
      <c r="E107" s="23" t="str">
        <f>IF($D107="","",IFERROR(VLOOKUP($D107,'SAMA Consumables Tracker'!$A:$H,8,FALSE()),""))</f>
        <v/>
      </c>
      <c r="F107" s="24"/>
      <c r="G107" s="25" t="str">
        <f>IF($D107="","",IFERROR(VLOOKUP($D107,'SAMA Consumables Tracker'!$A:$D,4,FALSE()),""))</f>
        <v/>
      </c>
      <c r="H107" s="22"/>
    </row>
    <row r="108" spans="1:8">
      <c r="A108" s="21"/>
      <c r="B108" s="22"/>
      <c r="C108" s="22"/>
      <c r="D108" s="22"/>
      <c r="E108" s="23" t="str">
        <f>IF($D108="","",IFERROR(VLOOKUP($D108,'SAMA Consumables Tracker'!$A:$H,8,FALSE()),""))</f>
        <v/>
      </c>
      <c r="F108" s="24"/>
      <c r="G108" s="25" t="str">
        <f>IF($D108="","",IFERROR(VLOOKUP($D108,'SAMA Consumables Tracker'!$A:$D,4,FALSE()),""))</f>
        <v/>
      </c>
      <c r="H108" s="22"/>
    </row>
    <row r="109" spans="1:8">
      <c r="A109" s="21"/>
      <c r="B109" s="22"/>
      <c r="C109" s="22"/>
      <c r="D109" s="22"/>
      <c r="E109" s="23" t="str">
        <f>IF($D109="","",IFERROR(VLOOKUP($D109,'SAMA Consumables Tracker'!$A:$H,8,FALSE()),""))</f>
        <v/>
      </c>
      <c r="F109" s="24"/>
      <c r="G109" s="25" t="str">
        <f>IF($D109="","",IFERROR(VLOOKUP($D109,'SAMA Consumables Tracker'!$A:$D,4,FALSE()),""))</f>
        <v/>
      </c>
      <c r="H109" s="22"/>
    </row>
    <row r="110" spans="1:8">
      <c r="A110" s="21"/>
      <c r="B110" s="22"/>
      <c r="C110" s="22"/>
      <c r="D110" s="22"/>
      <c r="E110" s="23" t="str">
        <f>IF($D110="","",IFERROR(VLOOKUP($D110,'SAMA Consumables Tracker'!$A:$H,8,FALSE()),""))</f>
        <v/>
      </c>
      <c r="F110" s="24"/>
      <c r="G110" s="25" t="str">
        <f>IF($D110="","",IFERROR(VLOOKUP($D110,'SAMA Consumables Tracker'!$A:$D,4,FALSE()),""))</f>
        <v/>
      </c>
      <c r="H110" s="22"/>
    </row>
    <row r="111" spans="1:8">
      <c r="A111" s="21"/>
      <c r="B111" s="22"/>
      <c r="C111" s="22"/>
      <c r="D111" s="22"/>
      <c r="E111" s="23" t="str">
        <f>IF($D111="","",IFERROR(VLOOKUP($D111,'SAMA Consumables Tracker'!$A:$H,8,FALSE()),""))</f>
        <v/>
      </c>
      <c r="F111" s="24"/>
      <c r="G111" s="25" t="str">
        <f>IF($D111="","",IFERROR(VLOOKUP($D111,'SAMA Consumables Tracker'!$A:$D,4,FALSE()),""))</f>
        <v/>
      </c>
      <c r="H111" s="22"/>
    </row>
    <row r="112" spans="1:8">
      <c r="A112" s="21"/>
      <c r="B112" s="22"/>
      <c r="C112" s="22"/>
      <c r="D112" s="22"/>
      <c r="E112" s="23" t="str">
        <f>IF($D112="","",IFERROR(VLOOKUP($D112,'SAMA Consumables Tracker'!$A:$H,8,FALSE()),""))</f>
        <v/>
      </c>
      <c r="F112" s="24"/>
      <c r="G112" s="25" t="str">
        <f>IF($D112="","",IFERROR(VLOOKUP($D112,'SAMA Consumables Tracker'!$A:$D,4,FALSE()),""))</f>
        <v/>
      </c>
      <c r="H112" s="22"/>
    </row>
    <row r="113" spans="1:8">
      <c r="A113" s="21"/>
      <c r="B113" s="22"/>
      <c r="C113" s="22"/>
      <c r="D113" s="22"/>
      <c r="E113" s="23" t="str">
        <f>IF($D113="","",IFERROR(VLOOKUP($D113,'SAMA Consumables Tracker'!$A:$H,8,FALSE()),""))</f>
        <v/>
      </c>
      <c r="F113" s="24"/>
      <c r="G113" s="25" t="str">
        <f>IF($D113="","",IFERROR(VLOOKUP($D113,'SAMA Consumables Tracker'!$A:$D,4,FALSE()),""))</f>
        <v/>
      </c>
      <c r="H113" s="22"/>
    </row>
    <row r="114" spans="1:8">
      <c r="A114" s="21"/>
      <c r="B114" s="22"/>
      <c r="C114" s="22"/>
      <c r="D114" s="22"/>
      <c r="E114" s="23" t="str">
        <f>IF($D114="","",IFERROR(VLOOKUP($D114,'SAMA Consumables Tracker'!$A:$H,8,FALSE()),""))</f>
        <v/>
      </c>
      <c r="F114" s="24"/>
      <c r="G114" s="25" t="str">
        <f>IF($D114="","",IFERROR(VLOOKUP($D114,'SAMA Consumables Tracker'!$A:$D,4,FALSE()),""))</f>
        <v/>
      </c>
      <c r="H114" s="22"/>
    </row>
    <row r="115" spans="1:8">
      <c r="A115" s="21"/>
      <c r="B115" s="22"/>
      <c r="C115" s="22"/>
      <c r="D115" s="22"/>
      <c r="E115" s="23" t="str">
        <f>IF($D115="","",IFERROR(VLOOKUP($D115,'SAMA Consumables Tracker'!$A:$H,8,FALSE()),""))</f>
        <v/>
      </c>
      <c r="F115" s="24"/>
      <c r="G115" s="25" t="str">
        <f>IF($D115="","",IFERROR(VLOOKUP($D115,'SAMA Consumables Tracker'!$A:$D,4,FALSE()),""))</f>
        <v/>
      </c>
      <c r="H115" s="22"/>
    </row>
    <row r="116" spans="1:8">
      <c r="A116" s="21"/>
      <c r="B116" s="22"/>
      <c r="C116" s="22"/>
      <c r="D116" s="22"/>
      <c r="E116" s="23" t="str">
        <f>IF($D116="","",IFERROR(VLOOKUP($D116,'SAMA Consumables Tracker'!$A:$H,8,FALSE()),""))</f>
        <v/>
      </c>
      <c r="F116" s="24"/>
      <c r="G116" s="25" t="str">
        <f>IF($D116="","",IFERROR(VLOOKUP($D116,'SAMA Consumables Tracker'!$A:$D,4,FALSE()),""))</f>
        <v/>
      </c>
      <c r="H116" s="22"/>
    </row>
    <row r="117" spans="1:8">
      <c r="A117" s="21"/>
      <c r="B117" s="22"/>
      <c r="C117" s="22"/>
      <c r="D117" s="22"/>
      <c r="E117" s="23" t="str">
        <f>IF($D117="","",IFERROR(VLOOKUP($D117,'SAMA Consumables Tracker'!$A:$H,8,FALSE()),""))</f>
        <v/>
      </c>
      <c r="F117" s="24"/>
      <c r="G117" s="25" t="str">
        <f>IF($D117="","",IFERROR(VLOOKUP($D117,'SAMA Consumables Tracker'!$A:$D,4,FALSE()),""))</f>
        <v/>
      </c>
      <c r="H117" s="22"/>
    </row>
    <row r="118" spans="1:8">
      <c r="A118" s="21"/>
      <c r="B118" s="22"/>
      <c r="C118" s="22"/>
      <c r="D118" s="22"/>
      <c r="E118" s="23" t="str">
        <f>IF($D118="","",IFERROR(VLOOKUP($D118,'SAMA Consumables Tracker'!$A:$H,8,FALSE()),""))</f>
        <v/>
      </c>
      <c r="F118" s="24"/>
      <c r="G118" s="25" t="str">
        <f>IF($D118="","",IFERROR(VLOOKUP($D118,'SAMA Consumables Tracker'!$A:$D,4,FALSE()),""))</f>
        <v/>
      </c>
      <c r="H118" s="22"/>
    </row>
    <row r="119" spans="1:8">
      <c r="A119" s="21"/>
      <c r="B119" s="22"/>
      <c r="C119" s="22"/>
      <c r="D119" s="22"/>
      <c r="E119" s="23" t="str">
        <f>IF($D119="","",IFERROR(VLOOKUP($D119,'SAMA Consumables Tracker'!$A:$H,8,FALSE()),""))</f>
        <v/>
      </c>
      <c r="F119" s="24"/>
      <c r="G119" s="25" t="str">
        <f>IF($D119="","",IFERROR(VLOOKUP($D119,'SAMA Consumables Tracker'!$A:$D,4,FALSE()),""))</f>
        <v/>
      </c>
      <c r="H119" s="22"/>
    </row>
    <row r="120" spans="1:8">
      <c r="A120" s="21"/>
      <c r="B120" s="22"/>
      <c r="C120" s="22"/>
      <c r="D120" s="22"/>
      <c r="E120" s="23" t="str">
        <f>IF($D120="","",IFERROR(VLOOKUP($D120,'SAMA Consumables Tracker'!$A:$H,8,FALSE()),""))</f>
        <v/>
      </c>
      <c r="F120" s="24"/>
      <c r="G120" s="25" t="str">
        <f>IF($D120="","",IFERROR(VLOOKUP($D120,'SAMA Consumables Tracker'!$A:$D,4,FALSE()),""))</f>
        <v/>
      </c>
      <c r="H120" s="22"/>
    </row>
    <row r="121" spans="1:8">
      <c r="A121" s="21"/>
      <c r="B121" s="22"/>
      <c r="C121" s="22"/>
      <c r="D121" s="22"/>
      <c r="E121" s="23" t="str">
        <f>IF($D121="","",IFERROR(VLOOKUP($D121,'SAMA Consumables Tracker'!$A:$H,8,FALSE()),""))</f>
        <v/>
      </c>
      <c r="F121" s="24"/>
      <c r="G121" s="25" t="str">
        <f>IF($D121="","",IFERROR(VLOOKUP($D121,'SAMA Consumables Tracker'!$A:$D,4,FALSE()),""))</f>
        <v/>
      </c>
      <c r="H121" s="22"/>
    </row>
    <row r="122" spans="1:8">
      <c r="A122" s="21"/>
      <c r="B122" s="22"/>
      <c r="C122" s="22"/>
      <c r="D122" s="22"/>
      <c r="E122" s="23" t="str">
        <f>IF($D122="","",IFERROR(VLOOKUP($D122,'SAMA Consumables Tracker'!$A:$H,8,FALSE()),""))</f>
        <v/>
      </c>
      <c r="F122" s="24"/>
      <c r="G122" s="25" t="str">
        <f>IF($D122="","",IFERROR(VLOOKUP($D122,'SAMA Consumables Tracker'!$A:$D,4,FALSE()),""))</f>
        <v/>
      </c>
      <c r="H122" s="22"/>
    </row>
    <row r="123" spans="1:8">
      <c r="A123" s="21"/>
      <c r="B123" s="22"/>
      <c r="C123" s="22"/>
      <c r="D123" s="22"/>
      <c r="E123" s="23" t="str">
        <f>IF($D123="","",IFERROR(VLOOKUP($D123,'SAMA Consumables Tracker'!$A:$H,8,FALSE()),""))</f>
        <v/>
      </c>
      <c r="F123" s="24"/>
      <c r="G123" s="25" t="str">
        <f>IF($D123="","",IFERROR(VLOOKUP($D123,'SAMA Consumables Tracker'!$A:$D,4,FALSE()),""))</f>
        <v/>
      </c>
      <c r="H123" s="22"/>
    </row>
    <row r="124" spans="1:8">
      <c r="A124" s="21"/>
      <c r="B124" s="22"/>
      <c r="C124" s="22"/>
      <c r="D124" s="22"/>
      <c r="E124" s="23" t="str">
        <f>IF($D124="","",IFERROR(VLOOKUP($D124,'SAMA Consumables Tracker'!$A:$H,8,FALSE()),""))</f>
        <v/>
      </c>
      <c r="F124" s="24"/>
      <c r="G124" s="25" t="str">
        <f>IF($D124="","",IFERROR(VLOOKUP($D124,'SAMA Consumables Tracker'!$A:$D,4,FALSE()),""))</f>
        <v/>
      </c>
      <c r="H124" s="22"/>
    </row>
    <row r="125" spans="1:8">
      <c r="A125" s="21"/>
      <c r="B125" s="22"/>
      <c r="C125" s="22"/>
      <c r="D125" s="22"/>
      <c r="E125" s="23" t="str">
        <f>IF($D125="","",IFERROR(VLOOKUP($D125,'SAMA Consumables Tracker'!$A:$H,8,FALSE()),""))</f>
        <v/>
      </c>
      <c r="F125" s="24"/>
      <c r="G125" s="25" t="str">
        <f>IF($D125="","",IFERROR(VLOOKUP($D125,'SAMA Consumables Tracker'!$A:$D,4,FALSE()),""))</f>
        <v/>
      </c>
      <c r="H125" s="22"/>
    </row>
    <row r="126" spans="1:8">
      <c r="A126" s="21"/>
      <c r="B126" s="22"/>
      <c r="C126" s="22"/>
      <c r="D126" s="22"/>
      <c r="E126" s="23" t="str">
        <f>IF($D126="","",IFERROR(VLOOKUP($D126,'SAMA Consumables Tracker'!$A:$H,8,FALSE()),""))</f>
        <v/>
      </c>
      <c r="F126" s="24"/>
      <c r="G126" s="25" t="str">
        <f>IF($D126="","",IFERROR(VLOOKUP($D126,'SAMA Consumables Tracker'!$A:$D,4,FALSE()),""))</f>
        <v/>
      </c>
      <c r="H126" s="22"/>
    </row>
    <row r="127" spans="1:8">
      <c r="A127" s="21"/>
      <c r="B127" s="22"/>
      <c r="C127" s="22"/>
      <c r="D127" s="22"/>
      <c r="E127" s="23" t="str">
        <f>IF($D127="","",IFERROR(VLOOKUP($D127,'SAMA Consumables Tracker'!$A:$H,8,FALSE()),""))</f>
        <v/>
      </c>
      <c r="F127" s="24"/>
      <c r="G127" s="25" t="str">
        <f>IF($D127="","",IFERROR(VLOOKUP($D127,'SAMA Consumables Tracker'!$A:$D,4,FALSE()),""))</f>
        <v/>
      </c>
      <c r="H127" s="22"/>
    </row>
    <row r="128" spans="1:8">
      <c r="A128" s="21"/>
      <c r="B128" s="22"/>
      <c r="C128" s="22"/>
      <c r="D128" s="22"/>
      <c r="E128" s="23" t="str">
        <f>IF($D128="","",IFERROR(VLOOKUP($D128,'SAMA Consumables Tracker'!$A:$H,8,FALSE()),""))</f>
        <v/>
      </c>
      <c r="F128" s="24"/>
      <c r="G128" s="25" t="str">
        <f>IF($D128="","",IFERROR(VLOOKUP($D128,'SAMA Consumables Tracker'!$A:$D,4,FALSE()),""))</f>
        <v/>
      </c>
      <c r="H128" s="22"/>
    </row>
    <row r="129" spans="1:8">
      <c r="A129" s="21"/>
      <c r="B129" s="22"/>
      <c r="C129" s="22"/>
      <c r="D129" s="22"/>
      <c r="E129" s="23" t="str">
        <f>IF($D129="","",IFERROR(VLOOKUP($D129,'SAMA Consumables Tracker'!$A:$H,8,FALSE()),""))</f>
        <v/>
      </c>
      <c r="F129" s="24"/>
      <c r="G129" s="25" t="str">
        <f>IF($D129="","",IFERROR(VLOOKUP($D129,'SAMA Consumables Tracker'!$A:$D,4,FALSE()),""))</f>
        <v/>
      </c>
      <c r="H129" s="22"/>
    </row>
    <row r="130" spans="1:8">
      <c r="A130" s="21"/>
      <c r="B130" s="22"/>
      <c r="C130" s="22"/>
      <c r="D130" s="22"/>
      <c r="E130" s="23" t="str">
        <f>IF($D130="","",IFERROR(VLOOKUP($D130,'SAMA Consumables Tracker'!$A:$H,8,FALSE()),""))</f>
        <v/>
      </c>
      <c r="F130" s="24"/>
      <c r="G130" s="25" t="str">
        <f>IF($D130="","",IFERROR(VLOOKUP($D130,'SAMA Consumables Tracker'!$A:$D,4,FALSE()),""))</f>
        <v/>
      </c>
      <c r="H130" s="22"/>
    </row>
    <row r="131" spans="1:8">
      <c r="A131" s="21"/>
      <c r="B131" s="22"/>
      <c r="C131" s="22"/>
      <c r="D131" s="22"/>
      <c r="E131" s="23" t="str">
        <f>IF($D131="","",IFERROR(VLOOKUP($D131,'SAMA Consumables Tracker'!$A:$H,8,FALSE()),""))</f>
        <v/>
      </c>
      <c r="F131" s="24"/>
      <c r="G131" s="25" t="str">
        <f>IF($D131="","",IFERROR(VLOOKUP($D131,'SAMA Consumables Tracker'!$A:$D,4,FALSE()),""))</f>
        <v/>
      </c>
      <c r="H131" s="22"/>
    </row>
    <row r="132" spans="1:8">
      <c r="A132" s="21"/>
      <c r="B132" s="22"/>
      <c r="C132" s="22"/>
      <c r="D132" s="22"/>
      <c r="E132" s="23" t="str">
        <f>IF($D132="","",IFERROR(VLOOKUP($D132,'SAMA Consumables Tracker'!$A:$H,8,FALSE()),""))</f>
        <v/>
      </c>
      <c r="F132" s="24"/>
      <c r="G132" s="25" t="str">
        <f>IF($D132="","",IFERROR(VLOOKUP($D132,'SAMA Consumables Tracker'!$A:$D,4,FALSE()),""))</f>
        <v/>
      </c>
      <c r="H132" s="22"/>
    </row>
    <row r="133" spans="1:8">
      <c r="A133" s="21"/>
      <c r="B133" s="22"/>
      <c r="C133" s="22"/>
      <c r="D133" s="22"/>
      <c r="E133" s="23" t="str">
        <f>IF($D133="","",IFERROR(VLOOKUP($D133,'SAMA Consumables Tracker'!$A:$H,8,FALSE()),""))</f>
        <v/>
      </c>
      <c r="F133" s="24"/>
      <c r="G133" s="25" t="str">
        <f>IF($D133="","",IFERROR(VLOOKUP($D133,'SAMA Consumables Tracker'!$A:$D,4,FALSE()),""))</f>
        <v/>
      </c>
      <c r="H133" s="22"/>
    </row>
    <row r="134" spans="1:8">
      <c r="A134" s="21"/>
      <c r="B134" s="22"/>
      <c r="C134" s="22"/>
      <c r="D134" s="22"/>
      <c r="E134" s="23" t="str">
        <f>IF($D134="","",IFERROR(VLOOKUP($D134,'SAMA Consumables Tracker'!$A:$H,8,FALSE()),""))</f>
        <v/>
      </c>
      <c r="F134" s="24"/>
      <c r="G134" s="25" t="str">
        <f>IF($D134="","",IFERROR(VLOOKUP($D134,'SAMA Consumables Tracker'!$A:$D,4,FALSE()),""))</f>
        <v/>
      </c>
      <c r="H134" s="22"/>
    </row>
    <row r="135" spans="1:8">
      <c r="A135" s="21"/>
      <c r="B135" s="22"/>
      <c r="C135" s="22"/>
      <c r="D135" s="22"/>
      <c r="E135" s="23" t="str">
        <f>IF($D135="","",IFERROR(VLOOKUP($D135,'SAMA Consumables Tracker'!$A:$H,8,FALSE()),""))</f>
        <v/>
      </c>
      <c r="F135" s="24"/>
      <c r="G135" s="25" t="str">
        <f>IF($D135="","",IFERROR(VLOOKUP($D135,'SAMA Consumables Tracker'!$A:$D,4,FALSE()),""))</f>
        <v/>
      </c>
      <c r="H135" s="22"/>
    </row>
    <row r="136" spans="1:8">
      <c r="A136" s="21"/>
      <c r="B136" s="22"/>
      <c r="C136" s="22"/>
      <c r="D136" s="22"/>
      <c r="E136" s="23" t="str">
        <f>IF($D136="","",IFERROR(VLOOKUP($D136,'SAMA Consumables Tracker'!$A:$H,8,FALSE()),""))</f>
        <v/>
      </c>
      <c r="F136" s="24"/>
      <c r="G136" s="25" t="str">
        <f>IF($D136="","",IFERROR(VLOOKUP($D136,'SAMA Consumables Tracker'!$A:$D,4,FALSE()),""))</f>
        <v/>
      </c>
      <c r="H136" s="22"/>
    </row>
    <row r="137" spans="1:8">
      <c r="A137" s="21"/>
      <c r="B137" s="22"/>
      <c r="C137" s="22"/>
      <c r="D137" s="22"/>
      <c r="E137" s="23" t="str">
        <f>IF($D137="","",IFERROR(VLOOKUP($D137,'SAMA Consumables Tracker'!$A:$H,8,FALSE()),""))</f>
        <v/>
      </c>
      <c r="F137" s="24"/>
      <c r="G137" s="25" t="str">
        <f>IF($D137="","",IFERROR(VLOOKUP($D137,'SAMA Consumables Tracker'!$A:$D,4,FALSE()),""))</f>
        <v/>
      </c>
      <c r="H137" s="22"/>
    </row>
    <row r="138" spans="1:8">
      <c r="A138" s="21"/>
      <c r="B138" s="22"/>
      <c r="C138" s="22"/>
      <c r="D138" s="22"/>
      <c r="E138" s="23" t="str">
        <f>IF($D138="","",IFERROR(VLOOKUP($D138,'SAMA Consumables Tracker'!$A:$H,8,FALSE()),""))</f>
        <v/>
      </c>
      <c r="F138" s="24"/>
      <c r="G138" s="25" t="str">
        <f>IF($D138="","",IFERROR(VLOOKUP($D138,'SAMA Consumables Tracker'!$A:$D,4,FALSE()),""))</f>
        <v/>
      </c>
      <c r="H138" s="22"/>
    </row>
    <row r="139" spans="1:8">
      <c r="A139" s="21"/>
      <c r="B139" s="22"/>
      <c r="C139" s="22"/>
      <c r="D139" s="22"/>
      <c r="E139" s="23" t="str">
        <f>IF($D139="","",IFERROR(VLOOKUP($D139,'SAMA Consumables Tracker'!$A:$H,8,FALSE()),""))</f>
        <v/>
      </c>
      <c r="F139" s="24"/>
      <c r="G139" s="25" t="str">
        <f>IF($D139="","",IFERROR(VLOOKUP($D139,'SAMA Consumables Tracker'!$A:$D,4,FALSE()),""))</f>
        <v/>
      </c>
      <c r="H139" s="22"/>
    </row>
    <row r="140" spans="1:8">
      <c r="A140" s="21"/>
      <c r="B140" s="22"/>
      <c r="C140" s="22"/>
      <c r="D140" s="22"/>
      <c r="E140" s="23" t="str">
        <f>IF($D140="","",IFERROR(VLOOKUP($D140,'SAMA Consumables Tracker'!$A:$H,8,FALSE()),""))</f>
        <v/>
      </c>
      <c r="F140" s="24"/>
      <c r="G140" s="25" t="str">
        <f>IF($D140="","",IFERROR(VLOOKUP($D140,'SAMA Consumables Tracker'!$A:$D,4,FALSE()),""))</f>
        <v/>
      </c>
      <c r="H140" s="22"/>
    </row>
    <row r="141" spans="1:8">
      <c r="A141" s="21"/>
      <c r="B141" s="22"/>
      <c r="C141" s="22"/>
      <c r="D141" s="22"/>
      <c r="E141" s="23" t="str">
        <f>IF($D141="","",IFERROR(VLOOKUP($D141,'SAMA Consumables Tracker'!$A:$H,8,FALSE()),""))</f>
        <v/>
      </c>
      <c r="F141" s="24"/>
      <c r="G141" s="25" t="str">
        <f>IF($D141="","",IFERROR(VLOOKUP($D141,'SAMA Consumables Tracker'!$A:$D,4,FALSE()),""))</f>
        <v/>
      </c>
      <c r="H141" s="22"/>
    </row>
    <row r="142" spans="1:8">
      <c r="A142" s="21"/>
      <c r="B142" s="22"/>
      <c r="C142" s="22"/>
      <c r="D142" s="22"/>
      <c r="E142" s="23" t="str">
        <f>IF($D142="","",IFERROR(VLOOKUP($D142,'SAMA Consumables Tracker'!$A:$H,8,FALSE()),""))</f>
        <v/>
      </c>
      <c r="F142" s="24"/>
      <c r="G142" s="25" t="str">
        <f>IF($D142="","",IFERROR(VLOOKUP($D142,'SAMA Consumables Tracker'!$A:$D,4,FALSE()),""))</f>
        <v/>
      </c>
      <c r="H142" s="22"/>
    </row>
    <row r="143" spans="1:8">
      <c r="A143" s="21"/>
      <c r="B143" s="22"/>
      <c r="C143" s="22"/>
      <c r="D143" s="22"/>
      <c r="E143" s="23" t="str">
        <f>IF($D143="","",IFERROR(VLOOKUP($D143,'SAMA Consumables Tracker'!$A:$H,8,FALSE()),""))</f>
        <v/>
      </c>
      <c r="F143" s="24"/>
      <c r="G143" s="25" t="str">
        <f>IF($D143="","",IFERROR(VLOOKUP($D143,'SAMA Consumables Tracker'!$A:$D,4,FALSE()),""))</f>
        <v/>
      </c>
      <c r="H143" s="22"/>
    </row>
    <row r="144" spans="1:8">
      <c r="A144" s="21"/>
      <c r="B144" s="22"/>
      <c r="C144" s="22"/>
      <c r="D144" s="22"/>
      <c r="E144" s="23" t="str">
        <f>IF($D144="","",IFERROR(VLOOKUP($D144,'SAMA Consumables Tracker'!$A:$H,8,FALSE()),""))</f>
        <v/>
      </c>
      <c r="F144" s="24"/>
      <c r="G144" s="25" t="str">
        <f>IF($D144="","",IFERROR(VLOOKUP($D144,'SAMA Consumables Tracker'!$A:$D,4,FALSE()),""))</f>
        <v/>
      </c>
      <c r="H144" s="22"/>
    </row>
    <row r="145" spans="1:8">
      <c r="A145" s="21"/>
      <c r="B145" s="22"/>
      <c r="C145" s="22"/>
      <c r="D145" s="22"/>
      <c r="E145" s="23" t="str">
        <f>IF($D145="","",IFERROR(VLOOKUP($D145,'SAMA Consumables Tracker'!$A:$H,8,FALSE()),""))</f>
        <v/>
      </c>
      <c r="F145" s="24"/>
      <c r="G145" s="25" t="str">
        <f>IF($D145="","",IFERROR(VLOOKUP($D145,'SAMA Consumables Tracker'!$A:$D,4,FALSE()),""))</f>
        <v/>
      </c>
      <c r="H145" s="22"/>
    </row>
    <row r="146" spans="1:8">
      <c r="A146" s="21"/>
      <c r="B146" s="22"/>
      <c r="C146" s="22"/>
      <c r="D146" s="22"/>
      <c r="E146" s="23" t="str">
        <f>IF($D146="","",IFERROR(VLOOKUP($D146,'SAMA Consumables Tracker'!$A:$H,8,FALSE()),""))</f>
        <v/>
      </c>
      <c r="F146" s="24"/>
      <c r="G146" s="25" t="str">
        <f>IF($D146="","",IFERROR(VLOOKUP($D146,'SAMA Consumables Tracker'!$A:$D,4,FALSE()),""))</f>
        <v/>
      </c>
      <c r="H146" s="22"/>
    </row>
    <row r="147" spans="1:8">
      <c r="A147" s="21"/>
      <c r="B147" s="22"/>
      <c r="C147" s="22"/>
      <c r="D147" s="22"/>
      <c r="E147" s="23" t="str">
        <f>IF($D147="","",IFERROR(VLOOKUP($D147,'SAMA Consumables Tracker'!$A:$H,8,FALSE()),""))</f>
        <v/>
      </c>
      <c r="F147" s="24"/>
      <c r="G147" s="25" t="str">
        <f>IF($D147="","",IFERROR(VLOOKUP($D147,'SAMA Consumables Tracker'!$A:$D,4,FALSE()),""))</f>
        <v/>
      </c>
      <c r="H147" s="22"/>
    </row>
    <row r="148" spans="1:8">
      <c r="A148" s="21"/>
      <c r="B148" s="22"/>
      <c r="C148" s="22"/>
      <c r="D148" s="22"/>
      <c r="E148" s="23" t="str">
        <f>IF($D148="","",IFERROR(VLOOKUP($D148,'SAMA Consumables Tracker'!$A:$H,8,FALSE()),""))</f>
        <v/>
      </c>
      <c r="F148" s="24"/>
      <c r="G148" s="25" t="str">
        <f>IF($D148="","",IFERROR(VLOOKUP($D148,'SAMA Consumables Tracker'!$A:$D,4,FALSE()),""))</f>
        <v/>
      </c>
      <c r="H148" s="22"/>
    </row>
    <row r="149" spans="1:8">
      <c r="A149" s="21"/>
      <c r="B149" s="22"/>
      <c r="C149" s="22"/>
      <c r="D149" s="22"/>
      <c r="E149" s="23" t="str">
        <f>IF($D149="","",IFERROR(VLOOKUP($D149,'SAMA Consumables Tracker'!$A:$H,8,FALSE()),""))</f>
        <v/>
      </c>
      <c r="F149" s="24"/>
      <c r="G149" s="25" t="str">
        <f>IF($D149="","",IFERROR(VLOOKUP($D149,'SAMA Consumables Tracker'!$A:$D,4,FALSE()),""))</f>
        <v/>
      </c>
      <c r="H149" s="22"/>
    </row>
    <row r="150" spans="1:8">
      <c r="A150" s="21"/>
      <c r="B150" s="22"/>
      <c r="C150" s="22"/>
      <c r="D150" s="22"/>
      <c r="E150" s="23" t="str">
        <f>IF($D150="","",IFERROR(VLOOKUP($D150,'SAMA Consumables Tracker'!$A:$H,8,FALSE()),""))</f>
        <v/>
      </c>
      <c r="F150" s="24"/>
      <c r="G150" s="25" t="str">
        <f>IF($D150="","",IFERROR(VLOOKUP($D150,'SAMA Consumables Tracker'!$A:$D,4,FALSE()),""))</f>
        <v/>
      </c>
      <c r="H150" s="22"/>
    </row>
    <row r="151" spans="1:8">
      <c r="A151" s="21"/>
      <c r="B151" s="22"/>
      <c r="C151" s="22"/>
      <c r="D151" s="22"/>
      <c r="E151" s="23" t="str">
        <f>IF($D151="","",IFERROR(VLOOKUP($D151,'SAMA Consumables Tracker'!$A:$H,8,FALSE()),""))</f>
        <v/>
      </c>
      <c r="F151" s="24"/>
      <c r="G151" s="25" t="str">
        <f>IF($D151="","",IFERROR(VLOOKUP($D151,'SAMA Consumables Tracker'!$A:$D,4,FALSE()),""))</f>
        <v/>
      </c>
      <c r="H151" s="22"/>
    </row>
    <row r="152" spans="1:8">
      <c r="A152" s="21"/>
      <c r="B152" s="22"/>
      <c r="C152" s="22"/>
      <c r="D152" s="22"/>
      <c r="E152" s="23" t="str">
        <f>IF($D152="","",IFERROR(VLOOKUP($D152,'SAMA Consumables Tracker'!$A:$H,8,FALSE()),""))</f>
        <v/>
      </c>
      <c r="F152" s="24"/>
      <c r="G152" s="25" t="str">
        <f>IF($D152="","",IFERROR(VLOOKUP($D152,'SAMA Consumables Tracker'!$A:$D,4,FALSE()),""))</f>
        <v/>
      </c>
      <c r="H152" s="22"/>
    </row>
    <row r="153" spans="1:8">
      <c r="A153" s="21"/>
      <c r="B153" s="22"/>
      <c r="C153" s="22"/>
      <c r="D153" s="22"/>
      <c r="E153" s="23" t="str">
        <f>IF($D153="","",IFERROR(VLOOKUP($D153,'SAMA Consumables Tracker'!$A:$H,8,FALSE()),""))</f>
        <v/>
      </c>
      <c r="F153" s="24"/>
      <c r="G153" s="25" t="str">
        <f>IF($D153="","",IFERROR(VLOOKUP($D153,'SAMA Consumables Tracker'!$A:$D,4,FALSE()),""))</f>
        <v/>
      </c>
      <c r="H153" s="22"/>
    </row>
    <row r="154" spans="1:8">
      <c r="A154" s="21"/>
      <c r="B154" s="22"/>
      <c r="C154" s="22"/>
      <c r="D154" s="22"/>
      <c r="E154" s="23" t="str">
        <f>IF($D154="","",IFERROR(VLOOKUP($D154,'SAMA Consumables Tracker'!$A:$H,8,FALSE()),""))</f>
        <v/>
      </c>
      <c r="F154" s="24"/>
      <c r="G154" s="25" t="str">
        <f>IF($D154="","",IFERROR(VLOOKUP($D154,'SAMA Consumables Tracker'!$A:$D,4,FALSE()),""))</f>
        <v/>
      </c>
      <c r="H154" s="22"/>
    </row>
    <row r="155" spans="1:8">
      <c r="A155" s="21"/>
      <c r="B155" s="22"/>
      <c r="C155" s="22"/>
      <c r="D155" s="22"/>
      <c r="E155" s="23" t="str">
        <f>IF($D155="","",IFERROR(VLOOKUP($D155,'SAMA Consumables Tracker'!$A:$H,8,FALSE()),""))</f>
        <v/>
      </c>
      <c r="F155" s="24"/>
      <c r="G155" s="25" t="str">
        <f>IF($D155="","",IFERROR(VLOOKUP($D155,'SAMA Consumables Tracker'!$A:$D,4,FALSE()),""))</f>
        <v/>
      </c>
      <c r="H155" s="22"/>
    </row>
    <row r="156" spans="1:8">
      <c r="A156" s="21"/>
      <c r="B156" s="22"/>
      <c r="C156" s="22"/>
      <c r="D156" s="22"/>
      <c r="E156" s="23" t="str">
        <f>IF($D156="","",IFERROR(VLOOKUP($D156,'SAMA Consumables Tracker'!$A:$H,8,FALSE()),""))</f>
        <v/>
      </c>
      <c r="F156" s="24"/>
      <c r="G156" s="25" t="str">
        <f>IF($D156="","",IFERROR(VLOOKUP($D156,'SAMA Consumables Tracker'!$A:$D,4,FALSE()),""))</f>
        <v/>
      </c>
      <c r="H156" s="22"/>
    </row>
    <row r="157" spans="1:8">
      <c r="A157" s="21"/>
      <c r="B157" s="22"/>
      <c r="C157" s="22"/>
      <c r="D157" s="22"/>
      <c r="E157" s="23" t="str">
        <f>IF($D157="","",IFERROR(VLOOKUP($D157,'SAMA Consumables Tracker'!$A:$H,8,FALSE()),""))</f>
        <v/>
      </c>
      <c r="F157" s="24"/>
      <c r="G157" s="25" t="str">
        <f>IF($D157="","",IFERROR(VLOOKUP($D157,'SAMA Consumables Tracker'!$A:$D,4,FALSE()),""))</f>
        <v/>
      </c>
      <c r="H157" s="22"/>
    </row>
    <row r="158" spans="1:8">
      <c r="A158" s="21"/>
      <c r="B158" s="22"/>
      <c r="C158" s="22"/>
      <c r="D158" s="22"/>
      <c r="E158" s="23" t="str">
        <f>IF($D158="","",IFERROR(VLOOKUP($D158,'SAMA Consumables Tracker'!$A:$H,8,FALSE()),""))</f>
        <v/>
      </c>
      <c r="F158" s="24"/>
      <c r="G158" s="25" t="str">
        <f>IF($D158="","",IFERROR(VLOOKUP($D158,'SAMA Consumables Tracker'!$A:$D,4,FALSE()),""))</f>
        <v/>
      </c>
      <c r="H158" s="22"/>
    </row>
    <row r="159" spans="1:8">
      <c r="A159" s="21"/>
      <c r="B159" s="22"/>
      <c r="C159" s="22"/>
      <c r="D159" s="22"/>
      <c r="E159" s="23" t="str">
        <f>IF($D159="","",IFERROR(VLOOKUP($D159,'SAMA Consumables Tracker'!$A:$H,8,FALSE()),""))</f>
        <v/>
      </c>
      <c r="F159" s="24"/>
      <c r="G159" s="25" t="str">
        <f>IF($D159="","",IFERROR(VLOOKUP($D159,'SAMA Consumables Tracker'!$A:$D,4,FALSE()),""))</f>
        <v/>
      </c>
      <c r="H159" s="22"/>
    </row>
    <row r="160" spans="1:8">
      <c r="A160" s="21"/>
      <c r="B160" s="22"/>
      <c r="C160" s="22"/>
      <c r="D160" s="22"/>
      <c r="E160" s="23" t="str">
        <f>IF($D160="","",IFERROR(VLOOKUP($D160,'SAMA Consumables Tracker'!$A:$H,8,FALSE()),""))</f>
        <v/>
      </c>
      <c r="F160" s="24"/>
      <c r="G160" s="25" t="str">
        <f>IF($D160="","",IFERROR(VLOOKUP($D160,'SAMA Consumables Tracker'!$A:$D,4,FALSE()),""))</f>
        <v/>
      </c>
      <c r="H160" s="22"/>
    </row>
    <row r="161" spans="1:8">
      <c r="A161" s="21"/>
      <c r="B161" s="22"/>
      <c r="C161" s="22"/>
      <c r="D161" s="22"/>
      <c r="E161" s="23" t="str">
        <f>IF($D161="","",IFERROR(VLOOKUP($D161,'SAMA Consumables Tracker'!$A:$H,8,FALSE()),""))</f>
        <v/>
      </c>
      <c r="F161" s="24"/>
      <c r="G161" s="25" t="str">
        <f>IF($D161="","",IFERROR(VLOOKUP($D161,'SAMA Consumables Tracker'!$A:$D,4,FALSE()),""))</f>
        <v/>
      </c>
      <c r="H161" s="22"/>
    </row>
    <row r="162" spans="1:8">
      <c r="A162" s="21"/>
      <c r="B162" s="22"/>
      <c r="C162" s="22"/>
      <c r="D162" s="22"/>
      <c r="E162" s="23" t="str">
        <f>IF($D162="","",IFERROR(VLOOKUP($D162,'SAMA Consumables Tracker'!$A:$H,8,FALSE()),""))</f>
        <v/>
      </c>
      <c r="F162" s="24"/>
      <c r="G162" s="25" t="str">
        <f>IF($D162="","",IFERROR(VLOOKUP($D162,'SAMA Consumables Tracker'!$A:$D,4,FALSE()),""))</f>
        <v/>
      </c>
      <c r="H162" s="22"/>
    </row>
    <row r="163" spans="1:8">
      <c r="A163" s="21"/>
      <c r="B163" s="22"/>
      <c r="C163" s="22"/>
      <c r="D163" s="22"/>
      <c r="E163" s="23" t="str">
        <f>IF($D163="","",IFERROR(VLOOKUP($D163,'SAMA Consumables Tracker'!$A:$H,8,FALSE()),""))</f>
        <v/>
      </c>
      <c r="F163" s="24"/>
      <c r="G163" s="25" t="str">
        <f>IF($D163="","",IFERROR(VLOOKUP($D163,'SAMA Consumables Tracker'!$A:$D,4,FALSE()),""))</f>
        <v/>
      </c>
      <c r="H163" s="22"/>
    </row>
    <row r="164" spans="1:8">
      <c r="A164" s="21"/>
      <c r="B164" s="22"/>
      <c r="C164" s="22"/>
      <c r="D164" s="22"/>
      <c r="E164" s="23" t="str">
        <f>IF($D164="","",IFERROR(VLOOKUP($D164,'SAMA Consumables Tracker'!$A:$H,8,FALSE()),""))</f>
        <v/>
      </c>
      <c r="F164" s="24"/>
      <c r="G164" s="25" t="str">
        <f>IF($D164="","",IFERROR(VLOOKUP($D164,'SAMA Consumables Tracker'!$A:$D,4,FALSE()),""))</f>
        <v/>
      </c>
      <c r="H164" s="22"/>
    </row>
    <row r="165" spans="1:8">
      <c r="A165" s="21"/>
      <c r="B165" s="22"/>
      <c r="C165" s="22"/>
      <c r="D165" s="22"/>
      <c r="E165" s="23" t="str">
        <f>IF($D165="","",IFERROR(VLOOKUP($D165,'SAMA Consumables Tracker'!$A:$H,8,FALSE()),""))</f>
        <v/>
      </c>
      <c r="F165" s="24"/>
      <c r="G165" s="25" t="str">
        <f>IF($D165="","",IFERROR(VLOOKUP($D165,'SAMA Consumables Tracker'!$A:$D,4,FALSE()),""))</f>
        <v/>
      </c>
      <c r="H165" s="22"/>
    </row>
    <row r="166" spans="1:8">
      <c r="A166" s="21"/>
      <c r="B166" s="22"/>
      <c r="C166" s="22"/>
      <c r="D166" s="22"/>
      <c r="E166" s="23" t="str">
        <f>IF($D166="","",IFERROR(VLOOKUP($D166,'SAMA Consumables Tracker'!$A:$H,8,FALSE()),""))</f>
        <v/>
      </c>
      <c r="F166" s="24"/>
      <c r="G166" s="25" t="str">
        <f>IF($D166="","",IFERROR(VLOOKUP($D166,'SAMA Consumables Tracker'!$A:$D,4,FALSE()),""))</f>
        <v/>
      </c>
      <c r="H166" s="22"/>
    </row>
    <row r="167" spans="1:8">
      <c r="A167" s="21"/>
      <c r="B167" s="22"/>
      <c r="C167" s="22"/>
      <c r="D167" s="22"/>
      <c r="E167" s="23" t="str">
        <f>IF($D167="","",IFERROR(VLOOKUP($D167,'SAMA Consumables Tracker'!$A:$H,8,FALSE()),""))</f>
        <v/>
      </c>
      <c r="F167" s="24"/>
      <c r="G167" s="25" t="str">
        <f>IF($D167="","",IFERROR(VLOOKUP($D167,'SAMA Consumables Tracker'!$A:$D,4,FALSE()),""))</f>
        <v/>
      </c>
      <c r="H167" s="22"/>
    </row>
    <row r="168" spans="1:8">
      <c r="A168" s="21"/>
      <c r="B168" s="22"/>
      <c r="C168" s="22"/>
      <c r="D168" s="22"/>
      <c r="E168" s="23" t="str">
        <f>IF($D168="","",IFERROR(VLOOKUP($D168,'SAMA Consumables Tracker'!$A:$H,8,FALSE()),""))</f>
        <v/>
      </c>
      <c r="F168" s="24"/>
      <c r="G168" s="25" t="str">
        <f>IF($D168="","",IFERROR(VLOOKUP($D168,'SAMA Consumables Tracker'!$A:$D,4,FALSE()),""))</f>
        <v/>
      </c>
      <c r="H168" s="22"/>
    </row>
    <row r="169" spans="1:8">
      <c r="A169" s="21"/>
      <c r="B169" s="22"/>
      <c r="C169" s="22"/>
      <c r="D169" s="22"/>
      <c r="E169" s="23" t="str">
        <f>IF($D169="","",IFERROR(VLOOKUP($D169,'SAMA Consumables Tracker'!$A:$H,8,FALSE()),""))</f>
        <v/>
      </c>
      <c r="F169" s="24"/>
      <c r="G169" s="25" t="str">
        <f>IF($D169="","",IFERROR(VLOOKUP($D169,'SAMA Consumables Tracker'!$A:$D,4,FALSE()),""))</f>
        <v/>
      </c>
      <c r="H169" s="22"/>
    </row>
    <row r="170" spans="1:8">
      <c r="A170" s="21"/>
      <c r="B170" s="22"/>
      <c r="C170" s="22"/>
      <c r="D170" s="22"/>
      <c r="E170" s="23" t="str">
        <f>IF($D170="","",IFERROR(VLOOKUP($D170,'SAMA Consumables Tracker'!$A:$H,8,FALSE()),""))</f>
        <v/>
      </c>
      <c r="F170" s="24"/>
      <c r="G170" s="25" t="str">
        <f>IF($D170="","",IFERROR(VLOOKUP($D170,'SAMA Consumables Tracker'!$A:$D,4,FALSE()),""))</f>
        <v/>
      </c>
      <c r="H170" s="22"/>
    </row>
    <row r="171" spans="1:8">
      <c r="A171" s="21"/>
      <c r="B171" s="22"/>
      <c r="C171" s="22"/>
      <c r="D171" s="22"/>
      <c r="E171" s="23" t="str">
        <f>IF($D171="","",IFERROR(VLOOKUP($D171,'SAMA Consumables Tracker'!$A:$H,8,FALSE()),""))</f>
        <v/>
      </c>
      <c r="F171" s="24"/>
      <c r="G171" s="25" t="str">
        <f>IF($D171="","",IFERROR(VLOOKUP($D171,'SAMA Consumables Tracker'!$A:$D,4,FALSE()),""))</f>
        <v/>
      </c>
      <c r="H171" s="22"/>
    </row>
    <row r="172" spans="1:8">
      <c r="A172" s="21"/>
      <c r="B172" s="22"/>
      <c r="C172" s="22"/>
      <c r="D172" s="22"/>
      <c r="E172" s="23" t="str">
        <f>IF($D172="","",IFERROR(VLOOKUP($D172,'SAMA Consumables Tracker'!$A:$H,8,FALSE()),""))</f>
        <v/>
      </c>
      <c r="F172" s="24"/>
      <c r="G172" s="25" t="str">
        <f>IF($D172="","",IFERROR(VLOOKUP($D172,'SAMA Consumables Tracker'!$A:$D,4,FALSE()),""))</f>
        <v/>
      </c>
      <c r="H172" s="22"/>
    </row>
    <row r="173" spans="1:8">
      <c r="A173" s="21"/>
      <c r="B173" s="22"/>
      <c r="C173" s="22"/>
      <c r="D173" s="22"/>
      <c r="E173" s="23" t="str">
        <f>IF($D173="","",IFERROR(VLOOKUP($D173,'SAMA Consumables Tracker'!$A:$H,8,FALSE()),""))</f>
        <v/>
      </c>
      <c r="F173" s="24"/>
      <c r="G173" s="25" t="str">
        <f>IF($D173="","",IFERROR(VLOOKUP($D173,'SAMA Consumables Tracker'!$A:$D,4,FALSE()),""))</f>
        <v/>
      </c>
      <c r="H173" s="22"/>
    </row>
    <row r="174" spans="1:8">
      <c r="A174" s="21"/>
      <c r="B174" s="22"/>
      <c r="C174" s="22"/>
      <c r="D174" s="22"/>
      <c r="E174" s="23" t="str">
        <f>IF($D174="","",IFERROR(VLOOKUP($D174,'SAMA Consumables Tracker'!$A:$H,8,FALSE()),""))</f>
        <v/>
      </c>
      <c r="F174" s="24"/>
      <c r="G174" s="25" t="str">
        <f>IF($D174="","",IFERROR(VLOOKUP($D174,'SAMA Consumables Tracker'!$A:$D,4,FALSE()),""))</f>
        <v/>
      </c>
      <c r="H174" s="22"/>
    </row>
    <row r="175" spans="1:8">
      <c r="A175" s="21"/>
      <c r="B175" s="22"/>
      <c r="C175" s="22"/>
      <c r="D175" s="22"/>
      <c r="E175" s="23" t="str">
        <f>IF($D175="","",IFERROR(VLOOKUP($D175,'SAMA Consumables Tracker'!$A:$H,8,FALSE()),""))</f>
        <v/>
      </c>
      <c r="F175" s="24"/>
      <c r="G175" s="25" t="str">
        <f>IF($D175="","",IFERROR(VLOOKUP($D175,'SAMA Consumables Tracker'!$A:$D,4,FALSE()),""))</f>
        <v/>
      </c>
      <c r="H175" s="22"/>
    </row>
    <row r="176" spans="1:8">
      <c r="A176" s="21"/>
      <c r="B176" s="22"/>
      <c r="C176" s="22"/>
      <c r="D176" s="22"/>
      <c r="E176" s="23" t="str">
        <f>IF($D176="","",IFERROR(VLOOKUP($D176,'SAMA Consumables Tracker'!$A:$H,8,FALSE()),""))</f>
        <v/>
      </c>
      <c r="F176" s="24"/>
      <c r="G176" s="25" t="str">
        <f>IF($D176="","",IFERROR(VLOOKUP($D176,'SAMA Consumables Tracker'!$A:$D,4,FALSE()),""))</f>
        <v/>
      </c>
      <c r="H176" s="22"/>
    </row>
    <row r="177" spans="1:8">
      <c r="A177" s="21"/>
      <c r="B177" s="22"/>
      <c r="C177" s="22"/>
      <c r="D177" s="22"/>
      <c r="E177" s="23" t="str">
        <f>IF($D177="","",IFERROR(VLOOKUP($D177,'SAMA Consumables Tracker'!$A:$H,8,FALSE()),""))</f>
        <v/>
      </c>
      <c r="F177" s="24"/>
      <c r="G177" s="25" t="str">
        <f>IF($D177="","",IFERROR(VLOOKUP($D177,'SAMA Consumables Tracker'!$A:$D,4,FALSE()),""))</f>
        <v/>
      </c>
      <c r="H177" s="22"/>
    </row>
    <row r="178" spans="1:8">
      <c r="A178" s="21"/>
      <c r="B178" s="22"/>
      <c r="C178" s="22"/>
      <c r="D178" s="22"/>
      <c r="E178" s="23" t="str">
        <f>IF($D178="","",IFERROR(VLOOKUP($D178,'SAMA Consumables Tracker'!$A:$H,8,FALSE()),""))</f>
        <v/>
      </c>
      <c r="F178" s="24"/>
      <c r="G178" s="25" t="str">
        <f>IF($D178="","",IFERROR(VLOOKUP($D178,'SAMA Consumables Tracker'!$A:$D,4,FALSE()),""))</f>
        <v/>
      </c>
      <c r="H178" s="22"/>
    </row>
    <row r="179" spans="1:8">
      <c r="A179" s="21"/>
      <c r="B179" s="22"/>
      <c r="C179" s="22"/>
      <c r="D179" s="22"/>
      <c r="E179" s="23" t="str">
        <f>IF($D179="","",IFERROR(VLOOKUP($D179,'SAMA Consumables Tracker'!$A:$H,8,FALSE()),""))</f>
        <v/>
      </c>
      <c r="F179" s="24"/>
      <c r="G179" s="25" t="str">
        <f>IF($D179="","",IFERROR(VLOOKUP($D179,'SAMA Consumables Tracker'!$A:$D,4,FALSE()),""))</f>
        <v/>
      </c>
      <c r="H179" s="22"/>
    </row>
    <row r="180" spans="1:8">
      <c r="A180" s="21"/>
      <c r="B180" s="22"/>
      <c r="C180" s="22"/>
      <c r="D180" s="22"/>
      <c r="E180" s="23" t="str">
        <f>IF($D180="","",IFERROR(VLOOKUP($D180,'SAMA Consumables Tracker'!$A:$H,8,FALSE()),""))</f>
        <v/>
      </c>
      <c r="F180" s="24"/>
      <c r="G180" s="25" t="str">
        <f>IF($D180="","",IFERROR(VLOOKUP($D180,'SAMA Consumables Tracker'!$A:$D,4,FALSE()),""))</f>
        <v/>
      </c>
      <c r="H180" s="22"/>
    </row>
    <row r="181" spans="1:8">
      <c r="A181" s="21"/>
      <c r="B181" s="22"/>
      <c r="C181" s="22"/>
      <c r="D181" s="22"/>
      <c r="E181" s="23" t="str">
        <f>IF($D181="","",IFERROR(VLOOKUP($D181,'SAMA Consumables Tracker'!$A:$H,8,FALSE()),""))</f>
        <v/>
      </c>
      <c r="F181" s="24"/>
      <c r="G181" s="25" t="str">
        <f>IF($D181="","",IFERROR(VLOOKUP($D181,'SAMA Consumables Tracker'!$A:$D,4,FALSE()),""))</f>
        <v/>
      </c>
      <c r="H181" s="22"/>
    </row>
    <row r="182" spans="1:8">
      <c r="A182" s="21"/>
      <c r="B182" s="22"/>
      <c r="C182" s="22"/>
      <c r="D182" s="22"/>
      <c r="E182" s="23" t="str">
        <f>IF($D182="","",IFERROR(VLOOKUP($D182,'SAMA Consumables Tracker'!$A:$H,8,FALSE()),""))</f>
        <v/>
      </c>
      <c r="F182" s="24"/>
      <c r="G182" s="25" t="str">
        <f>IF($D182="","",IFERROR(VLOOKUP($D182,'SAMA Consumables Tracker'!$A:$D,4,FALSE()),""))</f>
        <v/>
      </c>
      <c r="H182" s="22"/>
    </row>
    <row r="183" spans="1:8">
      <c r="A183" s="21"/>
      <c r="B183" s="22"/>
      <c r="C183" s="22"/>
      <c r="D183" s="22"/>
      <c r="E183" s="23" t="str">
        <f>IF($D183="","",IFERROR(VLOOKUP($D183,'SAMA Consumables Tracker'!$A:$H,8,FALSE()),""))</f>
        <v/>
      </c>
      <c r="F183" s="24"/>
      <c r="G183" s="25" t="str">
        <f>IF($D183="","",IFERROR(VLOOKUP($D183,'SAMA Consumables Tracker'!$A:$D,4,FALSE()),""))</f>
        <v/>
      </c>
      <c r="H183" s="22"/>
    </row>
    <row r="184" spans="1:8">
      <c r="A184" s="21"/>
      <c r="B184" s="22"/>
      <c r="C184" s="22"/>
      <c r="D184" s="22"/>
      <c r="E184" s="23" t="str">
        <f>IF($D184="","",IFERROR(VLOOKUP($D184,'SAMA Consumables Tracker'!$A:$H,8,FALSE()),""))</f>
        <v/>
      </c>
      <c r="F184" s="24"/>
      <c r="G184" s="25" t="str">
        <f>IF($D184="","",IFERROR(VLOOKUP($D184,'SAMA Consumables Tracker'!$A:$D,4,FALSE()),""))</f>
        <v/>
      </c>
      <c r="H184" s="22"/>
    </row>
    <row r="185" spans="1:8">
      <c r="A185" s="21"/>
      <c r="B185" s="22"/>
      <c r="C185" s="22"/>
      <c r="D185" s="22"/>
      <c r="E185" s="23" t="str">
        <f>IF($D185="","",IFERROR(VLOOKUP($D185,'SAMA Consumables Tracker'!$A:$H,8,FALSE()),""))</f>
        <v/>
      </c>
      <c r="F185" s="24"/>
      <c r="G185" s="25" t="str">
        <f>IF($D185="","",IFERROR(VLOOKUP($D185,'SAMA Consumables Tracker'!$A:$D,4,FALSE()),""))</f>
        <v/>
      </c>
      <c r="H185" s="22"/>
    </row>
    <row r="186" spans="1:8">
      <c r="A186" s="21"/>
      <c r="B186" s="22"/>
      <c r="C186" s="22"/>
      <c r="D186" s="22"/>
      <c r="E186" s="23" t="str">
        <f>IF($D186="","",IFERROR(VLOOKUP($D186,'SAMA Consumables Tracker'!$A:$H,8,FALSE()),""))</f>
        <v/>
      </c>
      <c r="F186" s="24"/>
      <c r="G186" s="25" t="str">
        <f>IF($D186="","",IFERROR(VLOOKUP($D186,'SAMA Consumables Tracker'!$A:$D,4,FALSE()),""))</f>
        <v/>
      </c>
      <c r="H186" s="22"/>
    </row>
    <row r="187" spans="1:8">
      <c r="A187" s="21"/>
      <c r="B187" s="22"/>
      <c r="C187" s="22"/>
      <c r="D187" s="22"/>
      <c r="E187" s="23" t="str">
        <f>IF($D187="","",IFERROR(VLOOKUP($D187,'SAMA Consumables Tracker'!$A:$H,8,FALSE()),""))</f>
        <v/>
      </c>
      <c r="F187" s="24"/>
      <c r="G187" s="25" t="str">
        <f>IF($D187="","",IFERROR(VLOOKUP($D187,'SAMA Consumables Tracker'!$A:$D,4,FALSE()),""))</f>
        <v/>
      </c>
      <c r="H187" s="22"/>
    </row>
    <row r="188" spans="1:8">
      <c r="A188" s="21"/>
      <c r="B188" s="22"/>
      <c r="C188" s="22"/>
      <c r="D188" s="22"/>
      <c r="E188" s="23" t="str">
        <f>IF($D188="","",IFERROR(VLOOKUP($D188,'SAMA Consumables Tracker'!$A:$H,8,FALSE()),""))</f>
        <v/>
      </c>
      <c r="F188" s="24"/>
      <c r="G188" s="25" t="str">
        <f>IF($D188="","",IFERROR(VLOOKUP($D188,'SAMA Consumables Tracker'!$A:$D,4,FALSE()),""))</f>
        <v/>
      </c>
      <c r="H188" s="22"/>
    </row>
    <row r="189" spans="1:8">
      <c r="A189" s="21"/>
      <c r="B189" s="22"/>
      <c r="C189" s="22"/>
      <c r="D189" s="22"/>
      <c r="E189" s="23" t="str">
        <f>IF($D189="","",IFERROR(VLOOKUP($D189,'SAMA Consumables Tracker'!$A:$H,8,FALSE()),""))</f>
        <v/>
      </c>
      <c r="F189" s="24"/>
      <c r="G189" s="25" t="str">
        <f>IF($D189="","",IFERROR(VLOOKUP($D189,'SAMA Consumables Tracker'!$A:$D,4,FALSE()),""))</f>
        <v/>
      </c>
      <c r="H189" s="22"/>
    </row>
    <row r="190" spans="1:8">
      <c r="A190" s="21"/>
      <c r="B190" s="22"/>
      <c r="C190" s="22"/>
      <c r="D190" s="22"/>
      <c r="E190" s="23" t="str">
        <f>IF($D190="","",IFERROR(VLOOKUP($D190,'SAMA Consumables Tracker'!$A:$H,8,FALSE()),""))</f>
        <v/>
      </c>
      <c r="F190" s="24"/>
      <c r="G190" s="25" t="str">
        <f>IF($D190="","",IFERROR(VLOOKUP($D190,'SAMA Consumables Tracker'!$A:$D,4,FALSE()),""))</f>
        <v/>
      </c>
      <c r="H190" s="22"/>
    </row>
    <row r="191" spans="1:8">
      <c r="A191" s="21"/>
      <c r="B191" s="22"/>
      <c r="C191" s="22"/>
      <c r="D191" s="22"/>
      <c r="E191" s="23" t="str">
        <f>IF($D191="","",IFERROR(VLOOKUP($D191,'SAMA Consumables Tracker'!$A:$H,8,FALSE()),""))</f>
        <v/>
      </c>
      <c r="F191" s="24"/>
      <c r="G191" s="25" t="str">
        <f>IF($D191="","",IFERROR(VLOOKUP($D191,'SAMA Consumables Tracker'!$A:$D,4,FALSE()),""))</f>
        <v/>
      </c>
      <c r="H191" s="22"/>
    </row>
    <row r="192" spans="1:8">
      <c r="A192" s="21"/>
      <c r="B192" s="22"/>
      <c r="C192" s="22"/>
      <c r="D192" s="22"/>
      <c r="E192" s="23" t="str">
        <f>IF($D192="","",IFERROR(VLOOKUP($D192,'SAMA Consumables Tracker'!$A:$H,8,FALSE()),""))</f>
        <v/>
      </c>
      <c r="F192" s="24"/>
      <c r="G192" s="25" t="str">
        <f>IF($D192="","",IFERROR(VLOOKUP($D192,'SAMA Consumables Tracker'!$A:$D,4,FALSE()),""))</f>
        <v/>
      </c>
      <c r="H192" s="22"/>
    </row>
    <row r="193" spans="1:8">
      <c r="A193" s="21"/>
      <c r="B193" s="22"/>
      <c r="C193" s="22"/>
      <c r="D193" s="22"/>
      <c r="E193" s="23" t="str">
        <f>IF($D193="","",IFERROR(VLOOKUP($D193,'SAMA Consumables Tracker'!$A:$H,8,FALSE()),""))</f>
        <v/>
      </c>
      <c r="F193" s="24"/>
      <c r="G193" s="25" t="str">
        <f>IF($D193="","",IFERROR(VLOOKUP($D193,'SAMA Consumables Tracker'!$A:$D,4,FALSE()),""))</f>
        <v/>
      </c>
      <c r="H193" s="22"/>
    </row>
    <row r="194" spans="1:8">
      <c r="A194" s="21"/>
      <c r="B194" s="22"/>
      <c r="C194" s="22"/>
      <c r="D194" s="22"/>
      <c r="E194" s="23" t="str">
        <f>IF($D194="","",IFERROR(VLOOKUP($D194,'SAMA Consumables Tracker'!$A:$H,8,FALSE()),""))</f>
        <v/>
      </c>
      <c r="F194" s="24"/>
      <c r="G194" s="25" t="str">
        <f>IF($D194="","",IFERROR(VLOOKUP($D194,'SAMA Consumables Tracker'!$A:$D,4,FALSE()),""))</f>
        <v/>
      </c>
      <c r="H194" s="22"/>
    </row>
    <row r="195" spans="1:8">
      <c r="A195" s="21"/>
      <c r="B195" s="22"/>
      <c r="C195" s="22"/>
      <c r="D195" s="22"/>
      <c r="E195" s="23" t="str">
        <f>IF($D195="","",IFERROR(VLOOKUP($D195,'SAMA Consumables Tracker'!$A:$H,8,FALSE()),""))</f>
        <v/>
      </c>
      <c r="F195" s="24"/>
      <c r="G195" s="25" t="str">
        <f>IF($D195="","",IFERROR(VLOOKUP($D195,'SAMA Consumables Tracker'!$A:$D,4,FALSE()),""))</f>
        <v/>
      </c>
      <c r="H195" s="22"/>
    </row>
    <row r="196" spans="1:8">
      <c r="A196" s="21"/>
      <c r="B196" s="22"/>
      <c r="C196" s="22"/>
      <c r="D196" s="22"/>
      <c r="E196" s="23" t="str">
        <f>IF($D196="","",IFERROR(VLOOKUP($D196,'SAMA Consumables Tracker'!$A:$H,8,FALSE()),""))</f>
        <v/>
      </c>
      <c r="F196" s="24"/>
      <c r="G196" s="25" t="str">
        <f>IF($D196="","",IFERROR(VLOOKUP($D196,'SAMA Consumables Tracker'!$A:$D,4,FALSE()),""))</f>
        <v/>
      </c>
      <c r="H196" s="22"/>
    </row>
    <row r="197" spans="1:8">
      <c r="A197" s="21"/>
      <c r="B197" s="22"/>
      <c r="C197" s="22"/>
      <c r="D197" s="22"/>
      <c r="E197" s="23" t="str">
        <f>IF($D197="","",IFERROR(VLOOKUP($D197,'SAMA Consumables Tracker'!$A:$H,8,FALSE()),""))</f>
        <v/>
      </c>
      <c r="F197" s="24"/>
      <c r="G197" s="25" t="str">
        <f>IF($D197="","",IFERROR(VLOOKUP($D197,'SAMA Consumables Tracker'!$A:$D,4,FALSE()),""))</f>
        <v/>
      </c>
      <c r="H197" s="22"/>
    </row>
    <row r="198" spans="1:8">
      <c r="A198" s="21"/>
      <c r="B198" s="22"/>
      <c r="C198" s="22"/>
      <c r="D198" s="22"/>
      <c r="E198" s="23" t="str">
        <f>IF($D198="","",IFERROR(VLOOKUP($D198,'SAMA Consumables Tracker'!$A:$H,8,FALSE()),""))</f>
        <v/>
      </c>
      <c r="F198" s="24"/>
      <c r="G198" s="25" t="str">
        <f>IF($D198="","",IFERROR(VLOOKUP($D198,'SAMA Consumables Tracker'!$A:$D,4,FALSE()),""))</f>
        <v/>
      </c>
      <c r="H198" s="22"/>
    </row>
    <row r="199" spans="1:8">
      <c r="A199" s="21"/>
      <c r="B199" s="22"/>
      <c r="C199" s="22"/>
      <c r="D199" s="22"/>
      <c r="E199" s="23" t="str">
        <f>IF($D199="","",IFERROR(VLOOKUP($D199,'SAMA Consumables Tracker'!$A:$H,8,FALSE()),""))</f>
        <v/>
      </c>
      <c r="F199" s="24"/>
      <c r="G199" s="25" t="str">
        <f>IF($D199="","",IFERROR(VLOOKUP($D199,'SAMA Consumables Tracker'!$A:$D,4,FALSE()),""))</f>
        <v/>
      </c>
      <c r="H199" s="22"/>
    </row>
    <row r="200" spans="1:8">
      <c r="A200" s="21"/>
      <c r="B200" s="22"/>
      <c r="C200" s="22"/>
      <c r="D200" s="22"/>
      <c r="E200" s="23" t="str">
        <f>IF($D200="","",IFERROR(VLOOKUP($D200,'SAMA Consumables Tracker'!$A:$H,8,FALSE()),""))</f>
        <v/>
      </c>
      <c r="F200" s="24"/>
      <c r="G200" s="25" t="str">
        <f>IF($D200="","",IFERROR(VLOOKUP($D200,'SAMA Consumables Tracker'!$A:$D,4,FALSE()),""))</f>
        <v/>
      </c>
      <c r="H200" s="22"/>
    </row>
    <row r="201" spans="1:8">
      <c r="A201" s="21"/>
      <c r="B201" s="22"/>
      <c r="C201" s="22"/>
      <c r="D201" s="22"/>
      <c r="E201" s="23" t="str">
        <f>IF($D201="","",IFERROR(VLOOKUP($D201,'SAMA Consumables Tracker'!$A:$H,8,FALSE()),""))</f>
        <v/>
      </c>
      <c r="F201" s="24"/>
      <c r="G201" s="25" t="str">
        <f>IF($D201="","",IFERROR(VLOOKUP($D201,'SAMA Consumables Tracker'!$A:$D,4,FALSE()),""))</f>
        <v/>
      </c>
      <c r="H201" s="22"/>
    </row>
    <row r="202" spans="1:8">
      <c r="A202" s="21"/>
      <c r="B202" s="22"/>
      <c r="C202" s="22"/>
      <c r="D202" s="22"/>
      <c r="E202" s="23" t="str">
        <f>IF($D202="","",IFERROR(VLOOKUP($D202,'SAMA Consumables Tracker'!$A:$H,8,FALSE()),""))</f>
        <v/>
      </c>
      <c r="F202" s="24"/>
      <c r="G202" s="25" t="str">
        <f>IF($D202="","",IFERROR(VLOOKUP($D202,'SAMA Consumables Tracker'!$A:$D,4,FALSE()),""))</f>
        <v/>
      </c>
      <c r="H202" s="22"/>
    </row>
    <row r="203" spans="1:8">
      <c r="A203" s="21"/>
      <c r="B203" s="22"/>
      <c r="C203" s="22"/>
      <c r="D203" s="22"/>
      <c r="E203" s="23" t="str">
        <f>IF($D203="","",IFERROR(VLOOKUP($D203,'SAMA Consumables Tracker'!$A:$H,8,FALSE()),""))</f>
        <v/>
      </c>
      <c r="F203" s="24"/>
      <c r="G203" s="25" t="str">
        <f>IF($D203="","",IFERROR(VLOOKUP($D203,'SAMA Consumables Tracker'!$A:$D,4,FALSE()),""))</f>
        <v/>
      </c>
      <c r="H203" s="22"/>
    </row>
    <row r="204" spans="1:8">
      <c r="A204" s="21"/>
      <c r="B204" s="22"/>
      <c r="C204" s="22"/>
      <c r="D204" s="22"/>
      <c r="E204" s="23" t="str">
        <f>IF($D204="","",IFERROR(VLOOKUP($D204,'SAMA Consumables Tracker'!$A:$H,8,FALSE()),""))</f>
        <v/>
      </c>
      <c r="F204" s="24"/>
      <c r="G204" s="25" t="str">
        <f>IF($D204="","",IFERROR(VLOOKUP($D204,'SAMA Consumables Tracker'!$A:$D,4,FALSE()),""))</f>
        <v/>
      </c>
      <c r="H204" s="22"/>
    </row>
    <row r="205" spans="1:8">
      <c r="A205" s="21"/>
      <c r="B205" s="22"/>
      <c r="C205" s="22"/>
      <c r="D205" s="22"/>
      <c r="E205" s="23" t="str">
        <f>IF($D205="","",IFERROR(VLOOKUP($D205,'SAMA Consumables Tracker'!$A:$H,8,FALSE()),""))</f>
        <v/>
      </c>
      <c r="F205" s="24"/>
      <c r="G205" s="25" t="str">
        <f>IF($D205="","",IFERROR(VLOOKUP($D205,'SAMA Consumables Tracker'!$A:$D,4,FALSE()),""))</f>
        <v/>
      </c>
      <c r="H205" s="22"/>
    </row>
    <row r="206" spans="1:8">
      <c r="A206" s="21"/>
      <c r="B206" s="22"/>
      <c r="C206" s="22"/>
      <c r="D206" s="22"/>
      <c r="E206" s="23" t="str">
        <f>IF($D206="","",IFERROR(VLOOKUP($D206,'SAMA Consumables Tracker'!$A:$H,8,FALSE()),""))</f>
        <v/>
      </c>
      <c r="F206" s="24"/>
      <c r="G206" s="25" t="str">
        <f>IF($D206="","",IFERROR(VLOOKUP($D206,'SAMA Consumables Tracker'!$A:$D,4,FALSE()),""))</f>
        <v/>
      </c>
      <c r="H206" s="22"/>
    </row>
    <row r="207" spans="1:8">
      <c r="A207" s="21"/>
      <c r="B207" s="22"/>
      <c r="C207" s="22"/>
      <c r="D207" s="22"/>
      <c r="E207" s="23" t="str">
        <f>IF($D207="","",IFERROR(VLOOKUP($D207,'SAMA Consumables Tracker'!$A:$H,8,FALSE()),""))</f>
        <v/>
      </c>
      <c r="F207" s="24"/>
      <c r="G207" s="25" t="str">
        <f>IF($D207="","",IFERROR(VLOOKUP($D207,'SAMA Consumables Tracker'!$A:$D,4,FALSE()),""))</f>
        <v/>
      </c>
      <c r="H207" s="22"/>
    </row>
    <row r="208" spans="1:8">
      <c r="A208" s="21"/>
      <c r="B208" s="22"/>
      <c r="C208" s="22"/>
      <c r="D208" s="22"/>
      <c r="E208" s="23" t="str">
        <f>IF($D208="","",IFERROR(VLOOKUP($D208,'SAMA Consumables Tracker'!$A:$H,8,FALSE()),""))</f>
        <v/>
      </c>
      <c r="F208" s="24"/>
      <c r="G208" s="25" t="str">
        <f>IF($D208="","",IFERROR(VLOOKUP($D208,'SAMA Consumables Tracker'!$A:$D,4,FALSE()),""))</f>
        <v/>
      </c>
      <c r="H208" s="22"/>
    </row>
    <row r="209" spans="1:8">
      <c r="A209" s="21"/>
      <c r="B209" s="22"/>
      <c r="C209" s="22"/>
      <c r="D209" s="22"/>
      <c r="E209" s="23" t="str">
        <f>IF($D209="","",IFERROR(VLOOKUP($D209,'SAMA Consumables Tracker'!$A:$H,8,FALSE()),""))</f>
        <v/>
      </c>
      <c r="F209" s="24"/>
      <c r="G209" s="25" t="str">
        <f>IF($D209="","",IFERROR(VLOOKUP($D209,'SAMA Consumables Tracker'!$A:$D,4,FALSE()),""))</f>
        <v/>
      </c>
      <c r="H209" s="22"/>
    </row>
    <row r="210" spans="1:8">
      <c r="A210" s="21"/>
      <c r="B210" s="22"/>
      <c r="C210" s="22"/>
      <c r="D210" s="22"/>
      <c r="E210" s="23" t="str">
        <f>IF($D210="","",IFERROR(VLOOKUP($D210,'SAMA Consumables Tracker'!$A:$H,8,FALSE()),""))</f>
        <v/>
      </c>
      <c r="F210" s="24"/>
      <c r="G210" s="25" t="str">
        <f>IF($D210="","",IFERROR(VLOOKUP($D210,'SAMA Consumables Tracker'!$A:$D,4,FALSE()),""))</f>
        <v/>
      </c>
      <c r="H210" s="22"/>
    </row>
    <row r="211" spans="1:8">
      <c r="A211" s="21"/>
      <c r="B211" s="22"/>
      <c r="C211" s="22"/>
      <c r="D211" s="22"/>
      <c r="E211" s="23" t="str">
        <f>IF($D211="","",IFERROR(VLOOKUP($D211,'SAMA Consumables Tracker'!$A:$H,8,FALSE()),""))</f>
        <v/>
      </c>
      <c r="F211" s="24"/>
      <c r="G211" s="25" t="str">
        <f>IF($D211="","",IFERROR(VLOOKUP($D211,'SAMA Consumables Tracker'!$A:$D,4,FALSE()),""))</f>
        <v/>
      </c>
      <c r="H211" s="22"/>
    </row>
    <row r="212" spans="1:8">
      <c r="A212" s="21"/>
      <c r="B212" s="22"/>
      <c r="C212" s="22"/>
      <c r="D212" s="22"/>
      <c r="E212" s="23" t="str">
        <f>IF($D212="","",IFERROR(VLOOKUP($D212,'SAMA Consumables Tracker'!$A:$H,8,FALSE()),""))</f>
        <v/>
      </c>
      <c r="F212" s="24"/>
      <c r="G212" s="25" t="str">
        <f>IF($D212="","",IFERROR(VLOOKUP($D212,'SAMA Consumables Tracker'!$A:$D,4,FALSE()),""))</f>
        <v/>
      </c>
      <c r="H212" s="22"/>
    </row>
    <row r="213" spans="1:8">
      <c r="A213" s="21"/>
      <c r="B213" s="22"/>
      <c r="C213" s="22"/>
      <c r="D213" s="22"/>
      <c r="E213" s="23" t="str">
        <f>IF($D213="","",IFERROR(VLOOKUP($D213,'SAMA Consumables Tracker'!$A:$H,8,FALSE()),""))</f>
        <v/>
      </c>
      <c r="F213" s="24"/>
      <c r="G213" s="25" t="str">
        <f>IF($D213="","",IFERROR(VLOOKUP($D213,'SAMA Consumables Tracker'!$A:$D,4,FALSE()),""))</f>
        <v/>
      </c>
      <c r="H213" s="22"/>
    </row>
    <row r="214" spans="1:8">
      <c r="A214" s="21"/>
      <c r="B214" s="22"/>
      <c r="C214" s="22"/>
      <c r="D214" s="22"/>
      <c r="E214" s="23" t="str">
        <f>IF($D214="","",IFERROR(VLOOKUP($D214,'SAMA Consumables Tracker'!$A:$H,8,FALSE()),""))</f>
        <v/>
      </c>
      <c r="F214" s="24"/>
      <c r="G214" s="25" t="str">
        <f>IF($D214="","",IFERROR(VLOOKUP($D214,'SAMA Consumables Tracker'!$A:$D,4,FALSE()),""))</f>
        <v/>
      </c>
      <c r="H214" s="22"/>
    </row>
    <row r="215" spans="1:8">
      <c r="A215" s="21"/>
      <c r="B215" s="22"/>
      <c r="C215" s="22"/>
      <c r="D215" s="22"/>
      <c r="E215" s="23" t="str">
        <f>IF($D215="","",IFERROR(VLOOKUP($D215,'SAMA Consumables Tracker'!$A:$H,8,FALSE()),""))</f>
        <v/>
      </c>
      <c r="F215" s="24"/>
      <c r="G215" s="25" t="str">
        <f>IF($D215="","",IFERROR(VLOOKUP($D215,'SAMA Consumables Tracker'!$A:$D,4,FALSE()),""))</f>
        <v/>
      </c>
      <c r="H215" s="22"/>
    </row>
    <row r="216" spans="1:8">
      <c r="A216" s="21"/>
      <c r="B216" s="22"/>
      <c r="C216" s="22"/>
      <c r="D216" s="22"/>
      <c r="E216" s="23" t="str">
        <f>IF($D216="","",IFERROR(VLOOKUP($D216,'SAMA Consumables Tracker'!$A:$H,8,FALSE()),""))</f>
        <v/>
      </c>
      <c r="F216" s="24"/>
      <c r="G216" s="25" t="str">
        <f>IF($D216="","",IFERROR(VLOOKUP($D216,'SAMA Consumables Tracker'!$A:$D,4,FALSE()),""))</f>
        <v/>
      </c>
      <c r="H216" s="22"/>
    </row>
    <row r="217" spans="1:8">
      <c r="A217" s="21"/>
      <c r="B217" s="22"/>
      <c r="C217" s="22"/>
      <c r="D217" s="22"/>
      <c r="E217" s="23" t="str">
        <f>IF($D217="","",IFERROR(VLOOKUP($D217,'SAMA Consumables Tracker'!$A:$H,8,FALSE()),""))</f>
        <v/>
      </c>
      <c r="F217" s="24"/>
      <c r="G217" s="25" t="str">
        <f>IF($D217="","",IFERROR(VLOOKUP($D217,'SAMA Consumables Tracker'!$A:$D,4,FALSE()),""))</f>
        <v/>
      </c>
      <c r="H217" s="22"/>
    </row>
    <row r="218" spans="1:8">
      <c r="A218" s="21"/>
      <c r="B218" s="22"/>
      <c r="C218" s="22"/>
      <c r="D218" s="22"/>
      <c r="E218" s="23" t="str">
        <f>IF($D218="","",IFERROR(VLOOKUP($D218,'SAMA Consumables Tracker'!$A:$H,8,FALSE()),""))</f>
        <v/>
      </c>
      <c r="F218" s="24"/>
      <c r="G218" s="25" t="str">
        <f>IF($D218="","",IFERROR(VLOOKUP($D218,'SAMA Consumables Tracker'!$A:$D,4,FALSE()),""))</f>
        <v/>
      </c>
      <c r="H218" s="22"/>
    </row>
    <row r="219" spans="1:8">
      <c r="A219" s="21"/>
      <c r="B219" s="22"/>
      <c r="C219" s="22"/>
      <c r="D219" s="22"/>
      <c r="E219" s="23" t="str">
        <f>IF($D219="","",IFERROR(VLOOKUP($D219,'SAMA Consumables Tracker'!$A:$H,8,FALSE()),""))</f>
        <v/>
      </c>
      <c r="F219" s="24"/>
      <c r="G219" s="25" t="str">
        <f>IF($D219="","",IFERROR(VLOOKUP($D219,'SAMA Consumables Tracker'!$A:$D,4,FALSE()),""))</f>
        <v/>
      </c>
      <c r="H219" s="22"/>
    </row>
    <row r="220" spans="1:8">
      <c r="A220" s="21"/>
      <c r="B220" s="22"/>
      <c r="C220" s="22"/>
      <c r="D220" s="22"/>
      <c r="E220" s="23" t="str">
        <f>IF($D220="","",IFERROR(VLOOKUP($D220,'SAMA Consumables Tracker'!$A:$H,8,FALSE()),""))</f>
        <v/>
      </c>
      <c r="F220" s="24"/>
      <c r="G220" s="25" t="str">
        <f>IF($D220="","",IFERROR(VLOOKUP($D220,'SAMA Consumables Tracker'!$A:$D,4,FALSE()),""))</f>
        <v/>
      </c>
      <c r="H220" s="22"/>
    </row>
    <row r="221" spans="1:8">
      <c r="A221" s="21"/>
      <c r="B221" s="22"/>
      <c r="C221" s="22"/>
      <c r="D221" s="22"/>
      <c r="E221" s="23" t="str">
        <f>IF($D221="","",IFERROR(VLOOKUP($D221,'SAMA Consumables Tracker'!$A:$H,8,FALSE()),""))</f>
        <v/>
      </c>
      <c r="F221" s="24"/>
      <c r="G221" s="25" t="str">
        <f>IF($D221="","",IFERROR(VLOOKUP($D221,'SAMA Consumables Tracker'!$A:$D,4,FALSE()),""))</f>
        <v/>
      </c>
      <c r="H221" s="22"/>
    </row>
    <row r="222" spans="1:8">
      <c r="A222" s="21"/>
      <c r="B222" s="22"/>
      <c r="C222" s="22"/>
      <c r="D222" s="22"/>
      <c r="E222" s="23" t="str">
        <f>IF($D222="","",IFERROR(VLOOKUP($D222,'SAMA Consumables Tracker'!$A:$H,8,FALSE()),""))</f>
        <v/>
      </c>
      <c r="F222" s="24"/>
      <c r="G222" s="25" t="str">
        <f>IF($D222="","",IFERROR(VLOOKUP($D222,'SAMA Consumables Tracker'!$A:$D,4,FALSE()),""))</f>
        <v/>
      </c>
      <c r="H222" s="22"/>
    </row>
    <row r="223" spans="1:8">
      <c r="A223" s="21"/>
      <c r="B223" s="22"/>
      <c r="C223" s="22"/>
      <c r="D223" s="22"/>
      <c r="E223" s="23" t="str">
        <f>IF($D223="","",IFERROR(VLOOKUP($D223,'SAMA Consumables Tracker'!$A:$H,8,FALSE()),""))</f>
        <v/>
      </c>
      <c r="F223" s="24"/>
      <c r="G223" s="25" t="str">
        <f>IF($D223="","",IFERROR(VLOOKUP($D223,'SAMA Consumables Tracker'!$A:$D,4,FALSE()),""))</f>
        <v/>
      </c>
      <c r="H223" s="22"/>
    </row>
    <row r="224" spans="1:8">
      <c r="A224" s="21"/>
      <c r="B224" s="22"/>
      <c r="C224" s="22"/>
      <c r="D224" s="22"/>
      <c r="E224" s="23" t="str">
        <f>IF($D224="","",IFERROR(VLOOKUP($D224,'SAMA Consumables Tracker'!$A:$H,8,FALSE()),""))</f>
        <v/>
      </c>
      <c r="F224" s="24"/>
      <c r="G224" s="25" t="str">
        <f>IF($D224="","",IFERROR(VLOOKUP($D224,'SAMA Consumables Tracker'!$A:$D,4,FALSE()),""))</f>
        <v/>
      </c>
      <c r="H224" s="22"/>
    </row>
    <row r="225" spans="1:8">
      <c r="A225" s="21"/>
      <c r="B225" s="22"/>
      <c r="C225" s="22"/>
      <c r="D225" s="22"/>
      <c r="E225" s="23" t="str">
        <f>IF($D225="","",IFERROR(VLOOKUP($D225,'SAMA Consumables Tracker'!$A:$H,8,FALSE()),""))</f>
        <v/>
      </c>
      <c r="F225" s="24"/>
      <c r="G225" s="25" t="str">
        <f>IF($D225="","",IFERROR(VLOOKUP($D225,'SAMA Consumables Tracker'!$A:$D,4,FALSE()),""))</f>
        <v/>
      </c>
      <c r="H225" s="22"/>
    </row>
    <row r="226" spans="1:8">
      <c r="A226" s="21"/>
      <c r="B226" s="22"/>
      <c r="C226" s="22"/>
      <c r="D226" s="22"/>
      <c r="E226" s="23" t="str">
        <f>IF($D226="","",IFERROR(VLOOKUP($D226,'SAMA Consumables Tracker'!$A:$H,8,FALSE()),""))</f>
        <v/>
      </c>
      <c r="F226" s="24"/>
      <c r="G226" s="25" t="str">
        <f>IF($D226="","",IFERROR(VLOOKUP($D226,'SAMA Consumables Tracker'!$A:$D,4,FALSE()),""))</f>
        <v/>
      </c>
      <c r="H226" s="22"/>
    </row>
    <row r="227" spans="1:8">
      <c r="A227" s="21"/>
      <c r="B227" s="22"/>
      <c r="C227" s="22"/>
      <c r="D227" s="22"/>
      <c r="E227" s="23" t="str">
        <f>IF($D227="","",IFERROR(VLOOKUP($D227,'SAMA Consumables Tracker'!$A:$H,8,FALSE()),""))</f>
        <v/>
      </c>
      <c r="F227" s="24"/>
      <c r="G227" s="25" t="str">
        <f>IF($D227="","",IFERROR(VLOOKUP($D227,'SAMA Consumables Tracker'!$A:$D,4,FALSE()),""))</f>
        <v/>
      </c>
      <c r="H227" s="22"/>
    </row>
    <row r="228" spans="1:8">
      <c r="A228" s="21"/>
      <c r="B228" s="22"/>
      <c r="C228" s="22"/>
      <c r="D228" s="22"/>
      <c r="E228" s="23" t="str">
        <f>IF($D228="","",IFERROR(VLOOKUP($D228,'SAMA Consumables Tracker'!$A:$H,8,FALSE()),""))</f>
        <v/>
      </c>
      <c r="F228" s="24"/>
      <c r="G228" s="25" t="str">
        <f>IF($D228="","",IFERROR(VLOOKUP($D228,'SAMA Consumables Tracker'!$A:$D,4,FALSE()),""))</f>
        <v/>
      </c>
      <c r="H228" s="22"/>
    </row>
    <row r="229" spans="1:8">
      <c r="A229" s="21"/>
      <c r="B229" s="22"/>
      <c r="C229" s="22"/>
      <c r="D229" s="22"/>
      <c r="E229" s="23" t="str">
        <f>IF($D229="","",IFERROR(VLOOKUP($D229,'SAMA Consumables Tracker'!$A:$H,8,FALSE()),""))</f>
        <v/>
      </c>
      <c r="F229" s="24"/>
      <c r="G229" s="25" t="str">
        <f>IF($D229="","",IFERROR(VLOOKUP($D229,'SAMA Consumables Tracker'!$A:$D,4,FALSE()),""))</f>
        <v/>
      </c>
      <c r="H229" s="22"/>
    </row>
    <row r="230" spans="1:8">
      <c r="A230" s="21"/>
      <c r="B230" s="22"/>
      <c r="C230" s="22"/>
      <c r="D230" s="22"/>
      <c r="E230" s="23" t="str">
        <f>IF($D230="","",IFERROR(VLOOKUP($D230,'SAMA Consumables Tracker'!$A:$H,8,FALSE()),""))</f>
        <v/>
      </c>
      <c r="F230" s="24"/>
      <c r="G230" s="25" t="str">
        <f>IF($D230="","",IFERROR(VLOOKUP($D230,'SAMA Consumables Tracker'!$A:$D,4,FALSE()),""))</f>
        <v/>
      </c>
      <c r="H230" s="22"/>
    </row>
    <row r="231" spans="1:8">
      <c r="A231" s="21"/>
      <c r="B231" s="22"/>
      <c r="C231" s="22"/>
      <c r="D231" s="22"/>
      <c r="E231" s="23" t="str">
        <f>IF($D231="","",IFERROR(VLOOKUP($D231,'SAMA Consumables Tracker'!$A:$H,8,FALSE()),""))</f>
        <v/>
      </c>
      <c r="F231" s="24"/>
      <c r="G231" s="25" t="str">
        <f>IF($D231="","",IFERROR(VLOOKUP($D231,'SAMA Consumables Tracker'!$A:$D,4,FALSE()),""))</f>
        <v/>
      </c>
      <c r="H231" s="22"/>
    </row>
    <row r="232" spans="1:8">
      <c r="A232" s="21"/>
      <c r="B232" s="22"/>
      <c r="C232" s="22"/>
      <c r="D232" s="22"/>
      <c r="E232" s="23" t="str">
        <f>IF($D232="","",IFERROR(VLOOKUP($D232,'SAMA Consumables Tracker'!$A:$H,8,FALSE()),""))</f>
        <v/>
      </c>
      <c r="F232" s="24"/>
      <c r="G232" s="25" t="str">
        <f>IF($D232="","",IFERROR(VLOOKUP($D232,'SAMA Consumables Tracker'!$A:$D,4,FALSE()),""))</f>
        <v/>
      </c>
      <c r="H232" s="22"/>
    </row>
    <row r="233" spans="1:8">
      <c r="A233" s="21"/>
      <c r="B233" s="22"/>
      <c r="C233" s="22"/>
      <c r="D233" s="22"/>
      <c r="E233" s="23" t="str">
        <f>IF($D233="","",IFERROR(VLOOKUP($D233,'SAMA Consumables Tracker'!$A:$H,8,FALSE()),""))</f>
        <v/>
      </c>
      <c r="F233" s="24"/>
      <c r="G233" s="25" t="str">
        <f>IF($D233="","",IFERROR(VLOOKUP($D233,'SAMA Consumables Tracker'!$A:$D,4,FALSE()),""))</f>
        <v/>
      </c>
      <c r="H233" s="22"/>
    </row>
    <row r="234" spans="1:8">
      <c r="A234" s="21"/>
      <c r="B234" s="22"/>
      <c r="C234" s="22"/>
      <c r="D234" s="22"/>
      <c r="E234" s="23" t="str">
        <f>IF($D234="","",IFERROR(VLOOKUP($D234,'SAMA Consumables Tracker'!$A:$H,8,FALSE()),""))</f>
        <v/>
      </c>
      <c r="F234" s="24"/>
      <c r="G234" s="25" t="str">
        <f>IF($D234="","",IFERROR(VLOOKUP($D234,'SAMA Consumables Tracker'!$A:$D,4,FALSE()),""))</f>
        <v/>
      </c>
      <c r="H234" s="22"/>
    </row>
    <row r="235" spans="1:8">
      <c r="A235" s="21"/>
      <c r="B235" s="22"/>
      <c r="C235" s="22"/>
      <c r="D235" s="22"/>
      <c r="E235" s="23" t="str">
        <f>IF($D235="","",IFERROR(VLOOKUP($D235,'SAMA Consumables Tracker'!$A:$H,8,FALSE()),""))</f>
        <v/>
      </c>
      <c r="F235" s="24"/>
      <c r="G235" s="25" t="str">
        <f>IF($D235="","",IFERROR(VLOOKUP($D235,'SAMA Consumables Tracker'!$A:$D,4,FALSE()),""))</f>
        <v/>
      </c>
      <c r="H235" s="22"/>
    </row>
    <row r="236" spans="1:8">
      <c r="A236" s="21"/>
      <c r="B236" s="22"/>
      <c r="C236" s="22"/>
      <c r="D236" s="22"/>
      <c r="E236" s="23" t="str">
        <f>IF($D236="","",IFERROR(VLOOKUP($D236,'SAMA Consumables Tracker'!$A:$H,8,FALSE()),""))</f>
        <v/>
      </c>
      <c r="F236" s="24"/>
      <c r="G236" s="25" t="str">
        <f>IF($D236="","",IFERROR(VLOOKUP($D236,'SAMA Consumables Tracker'!$A:$D,4,FALSE()),""))</f>
        <v/>
      </c>
      <c r="H236" s="22"/>
    </row>
    <row r="237" spans="1:8">
      <c r="A237" s="21"/>
      <c r="B237" s="22"/>
      <c r="C237" s="22"/>
      <c r="D237" s="22"/>
      <c r="E237" s="23" t="str">
        <f>IF($D237="","",IFERROR(VLOOKUP($D237,'SAMA Consumables Tracker'!$A:$H,8,FALSE()),""))</f>
        <v/>
      </c>
      <c r="F237" s="24"/>
      <c r="G237" s="25" t="str">
        <f>IF($D237="","",IFERROR(VLOOKUP($D237,'SAMA Consumables Tracker'!$A:$D,4,FALSE()),""))</f>
        <v/>
      </c>
      <c r="H237" s="22"/>
    </row>
    <row r="238" spans="1:8">
      <c r="A238" s="21"/>
      <c r="B238" s="22"/>
      <c r="C238" s="22"/>
      <c r="D238" s="22"/>
      <c r="E238" s="23" t="str">
        <f>IF($D238="","",IFERROR(VLOOKUP($D238,'SAMA Consumables Tracker'!$A:$H,8,FALSE()),""))</f>
        <v/>
      </c>
      <c r="F238" s="24"/>
      <c r="G238" s="25" t="str">
        <f>IF($D238="","",IFERROR(VLOOKUP($D238,'SAMA Consumables Tracker'!$A:$D,4,FALSE()),""))</f>
        <v/>
      </c>
      <c r="H238" s="22"/>
    </row>
    <row r="239" spans="1:8">
      <c r="A239" s="21"/>
      <c r="B239" s="22"/>
      <c r="C239" s="22"/>
      <c r="D239" s="22"/>
      <c r="E239" s="23" t="str">
        <f>IF($D239="","",IFERROR(VLOOKUP($D239,'SAMA Consumables Tracker'!$A:$H,8,FALSE()),""))</f>
        <v/>
      </c>
      <c r="F239" s="24"/>
      <c r="G239" s="25" t="str">
        <f>IF($D239="","",IFERROR(VLOOKUP($D239,'SAMA Consumables Tracker'!$A:$D,4,FALSE()),""))</f>
        <v/>
      </c>
      <c r="H239" s="22"/>
    </row>
    <row r="240" spans="1:8">
      <c r="A240" s="21"/>
      <c r="B240" s="22"/>
      <c r="C240" s="22"/>
      <c r="D240" s="22"/>
      <c r="E240" s="23" t="str">
        <f>IF($D240="","",IFERROR(VLOOKUP($D240,'SAMA Consumables Tracker'!$A:$H,8,FALSE()),""))</f>
        <v/>
      </c>
      <c r="F240" s="24"/>
      <c r="G240" s="25" t="str">
        <f>IF($D240="","",IFERROR(VLOOKUP($D240,'SAMA Consumables Tracker'!$A:$D,4,FALSE()),""))</f>
        <v/>
      </c>
      <c r="H240" s="22"/>
    </row>
    <row r="241" spans="1:8">
      <c r="A241" s="21"/>
      <c r="B241" s="22"/>
      <c r="C241" s="22"/>
      <c r="D241" s="22"/>
      <c r="E241" s="23" t="str">
        <f>IF($D241="","",IFERROR(VLOOKUP($D241,'SAMA Consumables Tracker'!$A:$H,8,FALSE()),""))</f>
        <v/>
      </c>
      <c r="F241" s="24"/>
      <c r="G241" s="25" t="str">
        <f>IF($D241="","",IFERROR(VLOOKUP($D241,'SAMA Consumables Tracker'!$A:$D,4,FALSE()),""))</f>
        <v/>
      </c>
      <c r="H241" s="22"/>
    </row>
    <row r="242" spans="1:8">
      <c r="A242" s="21"/>
      <c r="B242" s="22"/>
      <c r="C242" s="22"/>
      <c r="D242" s="22"/>
      <c r="E242" s="23" t="str">
        <f>IF($D242="","",IFERROR(VLOOKUP($D242,'SAMA Consumables Tracker'!$A:$H,8,FALSE()),""))</f>
        <v/>
      </c>
      <c r="F242" s="24"/>
      <c r="G242" s="25" t="str">
        <f>IF($D242="","",IFERROR(VLOOKUP($D242,'SAMA Consumables Tracker'!$A:$D,4,FALSE()),""))</f>
        <v/>
      </c>
      <c r="H242" s="22"/>
    </row>
    <row r="243" spans="1:8">
      <c r="A243" s="21"/>
      <c r="B243" s="22"/>
      <c r="C243" s="22"/>
      <c r="D243" s="22"/>
      <c r="E243" s="23" t="str">
        <f>IF($D243="","",IFERROR(VLOOKUP($D243,'SAMA Consumables Tracker'!$A:$H,8,FALSE()),""))</f>
        <v/>
      </c>
      <c r="F243" s="24"/>
      <c r="G243" s="25" t="str">
        <f>IF($D243="","",IFERROR(VLOOKUP($D243,'SAMA Consumables Tracker'!$A:$D,4,FALSE()),""))</f>
        <v/>
      </c>
      <c r="H243" s="22"/>
    </row>
    <row r="244" spans="1:8">
      <c r="A244" s="21"/>
      <c r="B244" s="22"/>
      <c r="C244" s="22"/>
      <c r="D244" s="22"/>
      <c r="E244" s="23" t="str">
        <f>IF($D244="","",IFERROR(VLOOKUP($D244,'SAMA Consumables Tracker'!$A:$H,8,FALSE()),""))</f>
        <v/>
      </c>
      <c r="F244" s="24"/>
      <c r="G244" s="25" t="str">
        <f>IF($D244="","",IFERROR(VLOOKUP($D244,'SAMA Consumables Tracker'!$A:$D,4,FALSE()),""))</f>
        <v/>
      </c>
      <c r="H244" s="22"/>
    </row>
    <row r="245" spans="1:8">
      <c r="A245" s="21"/>
      <c r="B245" s="22"/>
      <c r="C245" s="22"/>
      <c r="D245" s="22"/>
      <c r="E245" s="23" t="str">
        <f>IF($D245="","",IFERROR(VLOOKUP($D245,'SAMA Consumables Tracker'!$A:$H,8,FALSE()),""))</f>
        <v/>
      </c>
      <c r="F245" s="24"/>
      <c r="G245" s="25" t="str">
        <f>IF($D245="","",IFERROR(VLOOKUP($D245,'SAMA Consumables Tracker'!$A:$D,4,FALSE()),""))</f>
        <v/>
      </c>
      <c r="H245" s="22"/>
    </row>
    <row r="246" spans="1:8">
      <c r="A246" s="21"/>
      <c r="B246" s="22"/>
      <c r="C246" s="22"/>
      <c r="D246" s="22"/>
      <c r="E246" s="23" t="str">
        <f>IF($D246="","",IFERROR(VLOOKUP($D246,'SAMA Consumables Tracker'!$A:$H,8,FALSE()),""))</f>
        <v/>
      </c>
      <c r="F246" s="24"/>
      <c r="G246" s="25" t="str">
        <f>IF($D246="","",IFERROR(VLOOKUP($D246,'SAMA Consumables Tracker'!$A:$D,4,FALSE()),""))</f>
        <v/>
      </c>
      <c r="H246" s="22"/>
    </row>
    <row r="247" spans="1:8">
      <c r="A247" s="21"/>
      <c r="B247" s="22"/>
      <c r="C247" s="22"/>
      <c r="D247" s="22"/>
      <c r="E247" s="23" t="str">
        <f>IF($D247="","",IFERROR(VLOOKUP($D247,'SAMA Consumables Tracker'!$A:$H,8,FALSE()),""))</f>
        <v/>
      </c>
      <c r="F247" s="24"/>
      <c r="G247" s="25" t="str">
        <f>IF($D247="","",IFERROR(VLOOKUP($D247,'SAMA Consumables Tracker'!$A:$D,4,FALSE()),""))</f>
        <v/>
      </c>
      <c r="H247" s="22"/>
    </row>
    <row r="248" spans="1:8">
      <c r="A248" s="21"/>
      <c r="B248" s="22"/>
      <c r="C248" s="22"/>
      <c r="D248" s="22"/>
      <c r="E248" s="23" t="str">
        <f>IF($D248="","",IFERROR(VLOOKUP($D248,'SAMA Consumables Tracker'!$A:$H,8,FALSE()),""))</f>
        <v/>
      </c>
      <c r="F248" s="24"/>
      <c r="G248" s="25" t="str">
        <f>IF($D248="","",IFERROR(VLOOKUP($D248,'SAMA Consumables Tracker'!$A:$D,4,FALSE()),""))</f>
        <v/>
      </c>
      <c r="H248" s="22"/>
    </row>
    <row r="249" spans="1:8">
      <c r="A249" s="21"/>
      <c r="B249" s="22"/>
      <c r="C249" s="22"/>
      <c r="D249" s="22"/>
      <c r="E249" s="23" t="str">
        <f>IF($D249="","",IFERROR(VLOOKUP($D249,'SAMA Consumables Tracker'!$A:$H,8,FALSE()),""))</f>
        <v/>
      </c>
      <c r="F249" s="24"/>
      <c r="G249" s="25" t="str">
        <f>IF($D249="","",IFERROR(VLOOKUP($D249,'SAMA Consumables Tracker'!$A:$D,4,FALSE()),""))</f>
        <v/>
      </c>
      <c r="H249" s="22"/>
    </row>
    <row r="250" spans="1:8">
      <c r="A250" s="21"/>
      <c r="B250" s="22"/>
      <c r="C250" s="22"/>
      <c r="D250" s="22"/>
      <c r="E250" s="23" t="str">
        <f>IF($D250="","",IFERROR(VLOOKUP($D250,'SAMA Consumables Tracker'!$A:$H,8,FALSE()),""))</f>
        <v/>
      </c>
      <c r="F250" s="24"/>
      <c r="G250" s="25" t="str">
        <f>IF($D250="","",IFERROR(VLOOKUP($D250,'SAMA Consumables Tracker'!$A:$D,4,FALSE()),""))</f>
        <v/>
      </c>
      <c r="H250" s="22"/>
    </row>
    <row r="251" spans="1:8">
      <c r="A251" s="21"/>
      <c r="B251" s="22"/>
      <c r="C251" s="22"/>
      <c r="D251" s="22"/>
      <c r="E251" s="23" t="str">
        <f>IF($D251="","",IFERROR(VLOOKUP($D251,'SAMA Consumables Tracker'!$A:$H,8,FALSE()),""))</f>
        <v/>
      </c>
      <c r="F251" s="24"/>
      <c r="G251" s="25" t="str">
        <f>IF($D251="","",IFERROR(VLOOKUP($D251,'SAMA Consumables Tracker'!$A:$D,4,FALSE()),""))</f>
        <v/>
      </c>
      <c r="H251" s="22"/>
    </row>
    <row r="252" spans="1:8">
      <c r="A252" s="21"/>
      <c r="B252" s="22"/>
      <c r="C252" s="22"/>
      <c r="D252" s="22"/>
      <c r="E252" s="23" t="str">
        <f>IF($D252="","",IFERROR(VLOOKUP($D252,'SAMA Consumables Tracker'!$A:$H,8,FALSE()),""))</f>
        <v/>
      </c>
      <c r="F252" s="24"/>
      <c r="G252" s="25" t="str">
        <f>IF($D252="","",IFERROR(VLOOKUP($D252,'SAMA Consumables Tracker'!$A:$D,4,FALSE()),""))</f>
        <v/>
      </c>
      <c r="H252" s="22"/>
    </row>
    <row r="253" spans="1:8">
      <c r="A253" s="21"/>
      <c r="B253" s="22"/>
      <c r="C253" s="22"/>
      <c r="D253" s="22"/>
      <c r="E253" s="23" t="str">
        <f>IF($D253="","",IFERROR(VLOOKUP($D253,'SAMA Consumables Tracker'!$A:$H,8,FALSE()),""))</f>
        <v/>
      </c>
      <c r="F253" s="24"/>
      <c r="G253" s="25" t="str">
        <f>IF($D253="","",IFERROR(VLOOKUP($D253,'SAMA Consumables Tracker'!$A:$D,4,FALSE()),""))</f>
        <v/>
      </c>
      <c r="H253" s="22"/>
    </row>
    <row r="254" spans="1:8">
      <c r="A254" s="21"/>
      <c r="B254" s="22"/>
      <c r="C254" s="22"/>
      <c r="D254" s="22"/>
      <c r="E254" s="23" t="str">
        <f>IF($D254="","",IFERROR(VLOOKUP($D254,'SAMA Consumables Tracker'!$A:$H,8,FALSE()),""))</f>
        <v/>
      </c>
      <c r="F254" s="24"/>
      <c r="G254" s="25" t="str">
        <f>IF($D254="","",IFERROR(VLOOKUP($D254,'SAMA Consumables Tracker'!$A:$D,4,FALSE()),""))</f>
        <v/>
      </c>
      <c r="H254" s="22"/>
    </row>
    <row r="255" spans="1:8">
      <c r="A255" s="21"/>
      <c r="B255" s="22"/>
      <c r="C255" s="22"/>
      <c r="D255" s="22"/>
      <c r="E255" s="23" t="str">
        <f>IF($D255="","",IFERROR(VLOOKUP($D255,'SAMA Consumables Tracker'!$A:$H,8,FALSE()),""))</f>
        <v/>
      </c>
      <c r="F255" s="24"/>
      <c r="G255" s="25" t="str">
        <f>IF($D255="","",IFERROR(VLOOKUP($D255,'SAMA Consumables Tracker'!$A:$D,4,FALSE()),""))</f>
        <v/>
      </c>
      <c r="H255" s="22"/>
    </row>
    <row r="256" spans="1:8">
      <c r="A256" s="21"/>
      <c r="B256" s="22"/>
      <c r="C256" s="22"/>
      <c r="D256" s="22"/>
      <c r="E256" s="23" t="str">
        <f>IF($D256="","",IFERROR(VLOOKUP($D256,'SAMA Consumables Tracker'!$A:$H,8,FALSE()),""))</f>
        <v/>
      </c>
      <c r="F256" s="24"/>
      <c r="G256" s="25" t="str">
        <f>IF($D256="","",IFERROR(VLOOKUP($D256,'SAMA Consumables Tracker'!$A:$D,4,FALSE()),""))</f>
        <v/>
      </c>
      <c r="H256" s="22"/>
    </row>
    <row r="257" spans="1:8">
      <c r="A257" s="21"/>
      <c r="B257" s="22"/>
      <c r="C257" s="22"/>
      <c r="D257" s="22"/>
      <c r="E257" s="23" t="str">
        <f>IF($D257="","",IFERROR(VLOOKUP($D257,'SAMA Consumables Tracker'!$A:$H,8,FALSE()),""))</f>
        <v/>
      </c>
      <c r="F257" s="24"/>
      <c r="G257" s="25" t="str">
        <f>IF($D257="","",IFERROR(VLOOKUP($D257,'SAMA Consumables Tracker'!$A:$D,4,FALSE()),""))</f>
        <v/>
      </c>
      <c r="H257" s="22"/>
    </row>
    <row r="258" spans="1:8">
      <c r="A258" s="21"/>
      <c r="B258" s="22"/>
      <c r="C258" s="22"/>
      <c r="D258" s="22"/>
      <c r="E258" s="23" t="str">
        <f>IF($D258="","",IFERROR(VLOOKUP($D258,'SAMA Consumables Tracker'!$A:$H,8,FALSE()),""))</f>
        <v/>
      </c>
      <c r="F258" s="24"/>
      <c r="G258" s="25" t="str">
        <f>IF($D258="","",IFERROR(VLOOKUP($D258,'SAMA Consumables Tracker'!$A:$D,4,FALSE()),""))</f>
        <v/>
      </c>
      <c r="H258" s="22"/>
    </row>
    <row r="259" spans="1:8">
      <c r="A259" s="21"/>
      <c r="B259" s="22"/>
      <c r="C259" s="22"/>
      <c r="D259" s="22"/>
      <c r="E259" s="23" t="str">
        <f>IF($D259="","",IFERROR(VLOOKUP($D259,'SAMA Consumables Tracker'!$A:$H,8,FALSE()),""))</f>
        <v/>
      </c>
      <c r="F259" s="24"/>
      <c r="G259" s="25" t="str">
        <f>IF($D259="","",IFERROR(VLOOKUP($D259,'SAMA Consumables Tracker'!$A:$D,4,FALSE()),""))</f>
        <v/>
      </c>
      <c r="H259" s="22"/>
    </row>
    <row r="260" spans="1:8">
      <c r="A260" s="21"/>
      <c r="B260" s="22"/>
      <c r="C260" s="22"/>
      <c r="D260" s="22"/>
      <c r="E260" s="23" t="str">
        <f>IF($D260="","",IFERROR(VLOOKUP($D260,'SAMA Consumables Tracker'!$A:$H,8,FALSE()),""))</f>
        <v/>
      </c>
      <c r="F260" s="24"/>
      <c r="G260" s="25" t="str">
        <f>IF($D260="","",IFERROR(VLOOKUP($D260,'SAMA Consumables Tracker'!$A:$D,4,FALSE()),""))</f>
        <v/>
      </c>
      <c r="H260" s="22"/>
    </row>
    <row r="261" spans="1:8">
      <c r="A261" s="21"/>
      <c r="B261" s="22"/>
      <c r="C261" s="22"/>
      <c r="D261" s="22"/>
      <c r="E261" s="23" t="str">
        <f>IF($D261="","",IFERROR(VLOOKUP($D261,'SAMA Consumables Tracker'!$A:$H,8,FALSE()),""))</f>
        <v/>
      </c>
      <c r="F261" s="24"/>
      <c r="G261" s="25" t="str">
        <f>IF($D261="","",IFERROR(VLOOKUP($D261,'SAMA Consumables Tracker'!$A:$D,4,FALSE()),""))</f>
        <v/>
      </c>
      <c r="H261" s="22"/>
    </row>
    <row r="262" spans="1:8">
      <c r="A262" s="21"/>
      <c r="B262" s="22"/>
      <c r="C262" s="22"/>
      <c r="D262" s="22"/>
      <c r="E262" s="23" t="str">
        <f>IF($D262="","",IFERROR(VLOOKUP($D262,'SAMA Consumables Tracker'!$A:$H,8,FALSE()),""))</f>
        <v/>
      </c>
      <c r="F262" s="24"/>
      <c r="G262" s="25" t="str">
        <f>IF($D262="","",IFERROR(VLOOKUP($D262,'SAMA Consumables Tracker'!$A:$D,4,FALSE()),""))</f>
        <v/>
      </c>
      <c r="H262" s="22"/>
    </row>
    <row r="263" spans="1:8">
      <c r="A263" s="21"/>
      <c r="B263" s="22"/>
      <c r="C263" s="22"/>
      <c r="D263" s="22"/>
      <c r="E263" s="23" t="str">
        <f>IF($D263="","",IFERROR(VLOOKUP($D263,'SAMA Consumables Tracker'!$A:$H,8,FALSE()),""))</f>
        <v/>
      </c>
      <c r="F263" s="24"/>
      <c r="G263" s="25" t="str">
        <f>IF($D263="","",IFERROR(VLOOKUP($D263,'SAMA Consumables Tracker'!$A:$D,4,FALSE()),""))</f>
        <v/>
      </c>
      <c r="H263" s="22"/>
    </row>
    <row r="264" spans="1:8">
      <c r="A264" s="21"/>
      <c r="B264" s="22"/>
      <c r="C264" s="22"/>
      <c r="D264" s="22"/>
      <c r="E264" s="23" t="str">
        <f>IF($D264="","",IFERROR(VLOOKUP($D264,'SAMA Consumables Tracker'!$A:$H,8,FALSE()),""))</f>
        <v/>
      </c>
      <c r="F264" s="24"/>
      <c r="G264" s="25" t="str">
        <f>IF($D264="","",IFERROR(VLOOKUP($D264,'SAMA Consumables Tracker'!$A:$D,4,FALSE()),""))</f>
        <v/>
      </c>
      <c r="H264" s="22"/>
    </row>
    <row r="265" spans="1:8">
      <c r="A265" s="21"/>
      <c r="B265" s="22"/>
      <c r="C265" s="22"/>
      <c r="D265" s="22"/>
      <c r="E265" s="23" t="str">
        <f>IF($D265="","",IFERROR(VLOOKUP($D265,'SAMA Consumables Tracker'!$A:$H,8,FALSE()),""))</f>
        <v/>
      </c>
      <c r="F265" s="24"/>
      <c r="G265" s="25" t="str">
        <f>IF($D265="","",IFERROR(VLOOKUP($D265,'SAMA Consumables Tracker'!$A:$D,4,FALSE()),""))</f>
        <v/>
      </c>
      <c r="H265" s="22"/>
    </row>
    <row r="266" spans="1:8">
      <c r="A266" s="21"/>
      <c r="B266" s="22"/>
      <c r="C266" s="22"/>
      <c r="D266" s="22"/>
      <c r="E266" s="23" t="str">
        <f>IF($D266="","",IFERROR(VLOOKUP($D266,'SAMA Consumables Tracker'!$A:$H,8,FALSE()),""))</f>
        <v/>
      </c>
      <c r="F266" s="24"/>
      <c r="G266" s="25" t="str">
        <f>IF($D266="","",IFERROR(VLOOKUP($D266,'SAMA Consumables Tracker'!$A:$D,4,FALSE()),""))</f>
        <v/>
      </c>
      <c r="H266" s="22"/>
    </row>
    <row r="267" spans="1:8">
      <c r="A267" s="21"/>
      <c r="B267" s="22"/>
      <c r="C267" s="22"/>
      <c r="D267" s="22"/>
      <c r="E267" s="23" t="str">
        <f>IF($D267="","",IFERROR(VLOOKUP($D267,'SAMA Consumables Tracker'!$A:$H,8,FALSE()),""))</f>
        <v/>
      </c>
      <c r="F267" s="24"/>
      <c r="G267" s="25" t="str">
        <f>IF($D267="","",IFERROR(VLOOKUP($D267,'SAMA Consumables Tracker'!$A:$D,4,FALSE()),""))</f>
        <v/>
      </c>
      <c r="H267" s="22"/>
    </row>
    <row r="268" spans="1:8">
      <c r="A268" s="21"/>
      <c r="B268" s="22"/>
      <c r="C268" s="22"/>
      <c r="D268" s="22"/>
      <c r="E268" s="23" t="str">
        <f>IF($D268="","",IFERROR(VLOOKUP($D268,'SAMA Consumables Tracker'!$A:$H,8,FALSE()),""))</f>
        <v/>
      </c>
      <c r="F268" s="24"/>
      <c r="G268" s="25" t="str">
        <f>IF($D268="","",IFERROR(VLOOKUP($D268,'SAMA Consumables Tracker'!$A:$D,4,FALSE()),""))</f>
        <v/>
      </c>
      <c r="H268" s="22"/>
    </row>
    <row r="269" spans="1:8">
      <c r="A269" s="21"/>
      <c r="B269" s="22"/>
      <c r="C269" s="22"/>
      <c r="D269" s="22"/>
      <c r="E269" s="23" t="str">
        <f>IF($D269="","",IFERROR(VLOOKUP($D269,'SAMA Consumables Tracker'!$A:$H,8,FALSE()),""))</f>
        <v/>
      </c>
      <c r="F269" s="24"/>
      <c r="G269" s="25" t="str">
        <f>IF($D269="","",IFERROR(VLOOKUP($D269,'SAMA Consumables Tracker'!$A:$D,4,FALSE()),""))</f>
        <v/>
      </c>
      <c r="H269" s="22"/>
    </row>
    <row r="270" spans="1:8">
      <c r="A270" s="21"/>
      <c r="B270" s="22"/>
      <c r="C270" s="22"/>
      <c r="D270" s="22"/>
      <c r="E270" s="23" t="str">
        <f>IF($D270="","",IFERROR(VLOOKUP($D270,'SAMA Consumables Tracker'!$A:$H,8,FALSE()),""))</f>
        <v/>
      </c>
      <c r="F270" s="24"/>
      <c r="G270" s="25" t="str">
        <f>IF($D270="","",IFERROR(VLOOKUP($D270,'SAMA Consumables Tracker'!$A:$D,4,FALSE()),""))</f>
        <v/>
      </c>
      <c r="H270" s="22"/>
    </row>
    <row r="271" spans="1:8">
      <c r="A271" s="21"/>
      <c r="B271" s="22"/>
      <c r="C271" s="22"/>
      <c r="D271" s="22"/>
      <c r="E271" s="23" t="str">
        <f>IF($D271="","",IFERROR(VLOOKUP($D271,'SAMA Consumables Tracker'!$A:$H,8,FALSE()),""))</f>
        <v/>
      </c>
      <c r="F271" s="24"/>
      <c r="G271" s="25" t="str">
        <f>IF($D271="","",IFERROR(VLOOKUP($D271,'SAMA Consumables Tracker'!$A:$D,4,FALSE()),""))</f>
        <v/>
      </c>
      <c r="H271" s="22"/>
    </row>
    <row r="272" spans="1:8">
      <c r="A272" s="21"/>
      <c r="B272" s="22"/>
      <c r="C272" s="22"/>
      <c r="D272" s="22"/>
      <c r="E272" s="23" t="str">
        <f>IF($D272="","",IFERROR(VLOOKUP($D272,'SAMA Consumables Tracker'!$A:$H,8,FALSE()),""))</f>
        <v/>
      </c>
      <c r="F272" s="24"/>
      <c r="G272" s="25" t="str">
        <f>IF($D272="","",IFERROR(VLOOKUP($D272,'SAMA Consumables Tracker'!$A:$D,4,FALSE()),""))</f>
        <v/>
      </c>
      <c r="H272" s="22"/>
    </row>
    <row r="273" spans="1:8">
      <c r="A273" s="21"/>
      <c r="B273" s="22"/>
      <c r="C273" s="22"/>
      <c r="D273" s="22"/>
      <c r="E273" s="23" t="str">
        <f>IF($D273="","",IFERROR(VLOOKUP($D273,'SAMA Consumables Tracker'!$A:$H,8,FALSE()),""))</f>
        <v/>
      </c>
      <c r="F273" s="24"/>
      <c r="G273" s="25" t="str">
        <f>IF($D273="","",IFERROR(VLOOKUP($D273,'SAMA Consumables Tracker'!$A:$D,4,FALSE()),""))</f>
        <v/>
      </c>
      <c r="H273" s="22"/>
    </row>
    <row r="274" spans="1:8">
      <c r="A274" s="21"/>
      <c r="B274" s="22"/>
      <c r="C274" s="22"/>
      <c r="D274" s="22"/>
      <c r="E274" s="23" t="str">
        <f>IF($D274="","",IFERROR(VLOOKUP($D274,'SAMA Consumables Tracker'!$A:$H,8,FALSE()),""))</f>
        <v/>
      </c>
      <c r="F274" s="24"/>
      <c r="G274" s="25" t="str">
        <f>IF($D274="","",IFERROR(VLOOKUP($D274,'SAMA Consumables Tracker'!$A:$D,4,FALSE()),""))</f>
        <v/>
      </c>
      <c r="H274" s="22"/>
    </row>
    <row r="275" spans="1:8">
      <c r="A275" s="21"/>
      <c r="B275" s="22"/>
      <c r="C275" s="22"/>
      <c r="D275" s="22"/>
      <c r="E275" s="23" t="str">
        <f>IF($D275="","",IFERROR(VLOOKUP($D275,'SAMA Consumables Tracker'!$A:$H,8,FALSE()),""))</f>
        <v/>
      </c>
      <c r="F275" s="24"/>
      <c r="G275" s="25" t="str">
        <f>IF($D275="","",IFERROR(VLOOKUP($D275,'SAMA Consumables Tracker'!$A:$D,4,FALSE()),""))</f>
        <v/>
      </c>
      <c r="H275" s="22"/>
    </row>
    <row r="276" spans="1:8">
      <c r="A276" s="21"/>
      <c r="B276" s="22"/>
      <c r="C276" s="22"/>
      <c r="D276" s="22"/>
      <c r="E276" s="23" t="str">
        <f>IF($D276="","",IFERROR(VLOOKUP($D276,'SAMA Consumables Tracker'!$A:$H,8,FALSE()),""))</f>
        <v/>
      </c>
      <c r="F276" s="24"/>
      <c r="G276" s="25" t="str">
        <f>IF($D276="","",IFERROR(VLOOKUP($D276,'SAMA Consumables Tracker'!$A:$D,4,FALSE()),""))</f>
        <v/>
      </c>
      <c r="H276" s="22"/>
    </row>
    <row r="277" spans="1:8">
      <c r="A277" s="21"/>
      <c r="B277" s="22"/>
      <c r="C277" s="22"/>
      <c r="D277" s="22"/>
      <c r="E277" s="23" t="str">
        <f>IF($D277="","",IFERROR(VLOOKUP($D277,'SAMA Consumables Tracker'!$A:$H,8,FALSE()),""))</f>
        <v/>
      </c>
      <c r="F277" s="24"/>
      <c r="G277" s="25" t="str">
        <f>IF($D277="","",IFERROR(VLOOKUP($D277,'SAMA Consumables Tracker'!$A:$D,4,FALSE()),""))</f>
        <v/>
      </c>
      <c r="H277" s="22"/>
    </row>
    <row r="278" spans="1:8">
      <c r="A278" s="21"/>
      <c r="B278" s="22"/>
      <c r="C278" s="22"/>
      <c r="D278" s="22"/>
      <c r="E278" s="23" t="str">
        <f>IF($D278="","",IFERROR(VLOOKUP($D278,'SAMA Consumables Tracker'!$A:$H,8,FALSE()),""))</f>
        <v/>
      </c>
      <c r="F278" s="24"/>
      <c r="G278" s="25" t="str">
        <f>IF($D278="","",IFERROR(VLOOKUP($D278,'SAMA Consumables Tracker'!$A:$D,4,FALSE()),""))</f>
        <v/>
      </c>
      <c r="H278" s="22"/>
    </row>
    <row r="279" spans="1:8">
      <c r="A279" s="21"/>
      <c r="B279" s="22"/>
      <c r="C279" s="22"/>
      <c r="D279" s="22"/>
      <c r="E279" s="23" t="str">
        <f>IF($D279="","",IFERROR(VLOOKUP($D279,'SAMA Consumables Tracker'!$A:$H,8,FALSE()),""))</f>
        <v/>
      </c>
      <c r="F279" s="24"/>
      <c r="G279" s="25" t="str">
        <f>IF($D279="","",IFERROR(VLOOKUP($D279,'SAMA Consumables Tracker'!$A:$D,4,FALSE()),""))</f>
        <v/>
      </c>
      <c r="H279" s="22"/>
    </row>
    <row r="280" spans="1:8">
      <c r="A280" s="21"/>
      <c r="B280" s="22"/>
      <c r="C280" s="22"/>
      <c r="D280" s="22"/>
      <c r="E280" s="23" t="str">
        <f>IF($D280="","",IFERROR(VLOOKUP($D280,'SAMA Consumables Tracker'!$A:$H,8,FALSE()),""))</f>
        <v/>
      </c>
      <c r="F280" s="24"/>
      <c r="G280" s="25" t="str">
        <f>IF($D280="","",IFERROR(VLOOKUP($D280,'SAMA Consumables Tracker'!$A:$D,4,FALSE()),""))</f>
        <v/>
      </c>
      <c r="H280" s="22"/>
    </row>
    <row r="281" spans="1:8">
      <c r="A281" s="21"/>
      <c r="B281" s="22"/>
      <c r="C281" s="22"/>
      <c r="D281" s="22"/>
      <c r="E281" s="23" t="str">
        <f>IF($D281="","",IFERROR(VLOOKUP($D281,'SAMA Consumables Tracker'!$A:$H,8,FALSE()),""))</f>
        <v/>
      </c>
      <c r="F281" s="24"/>
      <c r="G281" s="25" t="str">
        <f>IF($D281="","",IFERROR(VLOOKUP($D281,'SAMA Consumables Tracker'!$A:$D,4,FALSE()),""))</f>
        <v/>
      </c>
      <c r="H281" s="22"/>
    </row>
    <row r="282" spans="1:8">
      <c r="A282" s="21"/>
      <c r="B282" s="22"/>
      <c r="C282" s="22"/>
      <c r="D282" s="22"/>
      <c r="E282" s="23" t="str">
        <f>IF($D282="","",IFERROR(VLOOKUP($D282,'SAMA Consumables Tracker'!$A:$H,8,FALSE()),""))</f>
        <v/>
      </c>
      <c r="F282" s="24"/>
      <c r="G282" s="25" t="str">
        <f>IF($D282="","",IFERROR(VLOOKUP($D282,'SAMA Consumables Tracker'!$A:$D,4,FALSE()),""))</f>
        <v/>
      </c>
      <c r="H282" s="22"/>
    </row>
    <row r="283" spans="1:8">
      <c r="A283" s="21"/>
      <c r="B283" s="22"/>
      <c r="C283" s="22"/>
      <c r="D283" s="22"/>
      <c r="E283" s="23" t="str">
        <f>IF($D283="","",IFERROR(VLOOKUP($D283,'SAMA Consumables Tracker'!$A:$H,8,FALSE()),""))</f>
        <v/>
      </c>
      <c r="F283" s="24"/>
      <c r="G283" s="25" t="str">
        <f>IF($D283="","",IFERROR(VLOOKUP($D283,'SAMA Consumables Tracker'!$A:$D,4,FALSE()),""))</f>
        <v/>
      </c>
      <c r="H283" s="22"/>
    </row>
    <row r="284" spans="1:8">
      <c r="A284" s="21"/>
      <c r="B284" s="22"/>
      <c r="C284" s="22"/>
      <c r="D284" s="22"/>
      <c r="E284" s="23" t="str">
        <f>IF($D284="","",IFERROR(VLOOKUP($D284,'SAMA Consumables Tracker'!$A:$H,8,FALSE()),""))</f>
        <v/>
      </c>
      <c r="F284" s="24"/>
      <c r="G284" s="25" t="str">
        <f>IF($D284="","",IFERROR(VLOOKUP($D284,'SAMA Consumables Tracker'!$A:$D,4,FALSE()),""))</f>
        <v/>
      </c>
      <c r="H284" s="22"/>
    </row>
    <row r="285" spans="1:8">
      <c r="A285" s="21"/>
      <c r="B285" s="22"/>
      <c r="C285" s="22"/>
      <c r="D285" s="22"/>
      <c r="E285" s="23" t="str">
        <f>IF($D285="","",IFERROR(VLOOKUP($D285,'SAMA Consumables Tracker'!$A:$H,8,FALSE()),""))</f>
        <v/>
      </c>
      <c r="F285" s="24"/>
      <c r="G285" s="25" t="str">
        <f>IF($D285="","",IFERROR(VLOOKUP($D285,'SAMA Consumables Tracker'!$A:$D,4,FALSE()),""))</f>
        <v/>
      </c>
      <c r="H285" s="22"/>
    </row>
    <row r="286" spans="1:8">
      <c r="A286" s="21"/>
      <c r="B286" s="22"/>
      <c r="C286" s="22"/>
      <c r="D286" s="22"/>
      <c r="E286" s="23" t="str">
        <f>IF($D286="","",IFERROR(VLOOKUP($D286,'SAMA Consumables Tracker'!$A:$H,8,FALSE()),""))</f>
        <v/>
      </c>
      <c r="F286" s="24"/>
      <c r="G286" s="25" t="str">
        <f>IF($D286="","",IFERROR(VLOOKUP($D286,'SAMA Consumables Tracker'!$A:$D,4,FALSE()),""))</f>
        <v/>
      </c>
      <c r="H286" s="22"/>
    </row>
    <row r="287" spans="1:8">
      <c r="A287" s="21"/>
      <c r="B287" s="22"/>
      <c r="C287" s="22"/>
      <c r="D287" s="22"/>
      <c r="E287" s="23" t="str">
        <f>IF($D287="","",IFERROR(VLOOKUP($D287,'SAMA Consumables Tracker'!$A:$H,8,FALSE()),""))</f>
        <v/>
      </c>
      <c r="F287" s="24"/>
      <c r="G287" s="25" t="str">
        <f>IF($D287="","",IFERROR(VLOOKUP($D287,'SAMA Consumables Tracker'!$A:$D,4,FALSE()),""))</f>
        <v/>
      </c>
      <c r="H287" s="22"/>
    </row>
    <row r="288" spans="1:8">
      <c r="A288" s="21"/>
      <c r="B288" s="22"/>
      <c r="C288" s="22"/>
      <c r="D288" s="22"/>
      <c r="E288" s="23" t="str">
        <f>IF($D288="","",IFERROR(VLOOKUP($D288,'SAMA Consumables Tracker'!$A:$H,8,FALSE()),""))</f>
        <v/>
      </c>
      <c r="F288" s="24"/>
      <c r="G288" s="25" t="str">
        <f>IF($D288="","",IFERROR(VLOOKUP($D288,'SAMA Consumables Tracker'!$A:$D,4,FALSE()),""))</f>
        <v/>
      </c>
      <c r="H288" s="22"/>
    </row>
    <row r="289" spans="1:8">
      <c r="A289" s="21"/>
      <c r="B289" s="22"/>
      <c r="C289" s="22"/>
      <c r="D289" s="22"/>
      <c r="E289" s="23" t="str">
        <f>IF($D289="","",IFERROR(VLOOKUP($D289,'SAMA Consumables Tracker'!$A:$H,8,FALSE()),""))</f>
        <v/>
      </c>
      <c r="F289" s="24"/>
      <c r="G289" s="25" t="str">
        <f>IF($D289="","",IFERROR(VLOOKUP($D289,'SAMA Consumables Tracker'!$A:$D,4,FALSE()),""))</f>
        <v/>
      </c>
      <c r="H289" s="22"/>
    </row>
    <row r="290" spans="1:8">
      <c r="A290" s="21"/>
      <c r="B290" s="22"/>
      <c r="C290" s="22"/>
      <c r="D290" s="22"/>
      <c r="E290" s="23" t="str">
        <f>IF($D290="","",IFERROR(VLOOKUP($D290,'SAMA Consumables Tracker'!$A:$H,8,FALSE()),""))</f>
        <v/>
      </c>
      <c r="F290" s="24"/>
      <c r="G290" s="25" t="str">
        <f>IF($D290="","",IFERROR(VLOOKUP($D290,'SAMA Consumables Tracker'!$A:$D,4,FALSE()),""))</f>
        <v/>
      </c>
      <c r="H290" s="22"/>
    </row>
    <row r="291" spans="1:8">
      <c r="A291" s="21"/>
      <c r="B291" s="22"/>
      <c r="C291" s="22"/>
      <c r="D291" s="22"/>
      <c r="E291" s="23" t="str">
        <f>IF($D291="","",IFERROR(VLOOKUP($D291,'SAMA Consumables Tracker'!$A:$H,8,FALSE()),""))</f>
        <v/>
      </c>
      <c r="F291" s="24"/>
      <c r="G291" s="25" t="str">
        <f>IF($D291="","",IFERROR(VLOOKUP($D291,'SAMA Consumables Tracker'!$A:$D,4,FALSE()),""))</f>
        <v/>
      </c>
      <c r="H291" s="22"/>
    </row>
    <row r="292" spans="1:8">
      <c r="A292" s="21"/>
      <c r="B292" s="22"/>
      <c r="C292" s="22"/>
      <c r="D292" s="22"/>
      <c r="E292" s="23" t="str">
        <f>IF($D292="","",IFERROR(VLOOKUP($D292,'SAMA Consumables Tracker'!$A:$H,8,FALSE()),""))</f>
        <v/>
      </c>
      <c r="F292" s="24"/>
      <c r="G292" s="25" t="str">
        <f>IF($D292="","",IFERROR(VLOOKUP($D292,'SAMA Consumables Tracker'!$A:$D,4,FALSE()),""))</f>
        <v/>
      </c>
      <c r="H292" s="22"/>
    </row>
    <row r="293" spans="1:8">
      <c r="A293" s="21"/>
      <c r="B293" s="22"/>
      <c r="C293" s="22"/>
      <c r="D293" s="22"/>
      <c r="E293" s="23" t="str">
        <f>IF($D293="","",IFERROR(VLOOKUP($D293,'SAMA Consumables Tracker'!$A:$H,8,FALSE()),""))</f>
        <v/>
      </c>
      <c r="F293" s="24"/>
      <c r="G293" s="25" t="str">
        <f>IF($D293="","",IFERROR(VLOOKUP($D293,'SAMA Consumables Tracker'!$A:$D,4,FALSE()),""))</f>
        <v/>
      </c>
      <c r="H293" s="22"/>
    </row>
    <row r="294" spans="1:8">
      <c r="A294" s="21"/>
      <c r="B294" s="22"/>
      <c r="C294" s="22"/>
      <c r="D294" s="22"/>
      <c r="E294" s="23" t="str">
        <f>IF($D294="","",IFERROR(VLOOKUP($D294,'SAMA Consumables Tracker'!$A:$H,8,FALSE()),""))</f>
        <v/>
      </c>
      <c r="F294" s="24"/>
      <c r="G294" s="25" t="str">
        <f>IF($D294="","",IFERROR(VLOOKUP($D294,'SAMA Consumables Tracker'!$A:$D,4,FALSE()),""))</f>
        <v/>
      </c>
      <c r="H294" s="22"/>
    </row>
    <row r="295" spans="1:8">
      <c r="A295" s="21"/>
      <c r="B295" s="22"/>
      <c r="C295" s="22"/>
      <c r="D295" s="22"/>
      <c r="E295" s="23" t="str">
        <f>IF($D295="","",IFERROR(VLOOKUP($D295,'SAMA Consumables Tracker'!$A:$H,8,FALSE()),""))</f>
        <v/>
      </c>
      <c r="F295" s="24"/>
      <c r="G295" s="25" t="str">
        <f>IF($D295="","",IFERROR(VLOOKUP($D295,'SAMA Consumables Tracker'!$A:$D,4,FALSE()),""))</f>
        <v/>
      </c>
      <c r="H295" s="22"/>
    </row>
    <row r="296" spans="1:8">
      <c r="A296" s="21"/>
      <c r="B296" s="22"/>
      <c r="C296" s="22"/>
      <c r="D296" s="22"/>
      <c r="E296" s="23" t="str">
        <f>IF($D296="","",IFERROR(VLOOKUP($D296,'SAMA Consumables Tracker'!$A:$H,8,FALSE()),""))</f>
        <v/>
      </c>
      <c r="F296" s="24"/>
      <c r="G296" s="25" t="str">
        <f>IF($D296="","",IFERROR(VLOOKUP($D296,'SAMA Consumables Tracker'!$A:$D,4,FALSE()),""))</f>
        <v/>
      </c>
      <c r="H296" s="22"/>
    </row>
    <row r="297" spans="1:8">
      <c r="A297" s="21"/>
      <c r="B297" s="22"/>
      <c r="C297" s="22"/>
      <c r="D297" s="22"/>
      <c r="E297" s="23" t="str">
        <f>IF($D297="","",IFERROR(VLOOKUP($D297,'SAMA Consumables Tracker'!$A:$H,8,FALSE()),""))</f>
        <v/>
      </c>
      <c r="F297" s="24"/>
      <c r="G297" s="25" t="str">
        <f>IF($D297="","",IFERROR(VLOOKUP($D297,'SAMA Consumables Tracker'!$A:$D,4,FALSE()),""))</f>
        <v/>
      </c>
      <c r="H297" s="22"/>
    </row>
    <row r="298" spans="1:8">
      <c r="A298" s="21"/>
      <c r="B298" s="22"/>
      <c r="C298" s="22"/>
      <c r="D298" s="22"/>
      <c r="E298" s="23" t="str">
        <f>IF($D298="","",IFERROR(VLOOKUP($D298,'SAMA Consumables Tracker'!$A:$H,8,FALSE()),""))</f>
        <v/>
      </c>
      <c r="F298" s="24"/>
      <c r="G298" s="25" t="str">
        <f>IF($D298="","",IFERROR(VLOOKUP($D298,'SAMA Consumables Tracker'!$A:$D,4,FALSE()),""))</f>
        <v/>
      </c>
      <c r="H298" s="22"/>
    </row>
    <row r="299" spans="1:8">
      <c r="A299" s="21"/>
      <c r="B299" s="22"/>
      <c r="C299" s="22"/>
      <c r="D299" s="22"/>
      <c r="E299" s="23" t="str">
        <f>IF($D299="","",IFERROR(VLOOKUP($D299,'SAMA Consumables Tracker'!$A:$H,8,FALSE()),""))</f>
        <v/>
      </c>
      <c r="F299" s="24"/>
      <c r="G299" s="25" t="str">
        <f>IF($D299="","",IFERROR(VLOOKUP($D299,'SAMA Consumables Tracker'!$A:$D,4,FALSE()),""))</f>
        <v/>
      </c>
      <c r="H299" s="22"/>
    </row>
    <row r="300" spans="1:8">
      <c r="A300" s="21"/>
      <c r="B300" s="22"/>
      <c r="C300" s="22"/>
      <c r="D300" s="22"/>
      <c r="E300" s="23" t="str">
        <f>IF($D300="","",IFERROR(VLOOKUP($D300,'SAMA Consumables Tracker'!$A:$H,8,FALSE()),""))</f>
        <v/>
      </c>
      <c r="F300" s="24"/>
      <c r="G300" s="25" t="str">
        <f>IF($D300="","",IFERROR(VLOOKUP($D300,'SAMA Consumables Tracker'!$A:$D,4,FALSE()),""))</f>
        <v/>
      </c>
      <c r="H300" s="22"/>
    </row>
    <row r="301" spans="1:8">
      <c r="A301" s="21"/>
      <c r="B301" s="22"/>
      <c r="C301" s="22"/>
      <c r="D301" s="22"/>
      <c r="E301" s="23" t="str">
        <f>IF($D301="","",IFERROR(VLOOKUP($D301,'SAMA Consumables Tracker'!$A:$H,8,FALSE()),""))</f>
        <v/>
      </c>
      <c r="F301" s="24"/>
      <c r="G301" s="25" t="str">
        <f>IF($D301="","",IFERROR(VLOOKUP($D301,'SAMA Consumables Tracker'!$A:$D,4,FALSE()),""))</f>
        <v/>
      </c>
      <c r="H301" s="22"/>
    </row>
    <row r="302" spans="1:8">
      <c r="A302" s="21"/>
      <c r="B302" s="22"/>
      <c r="C302" s="22"/>
      <c r="D302" s="22"/>
      <c r="E302" s="23" t="str">
        <f>IF($D302="","",IFERROR(VLOOKUP($D302,'SAMA Consumables Tracker'!$A:$H,8,FALSE()),""))</f>
        <v/>
      </c>
      <c r="F302" s="24"/>
      <c r="G302" s="25" t="str">
        <f>IF($D302="","",IFERROR(VLOOKUP($D302,'SAMA Consumables Tracker'!$A:$D,4,FALSE()),""))</f>
        <v/>
      </c>
      <c r="H302" s="22"/>
    </row>
    <row r="303" spans="1:8">
      <c r="A303" s="21"/>
      <c r="B303" s="22"/>
      <c r="C303" s="22"/>
      <c r="D303" s="22"/>
      <c r="E303" s="23" t="str">
        <f>IF($D303="","",IFERROR(VLOOKUP($D303,'SAMA Consumables Tracker'!$A:$H,8,FALSE()),""))</f>
        <v/>
      </c>
      <c r="F303" s="24"/>
      <c r="G303" s="25" t="str">
        <f>IF($D303="","",IFERROR(VLOOKUP($D303,'SAMA Consumables Tracker'!$A:$D,4,FALSE()),""))</f>
        <v/>
      </c>
      <c r="H303" s="22"/>
    </row>
    <row r="304" spans="1:8">
      <c r="A304" s="21"/>
      <c r="B304" s="22"/>
      <c r="C304" s="22"/>
      <c r="D304" s="22"/>
      <c r="E304" s="23" t="str">
        <f>IF($D304="","",IFERROR(VLOOKUP($D304,'SAMA Consumables Tracker'!$A:$H,8,FALSE()),""))</f>
        <v/>
      </c>
      <c r="F304" s="24"/>
      <c r="G304" s="25" t="str">
        <f>IF($D304="","",IFERROR(VLOOKUP($D304,'SAMA Consumables Tracker'!$A:$D,4,FALSE()),""))</f>
        <v/>
      </c>
      <c r="H304" s="22"/>
    </row>
    <row r="305" spans="1:8">
      <c r="A305" s="21"/>
      <c r="B305" s="22"/>
      <c r="C305" s="22"/>
      <c r="D305" s="22"/>
      <c r="E305" s="23" t="str">
        <f>IF($D305="","",IFERROR(VLOOKUP($D305,'SAMA Consumables Tracker'!$A:$H,8,FALSE()),""))</f>
        <v/>
      </c>
      <c r="F305" s="24"/>
      <c r="G305" s="25" t="str">
        <f>IF($D305="","",IFERROR(VLOOKUP($D305,'SAMA Consumables Tracker'!$A:$D,4,FALSE()),""))</f>
        <v/>
      </c>
      <c r="H305" s="22"/>
    </row>
    <row r="306" spans="1:8">
      <c r="A306" s="21"/>
      <c r="B306" s="22"/>
      <c r="C306" s="22"/>
      <c r="D306" s="22"/>
      <c r="E306" s="23" t="str">
        <f>IF($D306="","",IFERROR(VLOOKUP($D306,'SAMA Consumables Tracker'!$A:$H,8,FALSE()),""))</f>
        <v/>
      </c>
      <c r="F306" s="24"/>
      <c r="G306" s="25" t="str">
        <f>IF($D306="","",IFERROR(VLOOKUP($D306,'SAMA Consumables Tracker'!$A:$D,4,FALSE()),""))</f>
        <v/>
      </c>
      <c r="H306" s="22"/>
    </row>
    <row r="307" spans="1:8">
      <c r="A307" s="21"/>
      <c r="B307" s="22"/>
      <c r="C307" s="22"/>
      <c r="D307" s="22"/>
      <c r="E307" s="23" t="str">
        <f>IF($D307="","",IFERROR(VLOOKUP($D307,'SAMA Consumables Tracker'!$A:$H,8,FALSE()),""))</f>
        <v/>
      </c>
      <c r="F307" s="24"/>
      <c r="G307" s="25" t="str">
        <f>IF($D307="","",IFERROR(VLOOKUP($D307,'SAMA Consumables Tracker'!$A:$D,4,FALSE()),""))</f>
        <v/>
      </c>
      <c r="H307" s="22"/>
    </row>
    <row r="308" spans="1:8">
      <c r="A308" s="21"/>
      <c r="B308" s="22"/>
      <c r="C308" s="22"/>
      <c r="D308" s="22"/>
      <c r="E308" s="23" t="str">
        <f>IF($D308="","",IFERROR(VLOOKUP($D308,'SAMA Consumables Tracker'!$A:$H,8,FALSE()),""))</f>
        <v/>
      </c>
      <c r="F308" s="24"/>
      <c r="G308" s="25" t="str">
        <f>IF($D308="","",IFERROR(VLOOKUP($D308,'SAMA Consumables Tracker'!$A:$D,4,FALSE()),""))</f>
        <v/>
      </c>
      <c r="H308" s="22"/>
    </row>
    <row r="309" spans="1:8">
      <c r="A309" s="21"/>
      <c r="B309" s="22"/>
      <c r="C309" s="22"/>
      <c r="D309" s="22"/>
      <c r="E309" s="23" t="str">
        <f>IF($D309="","",IFERROR(VLOOKUP($D309,'SAMA Consumables Tracker'!$A:$H,8,FALSE()),""))</f>
        <v/>
      </c>
      <c r="F309" s="24"/>
      <c r="G309" s="25" t="str">
        <f>IF($D309="","",IFERROR(VLOOKUP($D309,'SAMA Consumables Tracker'!$A:$D,4,FALSE()),""))</f>
        <v/>
      </c>
      <c r="H309" s="22"/>
    </row>
    <row r="310" spans="1:8">
      <c r="A310" s="21"/>
      <c r="B310" s="22"/>
      <c r="C310" s="22"/>
      <c r="D310" s="22"/>
      <c r="E310" s="23" t="str">
        <f>IF($D310="","",IFERROR(VLOOKUP($D310,'SAMA Consumables Tracker'!$A:$H,8,FALSE()),""))</f>
        <v/>
      </c>
      <c r="F310" s="24"/>
      <c r="G310" s="25" t="str">
        <f>IF($D310="","",IFERROR(VLOOKUP($D310,'SAMA Consumables Tracker'!$A:$D,4,FALSE()),""))</f>
        <v/>
      </c>
      <c r="H310" s="22"/>
    </row>
    <row r="311" spans="1:8">
      <c r="A311" s="21"/>
      <c r="B311" s="22"/>
      <c r="C311" s="22"/>
      <c r="D311" s="22"/>
      <c r="E311" s="23" t="str">
        <f>IF($D311="","",IFERROR(VLOOKUP($D311,'SAMA Consumables Tracker'!$A:$H,8,FALSE()),""))</f>
        <v/>
      </c>
      <c r="F311" s="24"/>
      <c r="G311" s="25" t="str">
        <f>IF($D311="","",IFERROR(VLOOKUP($D311,'SAMA Consumables Tracker'!$A:$D,4,FALSE()),""))</f>
        <v/>
      </c>
      <c r="H311" s="22"/>
    </row>
    <row r="312" spans="1:8">
      <c r="A312" s="21"/>
      <c r="B312" s="22"/>
      <c r="C312" s="22"/>
      <c r="D312" s="22"/>
      <c r="E312" s="23" t="str">
        <f>IF($D312="","",IFERROR(VLOOKUP($D312,'SAMA Consumables Tracker'!$A:$H,8,FALSE()),""))</f>
        <v/>
      </c>
      <c r="F312" s="24"/>
      <c r="G312" s="25" t="str">
        <f>IF($D312="","",IFERROR(VLOOKUP($D312,'SAMA Consumables Tracker'!$A:$D,4,FALSE()),""))</f>
        <v/>
      </c>
      <c r="H312" s="22"/>
    </row>
    <row r="313" spans="1:8">
      <c r="A313" s="21"/>
      <c r="B313" s="22"/>
      <c r="C313" s="22"/>
      <c r="D313" s="22"/>
      <c r="E313" s="23" t="str">
        <f>IF($D313="","",IFERROR(VLOOKUP($D313,'SAMA Consumables Tracker'!$A:$H,8,FALSE()),""))</f>
        <v/>
      </c>
      <c r="F313" s="24"/>
      <c r="G313" s="25" t="str">
        <f>IF($D313="","",IFERROR(VLOOKUP($D313,'SAMA Consumables Tracker'!$A:$D,4,FALSE()),""))</f>
        <v/>
      </c>
      <c r="H313" s="22"/>
    </row>
    <row r="314" spans="1:8">
      <c r="A314" s="21"/>
      <c r="B314" s="22"/>
      <c r="C314" s="22"/>
      <c r="D314" s="22"/>
      <c r="E314" s="23" t="str">
        <f>IF($D314="","",IFERROR(VLOOKUP($D314,'SAMA Consumables Tracker'!$A:$H,8,FALSE()),""))</f>
        <v/>
      </c>
      <c r="F314" s="24"/>
      <c r="G314" s="25" t="str">
        <f>IF($D314="","",IFERROR(VLOOKUP($D314,'SAMA Consumables Tracker'!$A:$D,4,FALSE()),""))</f>
        <v/>
      </c>
      <c r="H314" s="22"/>
    </row>
    <row r="315" spans="1:8">
      <c r="A315" s="21"/>
      <c r="B315" s="22"/>
      <c r="C315" s="22"/>
      <c r="D315" s="22"/>
      <c r="E315" s="23" t="str">
        <f>IF($D315="","",IFERROR(VLOOKUP($D315,'SAMA Consumables Tracker'!$A:$H,8,FALSE()),""))</f>
        <v/>
      </c>
      <c r="F315" s="24"/>
      <c r="G315" s="25" t="str">
        <f>IF($D315="","",IFERROR(VLOOKUP($D315,'SAMA Consumables Tracker'!$A:$D,4,FALSE()),""))</f>
        <v/>
      </c>
      <c r="H315" s="22"/>
    </row>
    <row r="316" spans="1:8">
      <c r="A316" s="21"/>
      <c r="B316" s="22"/>
      <c r="C316" s="22"/>
      <c r="D316" s="22"/>
      <c r="E316" s="23" t="str">
        <f>IF($D316="","",IFERROR(VLOOKUP($D316,'SAMA Consumables Tracker'!$A:$H,8,FALSE()),""))</f>
        <v/>
      </c>
      <c r="F316" s="24"/>
      <c r="G316" s="25" t="str">
        <f>IF($D316="","",IFERROR(VLOOKUP($D316,'SAMA Consumables Tracker'!$A:$D,4,FALSE()),""))</f>
        <v/>
      </c>
      <c r="H316" s="22"/>
    </row>
    <row r="317" spans="1:8">
      <c r="A317" s="21"/>
      <c r="B317" s="22"/>
      <c r="C317" s="22"/>
      <c r="D317" s="22"/>
      <c r="E317" s="23" t="str">
        <f>IF($D317="","",IFERROR(VLOOKUP($D317,'SAMA Consumables Tracker'!$A:$H,8,FALSE()),""))</f>
        <v/>
      </c>
      <c r="F317" s="24"/>
      <c r="G317" s="25" t="str">
        <f>IF($D317="","",IFERROR(VLOOKUP($D317,'SAMA Consumables Tracker'!$A:$D,4,FALSE()),""))</f>
        <v/>
      </c>
      <c r="H317" s="22"/>
    </row>
    <row r="318" spans="1:8">
      <c r="A318" s="21"/>
      <c r="B318" s="22"/>
      <c r="C318" s="22"/>
      <c r="D318" s="22"/>
      <c r="E318" s="23" t="str">
        <f>IF($D318="","",IFERROR(VLOOKUP($D318,'SAMA Consumables Tracker'!$A:$H,8,FALSE()),""))</f>
        <v/>
      </c>
      <c r="F318" s="24"/>
      <c r="G318" s="25" t="str">
        <f>IF($D318="","",IFERROR(VLOOKUP($D318,'SAMA Consumables Tracker'!$A:$D,4,FALSE()),""))</f>
        <v/>
      </c>
      <c r="H318" s="22"/>
    </row>
    <row r="319" spans="1:8">
      <c r="A319" s="21"/>
      <c r="B319" s="22"/>
      <c r="C319" s="22"/>
      <c r="D319" s="22"/>
      <c r="E319" s="23" t="str">
        <f>IF($D319="","",IFERROR(VLOOKUP($D319,'SAMA Consumables Tracker'!$A:$H,8,FALSE()),""))</f>
        <v/>
      </c>
      <c r="F319" s="24"/>
      <c r="G319" s="25" t="str">
        <f>IF($D319="","",IFERROR(VLOOKUP($D319,'SAMA Consumables Tracker'!$A:$D,4,FALSE()),""))</f>
        <v/>
      </c>
      <c r="H319" s="22"/>
    </row>
    <row r="320" spans="1:8">
      <c r="A320" s="21"/>
      <c r="B320" s="22"/>
      <c r="C320" s="22"/>
      <c r="D320" s="22"/>
      <c r="E320" s="23" t="str">
        <f>IF($D320="","",IFERROR(VLOOKUP($D320,'SAMA Consumables Tracker'!$A:$H,8,FALSE()),""))</f>
        <v/>
      </c>
      <c r="F320" s="24"/>
      <c r="G320" s="25" t="str">
        <f>IF($D320="","",IFERROR(VLOOKUP($D320,'SAMA Consumables Tracker'!$A:$D,4,FALSE()),""))</f>
        <v/>
      </c>
      <c r="H320" s="22"/>
    </row>
    <row r="321" spans="1:8">
      <c r="A321" s="21"/>
      <c r="B321" s="22"/>
      <c r="C321" s="22"/>
      <c r="D321" s="22"/>
      <c r="E321" s="23" t="str">
        <f>IF($D321="","",IFERROR(VLOOKUP($D321,'SAMA Consumables Tracker'!$A:$H,8,FALSE()),""))</f>
        <v/>
      </c>
      <c r="F321" s="24"/>
      <c r="G321" s="25" t="str">
        <f>IF($D321="","",IFERROR(VLOOKUP($D321,'SAMA Consumables Tracker'!$A:$D,4,FALSE()),""))</f>
        <v/>
      </c>
      <c r="H321" s="22"/>
    </row>
    <row r="322" spans="1:8">
      <c r="A322" s="21"/>
      <c r="B322" s="22"/>
      <c r="C322" s="22"/>
      <c r="D322" s="22"/>
      <c r="E322" s="23" t="str">
        <f>IF($D322="","",IFERROR(VLOOKUP($D322,'SAMA Consumables Tracker'!$A:$H,8,FALSE()),""))</f>
        <v/>
      </c>
      <c r="F322" s="24"/>
      <c r="G322" s="25" t="str">
        <f>IF($D322="","",IFERROR(VLOOKUP($D322,'SAMA Consumables Tracker'!$A:$D,4,FALSE()),""))</f>
        <v/>
      </c>
      <c r="H322" s="22"/>
    </row>
    <row r="323" spans="1:8">
      <c r="A323" s="21"/>
      <c r="B323" s="22"/>
      <c r="C323" s="22"/>
      <c r="D323" s="22"/>
      <c r="E323" s="23" t="str">
        <f>IF($D323="","",IFERROR(VLOOKUP($D323,'SAMA Consumables Tracker'!$A:$H,8,FALSE()),""))</f>
        <v/>
      </c>
      <c r="F323" s="24"/>
      <c r="G323" s="25" t="str">
        <f>IF($D323="","",IFERROR(VLOOKUP($D323,'SAMA Consumables Tracker'!$A:$D,4,FALSE()),""))</f>
        <v/>
      </c>
      <c r="H323" s="22"/>
    </row>
    <row r="324" spans="1:8">
      <c r="A324" s="21"/>
      <c r="B324" s="22"/>
      <c r="C324" s="22"/>
      <c r="D324" s="22"/>
      <c r="E324" s="23" t="str">
        <f>IF($D324="","",IFERROR(VLOOKUP($D324,'SAMA Consumables Tracker'!$A:$H,8,FALSE()),""))</f>
        <v/>
      </c>
      <c r="F324" s="24"/>
      <c r="G324" s="25" t="str">
        <f>IF($D324="","",IFERROR(VLOOKUP($D324,'SAMA Consumables Tracker'!$A:$D,4,FALSE()),""))</f>
        <v/>
      </c>
      <c r="H324" s="22"/>
    </row>
    <row r="325" spans="1:8">
      <c r="A325" s="21"/>
      <c r="B325" s="22"/>
      <c r="C325" s="22"/>
      <c r="D325" s="22"/>
      <c r="E325" s="23" t="str">
        <f>IF($D325="","",IFERROR(VLOOKUP($D325,'SAMA Consumables Tracker'!$A:$H,8,FALSE()),""))</f>
        <v/>
      </c>
      <c r="F325" s="24"/>
      <c r="G325" s="25" t="str">
        <f>IF($D325="","",IFERROR(VLOOKUP($D325,'SAMA Consumables Tracker'!$A:$D,4,FALSE()),""))</f>
        <v/>
      </c>
      <c r="H325" s="22"/>
    </row>
    <row r="326" spans="1:8">
      <c r="A326" s="21"/>
      <c r="B326" s="22"/>
      <c r="C326" s="22"/>
      <c r="D326" s="22"/>
      <c r="E326" s="23" t="str">
        <f>IF($D326="","",IFERROR(VLOOKUP($D326,'SAMA Consumables Tracker'!$A:$H,8,FALSE()),""))</f>
        <v/>
      </c>
      <c r="F326" s="24"/>
      <c r="G326" s="25" t="str">
        <f>IF($D326="","",IFERROR(VLOOKUP($D326,'SAMA Consumables Tracker'!$A:$D,4,FALSE()),""))</f>
        <v/>
      </c>
      <c r="H326" s="22"/>
    </row>
    <row r="327" spans="1:8">
      <c r="A327" s="21"/>
      <c r="B327" s="22"/>
      <c r="C327" s="22"/>
      <c r="D327" s="22"/>
      <c r="E327" s="23" t="str">
        <f>IF($D327="","",IFERROR(VLOOKUP($D327,'SAMA Consumables Tracker'!$A:$H,8,FALSE()),""))</f>
        <v/>
      </c>
      <c r="F327" s="24"/>
      <c r="G327" s="25" t="str">
        <f>IF($D327="","",IFERROR(VLOOKUP($D327,'SAMA Consumables Tracker'!$A:$D,4,FALSE()),""))</f>
        <v/>
      </c>
      <c r="H327" s="22"/>
    </row>
    <row r="328" spans="1:8">
      <c r="A328" s="21"/>
      <c r="B328" s="22"/>
      <c r="C328" s="22"/>
      <c r="D328" s="22"/>
      <c r="E328" s="23" t="str">
        <f>IF($D328="","",IFERROR(VLOOKUP($D328,'SAMA Consumables Tracker'!$A:$H,8,FALSE()),""))</f>
        <v/>
      </c>
      <c r="F328" s="24"/>
      <c r="G328" s="25" t="str">
        <f>IF($D328="","",IFERROR(VLOOKUP($D328,'SAMA Consumables Tracker'!$A:$D,4,FALSE()),""))</f>
        <v/>
      </c>
      <c r="H328" s="22"/>
    </row>
    <row r="329" spans="1:8">
      <c r="A329" s="21"/>
      <c r="B329" s="22"/>
      <c r="C329" s="22"/>
      <c r="D329" s="22"/>
      <c r="E329" s="23" t="str">
        <f>IF($D329="","",IFERROR(VLOOKUP($D329,'SAMA Consumables Tracker'!$A:$H,8,FALSE()),""))</f>
        <v/>
      </c>
      <c r="F329" s="24"/>
      <c r="G329" s="25" t="str">
        <f>IF($D329="","",IFERROR(VLOOKUP($D329,'SAMA Consumables Tracker'!$A:$D,4,FALSE()),""))</f>
        <v/>
      </c>
      <c r="H329" s="22"/>
    </row>
    <row r="330" spans="1:8">
      <c r="A330" s="21"/>
      <c r="B330" s="22"/>
      <c r="C330" s="22"/>
      <c r="D330" s="22"/>
      <c r="E330" s="23" t="str">
        <f>IF($D330="","",IFERROR(VLOOKUP($D330,'SAMA Consumables Tracker'!$A:$H,8,FALSE()),""))</f>
        <v/>
      </c>
      <c r="F330" s="24"/>
      <c r="G330" s="25" t="str">
        <f>IF($D330="","",IFERROR(VLOOKUP($D330,'SAMA Consumables Tracker'!$A:$D,4,FALSE()),""))</f>
        <v/>
      </c>
      <c r="H330" s="22"/>
    </row>
    <row r="331" spans="1:8">
      <c r="A331" s="21"/>
      <c r="B331" s="22"/>
      <c r="C331" s="22"/>
      <c r="D331" s="22"/>
      <c r="E331" s="23" t="str">
        <f>IF($D331="","",IFERROR(VLOOKUP($D331,'SAMA Consumables Tracker'!$A:$H,8,FALSE()),""))</f>
        <v/>
      </c>
      <c r="F331" s="24"/>
      <c r="G331" s="25" t="str">
        <f>IF($D331="","",IFERROR(VLOOKUP($D331,'SAMA Consumables Tracker'!$A:$D,4,FALSE()),""))</f>
        <v/>
      </c>
      <c r="H331" s="22"/>
    </row>
    <row r="332" spans="1:8">
      <c r="A332" s="21"/>
      <c r="B332" s="22"/>
      <c r="C332" s="22"/>
      <c r="D332" s="22"/>
      <c r="E332" s="23" t="str">
        <f>IF($D332="","",IFERROR(VLOOKUP($D332,'SAMA Consumables Tracker'!$A:$H,8,FALSE()),""))</f>
        <v/>
      </c>
      <c r="F332" s="24"/>
      <c r="G332" s="25" t="str">
        <f>IF($D332="","",IFERROR(VLOOKUP($D332,'SAMA Consumables Tracker'!$A:$D,4,FALSE()),""))</f>
        <v/>
      </c>
      <c r="H332" s="22"/>
    </row>
    <row r="333" spans="1:8">
      <c r="A333" s="21"/>
      <c r="B333" s="22"/>
      <c r="C333" s="22"/>
      <c r="D333" s="22"/>
      <c r="E333" s="23" t="str">
        <f>IF($D333="","",IFERROR(VLOOKUP($D333,'SAMA Consumables Tracker'!$A:$H,8,FALSE()),""))</f>
        <v/>
      </c>
      <c r="F333" s="24"/>
      <c r="G333" s="25" t="str">
        <f>IF($D333="","",IFERROR(VLOOKUP($D333,'SAMA Consumables Tracker'!$A:$D,4,FALSE()),""))</f>
        <v/>
      </c>
      <c r="H333" s="22"/>
    </row>
    <row r="334" spans="1:8">
      <c r="A334" s="21"/>
      <c r="B334" s="22"/>
      <c r="C334" s="22"/>
      <c r="D334" s="22"/>
      <c r="E334" s="23" t="str">
        <f>IF($D334="","",IFERROR(VLOOKUP($D334,'SAMA Consumables Tracker'!$A:$H,8,FALSE()),""))</f>
        <v/>
      </c>
      <c r="F334" s="24"/>
      <c r="G334" s="25" t="str">
        <f>IF($D334="","",IFERROR(VLOOKUP($D334,'SAMA Consumables Tracker'!$A:$D,4,FALSE()),""))</f>
        <v/>
      </c>
      <c r="H334" s="22"/>
    </row>
    <row r="335" spans="1:8">
      <c r="A335" s="21"/>
      <c r="B335" s="22"/>
      <c r="C335" s="22"/>
      <c r="D335" s="22"/>
      <c r="E335" s="23" t="str">
        <f>IF($D335="","",IFERROR(VLOOKUP($D335,'SAMA Consumables Tracker'!$A:$H,8,FALSE()),""))</f>
        <v/>
      </c>
      <c r="F335" s="24"/>
      <c r="G335" s="25" t="str">
        <f>IF($D335="","",IFERROR(VLOOKUP($D335,'SAMA Consumables Tracker'!$A:$D,4,FALSE()),""))</f>
        <v/>
      </c>
      <c r="H335" s="22"/>
    </row>
    <row r="336" spans="1:8">
      <c r="A336" s="21"/>
      <c r="B336" s="22"/>
      <c r="C336" s="22"/>
      <c r="D336" s="22"/>
      <c r="E336" s="23" t="str">
        <f>IF($D336="","",IFERROR(VLOOKUP($D336,'SAMA Consumables Tracker'!$A:$H,8,FALSE()),""))</f>
        <v/>
      </c>
      <c r="F336" s="24"/>
      <c r="G336" s="25" t="str">
        <f>IF($D336="","",IFERROR(VLOOKUP($D336,'SAMA Consumables Tracker'!$A:$D,4,FALSE()),""))</f>
        <v/>
      </c>
      <c r="H336" s="22"/>
    </row>
    <row r="337" spans="1:8">
      <c r="A337" s="21"/>
      <c r="B337" s="22"/>
      <c r="C337" s="22"/>
      <c r="D337" s="22"/>
      <c r="E337" s="23" t="str">
        <f>IF($D337="","",IFERROR(VLOOKUP($D337,'SAMA Consumables Tracker'!$A:$H,8,FALSE()),""))</f>
        <v/>
      </c>
      <c r="F337" s="24"/>
      <c r="G337" s="25" t="str">
        <f>IF($D337="","",IFERROR(VLOOKUP($D337,'SAMA Consumables Tracker'!$A:$D,4,FALSE()),""))</f>
        <v/>
      </c>
      <c r="H337" s="22"/>
    </row>
    <row r="338" spans="1:8">
      <c r="A338" s="21"/>
      <c r="B338" s="22"/>
      <c r="C338" s="22"/>
      <c r="D338" s="22"/>
      <c r="E338" s="23" t="str">
        <f>IF($D338="","",IFERROR(VLOOKUP($D338,'SAMA Consumables Tracker'!$A:$H,8,FALSE()),""))</f>
        <v/>
      </c>
      <c r="F338" s="24"/>
      <c r="G338" s="25" t="str">
        <f>IF($D338="","",IFERROR(VLOOKUP($D338,'SAMA Consumables Tracker'!$A:$D,4,FALSE()),""))</f>
        <v/>
      </c>
      <c r="H338" s="22"/>
    </row>
    <row r="339" spans="1:8">
      <c r="A339" s="21"/>
      <c r="B339" s="22"/>
      <c r="C339" s="22"/>
      <c r="D339" s="22"/>
      <c r="E339" s="23" t="str">
        <f>IF($D339="","",IFERROR(VLOOKUP($D339,'SAMA Consumables Tracker'!$A:$H,8,FALSE()),""))</f>
        <v/>
      </c>
      <c r="F339" s="24"/>
      <c r="G339" s="25" t="str">
        <f>IF($D339="","",IFERROR(VLOOKUP($D339,'SAMA Consumables Tracker'!$A:$D,4,FALSE()),""))</f>
        <v/>
      </c>
      <c r="H339" s="22"/>
    </row>
    <row r="340" spans="1:8">
      <c r="A340" s="21"/>
      <c r="B340" s="22"/>
      <c r="C340" s="22"/>
      <c r="D340" s="22"/>
      <c r="E340" s="23" t="str">
        <f>IF($D340="","",IFERROR(VLOOKUP($D340,'SAMA Consumables Tracker'!$A:$H,8,FALSE()),""))</f>
        <v/>
      </c>
      <c r="F340" s="24"/>
      <c r="G340" s="25" t="str">
        <f>IF($D340="","",IFERROR(VLOOKUP($D340,'SAMA Consumables Tracker'!$A:$D,4,FALSE()),""))</f>
        <v/>
      </c>
      <c r="H340" s="22"/>
    </row>
    <row r="341" spans="1:8">
      <c r="A341" s="21"/>
      <c r="B341" s="22"/>
      <c r="C341" s="22"/>
      <c r="D341" s="22"/>
      <c r="E341" s="23" t="str">
        <f>IF($D341="","",IFERROR(VLOOKUP($D341,'SAMA Consumables Tracker'!$A:$H,8,FALSE()),""))</f>
        <v/>
      </c>
      <c r="F341" s="24"/>
      <c r="G341" s="25" t="str">
        <f>IF($D341="","",IFERROR(VLOOKUP($D341,'SAMA Consumables Tracker'!$A:$D,4,FALSE()),""))</f>
        <v/>
      </c>
      <c r="H341" s="22"/>
    </row>
    <row r="342" spans="1:8">
      <c r="A342" s="21"/>
      <c r="B342" s="22"/>
      <c r="C342" s="22"/>
      <c r="D342" s="22"/>
      <c r="E342" s="23" t="str">
        <f>IF($D342="","",IFERROR(VLOOKUP($D342,'SAMA Consumables Tracker'!$A:$H,8,FALSE()),""))</f>
        <v/>
      </c>
      <c r="F342" s="24"/>
      <c r="G342" s="25" t="str">
        <f>IF($D342="","",IFERROR(VLOOKUP($D342,'SAMA Consumables Tracker'!$A:$D,4,FALSE()),""))</f>
        <v/>
      </c>
      <c r="H342" s="22"/>
    </row>
    <row r="343" spans="1:8">
      <c r="A343" s="21"/>
      <c r="B343" s="22"/>
      <c r="C343" s="22"/>
      <c r="D343" s="22"/>
      <c r="E343" s="23" t="str">
        <f>IF($D343="","",IFERROR(VLOOKUP($D343,'SAMA Consumables Tracker'!$A:$H,8,FALSE()),""))</f>
        <v/>
      </c>
      <c r="F343" s="24"/>
      <c r="G343" s="25" t="str">
        <f>IF($D343="","",IFERROR(VLOOKUP($D343,'SAMA Consumables Tracker'!$A:$D,4,FALSE()),""))</f>
        <v/>
      </c>
      <c r="H343" s="22"/>
    </row>
    <row r="344" spans="1:8">
      <c r="A344" s="21"/>
      <c r="B344" s="22"/>
      <c r="C344" s="22"/>
      <c r="D344" s="22"/>
      <c r="E344" s="23" t="str">
        <f>IF($D344="","",IFERROR(VLOOKUP($D344,'SAMA Consumables Tracker'!$A:$H,8,FALSE()),""))</f>
        <v/>
      </c>
      <c r="F344" s="24"/>
      <c r="G344" s="25" t="str">
        <f>IF($D344="","",IFERROR(VLOOKUP($D344,'SAMA Consumables Tracker'!$A:$D,4,FALSE()),""))</f>
        <v/>
      </c>
      <c r="H344" s="22"/>
    </row>
    <row r="345" spans="1:8">
      <c r="A345" s="21"/>
      <c r="B345" s="22"/>
      <c r="C345" s="22"/>
      <c r="D345" s="22"/>
      <c r="E345" s="23" t="str">
        <f>IF($D345="","",IFERROR(VLOOKUP($D345,'SAMA Consumables Tracker'!$A:$H,8,FALSE()),""))</f>
        <v/>
      </c>
      <c r="F345" s="24"/>
      <c r="G345" s="25" t="str">
        <f>IF($D345="","",IFERROR(VLOOKUP($D345,'SAMA Consumables Tracker'!$A:$D,4,FALSE()),""))</f>
        <v/>
      </c>
      <c r="H345" s="22"/>
    </row>
    <row r="346" spans="1:8">
      <c r="A346" s="21"/>
      <c r="B346" s="22"/>
      <c r="C346" s="22"/>
      <c r="D346" s="22"/>
      <c r="E346" s="23" t="str">
        <f>IF($D346="","",IFERROR(VLOOKUP($D346,'SAMA Consumables Tracker'!$A:$H,8,FALSE()),""))</f>
        <v/>
      </c>
      <c r="F346" s="24"/>
      <c r="G346" s="25" t="str">
        <f>IF($D346="","",IFERROR(VLOOKUP($D346,'SAMA Consumables Tracker'!$A:$D,4,FALSE()),""))</f>
        <v/>
      </c>
      <c r="H346" s="22"/>
    </row>
    <row r="347" spans="1:8">
      <c r="A347" s="21"/>
      <c r="B347" s="22"/>
      <c r="C347" s="22"/>
      <c r="D347" s="22"/>
      <c r="E347" s="23" t="str">
        <f>IF($D347="","",IFERROR(VLOOKUP($D347,'SAMA Consumables Tracker'!$A:$H,8,FALSE()),""))</f>
        <v/>
      </c>
      <c r="F347" s="24"/>
      <c r="G347" s="25" t="str">
        <f>IF($D347="","",IFERROR(VLOOKUP($D347,'SAMA Consumables Tracker'!$A:$D,4,FALSE()),""))</f>
        <v/>
      </c>
      <c r="H347" s="22"/>
    </row>
    <row r="348" spans="1:8">
      <c r="A348" s="21"/>
      <c r="B348" s="22"/>
      <c r="C348" s="22"/>
      <c r="D348" s="22"/>
      <c r="E348" s="23" t="str">
        <f>IF($D348="","",IFERROR(VLOOKUP($D348,'SAMA Consumables Tracker'!$A:$H,8,FALSE()),""))</f>
        <v/>
      </c>
      <c r="F348" s="24"/>
      <c r="G348" s="25" t="str">
        <f>IF($D348="","",IFERROR(VLOOKUP($D348,'SAMA Consumables Tracker'!$A:$D,4,FALSE()),""))</f>
        <v/>
      </c>
      <c r="H348" s="22"/>
    </row>
    <row r="349" spans="1:8">
      <c r="A349" s="21"/>
      <c r="B349" s="22"/>
      <c r="C349" s="22"/>
      <c r="D349" s="22"/>
      <c r="E349" s="23" t="str">
        <f>IF($D349="","",IFERROR(VLOOKUP($D349,'SAMA Consumables Tracker'!$A:$H,8,FALSE()),""))</f>
        <v/>
      </c>
      <c r="F349" s="24"/>
      <c r="G349" s="25" t="str">
        <f>IF($D349="","",IFERROR(VLOOKUP($D349,'SAMA Consumables Tracker'!$A:$D,4,FALSE()),""))</f>
        <v/>
      </c>
      <c r="H349" s="22"/>
    </row>
    <row r="350" spans="1:8">
      <c r="A350" s="21"/>
      <c r="B350" s="22"/>
      <c r="C350" s="22"/>
      <c r="D350" s="22"/>
      <c r="E350" s="23" t="str">
        <f>IF($D350="","",IFERROR(VLOOKUP($D350,'SAMA Consumables Tracker'!$A:$H,8,FALSE()),""))</f>
        <v/>
      </c>
      <c r="F350" s="24"/>
      <c r="G350" s="25" t="str">
        <f>IF($D350="","",IFERROR(VLOOKUP($D350,'SAMA Consumables Tracker'!$A:$D,4,FALSE()),""))</f>
        <v/>
      </c>
      <c r="H350" s="22"/>
    </row>
    <row r="351" spans="1:8">
      <c r="A351" s="21"/>
      <c r="B351" s="22"/>
      <c r="C351" s="22"/>
      <c r="D351" s="22"/>
      <c r="E351" s="23" t="str">
        <f>IF($D351="","",IFERROR(VLOOKUP($D351,'SAMA Consumables Tracker'!$A:$H,8,FALSE()),""))</f>
        <v/>
      </c>
      <c r="F351" s="24"/>
      <c r="G351" s="25" t="str">
        <f>IF($D351="","",IFERROR(VLOOKUP($D351,'SAMA Consumables Tracker'!$A:$D,4,FALSE()),""))</f>
        <v/>
      </c>
      <c r="H351" s="22"/>
    </row>
    <row r="352" spans="1:8">
      <c r="A352" s="21"/>
      <c r="B352" s="22"/>
      <c r="C352" s="22"/>
      <c r="D352" s="22"/>
      <c r="E352" s="23" t="str">
        <f>IF($D352="","",IFERROR(VLOOKUP($D352,'SAMA Consumables Tracker'!$A:$H,8,FALSE()),""))</f>
        <v/>
      </c>
      <c r="F352" s="24"/>
      <c r="G352" s="25" t="str">
        <f>IF($D352="","",IFERROR(VLOOKUP($D352,'SAMA Consumables Tracker'!$A:$D,4,FALSE()),""))</f>
        <v/>
      </c>
      <c r="H352" s="22"/>
    </row>
    <row r="353" spans="1:8">
      <c r="A353" s="21"/>
      <c r="B353" s="22"/>
      <c r="C353" s="22"/>
      <c r="D353" s="22"/>
      <c r="E353" s="23" t="str">
        <f>IF($D353="","",IFERROR(VLOOKUP($D353,'SAMA Consumables Tracker'!$A:$H,8,FALSE()),""))</f>
        <v/>
      </c>
      <c r="F353" s="24"/>
      <c r="G353" s="25" t="str">
        <f>IF($D353="","",IFERROR(VLOOKUP($D353,'SAMA Consumables Tracker'!$A:$D,4,FALSE()),""))</f>
        <v/>
      </c>
      <c r="H353" s="22"/>
    </row>
    <row r="354" spans="1:8">
      <c r="A354" s="21"/>
      <c r="B354" s="22"/>
      <c r="C354" s="22"/>
      <c r="D354" s="22"/>
      <c r="E354" s="23" t="str">
        <f>IF($D354="","",IFERROR(VLOOKUP($D354,'SAMA Consumables Tracker'!$A:$H,8,FALSE()),""))</f>
        <v/>
      </c>
      <c r="F354" s="24"/>
      <c r="G354" s="25" t="str">
        <f>IF($D354="","",IFERROR(VLOOKUP($D354,'SAMA Consumables Tracker'!$A:$D,4,FALSE()),""))</f>
        <v/>
      </c>
      <c r="H354" s="22"/>
    </row>
    <row r="355" spans="1:8">
      <c r="A355" s="21"/>
      <c r="B355" s="22"/>
      <c r="C355" s="22"/>
      <c r="D355" s="22"/>
      <c r="E355" s="23" t="str">
        <f>IF($D355="","",IFERROR(VLOOKUP($D355,'SAMA Consumables Tracker'!$A:$H,8,FALSE()),""))</f>
        <v/>
      </c>
      <c r="F355" s="24"/>
      <c r="G355" s="25" t="str">
        <f>IF($D355="","",IFERROR(VLOOKUP($D355,'SAMA Consumables Tracker'!$A:$D,4,FALSE()),""))</f>
        <v/>
      </c>
      <c r="H355" s="22"/>
    </row>
    <row r="356" spans="1:8">
      <c r="A356" s="21"/>
      <c r="B356" s="22"/>
      <c r="C356" s="22"/>
      <c r="D356" s="22"/>
      <c r="E356" s="23" t="str">
        <f>IF($D356="","",IFERROR(VLOOKUP($D356,'SAMA Consumables Tracker'!$A:$H,8,FALSE()),""))</f>
        <v/>
      </c>
      <c r="F356" s="24"/>
      <c r="G356" s="25" t="str">
        <f>IF($D356="","",IFERROR(VLOOKUP($D356,'SAMA Consumables Tracker'!$A:$D,4,FALSE()),""))</f>
        <v/>
      </c>
      <c r="H356" s="22"/>
    </row>
    <row r="357" spans="1:8">
      <c r="A357" s="21"/>
      <c r="B357" s="22"/>
      <c r="C357" s="22"/>
      <c r="D357" s="22"/>
      <c r="E357" s="23" t="str">
        <f>IF($D357="","",IFERROR(VLOOKUP($D357,'SAMA Consumables Tracker'!$A:$H,8,FALSE()),""))</f>
        <v/>
      </c>
      <c r="F357" s="24"/>
      <c r="G357" s="25" t="str">
        <f>IF($D357="","",IFERROR(VLOOKUP($D357,'SAMA Consumables Tracker'!$A:$D,4,FALSE()),""))</f>
        <v/>
      </c>
      <c r="H357" s="22"/>
    </row>
    <row r="358" spans="1:8">
      <c r="A358" s="21"/>
      <c r="B358" s="22"/>
      <c r="C358" s="22"/>
      <c r="D358" s="22"/>
      <c r="E358" s="23" t="str">
        <f>IF($D358="","",IFERROR(VLOOKUP($D358,'SAMA Consumables Tracker'!$A:$H,8,FALSE()),""))</f>
        <v/>
      </c>
      <c r="F358" s="24"/>
      <c r="G358" s="25" t="str">
        <f>IF($D358="","",IFERROR(VLOOKUP($D358,'SAMA Consumables Tracker'!$A:$D,4,FALSE()),""))</f>
        <v/>
      </c>
      <c r="H358" s="22"/>
    </row>
    <row r="359" spans="1:8">
      <c r="A359" s="21"/>
      <c r="B359" s="22"/>
      <c r="C359" s="22"/>
      <c r="D359" s="22"/>
      <c r="E359" s="23" t="str">
        <f>IF($D359="","",IFERROR(VLOOKUP($D359,'SAMA Consumables Tracker'!$A:$H,8,FALSE()),""))</f>
        <v/>
      </c>
      <c r="F359" s="24"/>
      <c r="G359" s="25" t="str">
        <f>IF($D359="","",IFERROR(VLOOKUP($D359,'SAMA Consumables Tracker'!$A:$D,4,FALSE()),""))</f>
        <v/>
      </c>
      <c r="H359" s="22"/>
    </row>
    <row r="360" spans="1:8">
      <c r="A360" s="21"/>
      <c r="B360" s="22"/>
      <c r="C360" s="22"/>
      <c r="D360" s="22"/>
      <c r="E360" s="23" t="str">
        <f>IF($D360="","",IFERROR(VLOOKUP($D360,'SAMA Consumables Tracker'!$A:$H,8,FALSE()),""))</f>
        <v/>
      </c>
      <c r="F360" s="24"/>
      <c r="G360" s="25" t="str">
        <f>IF($D360="","",IFERROR(VLOOKUP($D360,'SAMA Consumables Tracker'!$A:$D,4,FALSE()),""))</f>
        <v/>
      </c>
      <c r="H360" s="22"/>
    </row>
    <row r="361" spans="1:8">
      <c r="A361" s="21"/>
      <c r="B361" s="22"/>
      <c r="C361" s="22"/>
      <c r="D361" s="22"/>
      <c r="E361" s="23" t="str">
        <f>IF($D361="","",IFERROR(VLOOKUP($D361,'SAMA Consumables Tracker'!$A:$H,8,FALSE()),""))</f>
        <v/>
      </c>
      <c r="F361" s="24"/>
      <c r="G361" s="25" t="str">
        <f>IF($D361="","",IFERROR(VLOOKUP($D361,'SAMA Consumables Tracker'!$A:$D,4,FALSE()),""))</f>
        <v/>
      </c>
      <c r="H361" s="22"/>
    </row>
    <row r="362" spans="1:8">
      <c r="A362" s="21"/>
      <c r="B362" s="22"/>
      <c r="C362" s="22"/>
      <c r="D362" s="22"/>
      <c r="E362" s="23" t="str">
        <f>IF($D362="","",IFERROR(VLOOKUP($D362,'SAMA Consumables Tracker'!$A:$H,8,FALSE()),""))</f>
        <v/>
      </c>
      <c r="F362" s="24"/>
      <c r="G362" s="25" t="str">
        <f>IF($D362="","",IFERROR(VLOOKUP($D362,'SAMA Consumables Tracker'!$A:$D,4,FALSE()),""))</f>
        <v/>
      </c>
      <c r="H362" s="22"/>
    </row>
    <row r="363" spans="1:8">
      <c r="A363" s="21"/>
      <c r="B363" s="22"/>
      <c r="C363" s="22"/>
      <c r="D363" s="22"/>
      <c r="E363" s="23" t="str">
        <f>IF($D363="","",IFERROR(VLOOKUP($D363,'SAMA Consumables Tracker'!$A:$H,8,FALSE()),""))</f>
        <v/>
      </c>
      <c r="F363" s="24"/>
      <c r="G363" s="25" t="str">
        <f>IF($D363="","",IFERROR(VLOOKUP($D363,'SAMA Consumables Tracker'!$A:$D,4,FALSE()),""))</f>
        <v/>
      </c>
      <c r="H363" s="22"/>
    </row>
    <row r="364" spans="1:8">
      <c r="A364" s="21"/>
      <c r="B364" s="22"/>
      <c r="C364" s="22"/>
      <c r="D364" s="22"/>
      <c r="E364" s="23" t="str">
        <f>IF($D364="","",IFERROR(VLOOKUP($D364,'SAMA Consumables Tracker'!$A:$H,8,FALSE()),""))</f>
        <v/>
      </c>
      <c r="F364" s="24"/>
      <c r="G364" s="25" t="str">
        <f>IF($D364="","",IFERROR(VLOOKUP($D364,'SAMA Consumables Tracker'!$A:$D,4,FALSE()),""))</f>
        <v/>
      </c>
      <c r="H364" s="22"/>
    </row>
    <row r="365" spans="1:8">
      <c r="A365" s="21"/>
      <c r="B365" s="22"/>
      <c r="C365" s="22"/>
      <c r="D365" s="22"/>
      <c r="E365" s="23" t="str">
        <f>IF($D365="","",IFERROR(VLOOKUP($D365,'SAMA Consumables Tracker'!$A:$H,8,FALSE()),""))</f>
        <v/>
      </c>
      <c r="F365" s="24"/>
      <c r="G365" s="25" t="str">
        <f>IF($D365="","",IFERROR(VLOOKUP($D365,'SAMA Consumables Tracker'!$A:$D,4,FALSE()),""))</f>
        <v/>
      </c>
      <c r="H365" s="22"/>
    </row>
    <row r="366" spans="1:8">
      <c r="A366" s="21"/>
      <c r="B366" s="22"/>
      <c r="C366" s="22"/>
      <c r="D366" s="22"/>
      <c r="E366" s="23" t="str">
        <f>IF($D366="","",IFERROR(VLOOKUP($D366,'SAMA Consumables Tracker'!$A:$H,8,FALSE()),""))</f>
        <v/>
      </c>
      <c r="F366" s="24"/>
      <c r="G366" s="25" t="str">
        <f>IF($D366="","",IFERROR(VLOOKUP($D366,'SAMA Consumables Tracker'!$A:$D,4,FALSE()),""))</f>
        <v/>
      </c>
      <c r="H366" s="22"/>
    </row>
    <row r="367" spans="1:8">
      <c r="A367" s="21"/>
      <c r="B367" s="22"/>
      <c r="C367" s="22"/>
      <c r="D367" s="22"/>
      <c r="E367" s="23" t="str">
        <f>IF($D367="","",IFERROR(VLOOKUP($D367,'SAMA Consumables Tracker'!$A:$H,8,FALSE()),""))</f>
        <v/>
      </c>
      <c r="F367" s="24"/>
      <c r="G367" s="25" t="str">
        <f>IF($D367="","",IFERROR(VLOOKUP($D367,'SAMA Consumables Tracker'!$A:$D,4,FALSE()),""))</f>
        <v/>
      </c>
      <c r="H367" s="22"/>
    </row>
    <row r="368" spans="1:8">
      <c r="A368" s="21"/>
      <c r="B368" s="22"/>
      <c r="C368" s="22"/>
      <c r="D368" s="22"/>
      <c r="E368" s="23" t="str">
        <f>IF($D368="","",IFERROR(VLOOKUP($D368,'SAMA Consumables Tracker'!$A:$H,8,FALSE()),""))</f>
        <v/>
      </c>
      <c r="F368" s="24"/>
      <c r="G368" s="25" t="str">
        <f>IF($D368="","",IFERROR(VLOOKUP($D368,'SAMA Consumables Tracker'!$A:$D,4,FALSE()),""))</f>
        <v/>
      </c>
      <c r="H368" s="22"/>
    </row>
    <row r="369" spans="1:8">
      <c r="A369" s="21"/>
      <c r="B369" s="22"/>
      <c r="C369" s="22"/>
      <c r="D369" s="22"/>
      <c r="E369" s="23" t="str">
        <f>IF($D369="","",IFERROR(VLOOKUP($D369,'SAMA Consumables Tracker'!$A:$H,8,FALSE()),""))</f>
        <v/>
      </c>
      <c r="F369" s="24"/>
      <c r="G369" s="25" t="str">
        <f>IF($D369="","",IFERROR(VLOOKUP($D369,'SAMA Consumables Tracker'!$A:$D,4,FALSE()),""))</f>
        <v/>
      </c>
      <c r="H369" s="22"/>
    </row>
    <row r="370" spans="1:8">
      <c r="A370" s="21"/>
      <c r="B370" s="22"/>
      <c r="C370" s="22"/>
      <c r="D370" s="22"/>
      <c r="E370" s="23" t="str">
        <f>IF($D370="","",IFERROR(VLOOKUP($D370,'SAMA Consumables Tracker'!$A:$H,8,FALSE()),""))</f>
        <v/>
      </c>
      <c r="F370" s="24"/>
      <c r="G370" s="25" t="str">
        <f>IF($D370="","",IFERROR(VLOOKUP($D370,'SAMA Consumables Tracker'!$A:$D,4,FALSE()),""))</f>
        <v/>
      </c>
      <c r="H370" s="22"/>
    </row>
    <row r="371" spans="1:8">
      <c r="A371" s="21"/>
      <c r="B371" s="22"/>
      <c r="C371" s="22"/>
      <c r="D371" s="22"/>
      <c r="E371" s="23" t="str">
        <f>IF($D371="","",IFERROR(VLOOKUP($D371,'SAMA Consumables Tracker'!$A:$H,8,FALSE()),""))</f>
        <v/>
      </c>
      <c r="F371" s="24"/>
      <c r="G371" s="25" t="str">
        <f>IF($D371="","",IFERROR(VLOOKUP($D371,'SAMA Consumables Tracker'!$A:$D,4,FALSE()),""))</f>
        <v/>
      </c>
      <c r="H371" s="22"/>
    </row>
    <row r="372" spans="1:8">
      <c r="A372" s="21"/>
      <c r="B372" s="22"/>
      <c r="C372" s="22"/>
      <c r="D372" s="22"/>
      <c r="E372" s="23" t="str">
        <f>IF($D372="","",IFERROR(VLOOKUP($D372,'SAMA Consumables Tracker'!$A:$H,8,FALSE()),""))</f>
        <v/>
      </c>
      <c r="F372" s="24"/>
      <c r="G372" s="25" t="str">
        <f>IF($D372="","",IFERROR(VLOOKUP($D372,'SAMA Consumables Tracker'!$A:$D,4,FALSE()),""))</f>
        <v/>
      </c>
      <c r="H372" s="22"/>
    </row>
    <row r="373" spans="1:8">
      <c r="A373" s="21"/>
      <c r="B373" s="22"/>
      <c r="C373" s="22"/>
      <c r="D373" s="22"/>
      <c r="E373" s="23" t="str">
        <f>IF($D373="","",IFERROR(VLOOKUP($D373,'SAMA Consumables Tracker'!$A:$H,8,FALSE()),""))</f>
        <v/>
      </c>
      <c r="F373" s="24"/>
      <c r="G373" s="25" t="str">
        <f>IF($D373="","",IFERROR(VLOOKUP($D373,'SAMA Consumables Tracker'!$A:$D,4,FALSE()),""))</f>
        <v/>
      </c>
      <c r="H373" s="22"/>
    </row>
    <row r="374" spans="1:8">
      <c r="A374" s="21"/>
      <c r="B374" s="22"/>
      <c r="C374" s="22"/>
      <c r="D374" s="22"/>
      <c r="E374" s="23" t="str">
        <f>IF($D374="","",IFERROR(VLOOKUP($D374,'SAMA Consumables Tracker'!$A:$H,8,FALSE()),""))</f>
        <v/>
      </c>
      <c r="F374" s="24"/>
      <c r="G374" s="25" t="str">
        <f>IF($D374="","",IFERROR(VLOOKUP($D374,'SAMA Consumables Tracker'!$A:$D,4,FALSE()),""))</f>
        <v/>
      </c>
      <c r="H374" s="22"/>
    </row>
    <row r="375" spans="1:8">
      <c r="A375" s="21"/>
      <c r="B375" s="22"/>
      <c r="C375" s="22"/>
      <c r="D375" s="22"/>
      <c r="E375" s="23" t="str">
        <f>IF($D375="","",IFERROR(VLOOKUP($D375,'SAMA Consumables Tracker'!$A:$H,8,FALSE()),""))</f>
        <v/>
      </c>
      <c r="F375" s="24"/>
      <c r="G375" s="25" t="str">
        <f>IF($D375="","",IFERROR(VLOOKUP($D375,'SAMA Consumables Tracker'!$A:$D,4,FALSE()),""))</f>
        <v/>
      </c>
      <c r="H375" s="22"/>
    </row>
    <row r="376" spans="1:8">
      <c r="A376" s="21"/>
      <c r="B376" s="22"/>
      <c r="C376" s="22"/>
      <c r="D376" s="22"/>
      <c r="E376" s="23" t="str">
        <f>IF($D376="","",IFERROR(VLOOKUP($D376,'SAMA Consumables Tracker'!$A:$H,8,FALSE()),""))</f>
        <v/>
      </c>
      <c r="F376" s="24"/>
      <c r="G376" s="25" t="str">
        <f>IF($D376="","",IFERROR(VLOOKUP($D376,'SAMA Consumables Tracker'!$A:$D,4,FALSE()),""))</f>
        <v/>
      </c>
      <c r="H376" s="22"/>
    </row>
    <row r="377" spans="1:8">
      <c r="A377" s="21"/>
      <c r="B377" s="22"/>
      <c r="C377" s="22"/>
      <c r="D377" s="22"/>
      <c r="E377" s="23" t="str">
        <f>IF($D377="","",IFERROR(VLOOKUP($D377,'SAMA Consumables Tracker'!$A:$H,8,FALSE()),""))</f>
        <v/>
      </c>
      <c r="F377" s="24"/>
      <c r="G377" s="25" t="str">
        <f>IF($D377="","",IFERROR(VLOOKUP($D377,'SAMA Consumables Tracker'!$A:$D,4,FALSE()),""))</f>
        <v/>
      </c>
      <c r="H377" s="22"/>
    </row>
    <row r="378" spans="1:8">
      <c r="A378" s="21"/>
      <c r="B378" s="22"/>
      <c r="C378" s="22"/>
      <c r="D378" s="22"/>
      <c r="E378" s="23" t="str">
        <f>IF($D378="","",IFERROR(VLOOKUP($D378,'SAMA Consumables Tracker'!$A:$H,8,FALSE()),""))</f>
        <v/>
      </c>
      <c r="F378" s="24"/>
      <c r="G378" s="25" t="str">
        <f>IF($D378="","",IFERROR(VLOOKUP($D378,'SAMA Consumables Tracker'!$A:$D,4,FALSE()),""))</f>
        <v/>
      </c>
      <c r="H378" s="22"/>
    </row>
    <row r="379" spans="1:8">
      <c r="A379" s="21"/>
      <c r="B379" s="22"/>
      <c r="C379" s="22"/>
      <c r="D379" s="22"/>
      <c r="E379" s="23" t="str">
        <f>IF($D379="","",IFERROR(VLOOKUP($D379,'SAMA Consumables Tracker'!$A:$H,8,FALSE()),""))</f>
        <v/>
      </c>
      <c r="F379" s="24"/>
      <c r="G379" s="25" t="str">
        <f>IF($D379="","",IFERROR(VLOOKUP($D379,'SAMA Consumables Tracker'!$A:$D,4,FALSE()),""))</f>
        <v/>
      </c>
      <c r="H379" s="22"/>
    </row>
    <row r="380" spans="1:8">
      <c r="A380" s="21"/>
      <c r="B380" s="22"/>
      <c r="C380" s="22"/>
      <c r="D380" s="22"/>
      <c r="E380" s="23" t="str">
        <f>IF($D380="","",IFERROR(VLOOKUP($D380,'SAMA Consumables Tracker'!$A:$H,8,FALSE()),""))</f>
        <v/>
      </c>
      <c r="F380" s="24"/>
      <c r="G380" s="25" t="str">
        <f>IF($D380="","",IFERROR(VLOOKUP($D380,'SAMA Consumables Tracker'!$A:$D,4,FALSE()),""))</f>
        <v/>
      </c>
      <c r="H380" s="22"/>
    </row>
    <row r="381" spans="1:8">
      <c r="A381" s="21"/>
      <c r="B381" s="22"/>
      <c r="C381" s="22"/>
      <c r="D381" s="22"/>
      <c r="E381" s="23" t="str">
        <f>IF($D381="","",IFERROR(VLOOKUP($D381,'SAMA Consumables Tracker'!$A:$H,8,FALSE()),""))</f>
        <v/>
      </c>
      <c r="F381" s="24"/>
      <c r="G381" s="25" t="str">
        <f>IF($D381="","",IFERROR(VLOOKUP($D381,'SAMA Consumables Tracker'!$A:$D,4,FALSE()),""))</f>
        <v/>
      </c>
      <c r="H381" s="22"/>
    </row>
    <row r="382" spans="1:8">
      <c r="A382" s="21"/>
      <c r="B382" s="22"/>
      <c r="C382" s="22"/>
      <c r="D382" s="22"/>
      <c r="E382" s="23" t="str">
        <f>IF($D382="","",IFERROR(VLOOKUP($D382,'SAMA Consumables Tracker'!$A:$H,8,FALSE()),""))</f>
        <v/>
      </c>
      <c r="F382" s="24"/>
      <c r="G382" s="25" t="str">
        <f>IF($D382="","",IFERROR(VLOOKUP($D382,'SAMA Consumables Tracker'!$A:$D,4,FALSE()),""))</f>
        <v/>
      </c>
      <c r="H382" s="22"/>
    </row>
    <row r="383" spans="1:8">
      <c r="A383" s="21"/>
      <c r="B383" s="22"/>
      <c r="C383" s="22"/>
      <c r="D383" s="22"/>
      <c r="E383" s="23" t="str">
        <f>IF($D383="","",IFERROR(VLOOKUP($D383,'SAMA Consumables Tracker'!$A:$H,8,FALSE()),""))</f>
        <v/>
      </c>
      <c r="F383" s="24"/>
      <c r="G383" s="25" t="str">
        <f>IF($D383="","",IFERROR(VLOOKUP($D383,'SAMA Consumables Tracker'!$A:$D,4,FALSE()),""))</f>
        <v/>
      </c>
      <c r="H383" s="22"/>
    </row>
    <row r="384" spans="1:8">
      <c r="A384" s="21"/>
      <c r="B384" s="22"/>
      <c r="C384" s="22"/>
      <c r="D384" s="22"/>
      <c r="E384" s="23" t="str">
        <f>IF($D384="","",IFERROR(VLOOKUP($D384,'SAMA Consumables Tracker'!$A:$H,8,FALSE()),""))</f>
        <v/>
      </c>
      <c r="F384" s="24"/>
      <c r="G384" s="25" t="str">
        <f>IF($D384="","",IFERROR(VLOOKUP($D384,'SAMA Consumables Tracker'!$A:$D,4,FALSE()),""))</f>
        <v/>
      </c>
      <c r="H384" s="22"/>
    </row>
    <row r="385" spans="1:8">
      <c r="A385" s="21"/>
      <c r="B385" s="22"/>
      <c r="C385" s="22"/>
      <c r="D385" s="22"/>
      <c r="E385" s="23" t="str">
        <f>IF($D385="","",IFERROR(VLOOKUP($D385,'SAMA Consumables Tracker'!$A:$H,8,FALSE()),""))</f>
        <v/>
      </c>
      <c r="F385" s="24"/>
      <c r="G385" s="25" t="str">
        <f>IF($D385="","",IFERROR(VLOOKUP($D385,'SAMA Consumables Tracker'!$A:$D,4,FALSE()),""))</f>
        <v/>
      </c>
      <c r="H385" s="22"/>
    </row>
    <row r="386" spans="1:8">
      <c r="A386" s="21"/>
      <c r="B386" s="22"/>
      <c r="C386" s="22"/>
      <c r="D386" s="22"/>
      <c r="E386" s="23" t="str">
        <f>IF($D386="","",IFERROR(VLOOKUP($D386,'SAMA Consumables Tracker'!$A:$H,8,FALSE()),""))</f>
        <v/>
      </c>
      <c r="F386" s="24"/>
      <c r="G386" s="25" t="str">
        <f>IF($D386="","",IFERROR(VLOOKUP($D386,'SAMA Consumables Tracker'!$A:$D,4,FALSE()),""))</f>
        <v/>
      </c>
      <c r="H386" s="22"/>
    </row>
    <row r="387" spans="1:8">
      <c r="A387" s="21"/>
      <c r="B387" s="22"/>
      <c r="C387" s="22"/>
      <c r="D387" s="22"/>
      <c r="E387" s="23" t="str">
        <f>IF($D387="","",IFERROR(VLOOKUP($D387,'SAMA Consumables Tracker'!$A:$H,8,FALSE()),""))</f>
        <v/>
      </c>
      <c r="F387" s="24"/>
      <c r="G387" s="25" t="str">
        <f>IF($D387="","",IFERROR(VLOOKUP($D387,'SAMA Consumables Tracker'!$A:$D,4,FALSE()),""))</f>
        <v/>
      </c>
      <c r="H387" s="22"/>
    </row>
    <row r="388" spans="1:8">
      <c r="A388" s="21"/>
      <c r="B388" s="22"/>
      <c r="C388" s="22"/>
      <c r="D388" s="22"/>
      <c r="E388" s="23" t="str">
        <f>IF($D388="","",IFERROR(VLOOKUP($D388,'SAMA Consumables Tracker'!$A:$H,8,FALSE()),""))</f>
        <v/>
      </c>
      <c r="F388" s="24"/>
      <c r="G388" s="25" t="str">
        <f>IF($D388="","",IFERROR(VLOOKUP($D388,'SAMA Consumables Tracker'!$A:$D,4,FALSE()),""))</f>
        <v/>
      </c>
      <c r="H388" s="22"/>
    </row>
    <row r="389" spans="1:8">
      <c r="A389" s="21"/>
      <c r="B389" s="22"/>
      <c r="C389" s="22"/>
      <c r="D389" s="22"/>
      <c r="E389" s="23" t="str">
        <f>IF($D389="","",IFERROR(VLOOKUP($D389,'SAMA Consumables Tracker'!$A:$H,8,FALSE()),""))</f>
        <v/>
      </c>
      <c r="F389" s="24"/>
      <c r="G389" s="25" t="str">
        <f>IF($D389="","",IFERROR(VLOOKUP($D389,'SAMA Consumables Tracker'!$A:$D,4,FALSE()),""))</f>
        <v/>
      </c>
      <c r="H389" s="22"/>
    </row>
    <row r="390" spans="1:8">
      <c r="A390" s="21"/>
      <c r="B390" s="22"/>
      <c r="C390" s="22"/>
      <c r="D390" s="22"/>
      <c r="E390" s="23" t="str">
        <f>IF($D390="","",IFERROR(VLOOKUP($D390,'SAMA Consumables Tracker'!$A:$H,8,FALSE()),""))</f>
        <v/>
      </c>
      <c r="F390" s="24"/>
      <c r="G390" s="25" t="str">
        <f>IF($D390="","",IFERROR(VLOOKUP($D390,'SAMA Consumables Tracker'!$A:$D,4,FALSE()),""))</f>
        <v/>
      </c>
      <c r="H390" s="22"/>
    </row>
    <row r="391" spans="1:8">
      <c r="A391" s="21"/>
      <c r="B391" s="22"/>
      <c r="C391" s="22"/>
      <c r="D391" s="22"/>
      <c r="E391" s="23" t="str">
        <f>IF($D391="","",IFERROR(VLOOKUP($D391,'SAMA Consumables Tracker'!$A:$H,8,FALSE()),""))</f>
        <v/>
      </c>
      <c r="F391" s="24"/>
      <c r="G391" s="25" t="str">
        <f>IF($D391="","",IFERROR(VLOOKUP($D391,'SAMA Consumables Tracker'!$A:$D,4,FALSE()),""))</f>
        <v/>
      </c>
      <c r="H391" s="22"/>
    </row>
    <row r="392" spans="1:8">
      <c r="A392" s="21"/>
      <c r="B392" s="22"/>
      <c r="C392" s="22"/>
      <c r="D392" s="22"/>
      <c r="E392" s="23" t="str">
        <f>IF($D392="","",IFERROR(VLOOKUP($D392,'SAMA Consumables Tracker'!$A:$H,8,FALSE()),""))</f>
        <v/>
      </c>
      <c r="F392" s="24"/>
      <c r="G392" s="25" t="str">
        <f>IF($D392="","",IFERROR(VLOOKUP($D392,'SAMA Consumables Tracker'!$A:$D,4,FALSE()),""))</f>
        <v/>
      </c>
      <c r="H392" s="22"/>
    </row>
    <row r="393" spans="1:8">
      <c r="A393" s="21"/>
      <c r="B393" s="22"/>
      <c r="C393" s="22"/>
      <c r="D393" s="22"/>
      <c r="E393" s="23" t="str">
        <f>IF($D393="","",IFERROR(VLOOKUP($D393,'SAMA Consumables Tracker'!$A:$H,8,FALSE()),""))</f>
        <v/>
      </c>
      <c r="F393" s="24"/>
      <c r="G393" s="25" t="str">
        <f>IF($D393="","",IFERROR(VLOOKUP($D393,'SAMA Consumables Tracker'!$A:$D,4,FALSE()),""))</f>
        <v/>
      </c>
      <c r="H393" s="22"/>
    </row>
    <row r="394" spans="1:8">
      <c r="A394" s="21"/>
      <c r="B394" s="22"/>
      <c r="C394" s="22"/>
      <c r="D394" s="22"/>
      <c r="E394" s="23" t="str">
        <f>IF($D394="","",IFERROR(VLOOKUP($D394,'SAMA Consumables Tracker'!$A:$H,8,FALSE()),""))</f>
        <v/>
      </c>
      <c r="F394" s="24"/>
      <c r="G394" s="25" t="str">
        <f>IF($D394="","",IFERROR(VLOOKUP($D394,'SAMA Consumables Tracker'!$A:$D,4,FALSE()),""))</f>
        <v/>
      </c>
      <c r="H394" s="22"/>
    </row>
    <row r="395" spans="1:8">
      <c r="A395" s="21"/>
      <c r="B395" s="22"/>
      <c r="C395" s="22"/>
      <c r="D395" s="22"/>
      <c r="E395" s="23" t="str">
        <f>IF($D395="","",IFERROR(VLOOKUP($D395,'SAMA Consumables Tracker'!$A:$H,8,FALSE()),""))</f>
        <v/>
      </c>
      <c r="F395" s="24"/>
      <c r="G395" s="25" t="str">
        <f>IF($D395="","",IFERROR(VLOOKUP($D395,'SAMA Consumables Tracker'!$A:$D,4,FALSE()),""))</f>
        <v/>
      </c>
      <c r="H395" s="22"/>
    </row>
    <row r="396" spans="1:8">
      <c r="A396" s="21"/>
      <c r="B396" s="22"/>
      <c r="C396" s="22"/>
      <c r="D396" s="22"/>
      <c r="E396" s="23" t="str">
        <f>IF($D396="","",IFERROR(VLOOKUP($D396,'SAMA Consumables Tracker'!$A:$H,8,FALSE()),""))</f>
        <v/>
      </c>
      <c r="F396" s="24"/>
      <c r="G396" s="25" t="str">
        <f>IF($D396="","",IFERROR(VLOOKUP($D396,'SAMA Consumables Tracker'!$A:$D,4,FALSE()),""))</f>
        <v/>
      </c>
      <c r="H396" s="22"/>
    </row>
    <row r="397" spans="1:8">
      <c r="A397" s="21"/>
      <c r="B397" s="22"/>
      <c r="C397" s="22"/>
      <c r="D397" s="22"/>
      <c r="E397" s="23" t="str">
        <f>IF($D397="","",IFERROR(VLOOKUP($D397,'SAMA Consumables Tracker'!$A:$H,8,FALSE()),""))</f>
        <v/>
      </c>
      <c r="F397" s="24"/>
      <c r="G397" s="25" t="str">
        <f>IF($D397="","",IFERROR(VLOOKUP($D397,'SAMA Consumables Tracker'!$A:$D,4,FALSE()),""))</f>
        <v/>
      </c>
      <c r="H397" s="22"/>
    </row>
    <row r="398" spans="1:8">
      <c r="A398" s="21"/>
      <c r="B398" s="22"/>
      <c r="C398" s="22"/>
      <c r="D398" s="22"/>
      <c r="E398" s="23" t="str">
        <f>IF($D398="","",IFERROR(VLOOKUP($D398,'SAMA Consumables Tracker'!$A:$H,8,FALSE()),""))</f>
        <v/>
      </c>
      <c r="F398" s="24"/>
      <c r="G398" s="25" t="str">
        <f>IF($D398="","",IFERROR(VLOOKUP($D398,'SAMA Consumables Tracker'!$A:$D,4,FALSE()),""))</f>
        <v/>
      </c>
      <c r="H398" s="22"/>
    </row>
    <row r="399" spans="1:8">
      <c r="A399" s="21"/>
      <c r="B399" s="22"/>
      <c r="C399" s="22"/>
      <c r="D399" s="22"/>
      <c r="E399" s="23" t="str">
        <f>IF($D399="","",IFERROR(VLOOKUP($D399,'SAMA Consumables Tracker'!$A:$H,8,FALSE()),""))</f>
        <v/>
      </c>
      <c r="F399" s="24"/>
      <c r="G399" s="25" t="str">
        <f>IF($D399="","",IFERROR(VLOOKUP($D399,'SAMA Consumables Tracker'!$A:$D,4,FALSE()),""))</f>
        <v/>
      </c>
      <c r="H399" s="22"/>
    </row>
    <row r="400" spans="1:8">
      <c r="A400" s="21"/>
      <c r="B400" s="22"/>
      <c r="C400" s="22"/>
      <c r="D400" s="22"/>
      <c r="E400" s="23" t="str">
        <f>IF($D400="","",IFERROR(VLOOKUP($D400,'SAMA Consumables Tracker'!$A:$H,8,FALSE()),""))</f>
        <v/>
      </c>
      <c r="F400" s="24"/>
      <c r="G400" s="25" t="str">
        <f>IF($D400="","",IFERROR(VLOOKUP($D400,'SAMA Consumables Tracker'!$A:$D,4,FALSE()),""))</f>
        <v/>
      </c>
      <c r="H400" s="22"/>
    </row>
    <row r="401" spans="1:8">
      <c r="A401" s="21"/>
      <c r="B401" s="22"/>
      <c r="C401" s="22"/>
      <c r="D401" s="22"/>
      <c r="E401" s="23" t="str">
        <f>IF($D401="","",IFERROR(VLOOKUP($D401,'SAMA Consumables Tracker'!$A:$H,8,FALSE()),""))</f>
        <v/>
      </c>
      <c r="F401" s="24"/>
      <c r="G401" s="25" t="str">
        <f>IF($D401="","",IFERROR(VLOOKUP($D401,'SAMA Consumables Tracker'!$A:$D,4,FALSE()),""))</f>
        <v/>
      </c>
      <c r="H401" s="22"/>
    </row>
    <row r="402" spans="1:8">
      <c r="A402" s="21"/>
      <c r="B402" s="22"/>
      <c r="C402" s="22"/>
      <c r="D402" s="22"/>
      <c r="E402" s="23" t="str">
        <f>IF($D402="","",IFERROR(VLOOKUP($D402,'SAMA Consumables Tracker'!$A:$H,8,FALSE()),""))</f>
        <v/>
      </c>
      <c r="F402" s="24"/>
      <c r="G402" s="25" t="str">
        <f>IF($D402="","",IFERROR(VLOOKUP($D402,'SAMA Consumables Tracker'!$A:$D,4,FALSE()),""))</f>
        <v/>
      </c>
      <c r="H402" s="22"/>
    </row>
    <row r="403" spans="1:8">
      <c r="A403" s="21"/>
      <c r="B403" s="22"/>
      <c r="C403" s="22"/>
      <c r="D403" s="22"/>
      <c r="E403" s="23" t="str">
        <f>IF($D403="","",IFERROR(VLOOKUP($D403,'SAMA Consumables Tracker'!$A:$H,8,FALSE()),""))</f>
        <v/>
      </c>
      <c r="F403" s="24"/>
      <c r="G403" s="25" t="str">
        <f>IF($D403="","",IFERROR(VLOOKUP($D403,'SAMA Consumables Tracker'!$A:$D,4,FALSE()),""))</f>
        <v/>
      </c>
      <c r="H403" s="22"/>
    </row>
    <row r="404" spans="1:8">
      <c r="A404" s="21"/>
      <c r="B404" s="22"/>
      <c r="C404" s="22"/>
      <c r="D404" s="22"/>
      <c r="E404" s="23" t="str">
        <f>IF($D404="","",IFERROR(VLOOKUP($D404,'SAMA Consumables Tracker'!$A:$H,8,FALSE()),""))</f>
        <v/>
      </c>
      <c r="F404" s="24"/>
      <c r="G404" s="25" t="str">
        <f>IF($D404="","",IFERROR(VLOOKUP($D404,'SAMA Consumables Tracker'!$A:$D,4,FALSE()),""))</f>
        <v/>
      </c>
      <c r="H404" s="22"/>
    </row>
    <row r="405" spans="1:8">
      <c r="A405" s="21"/>
      <c r="B405" s="22"/>
      <c r="C405" s="22"/>
      <c r="D405" s="22"/>
      <c r="E405" s="23" t="str">
        <f>IF($D405="","",IFERROR(VLOOKUP($D405,'SAMA Consumables Tracker'!$A:$H,8,FALSE()),""))</f>
        <v/>
      </c>
      <c r="F405" s="24"/>
      <c r="G405" s="25" t="str">
        <f>IF($D405="","",IFERROR(VLOOKUP($D405,'SAMA Consumables Tracker'!$A:$D,4,FALSE()),""))</f>
        <v/>
      </c>
      <c r="H405" s="22"/>
    </row>
    <row r="406" spans="1:8">
      <c r="A406" s="21"/>
      <c r="B406" s="22"/>
      <c r="C406" s="22"/>
      <c r="D406" s="22"/>
      <c r="E406" s="23" t="str">
        <f>IF($D406="","",IFERROR(VLOOKUP($D406,'SAMA Consumables Tracker'!$A:$H,8,FALSE()),""))</f>
        <v/>
      </c>
      <c r="F406" s="24"/>
      <c r="G406" s="25" t="str">
        <f>IF($D406="","",IFERROR(VLOOKUP($D406,'SAMA Consumables Tracker'!$A:$D,4,FALSE()),""))</f>
        <v/>
      </c>
      <c r="H406" s="22"/>
    </row>
    <row r="407" spans="1:8">
      <c r="A407" s="21"/>
      <c r="B407" s="22"/>
      <c r="C407" s="22"/>
      <c r="D407" s="22"/>
      <c r="E407" s="23" t="str">
        <f>IF($D407="","",IFERROR(VLOOKUP($D407,'SAMA Consumables Tracker'!$A:$H,8,FALSE()),""))</f>
        <v/>
      </c>
      <c r="F407" s="24"/>
      <c r="G407" s="25" t="str">
        <f>IF($D407="","",IFERROR(VLOOKUP($D407,'SAMA Consumables Tracker'!$A:$D,4,FALSE()),""))</f>
        <v/>
      </c>
      <c r="H407" s="22"/>
    </row>
    <row r="408" spans="1:8">
      <c r="A408" s="21"/>
      <c r="B408" s="22"/>
      <c r="C408" s="22"/>
      <c r="D408" s="22"/>
      <c r="E408" s="23" t="str">
        <f>IF($D408="","",IFERROR(VLOOKUP($D408,'SAMA Consumables Tracker'!$A:$H,8,FALSE()),""))</f>
        <v/>
      </c>
      <c r="F408" s="24"/>
      <c r="G408" s="25" t="str">
        <f>IF($D408="","",IFERROR(VLOOKUP($D408,'SAMA Consumables Tracker'!$A:$D,4,FALSE()),""))</f>
        <v/>
      </c>
      <c r="H408" s="22"/>
    </row>
    <row r="409" spans="1:8">
      <c r="A409" s="21"/>
      <c r="B409" s="22"/>
      <c r="C409" s="22"/>
      <c r="D409" s="22"/>
      <c r="E409" s="23" t="str">
        <f>IF($D409="","",IFERROR(VLOOKUP($D409,'SAMA Consumables Tracker'!$A:$H,8,FALSE()),""))</f>
        <v/>
      </c>
      <c r="F409" s="24"/>
      <c r="G409" s="25" t="str">
        <f>IF($D409="","",IFERROR(VLOOKUP($D409,'SAMA Consumables Tracker'!$A:$D,4,FALSE()),""))</f>
        <v/>
      </c>
      <c r="H409" s="22"/>
    </row>
    <row r="410" spans="1:8">
      <c r="A410" s="21"/>
      <c r="B410" s="22"/>
      <c r="C410" s="22"/>
      <c r="D410" s="22"/>
      <c r="E410" s="23" t="str">
        <f>IF($D410="","",IFERROR(VLOOKUP($D410,'SAMA Consumables Tracker'!$A:$H,8,FALSE()),""))</f>
        <v/>
      </c>
      <c r="F410" s="24"/>
      <c r="G410" s="25" t="str">
        <f>IF($D410="","",IFERROR(VLOOKUP($D410,'SAMA Consumables Tracker'!$A:$D,4,FALSE()),""))</f>
        <v/>
      </c>
      <c r="H410" s="22"/>
    </row>
    <row r="411" spans="1:8">
      <c r="A411" s="21"/>
      <c r="B411" s="22"/>
      <c r="C411" s="22"/>
      <c r="D411" s="22"/>
      <c r="E411" s="23" t="str">
        <f>IF($D411="","",IFERROR(VLOOKUP($D411,'SAMA Consumables Tracker'!$A:$H,8,FALSE()),""))</f>
        <v/>
      </c>
      <c r="F411" s="24"/>
      <c r="G411" s="25" t="str">
        <f>IF($D411="","",IFERROR(VLOOKUP($D411,'SAMA Consumables Tracker'!$A:$D,4,FALSE()),""))</f>
        <v/>
      </c>
      <c r="H411" s="22"/>
    </row>
    <row r="412" spans="1:8">
      <c r="A412" s="21"/>
      <c r="B412" s="22"/>
      <c r="C412" s="22"/>
      <c r="D412" s="22"/>
      <c r="E412" s="23" t="str">
        <f>IF($D412="","",IFERROR(VLOOKUP($D412,'SAMA Consumables Tracker'!$A:$H,8,FALSE()),""))</f>
        <v/>
      </c>
      <c r="F412" s="24"/>
      <c r="G412" s="25" t="str">
        <f>IF($D412="","",IFERROR(VLOOKUP($D412,'SAMA Consumables Tracker'!$A:$D,4,FALSE()),""))</f>
        <v/>
      </c>
      <c r="H412" s="22"/>
    </row>
    <row r="413" spans="1:8">
      <c r="A413" s="21"/>
      <c r="B413" s="22"/>
      <c r="C413" s="22"/>
      <c r="D413" s="22"/>
      <c r="E413" s="23" t="str">
        <f>IF($D413="","",IFERROR(VLOOKUP($D413,'SAMA Consumables Tracker'!$A:$H,8,FALSE()),""))</f>
        <v/>
      </c>
      <c r="F413" s="24"/>
      <c r="G413" s="25" t="str">
        <f>IF($D413="","",IFERROR(VLOOKUP($D413,'SAMA Consumables Tracker'!$A:$D,4,FALSE()),""))</f>
        <v/>
      </c>
      <c r="H413" s="22"/>
    </row>
    <row r="414" spans="1:8">
      <c r="A414" s="21"/>
      <c r="B414" s="22"/>
      <c r="C414" s="22"/>
      <c r="D414" s="22"/>
      <c r="E414" s="23" t="str">
        <f>IF($D414="","",IFERROR(VLOOKUP($D414,'SAMA Consumables Tracker'!$A:$H,8,FALSE()),""))</f>
        <v/>
      </c>
      <c r="F414" s="24"/>
      <c r="G414" s="25" t="str">
        <f>IF($D414="","",IFERROR(VLOOKUP($D414,'SAMA Consumables Tracker'!$A:$D,4,FALSE()),""))</f>
        <v/>
      </c>
      <c r="H414" s="22"/>
    </row>
    <row r="415" spans="1:8">
      <c r="A415" s="21"/>
      <c r="B415" s="22"/>
      <c r="C415" s="22"/>
      <c r="D415" s="22"/>
      <c r="E415" s="23" t="str">
        <f>IF($D415="","",IFERROR(VLOOKUP($D415,'SAMA Consumables Tracker'!$A:$H,8,FALSE()),""))</f>
        <v/>
      </c>
      <c r="F415" s="24"/>
      <c r="G415" s="25" t="str">
        <f>IF($D415="","",IFERROR(VLOOKUP($D415,'SAMA Consumables Tracker'!$A:$D,4,FALSE()),""))</f>
        <v/>
      </c>
      <c r="H415" s="22"/>
    </row>
    <row r="416" spans="1:8">
      <c r="A416" s="21"/>
      <c r="B416" s="22"/>
      <c r="C416" s="22"/>
      <c r="D416" s="22"/>
      <c r="E416" s="23" t="str">
        <f>IF($D416="","",IFERROR(VLOOKUP($D416,'SAMA Consumables Tracker'!$A:$H,8,FALSE()),""))</f>
        <v/>
      </c>
      <c r="F416" s="24"/>
      <c r="G416" s="25" t="str">
        <f>IF($D416="","",IFERROR(VLOOKUP($D416,'SAMA Consumables Tracker'!$A:$D,4,FALSE()),""))</f>
        <v/>
      </c>
      <c r="H416" s="22"/>
    </row>
    <row r="417" spans="1:8">
      <c r="A417" s="21"/>
      <c r="B417" s="22"/>
      <c r="C417" s="22"/>
      <c r="D417" s="22"/>
      <c r="E417" s="23" t="str">
        <f>IF($D417="","",IFERROR(VLOOKUP($D417,'SAMA Consumables Tracker'!$A:$H,8,FALSE()),""))</f>
        <v/>
      </c>
      <c r="F417" s="24"/>
      <c r="G417" s="25" t="str">
        <f>IF($D417="","",IFERROR(VLOOKUP($D417,'SAMA Consumables Tracker'!$A:$D,4,FALSE()),""))</f>
        <v/>
      </c>
      <c r="H417" s="22"/>
    </row>
    <row r="418" spans="1:8">
      <c r="A418" s="21"/>
      <c r="B418" s="22"/>
      <c r="C418" s="22"/>
      <c r="D418" s="22"/>
      <c r="E418" s="23" t="str">
        <f>IF($D418="","",IFERROR(VLOOKUP($D418,'SAMA Consumables Tracker'!$A:$H,8,FALSE()),""))</f>
        <v/>
      </c>
      <c r="F418" s="24"/>
      <c r="G418" s="25" t="str">
        <f>IF($D418="","",IFERROR(VLOOKUP($D418,'SAMA Consumables Tracker'!$A:$D,4,FALSE()),""))</f>
        <v/>
      </c>
      <c r="H418" s="22"/>
    </row>
    <row r="419" spans="1:8">
      <c r="A419" s="21"/>
      <c r="B419" s="22"/>
      <c r="C419" s="22"/>
      <c r="D419" s="22"/>
      <c r="E419" s="23" t="str">
        <f>IF($D419="","",IFERROR(VLOOKUP($D419,'SAMA Consumables Tracker'!$A:$H,8,FALSE()),""))</f>
        <v/>
      </c>
      <c r="F419" s="24"/>
      <c r="G419" s="25" t="str">
        <f>IF($D419="","",IFERROR(VLOOKUP($D419,'SAMA Consumables Tracker'!$A:$D,4,FALSE()),""))</f>
        <v/>
      </c>
      <c r="H419" s="22"/>
    </row>
    <row r="420" spans="1:8">
      <c r="A420" s="21"/>
      <c r="B420" s="22"/>
      <c r="C420" s="22"/>
      <c r="D420" s="22"/>
      <c r="E420" s="23" t="str">
        <f>IF($D420="","",IFERROR(VLOOKUP($D420,'SAMA Consumables Tracker'!$A:$H,8,FALSE()),""))</f>
        <v/>
      </c>
      <c r="F420" s="24"/>
      <c r="G420" s="25" t="str">
        <f>IF($D420="","",IFERROR(VLOOKUP($D420,'SAMA Consumables Tracker'!$A:$D,4,FALSE()),""))</f>
        <v/>
      </c>
      <c r="H420" s="22"/>
    </row>
    <row r="421" spans="1:8">
      <c r="A421" s="21"/>
      <c r="B421" s="22"/>
      <c r="C421" s="22"/>
      <c r="D421" s="22"/>
      <c r="E421" s="23" t="str">
        <f>IF($D421="","",IFERROR(VLOOKUP($D421,'SAMA Consumables Tracker'!$A:$H,8,FALSE()),""))</f>
        <v/>
      </c>
      <c r="F421" s="24"/>
      <c r="G421" s="25" t="str">
        <f>IF($D421="","",IFERROR(VLOOKUP($D421,'SAMA Consumables Tracker'!$A:$D,4,FALSE()),""))</f>
        <v/>
      </c>
      <c r="H421" s="22"/>
    </row>
    <row r="422" spans="1:8">
      <c r="A422" s="21"/>
      <c r="B422" s="22"/>
      <c r="C422" s="22"/>
      <c r="D422" s="22"/>
      <c r="E422" s="23" t="str">
        <f>IF($D422="","",IFERROR(VLOOKUP($D422,'SAMA Consumables Tracker'!$A:$H,8,FALSE()),""))</f>
        <v/>
      </c>
      <c r="F422" s="24"/>
      <c r="G422" s="25" t="str">
        <f>IF($D422="","",IFERROR(VLOOKUP($D422,'SAMA Consumables Tracker'!$A:$D,4,FALSE()),""))</f>
        <v/>
      </c>
      <c r="H422" s="22"/>
    </row>
    <row r="423" spans="1:8">
      <c r="A423" s="21"/>
      <c r="B423" s="22"/>
      <c r="C423" s="22"/>
      <c r="D423" s="22"/>
      <c r="E423" s="23" t="str">
        <f>IF($D423="","",IFERROR(VLOOKUP($D423,'SAMA Consumables Tracker'!$A:$H,8,FALSE()),""))</f>
        <v/>
      </c>
      <c r="F423" s="24"/>
      <c r="G423" s="25" t="str">
        <f>IF($D423="","",IFERROR(VLOOKUP($D423,'SAMA Consumables Tracker'!$A:$D,4,FALSE()),""))</f>
        <v/>
      </c>
      <c r="H423" s="22"/>
    </row>
    <row r="424" spans="1:8">
      <c r="A424" s="21"/>
      <c r="B424" s="22"/>
      <c r="C424" s="22"/>
      <c r="D424" s="22"/>
      <c r="E424" s="23" t="str">
        <f>IF($D424="","",IFERROR(VLOOKUP($D424,'SAMA Consumables Tracker'!$A:$H,8,FALSE()),""))</f>
        <v/>
      </c>
      <c r="F424" s="24"/>
      <c r="G424" s="25" t="str">
        <f>IF($D424="","",IFERROR(VLOOKUP($D424,'SAMA Consumables Tracker'!$A:$D,4,FALSE()),""))</f>
        <v/>
      </c>
      <c r="H424" s="22"/>
    </row>
    <row r="425" spans="1:8">
      <c r="A425" s="21"/>
      <c r="B425" s="22"/>
      <c r="C425" s="22"/>
      <c r="D425" s="22"/>
      <c r="E425" s="23" t="str">
        <f>IF($D425="","",IFERROR(VLOOKUP($D425,'SAMA Consumables Tracker'!$A:$H,8,FALSE()),""))</f>
        <v/>
      </c>
      <c r="F425" s="24"/>
      <c r="G425" s="25" t="str">
        <f>IF($D425="","",IFERROR(VLOOKUP($D425,'SAMA Consumables Tracker'!$A:$D,4,FALSE()),""))</f>
        <v/>
      </c>
      <c r="H425" s="22"/>
    </row>
    <row r="426" spans="1:8">
      <c r="A426" s="21"/>
      <c r="B426" s="22"/>
      <c r="C426" s="22"/>
      <c r="D426" s="22"/>
      <c r="E426" s="23" t="str">
        <f>IF($D426="","",IFERROR(VLOOKUP($D426,'SAMA Consumables Tracker'!$A:$H,8,FALSE()),""))</f>
        <v/>
      </c>
      <c r="F426" s="24"/>
      <c r="G426" s="25" t="str">
        <f>IF($D426="","",IFERROR(VLOOKUP($D426,'SAMA Consumables Tracker'!$A:$D,4,FALSE()),""))</f>
        <v/>
      </c>
      <c r="H426" s="22"/>
    </row>
    <row r="427" spans="1:8">
      <c r="A427" s="21"/>
      <c r="B427" s="22"/>
      <c r="C427" s="22"/>
      <c r="D427" s="22"/>
      <c r="E427" s="23" t="str">
        <f>IF($D427="","",IFERROR(VLOOKUP($D427,'SAMA Consumables Tracker'!$A:$H,8,FALSE()),""))</f>
        <v/>
      </c>
      <c r="F427" s="24"/>
      <c r="G427" s="25" t="str">
        <f>IF($D427="","",IFERROR(VLOOKUP($D427,'SAMA Consumables Tracker'!$A:$D,4,FALSE()),""))</f>
        <v/>
      </c>
      <c r="H427" s="22"/>
    </row>
    <row r="428" spans="1:8">
      <c r="A428" s="21"/>
      <c r="B428" s="22"/>
      <c r="C428" s="22"/>
      <c r="D428" s="22"/>
      <c r="E428" s="23" t="str">
        <f>IF($D428="","",IFERROR(VLOOKUP($D428,'SAMA Consumables Tracker'!$A:$H,8,FALSE()),""))</f>
        <v/>
      </c>
      <c r="F428" s="24"/>
      <c r="G428" s="25" t="str">
        <f>IF($D428="","",IFERROR(VLOOKUP($D428,'SAMA Consumables Tracker'!$A:$D,4,FALSE()),""))</f>
        <v/>
      </c>
      <c r="H428" s="22"/>
    </row>
    <row r="429" spans="1:8">
      <c r="A429" s="21"/>
      <c r="B429" s="22"/>
      <c r="C429" s="22"/>
      <c r="D429" s="22"/>
      <c r="E429" s="23" t="str">
        <f>IF($D429="","",IFERROR(VLOOKUP($D429,'SAMA Consumables Tracker'!$A:$H,8,FALSE()),""))</f>
        <v/>
      </c>
      <c r="F429" s="24"/>
      <c r="G429" s="25" t="str">
        <f>IF($D429="","",IFERROR(VLOOKUP($D429,'SAMA Consumables Tracker'!$A:$D,4,FALSE()),""))</f>
        <v/>
      </c>
      <c r="H429" s="22"/>
    </row>
    <row r="430" spans="1:8">
      <c r="A430" s="21"/>
      <c r="B430" s="22"/>
      <c r="C430" s="22"/>
      <c r="D430" s="22"/>
      <c r="E430" s="23" t="str">
        <f>IF($D430="","",IFERROR(VLOOKUP($D430,'SAMA Consumables Tracker'!$A:$H,8,FALSE()),""))</f>
        <v/>
      </c>
      <c r="F430" s="24"/>
      <c r="G430" s="25" t="str">
        <f>IF($D430="","",IFERROR(VLOOKUP($D430,'SAMA Consumables Tracker'!$A:$D,4,FALSE()),""))</f>
        <v/>
      </c>
      <c r="H430" s="22"/>
    </row>
    <row r="431" spans="1:8">
      <c r="A431" s="21"/>
      <c r="B431" s="22"/>
      <c r="C431" s="22"/>
      <c r="D431" s="22"/>
      <c r="E431" s="23" t="str">
        <f>IF($D431="","",IFERROR(VLOOKUP($D431,'SAMA Consumables Tracker'!$A:$H,8,FALSE()),""))</f>
        <v/>
      </c>
      <c r="F431" s="24"/>
      <c r="G431" s="25" t="str">
        <f>IF($D431="","",IFERROR(VLOOKUP($D431,'SAMA Consumables Tracker'!$A:$D,4,FALSE()),""))</f>
        <v/>
      </c>
      <c r="H431" s="22"/>
    </row>
    <row r="432" spans="1:8">
      <c r="A432" s="21"/>
      <c r="B432" s="22"/>
      <c r="C432" s="22"/>
      <c r="D432" s="22"/>
      <c r="E432" s="23" t="str">
        <f>IF($D432="","",IFERROR(VLOOKUP($D432,'SAMA Consumables Tracker'!$A:$H,8,FALSE()),""))</f>
        <v/>
      </c>
      <c r="F432" s="24"/>
      <c r="G432" s="25" t="str">
        <f>IF($D432="","",IFERROR(VLOOKUP($D432,'SAMA Consumables Tracker'!$A:$D,4,FALSE()),""))</f>
        <v/>
      </c>
      <c r="H432" s="22"/>
    </row>
    <row r="433" spans="1:8">
      <c r="A433" s="21"/>
      <c r="B433" s="22"/>
      <c r="C433" s="22"/>
      <c r="D433" s="22"/>
      <c r="E433" s="23" t="str">
        <f>IF($D433="","",IFERROR(VLOOKUP($D433,'SAMA Consumables Tracker'!$A:$H,8,FALSE()),""))</f>
        <v/>
      </c>
      <c r="F433" s="24"/>
      <c r="G433" s="25" t="str">
        <f>IF($D433="","",IFERROR(VLOOKUP($D433,'SAMA Consumables Tracker'!$A:$D,4,FALSE()),""))</f>
        <v/>
      </c>
      <c r="H433" s="22"/>
    </row>
    <row r="434" spans="1:8">
      <c r="A434" s="21"/>
      <c r="B434" s="22"/>
      <c r="C434" s="22"/>
      <c r="D434" s="22"/>
      <c r="E434" s="23" t="str">
        <f>IF($D434="","",IFERROR(VLOOKUP($D434,'SAMA Consumables Tracker'!$A:$H,8,FALSE()),""))</f>
        <v/>
      </c>
      <c r="F434" s="24"/>
      <c r="G434" s="25" t="str">
        <f>IF($D434="","",IFERROR(VLOOKUP($D434,'SAMA Consumables Tracker'!$A:$D,4,FALSE()),""))</f>
        <v/>
      </c>
      <c r="H434" s="22"/>
    </row>
    <row r="435" spans="1:8">
      <c r="A435" s="21"/>
      <c r="B435" s="22"/>
      <c r="C435" s="22"/>
      <c r="D435" s="22"/>
      <c r="E435" s="23" t="str">
        <f>IF($D435="","",IFERROR(VLOOKUP($D435,'SAMA Consumables Tracker'!$A:$H,8,FALSE()),""))</f>
        <v/>
      </c>
      <c r="F435" s="24"/>
      <c r="G435" s="25" t="str">
        <f>IF($D435="","",IFERROR(VLOOKUP($D435,'SAMA Consumables Tracker'!$A:$D,4,FALSE()),""))</f>
        <v/>
      </c>
      <c r="H435" s="22"/>
    </row>
    <row r="436" spans="1:8">
      <c r="A436" s="21"/>
      <c r="B436" s="22"/>
      <c r="C436" s="22"/>
      <c r="D436" s="22"/>
      <c r="E436" s="23" t="str">
        <f>IF($D436="","",IFERROR(VLOOKUP($D436,'SAMA Consumables Tracker'!$A:$H,8,FALSE()),""))</f>
        <v/>
      </c>
      <c r="F436" s="24"/>
      <c r="G436" s="25" t="str">
        <f>IF($D436="","",IFERROR(VLOOKUP($D436,'SAMA Consumables Tracker'!$A:$D,4,FALSE()),""))</f>
        <v/>
      </c>
      <c r="H436" s="22"/>
    </row>
    <row r="437" spans="1:8">
      <c r="A437" s="21"/>
      <c r="B437" s="22"/>
      <c r="C437" s="22"/>
      <c r="D437" s="22"/>
      <c r="E437" s="23" t="str">
        <f>IF($D437="","",IFERROR(VLOOKUP($D437,'SAMA Consumables Tracker'!$A:$H,8,FALSE()),""))</f>
        <v/>
      </c>
      <c r="F437" s="24"/>
      <c r="G437" s="25" t="str">
        <f>IF($D437="","",IFERROR(VLOOKUP($D437,'SAMA Consumables Tracker'!$A:$D,4,FALSE()),""))</f>
        <v/>
      </c>
      <c r="H437" s="22"/>
    </row>
    <row r="438" spans="1:8">
      <c r="A438" s="21"/>
      <c r="B438" s="22"/>
      <c r="C438" s="22"/>
      <c r="D438" s="22"/>
      <c r="E438" s="23" t="str">
        <f>IF($D438="","",IFERROR(VLOOKUP($D438,'SAMA Consumables Tracker'!$A:$H,8,FALSE()),""))</f>
        <v/>
      </c>
      <c r="F438" s="24"/>
      <c r="G438" s="25" t="str">
        <f>IF($D438="","",IFERROR(VLOOKUP($D438,'SAMA Consumables Tracker'!$A:$D,4,FALSE()),""))</f>
        <v/>
      </c>
      <c r="H438" s="22"/>
    </row>
    <row r="439" spans="1:8">
      <c r="A439" s="21"/>
      <c r="B439" s="22"/>
      <c r="C439" s="22"/>
      <c r="D439" s="22"/>
      <c r="E439" s="23" t="str">
        <f>IF($D439="","",IFERROR(VLOOKUP($D439,'SAMA Consumables Tracker'!$A:$H,8,FALSE()),""))</f>
        <v/>
      </c>
      <c r="F439" s="24"/>
      <c r="G439" s="25" t="str">
        <f>IF($D439="","",IFERROR(VLOOKUP($D439,'SAMA Consumables Tracker'!$A:$D,4,FALSE()),""))</f>
        <v/>
      </c>
      <c r="H439" s="22"/>
    </row>
    <row r="440" spans="1:8">
      <c r="A440" s="21"/>
      <c r="B440" s="22"/>
      <c r="C440" s="22"/>
      <c r="D440" s="22"/>
      <c r="E440" s="23" t="str">
        <f>IF($D440="","",IFERROR(VLOOKUP($D440,'SAMA Consumables Tracker'!$A:$H,8,FALSE()),""))</f>
        <v/>
      </c>
      <c r="F440" s="24"/>
      <c r="G440" s="25" t="str">
        <f>IF($D440="","",IFERROR(VLOOKUP($D440,'SAMA Consumables Tracker'!$A:$D,4,FALSE()),""))</f>
        <v/>
      </c>
      <c r="H440" s="22"/>
    </row>
    <row r="441" spans="1:8">
      <c r="A441" s="21"/>
      <c r="B441" s="22"/>
      <c r="C441" s="22"/>
      <c r="D441" s="22"/>
      <c r="E441" s="23" t="str">
        <f>IF($D441="","",IFERROR(VLOOKUP($D441,'SAMA Consumables Tracker'!$A:$H,8,FALSE()),""))</f>
        <v/>
      </c>
      <c r="F441" s="24"/>
      <c r="G441" s="25" t="str">
        <f>IF($D441="","",IFERROR(VLOOKUP($D441,'SAMA Consumables Tracker'!$A:$D,4,FALSE()),""))</f>
        <v/>
      </c>
      <c r="H441" s="22"/>
    </row>
    <row r="442" spans="1:8">
      <c r="A442" s="21"/>
      <c r="B442" s="22"/>
      <c r="C442" s="22"/>
      <c r="D442" s="22"/>
      <c r="E442" s="23" t="str">
        <f>IF($D442="","",IFERROR(VLOOKUP($D442,'SAMA Consumables Tracker'!$A:$H,8,FALSE()),""))</f>
        <v/>
      </c>
      <c r="F442" s="24"/>
      <c r="G442" s="25" t="str">
        <f>IF($D442="","",IFERROR(VLOOKUP($D442,'SAMA Consumables Tracker'!$A:$D,4,FALSE()),""))</f>
        <v/>
      </c>
      <c r="H442" s="22"/>
    </row>
    <row r="443" spans="1:8">
      <c r="A443" s="21"/>
      <c r="B443" s="22"/>
      <c r="C443" s="22"/>
      <c r="D443" s="22"/>
      <c r="E443" s="23" t="str">
        <f>IF($D443="","",IFERROR(VLOOKUP($D443,'SAMA Consumables Tracker'!$A:$H,8,FALSE()),""))</f>
        <v/>
      </c>
      <c r="F443" s="24"/>
      <c r="G443" s="25" t="str">
        <f>IF($D443="","",IFERROR(VLOOKUP($D443,'SAMA Consumables Tracker'!$A:$D,4,FALSE()),""))</f>
        <v/>
      </c>
      <c r="H443" s="22"/>
    </row>
    <row r="444" spans="1:8">
      <c r="A444" s="21"/>
      <c r="B444" s="22"/>
      <c r="C444" s="22"/>
      <c r="D444" s="22"/>
      <c r="E444" s="23" t="str">
        <f>IF($D444="","",IFERROR(VLOOKUP($D444,'SAMA Consumables Tracker'!$A:$H,8,FALSE()),""))</f>
        <v/>
      </c>
      <c r="F444" s="24"/>
      <c r="G444" s="25" t="str">
        <f>IF($D444="","",IFERROR(VLOOKUP($D444,'SAMA Consumables Tracker'!$A:$D,4,FALSE()),""))</f>
        <v/>
      </c>
      <c r="H444" s="22"/>
    </row>
    <row r="445" spans="1:8">
      <c r="A445" s="21"/>
      <c r="B445" s="22"/>
      <c r="C445" s="22"/>
      <c r="D445" s="22"/>
      <c r="E445" s="23" t="str">
        <f>IF($D445="","",IFERROR(VLOOKUP($D445,'SAMA Consumables Tracker'!$A:$H,8,FALSE()),""))</f>
        <v/>
      </c>
      <c r="F445" s="24"/>
      <c r="G445" s="25" t="str">
        <f>IF($D445="","",IFERROR(VLOOKUP($D445,'SAMA Consumables Tracker'!$A:$D,4,FALSE()),""))</f>
        <v/>
      </c>
      <c r="H445" s="22"/>
    </row>
    <row r="446" spans="1:8">
      <c r="A446" s="21"/>
      <c r="B446" s="22"/>
      <c r="C446" s="22"/>
      <c r="D446" s="22"/>
      <c r="E446" s="23" t="str">
        <f>IF($D446="","",IFERROR(VLOOKUP($D446,'SAMA Consumables Tracker'!$A:$H,8,FALSE()),""))</f>
        <v/>
      </c>
      <c r="F446" s="24"/>
      <c r="G446" s="25" t="str">
        <f>IF($D446="","",IFERROR(VLOOKUP($D446,'SAMA Consumables Tracker'!$A:$D,4,FALSE()),""))</f>
        <v/>
      </c>
      <c r="H446" s="22"/>
    </row>
    <row r="447" spans="1:8">
      <c r="A447" s="21"/>
      <c r="B447" s="22"/>
      <c r="C447" s="22"/>
      <c r="D447" s="22"/>
      <c r="E447" s="23" t="str">
        <f>IF($D447="","",IFERROR(VLOOKUP($D447,'SAMA Consumables Tracker'!$A:$H,8,FALSE()),""))</f>
        <v/>
      </c>
      <c r="F447" s="24"/>
      <c r="G447" s="25" t="str">
        <f>IF($D447="","",IFERROR(VLOOKUP($D447,'SAMA Consumables Tracker'!$A:$D,4,FALSE()),""))</f>
        <v/>
      </c>
      <c r="H447" s="22"/>
    </row>
    <row r="448" spans="1:8">
      <c r="A448" s="21"/>
      <c r="B448" s="22"/>
      <c r="C448" s="22"/>
      <c r="D448" s="22"/>
      <c r="E448" s="23" t="str">
        <f>IF($D448="","",IFERROR(VLOOKUP($D448,'SAMA Consumables Tracker'!$A:$H,8,FALSE()),""))</f>
        <v/>
      </c>
      <c r="F448" s="24"/>
      <c r="G448" s="25" t="str">
        <f>IF($D448="","",IFERROR(VLOOKUP($D448,'SAMA Consumables Tracker'!$A:$D,4,FALSE()),""))</f>
        <v/>
      </c>
      <c r="H448" s="22"/>
    </row>
    <row r="449" spans="1:8">
      <c r="A449" s="21"/>
      <c r="B449" s="22"/>
      <c r="C449" s="22"/>
      <c r="D449" s="22"/>
      <c r="E449" s="23" t="str">
        <f>IF($D449="","",IFERROR(VLOOKUP($D449,'SAMA Consumables Tracker'!$A:$H,8,FALSE()),""))</f>
        <v/>
      </c>
      <c r="F449" s="24"/>
      <c r="G449" s="25" t="str">
        <f>IF($D449="","",IFERROR(VLOOKUP($D449,'SAMA Consumables Tracker'!$A:$D,4,FALSE()),""))</f>
        <v/>
      </c>
      <c r="H449" s="22"/>
    </row>
    <row r="450" spans="1:8">
      <c r="A450" s="21"/>
      <c r="B450" s="22"/>
      <c r="C450" s="22"/>
      <c r="D450" s="22"/>
      <c r="E450" s="23" t="str">
        <f>IF($D450="","",IFERROR(VLOOKUP($D450,'SAMA Consumables Tracker'!$A:$H,8,FALSE()),""))</f>
        <v/>
      </c>
      <c r="F450" s="24"/>
      <c r="G450" s="25" t="str">
        <f>IF($D450="","",IFERROR(VLOOKUP($D450,'SAMA Consumables Tracker'!$A:$D,4,FALSE()),""))</f>
        <v/>
      </c>
      <c r="H450" s="22"/>
    </row>
    <row r="451" spans="1:8">
      <c r="A451" s="21"/>
      <c r="B451" s="22"/>
      <c r="C451" s="22"/>
      <c r="D451" s="22"/>
      <c r="E451" s="23" t="str">
        <f>IF($D451="","",IFERROR(VLOOKUP($D451,'SAMA Consumables Tracker'!$A:$H,8,FALSE()),""))</f>
        <v/>
      </c>
      <c r="F451" s="24"/>
      <c r="G451" s="25" t="str">
        <f>IF($D451="","",IFERROR(VLOOKUP($D451,'SAMA Consumables Tracker'!$A:$D,4,FALSE()),""))</f>
        <v/>
      </c>
      <c r="H451" s="22"/>
    </row>
    <row r="452" spans="1:8">
      <c r="A452" s="21"/>
      <c r="B452" s="22"/>
      <c r="C452" s="22"/>
      <c r="D452" s="22"/>
      <c r="E452" s="23" t="str">
        <f>IF($D452="","",IFERROR(VLOOKUP($D452,'SAMA Consumables Tracker'!$A:$H,8,FALSE()),""))</f>
        <v/>
      </c>
      <c r="F452" s="24"/>
      <c r="G452" s="25" t="str">
        <f>IF($D452="","",IFERROR(VLOOKUP($D452,'SAMA Consumables Tracker'!$A:$D,4,FALSE()),""))</f>
        <v/>
      </c>
      <c r="H452" s="22"/>
    </row>
    <row r="453" spans="1:8">
      <c r="A453" s="21"/>
      <c r="B453" s="22"/>
      <c r="C453" s="22"/>
      <c r="D453" s="22"/>
      <c r="E453" s="23" t="str">
        <f>IF($D453="","",IFERROR(VLOOKUP($D453,'SAMA Consumables Tracker'!$A:$H,8,FALSE()),""))</f>
        <v/>
      </c>
      <c r="F453" s="24"/>
      <c r="G453" s="25" t="str">
        <f>IF($D453="","",IFERROR(VLOOKUP($D453,'SAMA Consumables Tracker'!$A:$D,4,FALSE()),""))</f>
        <v/>
      </c>
      <c r="H453" s="22"/>
    </row>
    <row r="454" spans="1:8">
      <c r="A454" s="21"/>
      <c r="B454" s="22"/>
      <c r="C454" s="22"/>
      <c r="D454" s="22"/>
      <c r="E454" s="23" t="str">
        <f>IF($D454="","",IFERROR(VLOOKUP($D454,'SAMA Consumables Tracker'!$A:$H,8,FALSE()),""))</f>
        <v/>
      </c>
      <c r="F454" s="24"/>
      <c r="G454" s="25" t="str">
        <f>IF($D454="","",IFERROR(VLOOKUP($D454,'SAMA Consumables Tracker'!$A:$D,4,FALSE()),""))</f>
        <v/>
      </c>
      <c r="H454" s="22"/>
    </row>
    <row r="455" spans="1:8">
      <c r="A455" s="21"/>
      <c r="B455" s="22"/>
      <c r="C455" s="22"/>
      <c r="D455" s="22"/>
      <c r="E455" s="23" t="str">
        <f>IF($D455="","",IFERROR(VLOOKUP($D455,'SAMA Consumables Tracker'!$A:$H,8,FALSE()),""))</f>
        <v/>
      </c>
      <c r="F455" s="24"/>
      <c r="G455" s="25" t="str">
        <f>IF($D455="","",IFERROR(VLOOKUP($D455,'SAMA Consumables Tracker'!$A:$D,4,FALSE()),""))</f>
        <v/>
      </c>
      <c r="H455" s="22"/>
    </row>
    <row r="456" spans="1:8">
      <c r="A456" s="21"/>
      <c r="B456" s="22"/>
      <c r="C456" s="22"/>
      <c r="D456" s="22"/>
      <c r="E456" s="23" t="str">
        <f>IF($D456="","",IFERROR(VLOOKUP($D456,'SAMA Consumables Tracker'!$A:$H,8,FALSE()),""))</f>
        <v/>
      </c>
      <c r="F456" s="24"/>
      <c r="G456" s="25" t="str">
        <f>IF($D456="","",IFERROR(VLOOKUP($D456,'SAMA Consumables Tracker'!$A:$D,4,FALSE()),""))</f>
        <v/>
      </c>
      <c r="H456" s="22"/>
    </row>
    <row r="457" spans="1:8">
      <c r="A457" s="21"/>
      <c r="B457" s="22"/>
      <c r="C457" s="22"/>
      <c r="D457" s="22"/>
      <c r="E457" s="23" t="str">
        <f>IF($D457="","",IFERROR(VLOOKUP($D457,'SAMA Consumables Tracker'!$A:$H,8,FALSE()),""))</f>
        <v/>
      </c>
      <c r="F457" s="24"/>
      <c r="G457" s="25" t="str">
        <f>IF($D457="","",IFERROR(VLOOKUP($D457,'SAMA Consumables Tracker'!$A:$D,4,FALSE()),""))</f>
        <v/>
      </c>
      <c r="H457" s="22"/>
    </row>
    <row r="458" spans="1:8">
      <c r="A458" s="21"/>
      <c r="B458" s="22"/>
      <c r="C458" s="22"/>
      <c r="D458" s="22"/>
      <c r="E458" s="23" t="str">
        <f>IF($D458="","",IFERROR(VLOOKUP($D458,'SAMA Consumables Tracker'!$A:$H,8,FALSE()),""))</f>
        <v/>
      </c>
      <c r="F458" s="24"/>
      <c r="G458" s="25" t="str">
        <f>IF($D458="","",IFERROR(VLOOKUP($D458,'SAMA Consumables Tracker'!$A:$D,4,FALSE()),""))</f>
        <v/>
      </c>
      <c r="H458" s="22"/>
    </row>
    <row r="459" spans="1:8">
      <c r="A459" s="21"/>
      <c r="B459" s="22"/>
      <c r="C459" s="22"/>
      <c r="D459" s="22"/>
      <c r="E459" s="23" t="str">
        <f>IF($D459="","",IFERROR(VLOOKUP($D459,'SAMA Consumables Tracker'!$A:$H,8,FALSE()),""))</f>
        <v/>
      </c>
      <c r="F459" s="24"/>
      <c r="G459" s="25" t="str">
        <f>IF($D459="","",IFERROR(VLOOKUP($D459,'SAMA Consumables Tracker'!$A:$D,4,FALSE()),""))</f>
        <v/>
      </c>
      <c r="H459" s="22"/>
    </row>
    <row r="460" spans="1:8">
      <c r="A460" s="21"/>
      <c r="B460" s="22"/>
      <c r="C460" s="22"/>
      <c r="D460" s="22"/>
      <c r="E460" s="23" t="str">
        <f>IF($D460="","",IFERROR(VLOOKUP($D460,'SAMA Consumables Tracker'!$A:$H,8,FALSE()),""))</f>
        <v/>
      </c>
      <c r="F460" s="24"/>
      <c r="G460" s="25" t="str">
        <f>IF($D460="","",IFERROR(VLOOKUP($D460,'SAMA Consumables Tracker'!$A:$D,4,FALSE()),""))</f>
        <v/>
      </c>
      <c r="H460" s="22"/>
    </row>
    <row r="461" spans="1:8">
      <c r="A461" s="21"/>
      <c r="B461" s="22"/>
      <c r="C461" s="22"/>
      <c r="D461" s="22"/>
      <c r="E461" s="23" t="str">
        <f>IF($D461="","",IFERROR(VLOOKUP($D461,'SAMA Consumables Tracker'!$A:$H,8,FALSE()),""))</f>
        <v/>
      </c>
      <c r="F461" s="24"/>
      <c r="G461" s="25" t="str">
        <f>IF($D461="","",IFERROR(VLOOKUP($D461,'SAMA Consumables Tracker'!$A:$D,4,FALSE()),""))</f>
        <v/>
      </c>
      <c r="H461" s="22"/>
    </row>
    <row r="462" spans="1:8">
      <c r="A462" s="21"/>
      <c r="B462" s="22"/>
      <c r="C462" s="22"/>
      <c r="D462" s="22"/>
      <c r="E462" s="23" t="str">
        <f>IF($D462="","",IFERROR(VLOOKUP($D462,'SAMA Consumables Tracker'!$A:$H,8,FALSE()),""))</f>
        <v/>
      </c>
      <c r="F462" s="24"/>
      <c r="G462" s="25" t="str">
        <f>IF($D462="","",IFERROR(VLOOKUP($D462,'SAMA Consumables Tracker'!$A:$D,4,FALSE()),""))</f>
        <v/>
      </c>
      <c r="H462" s="22"/>
    </row>
    <row r="463" spans="1:8">
      <c r="A463" s="21"/>
      <c r="B463" s="22"/>
      <c r="C463" s="22"/>
      <c r="D463" s="22"/>
      <c r="E463" s="23" t="str">
        <f>IF($D463="","",IFERROR(VLOOKUP($D463,'SAMA Consumables Tracker'!$A:$H,8,FALSE()),""))</f>
        <v/>
      </c>
      <c r="F463" s="24"/>
      <c r="G463" s="25" t="str">
        <f>IF($D463="","",IFERROR(VLOOKUP($D463,'SAMA Consumables Tracker'!$A:$D,4,FALSE()),""))</f>
        <v/>
      </c>
      <c r="H463" s="22"/>
    </row>
    <row r="464" spans="1:8">
      <c r="A464" s="21"/>
      <c r="B464" s="22"/>
      <c r="C464" s="22"/>
      <c r="D464" s="22"/>
      <c r="E464" s="23" t="str">
        <f>IF($D464="","",IFERROR(VLOOKUP($D464,'SAMA Consumables Tracker'!$A:$H,8,FALSE()),""))</f>
        <v/>
      </c>
      <c r="F464" s="24"/>
      <c r="G464" s="25" t="str">
        <f>IF($D464="","",IFERROR(VLOOKUP($D464,'SAMA Consumables Tracker'!$A:$D,4,FALSE()),""))</f>
        <v/>
      </c>
      <c r="H464" s="22"/>
    </row>
    <row r="465" spans="1:8">
      <c r="A465" s="21"/>
      <c r="B465" s="22"/>
      <c r="C465" s="22"/>
      <c r="D465" s="22"/>
      <c r="E465" s="23" t="str">
        <f>IF($D465="","",IFERROR(VLOOKUP($D465,'SAMA Consumables Tracker'!$A:$H,8,FALSE()),""))</f>
        <v/>
      </c>
      <c r="F465" s="24"/>
      <c r="G465" s="25" t="str">
        <f>IF($D465="","",IFERROR(VLOOKUP($D465,'SAMA Consumables Tracker'!$A:$D,4,FALSE()),""))</f>
        <v/>
      </c>
      <c r="H465" s="22"/>
    </row>
    <row r="466" spans="1:8">
      <c r="A466" s="21"/>
      <c r="B466" s="22"/>
      <c r="C466" s="22"/>
      <c r="D466" s="22"/>
      <c r="E466" s="23" t="str">
        <f>IF($D466="","",IFERROR(VLOOKUP($D466,'SAMA Consumables Tracker'!$A:$H,8,FALSE()),""))</f>
        <v/>
      </c>
      <c r="F466" s="24"/>
      <c r="G466" s="25" t="str">
        <f>IF($D466="","",IFERROR(VLOOKUP($D466,'SAMA Consumables Tracker'!$A:$D,4,FALSE()),""))</f>
        <v/>
      </c>
      <c r="H466" s="22"/>
    </row>
    <row r="467" spans="1:8">
      <c r="A467" s="21"/>
      <c r="B467" s="22"/>
      <c r="C467" s="22"/>
      <c r="D467" s="22"/>
      <c r="E467" s="23" t="str">
        <f>IF($D467="","",IFERROR(VLOOKUP($D467,'SAMA Consumables Tracker'!$A:$H,8,FALSE()),""))</f>
        <v/>
      </c>
      <c r="F467" s="24"/>
      <c r="G467" s="25" t="str">
        <f>IF($D467="","",IFERROR(VLOOKUP($D467,'SAMA Consumables Tracker'!$A:$D,4,FALSE()),""))</f>
        <v/>
      </c>
      <c r="H467" s="22"/>
    </row>
    <row r="468" spans="1:8">
      <c r="A468" s="21"/>
      <c r="B468" s="22"/>
      <c r="C468" s="22"/>
      <c r="D468" s="22"/>
      <c r="E468" s="23" t="str">
        <f>IF($D468="","",IFERROR(VLOOKUP($D468,'SAMA Consumables Tracker'!$A:$H,8,FALSE()),""))</f>
        <v/>
      </c>
      <c r="F468" s="24"/>
      <c r="G468" s="25" t="str">
        <f>IF($D468="","",IFERROR(VLOOKUP($D468,'SAMA Consumables Tracker'!$A:$D,4,FALSE()),""))</f>
        <v/>
      </c>
      <c r="H468" s="22"/>
    </row>
    <row r="469" spans="1:8">
      <c r="A469" s="21"/>
      <c r="B469" s="22"/>
      <c r="C469" s="22"/>
      <c r="D469" s="22"/>
      <c r="E469" s="23" t="str">
        <f>IF($D469="","",IFERROR(VLOOKUP($D469,'SAMA Consumables Tracker'!$A:$H,8,FALSE()),""))</f>
        <v/>
      </c>
      <c r="F469" s="24"/>
      <c r="G469" s="25" t="str">
        <f>IF($D469="","",IFERROR(VLOOKUP($D469,'SAMA Consumables Tracker'!$A:$D,4,FALSE()),""))</f>
        <v/>
      </c>
      <c r="H469" s="22"/>
    </row>
    <row r="470" spans="1:8">
      <c r="A470" s="21"/>
      <c r="B470" s="22"/>
      <c r="C470" s="22"/>
      <c r="D470" s="22"/>
      <c r="E470" s="23" t="str">
        <f>IF($D470="","",IFERROR(VLOOKUP($D470,'SAMA Consumables Tracker'!$A:$H,8,FALSE()),""))</f>
        <v/>
      </c>
      <c r="F470" s="24"/>
      <c r="G470" s="25" t="str">
        <f>IF($D470="","",IFERROR(VLOOKUP($D470,'SAMA Consumables Tracker'!$A:$D,4,FALSE()),""))</f>
        <v/>
      </c>
      <c r="H470" s="22"/>
    </row>
    <row r="471" spans="1:8">
      <c r="A471" s="21"/>
      <c r="B471" s="22"/>
      <c r="C471" s="22"/>
      <c r="D471" s="22"/>
      <c r="E471" s="23" t="str">
        <f>IF($D471="","",IFERROR(VLOOKUP($D471,'SAMA Consumables Tracker'!$A:$H,8,FALSE()),""))</f>
        <v/>
      </c>
      <c r="F471" s="24"/>
      <c r="G471" s="25" t="str">
        <f>IF($D471="","",IFERROR(VLOOKUP($D471,'SAMA Consumables Tracker'!$A:$D,4,FALSE()),""))</f>
        <v/>
      </c>
      <c r="H471" s="22"/>
    </row>
    <row r="472" spans="1:8">
      <c r="A472" s="21"/>
      <c r="B472" s="22"/>
      <c r="C472" s="22"/>
      <c r="D472" s="22"/>
      <c r="E472" s="23" t="str">
        <f>IF($D472="","",IFERROR(VLOOKUP($D472,'SAMA Consumables Tracker'!$A:$H,8,FALSE()),""))</f>
        <v/>
      </c>
      <c r="F472" s="24"/>
      <c r="G472" s="25" t="str">
        <f>IF($D472="","",IFERROR(VLOOKUP($D472,'SAMA Consumables Tracker'!$A:$D,4,FALSE()),""))</f>
        <v/>
      </c>
      <c r="H472" s="22"/>
    </row>
    <row r="473" spans="1:8">
      <c r="A473" s="21"/>
      <c r="B473" s="22"/>
      <c r="C473" s="22"/>
      <c r="D473" s="22"/>
      <c r="E473" s="23" t="str">
        <f>IF($D473="","",IFERROR(VLOOKUP($D473,'SAMA Consumables Tracker'!$A:$H,8,FALSE()),""))</f>
        <v/>
      </c>
      <c r="F473" s="24"/>
      <c r="G473" s="25" t="str">
        <f>IF($D473="","",IFERROR(VLOOKUP($D473,'SAMA Consumables Tracker'!$A:$D,4,FALSE()),""))</f>
        <v/>
      </c>
      <c r="H473" s="22"/>
    </row>
    <row r="474" spans="1:8">
      <c r="A474" s="21"/>
      <c r="B474" s="22"/>
      <c r="C474" s="22"/>
      <c r="D474" s="22"/>
      <c r="E474" s="23" t="str">
        <f>IF($D474="","",IFERROR(VLOOKUP($D474,'SAMA Consumables Tracker'!$A:$H,8,FALSE()),""))</f>
        <v/>
      </c>
      <c r="F474" s="24"/>
      <c r="G474" s="25" t="str">
        <f>IF($D474="","",IFERROR(VLOOKUP($D474,'SAMA Consumables Tracker'!$A:$D,4,FALSE()),""))</f>
        <v/>
      </c>
      <c r="H474" s="22"/>
    </row>
    <row r="475" spans="1:8">
      <c r="A475" s="21"/>
      <c r="B475" s="22"/>
      <c r="C475" s="22"/>
      <c r="D475" s="22"/>
      <c r="E475" s="23" t="str">
        <f>IF($D475="","",IFERROR(VLOOKUP($D475,'SAMA Consumables Tracker'!$A:$H,8,FALSE()),""))</f>
        <v/>
      </c>
      <c r="F475" s="24"/>
      <c r="G475" s="25" t="str">
        <f>IF($D475="","",IFERROR(VLOOKUP($D475,'SAMA Consumables Tracker'!$A:$D,4,FALSE()),""))</f>
        <v/>
      </c>
      <c r="H475" s="22"/>
    </row>
    <row r="476" spans="1:8">
      <c r="A476" s="21"/>
      <c r="B476" s="22"/>
      <c r="C476" s="22"/>
      <c r="D476" s="22"/>
      <c r="E476" s="23" t="str">
        <f>IF($D476="","",IFERROR(VLOOKUP($D476,'SAMA Consumables Tracker'!$A:$H,8,FALSE()),""))</f>
        <v/>
      </c>
      <c r="F476" s="24"/>
      <c r="G476" s="25" t="str">
        <f>IF($D476="","",IFERROR(VLOOKUP($D476,'SAMA Consumables Tracker'!$A:$D,4,FALSE()),""))</f>
        <v/>
      </c>
      <c r="H476" s="22"/>
    </row>
    <row r="477" spans="1:8">
      <c r="A477" s="21"/>
      <c r="B477" s="22"/>
      <c r="C477" s="22"/>
      <c r="D477" s="22"/>
      <c r="E477" s="23" t="str">
        <f>IF($D477="","",IFERROR(VLOOKUP($D477,'SAMA Consumables Tracker'!$A:$H,8,FALSE()),""))</f>
        <v/>
      </c>
      <c r="F477" s="24"/>
      <c r="G477" s="25" t="str">
        <f>IF($D477="","",IFERROR(VLOOKUP($D477,'SAMA Consumables Tracker'!$A:$D,4,FALSE()),""))</f>
        <v/>
      </c>
      <c r="H477" s="22"/>
    </row>
    <row r="478" spans="1:8">
      <c r="A478" s="21"/>
      <c r="B478" s="22"/>
      <c r="C478" s="22"/>
      <c r="D478" s="22"/>
      <c r="E478" s="23" t="str">
        <f>IF($D478="","",IFERROR(VLOOKUP($D478,'SAMA Consumables Tracker'!$A:$H,8,FALSE()),""))</f>
        <v/>
      </c>
      <c r="F478" s="24"/>
      <c r="G478" s="25" t="str">
        <f>IF($D478="","",IFERROR(VLOOKUP($D478,'SAMA Consumables Tracker'!$A:$D,4,FALSE()),""))</f>
        <v/>
      </c>
      <c r="H478" s="22"/>
    </row>
    <row r="479" spans="1:8">
      <c r="A479" s="21"/>
      <c r="B479" s="22"/>
      <c r="C479" s="22"/>
      <c r="D479" s="22"/>
      <c r="E479" s="23" t="str">
        <f>IF($D479="","",IFERROR(VLOOKUP($D479,'SAMA Consumables Tracker'!$A:$H,8,FALSE()),""))</f>
        <v/>
      </c>
      <c r="F479" s="24"/>
      <c r="G479" s="25" t="str">
        <f>IF($D479="","",IFERROR(VLOOKUP($D479,'SAMA Consumables Tracker'!$A:$D,4,FALSE()),""))</f>
        <v/>
      </c>
      <c r="H479" s="22"/>
    </row>
    <row r="480" spans="1:8">
      <c r="A480" s="21"/>
      <c r="B480" s="22"/>
      <c r="C480" s="22"/>
      <c r="D480" s="22"/>
      <c r="E480" s="23" t="str">
        <f>IF($D480="","",IFERROR(VLOOKUP($D480,'SAMA Consumables Tracker'!$A:$H,8,FALSE()),""))</f>
        <v/>
      </c>
      <c r="F480" s="24"/>
      <c r="G480" s="25" t="str">
        <f>IF($D480="","",IFERROR(VLOOKUP($D480,'SAMA Consumables Tracker'!$A:$D,4,FALSE()),""))</f>
        <v/>
      </c>
      <c r="H480" s="22"/>
    </row>
    <row r="481" spans="1:8">
      <c r="A481" s="21"/>
      <c r="B481" s="22"/>
      <c r="C481" s="22"/>
      <c r="D481" s="22"/>
      <c r="E481" s="23" t="str">
        <f>IF($D481="","",IFERROR(VLOOKUP($D481,'SAMA Consumables Tracker'!$A:$H,8,FALSE()),""))</f>
        <v/>
      </c>
      <c r="F481" s="24"/>
      <c r="G481" s="25" t="str">
        <f>IF($D481="","",IFERROR(VLOOKUP($D481,'SAMA Consumables Tracker'!$A:$D,4,FALSE()),""))</f>
        <v/>
      </c>
      <c r="H481" s="22"/>
    </row>
    <row r="482" spans="1:8">
      <c r="A482" s="21"/>
      <c r="B482" s="22"/>
      <c r="C482" s="22"/>
      <c r="D482" s="22"/>
      <c r="E482" s="23" t="str">
        <f>IF($D482="","",IFERROR(VLOOKUP($D482,'SAMA Consumables Tracker'!$A:$H,8,FALSE()),""))</f>
        <v/>
      </c>
      <c r="F482" s="24"/>
      <c r="G482" s="25" t="str">
        <f>IF($D482="","",IFERROR(VLOOKUP($D482,'SAMA Consumables Tracker'!$A:$D,4,FALSE()),""))</f>
        <v/>
      </c>
      <c r="H482" s="22"/>
    </row>
    <row r="483" spans="1:8">
      <c r="A483" s="21"/>
      <c r="B483" s="22"/>
      <c r="C483" s="22"/>
      <c r="D483" s="22"/>
      <c r="E483" s="23" t="str">
        <f>IF($D483="","",IFERROR(VLOOKUP($D483,'SAMA Consumables Tracker'!$A:$H,8,FALSE()),""))</f>
        <v/>
      </c>
      <c r="F483" s="24"/>
      <c r="G483" s="25" t="str">
        <f>IF($D483="","",IFERROR(VLOOKUP($D483,'SAMA Consumables Tracker'!$A:$D,4,FALSE()),""))</f>
        <v/>
      </c>
      <c r="H483" s="22"/>
    </row>
    <row r="484" spans="1:8">
      <c r="A484" s="21"/>
      <c r="B484" s="22"/>
      <c r="C484" s="22"/>
      <c r="D484" s="22"/>
      <c r="E484" s="23" t="str">
        <f>IF($D484="","",IFERROR(VLOOKUP($D484,'SAMA Consumables Tracker'!$A:$H,8,FALSE()),""))</f>
        <v/>
      </c>
      <c r="F484" s="24"/>
      <c r="G484" s="25" t="str">
        <f>IF($D484="","",IFERROR(VLOOKUP($D484,'SAMA Consumables Tracker'!$A:$D,4,FALSE()),""))</f>
        <v/>
      </c>
      <c r="H484" s="22"/>
    </row>
    <row r="485" spans="1:8">
      <c r="A485" s="21"/>
      <c r="B485" s="22"/>
      <c r="C485" s="22"/>
      <c r="D485" s="22"/>
      <c r="E485" s="23" t="str">
        <f>IF($D485="","",IFERROR(VLOOKUP($D485,'SAMA Consumables Tracker'!$A:$H,8,FALSE()),""))</f>
        <v/>
      </c>
      <c r="F485" s="24"/>
      <c r="G485" s="25" t="str">
        <f>IF($D485="","",IFERROR(VLOOKUP($D485,'SAMA Consumables Tracker'!$A:$D,4,FALSE()),""))</f>
        <v/>
      </c>
      <c r="H485" s="22"/>
    </row>
    <row r="486" spans="1:8">
      <c r="A486" s="21"/>
      <c r="B486" s="22"/>
      <c r="C486" s="22"/>
      <c r="D486" s="22"/>
      <c r="E486" s="23" t="str">
        <f>IF($D486="","",IFERROR(VLOOKUP($D486,'SAMA Consumables Tracker'!$A:$H,8,FALSE()),""))</f>
        <v/>
      </c>
      <c r="F486" s="24"/>
      <c r="G486" s="25" t="str">
        <f>IF($D486="","",IFERROR(VLOOKUP($D486,'SAMA Consumables Tracker'!$A:$D,4,FALSE()),""))</f>
        <v/>
      </c>
      <c r="H486" s="22"/>
    </row>
    <row r="487" spans="1:8">
      <c r="A487" s="21"/>
      <c r="B487" s="22"/>
      <c r="C487" s="22"/>
      <c r="D487" s="22"/>
      <c r="E487" s="23" t="str">
        <f>IF($D487="","",IFERROR(VLOOKUP($D487,'SAMA Consumables Tracker'!$A:$H,8,FALSE()),""))</f>
        <v/>
      </c>
      <c r="F487" s="24"/>
      <c r="G487" s="25" t="str">
        <f>IF($D487="","",IFERROR(VLOOKUP($D487,'SAMA Consumables Tracker'!$A:$D,4,FALSE()),""))</f>
        <v/>
      </c>
      <c r="H487" s="22"/>
    </row>
    <row r="488" spans="1:8">
      <c r="A488" s="21"/>
      <c r="B488" s="22"/>
      <c r="C488" s="22"/>
      <c r="D488" s="22"/>
      <c r="E488" s="23" t="str">
        <f>IF($D488="","",IFERROR(VLOOKUP($D488,'SAMA Consumables Tracker'!$A:$H,8,FALSE()),""))</f>
        <v/>
      </c>
      <c r="F488" s="24"/>
      <c r="G488" s="25" t="str">
        <f>IF($D488="","",IFERROR(VLOOKUP($D488,'SAMA Consumables Tracker'!$A:$D,4,FALSE()),""))</f>
        <v/>
      </c>
      <c r="H488" s="22"/>
    </row>
    <row r="489" spans="1:8">
      <c r="A489" s="21"/>
      <c r="B489" s="22"/>
      <c r="C489" s="22"/>
      <c r="D489" s="22"/>
      <c r="E489" s="23" t="str">
        <f>IF($D489="","",IFERROR(VLOOKUP($D489,'SAMA Consumables Tracker'!$A:$H,8,FALSE()),""))</f>
        <v/>
      </c>
      <c r="F489" s="24"/>
      <c r="G489" s="25" t="str">
        <f>IF($D489="","",IFERROR(VLOOKUP($D489,'SAMA Consumables Tracker'!$A:$D,4,FALSE()),""))</f>
        <v/>
      </c>
      <c r="H489" s="22"/>
    </row>
    <row r="490" spans="1:8">
      <c r="A490" s="21"/>
      <c r="B490" s="22"/>
      <c r="C490" s="22"/>
      <c r="D490" s="22"/>
      <c r="E490" s="23" t="str">
        <f>IF($D490="","",IFERROR(VLOOKUP($D490,'SAMA Consumables Tracker'!$A:$H,8,FALSE()),""))</f>
        <v/>
      </c>
      <c r="F490" s="24"/>
      <c r="G490" s="25" t="str">
        <f>IF($D490="","",IFERROR(VLOOKUP($D490,'SAMA Consumables Tracker'!$A:$D,4,FALSE()),""))</f>
        <v/>
      </c>
      <c r="H490" s="22"/>
    </row>
    <row r="491" spans="1:8">
      <c r="A491" s="21"/>
      <c r="B491" s="22"/>
      <c r="C491" s="22"/>
      <c r="D491" s="22"/>
      <c r="E491" s="23" t="str">
        <f>IF($D491="","",IFERROR(VLOOKUP($D491,'SAMA Consumables Tracker'!$A:$H,8,FALSE()),""))</f>
        <v/>
      </c>
      <c r="F491" s="24"/>
      <c r="G491" s="25" t="str">
        <f>IF($D491="","",IFERROR(VLOOKUP($D491,'SAMA Consumables Tracker'!$A:$D,4,FALSE()),""))</f>
        <v/>
      </c>
      <c r="H491" s="22"/>
    </row>
    <row r="492" spans="1:8">
      <c r="A492" s="21"/>
      <c r="B492" s="22"/>
      <c r="C492" s="22"/>
      <c r="D492" s="22"/>
      <c r="E492" s="23" t="str">
        <f>IF($D492="","",IFERROR(VLOOKUP($D492,'SAMA Consumables Tracker'!$A:$H,8,FALSE()),""))</f>
        <v/>
      </c>
      <c r="F492" s="24"/>
      <c r="G492" s="25" t="str">
        <f>IF($D492="","",IFERROR(VLOOKUP($D492,'SAMA Consumables Tracker'!$A:$D,4,FALSE()),""))</f>
        <v/>
      </c>
      <c r="H492" s="22"/>
    </row>
    <row r="493" spans="1:8">
      <c r="A493" s="21"/>
      <c r="B493" s="22"/>
      <c r="C493" s="22"/>
      <c r="D493" s="22"/>
      <c r="E493" s="23" t="str">
        <f>IF($D493="","",IFERROR(VLOOKUP($D493,'SAMA Consumables Tracker'!$A:$H,8,FALSE()),""))</f>
        <v/>
      </c>
      <c r="F493" s="24"/>
      <c r="G493" s="25" t="str">
        <f>IF($D493="","",IFERROR(VLOOKUP($D493,'SAMA Consumables Tracker'!$A:$D,4,FALSE()),""))</f>
        <v/>
      </c>
      <c r="H493" s="22"/>
    </row>
    <row r="494" spans="1:8">
      <c r="A494" s="21"/>
      <c r="B494" s="22"/>
      <c r="C494" s="22"/>
      <c r="D494" s="22"/>
      <c r="E494" s="23" t="str">
        <f>IF($D494="","",IFERROR(VLOOKUP($D494,'SAMA Consumables Tracker'!$A:$H,8,FALSE()),""))</f>
        <v/>
      </c>
      <c r="F494" s="24"/>
      <c r="G494" s="25" t="str">
        <f>IF($D494="","",IFERROR(VLOOKUP($D494,'SAMA Consumables Tracker'!$A:$D,4,FALSE()),""))</f>
        <v/>
      </c>
      <c r="H494" s="22"/>
    </row>
    <row r="495" spans="1:8">
      <c r="A495" s="21"/>
      <c r="B495" s="22"/>
      <c r="C495" s="22"/>
      <c r="D495" s="22"/>
      <c r="E495" s="23" t="str">
        <f>IF($D495="","",IFERROR(VLOOKUP($D495,'SAMA Consumables Tracker'!$A:$H,8,FALSE()),""))</f>
        <v/>
      </c>
      <c r="F495" s="24"/>
      <c r="G495" s="25" t="str">
        <f>IF($D495="","",IFERROR(VLOOKUP($D495,'SAMA Consumables Tracker'!$A:$D,4,FALSE()),""))</f>
        <v/>
      </c>
      <c r="H495" s="22"/>
    </row>
    <row r="496" spans="1:8">
      <c r="A496" s="21"/>
      <c r="B496" s="22"/>
      <c r="C496" s="22"/>
      <c r="D496" s="22"/>
      <c r="E496" s="23" t="str">
        <f>IF($D496="","",IFERROR(VLOOKUP($D496,'SAMA Consumables Tracker'!$A:$H,8,FALSE()),""))</f>
        <v/>
      </c>
      <c r="F496" s="24"/>
      <c r="G496" s="25" t="str">
        <f>IF($D496="","",IFERROR(VLOOKUP($D496,'SAMA Consumables Tracker'!$A:$D,4,FALSE()),""))</f>
        <v/>
      </c>
      <c r="H496" s="22"/>
    </row>
    <row r="497" spans="1:8">
      <c r="A497" s="21"/>
      <c r="B497" s="22"/>
      <c r="C497" s="22"/>
      <c r="D497" s="22"/>
      <c r="E497" s="23" t="str">
        <f>IF($D497="","",IFERROR(VLOOKUP($D497,'SAMA Consumables Tracker'!$A:$H,8,FALSE()),""))</f>
        <v/>
      </c>
      <c r="F497" s="24"/>
      <c r="G497" s="25" t="str">
        <f>IF($D497="","",IFERROR(VLOOKUP($D497,'SAMA Consumables Tracker'!$A:$D,4,FALSE()),""))</f>
        <v/>
      </c>
      <c r="H497" s="22"/>
    </row>
    <row r="498" spans="1:8">
      <c r="A498" s="21"/>
      <c r="B498" s="22"/>
      <c r="C498" s="22"/>
      <c r="D498" s="22"/>
      <c r="E498" s="23" t="str">
        <f>IF($D498="","",IFERROR(VLOOKUP($D498,'SAMA Consumables Tracker'!$A:$H,8,FALSE()),""))</f>
        <v/>
      </c>
      <c r="F498" s="24"/>
      <c r="G498" s="25" t="str">
        <f>IF($D498="","",IFERROR(VLOOKUP($D498,'SAMA Consumables Tracker'!$A:$D,4,FALSE()),""))</f>
        <v/>
      </c>
      <c r="H498" s="22"/>
    </row>
    <row r="499" spans="1:8">
      <c r="A499" s="21"/>
      <c r="B499" s="22"/>
      <c r="C499" s="22"/>
      <c r="D499" s="22"/>
      <c r="E499" s="23" t="str">
        <f>IF($D499="","",IFERROR(VLOOKUP($D499,'SAMA Consumables Tracker'!$A:$H,8,FALSE()),""))</f>
        <v/>
      </c>
      <c r="F499" s="24"/>
      <c r="G499" s="25" t="str">
        <f>IF($D499="","",IFERROR(VLOOKUP($D499,'SAMA Consumables Tracker'!$A:$D,4,FALSE()),""))</f>
        <v/>
      </c>
      <c r="H499" s="22"/>
    </row>
    <row r="500" spans="1:8">
      <c r="A500" s="21"/>
      <c r="B500" s="22"/>
      <c r="C500" s="22"/>
      <c r="D500" s="22"/>
      <c r="E500" s="23" t="str">
        <f>IF($D500="","",IFERROR(VLOOKUP($D500,'SAMA Consumables Tracker'!$A:$H,8,FALSE()),""))</f>
        <v/>
      </c>
      <c r="F500" s="24"/>
      <c r="G500" s="25" t="str">
        <f>IF($D500="","",IFERROR(VLOOKUP($D500,'SAMA Consumables Tracker'!$A:$D,4,FALSE()),""))</f>
        <v/>
      </c>
      <c r="H500" s="22"/>
    </row>
    <row r="501" spans="1:8">
      <c r="A501" s="21"/>
      <c r="B501" s="22"/>
      <c r="C501" s="22"/>
      <c r="D501" s="22"/>
      <c r="E501" s="23" t="str">
        <f>IF($D501="","",IFERROR(VLOOKUP($D501,'SAMA Consumables Tracker'!$A:$H,8,FALSE()),""))</f>
        <v/>
      </c>
      <c r="F501" s="24"/>
      <c r="G501" s="25" t="str">
        <f>IF($D501="","",IFERROR(VLOOKUP($D501,'SAMA Consumables Tracker'!$A:$D,4,FALSE()),""))</f>
        <v/>
      </c>
      <c r="H501" s="22"/>
    </row>
    <row r="502" spans="1:8">
      <c r="A502" s="21"/>
      <c r="B502" s="22"/>
      <c r="C502" s="22"/>
      <c r="D502" s="22"/>
      <c r="E502" s="23" t="str">
        <f>IF($D502="","",IFERROR(VLOOKUP($D502,'SAMA Consumables Tracker'!$A:$H,8,FALSE()),""))</f>
        <v/>
      </c>
      <c r="F502" s="24"/>
      <c r="G502" s="25" t="str">
        <f>IF($D502="","",IFERROR(VLOOKUP($D502,'SAMA Consumables Tracker'!$A:$D,4,FALSE()),""))</f>
        <v/>
      </c>
      <c r="H502" s="22"/>
    </row>
    <row r="503" spans="1:8">
      <c r="A503" s="21"/>
      <c r="B503" s="22"/>
      <c r="C503" s="22"/>
      <c r="D503" s="22"/>
      <c r="E503" s="23" t="str">
        <f>IF($D503="","",IFERROR(VLOOKUP($D503,'SAMA Consumables Tracker'!$A:$H,8,FALSE()),""))</f>
        <v/>
      </c>
      <c r="F503" s="24"/>
      <c r="G503" s="25" t="str">
        <f>IF($D503="","",IFERROR(VLOOKUP($D503,'SAMA Consumables Tracker'!$A:$D,4,FALSE()),""))</f>
        <v/>
      </c>
      <c r="H503" s="22"/>
    </row>
    <row r="504" spans="1:8">
      <c r="A504" s="21"/>
      <c r="B504" s="22"/>
      <c r="C504" s="22"/>
      <c r="D504" s="22"/>
      <c r="E504" s="23" t="str">
        <f>IF($D504="","",IFERROR(VLOOKUP($D504,'SAMA Consumables Tracker'!$A:$H,8,FALSE()),""))</f>
        <v/>
      </c>
      <c r="F504" s="24"/>
      <c r="G504" s="25" t="str">
        <f>IF($D504="","",IFERROR(VLOOKUP($D504,'SAMA Consumables Tracker'!$A:$D,4,FALSE()),""))</f>
        <v/>
      </c>
      <c r="H504" s="22"/>
    </row>
    <row r="505" spans="1:8">
      <c r="A505" s="21"/>
      <c r="B505" s="22"/>
      <c r="C505" s="22"/>
      <c r="D505" s="22"/>
      <c r="E505" s="23" t="str">
        <f>IF($D505="","",IFERROR(VLOOKUP($D505,'SAMA Consumables Tracker'!$A:$H,8,FALSE()),""))</f>
        <v/>
      </c>
      <c r="F505" s="24"/>
      <c r="G505" s="25" t="str">
        <f>IF($D505="","",IFERROR(VLOOKUP($D505,'SAMA Consumables Tracker'!$A:$D,4,FALSE()),""))</f>
        <v/>
      </c>
      <c r="H505" s="22"/>
    </row>
    <row r="506" spans="1:8">
      <c r="A506" s="21"/>
      <c r="B506" s="22"/>
      <c r="C506" s="22"/>
      <c r="D506" s="22"/>
      <c r="E506" s="23" t="str">
        <f>IF($D506="","",IFERROR(VLOOKUP($D506,'SAMA Consumables Tracker'!$A:$H,8,FALSE()),""))</f>
        <v/>
      </c>
      <c r="F506" s="24"/>
      <c r="G506" s="25" t="str">
        <f>IF($D506="","",IFERROR(VLOOKUP($D506,'SAMA Consumables Tracker'!$A:$D,4,FALSE()),""))</f>
        <v/>
      </c>
      <c r="H506" s="22"/>
    </row>
    <row r="507" spans="1:8">
      <c r="A507" s="21"/>
      <c r="B507" s="22"/>
      <c r="C507" s="22"/>
      <c r="D507" s="22"/>
      <c r="E507" s="23" t="str">
        <f>IF($D507="","",IFERROR(VLOOKUP($D507,'SAMA Consumables Tracker'!$A:$H,8,FALSE()),""))</f>
        <v/>
      </c>
      <c r="F507" s="24"/>
      <c r="G507" s="25" t="str">
        <f>IF($D507="","",IFERROR(VLOOKUP($D507,'SAMA Consumables Tracker'!$A:$D,4,FALSE()),""))</f>
        <v/>
      </c>
      <c r="H507" s="22"/>
    </row>
    <row r="508" spans="1:8">
      <c r="A508" s="21"/>
      <c r="B508" s="22"/>
      <c r="C508" s="22"/>
      <c r="D508" s="22"/>
      <c r="E508" s="23" t="str">
        <f>IF($D508="","",IFERROR(VLOOKUP($D508,'SAMA Consumables Tracker'!$A:$H,8,FALSE()),""))</f>
        <v/>
      </c>
      <c r="F508" s="24"/>
      <c r="G508" s="25" t="str">
        <f>IF($D508="","",IFERROR(VLOOKUP($D508,'SAMA Consumables Tracker'!$A:$D,4,FALSE()),""))</f>
        <v/>
      </c>
      <c r="H508" s="22"/>
    </row>
    <row r="509" spans="1:8">
      <c r="A509" s="21"/>
      <c r="B509" s="22"/>
      <c r="C509" s="22"/>
      <c r="D509" s="22"/>
      <c r="E509" s="23" t="str">
        <f>IF($D509="","",IFERROR(VLOOKUP($D509,'SAMA Consumables Tracker'!$A:$H,8,FALSE()),""))</f>
        <v/>
      </c>
      <c r="F509" s="24"/>
      <c r="G509" s="25" t="str">
        <f>IF($D509="","",IFERROR(VLOOKUP($D509,'SAMA Consumables Tracker'!$A:$D,4,FALSE()),""))</f>
        <v/>
      </c>
      <c r="H509" s="22"/>
    </row>
    <row r="510" spans="1:8">
      <c r="A510" s="21"/>
      <c r="B510" s="22"/>
      <c r="C510" s="22"/>
      <c r="D510" s="22"/>
      <c r="E510" s="23" t="str">
        <f>IF($D510="","",IFERROR(VLOOKUP($D510,'SAMA Consumables Tracker'!$A:$H,8,FALSE()),""))</f>
        <v/>
      </c>
      <c r="F510" s="24"/>
      <c r="G510" s="25" t="str">
        <f>IF($D510="","",IFERROR(VLOOKUP($D510,'SAMA Consumables Tracker'!$A:$D,4,FALSE()),""))</f>
        <v/>
      </c>
      <c r="H510" s="22"/>
    </row>
    <row r="511" spans="1:8">
      <c r="A511" s="21"/>
      <c r="B511" s="22"/>
      <c r="C511" s="22"/>
      <c r="D511" s="22"/>
      <c r="E511" s="23" t="str">
        <f>IF($D511="","",IFERROR(VLOOKUP($D511,'SAMA Consumables Tracker'!$A:$H,8,FALSE()),""))</f>
        <v/>
      </c>
      <c r="F511" s="24"/>
      <c r="G511" s="25" t="str">
        <f>IF($D511="","",IFERROR(VLOOKUP($D511,'SAMA Consumables Tracker'!$A:$D,4,FALSE()),""))</f>
        <v/>
      </c>
      <c r="H511" s="22"/>
    </row>
    <row r="512" spans="1:8">
      <c r="A512" s="21"/>
      <c r="B512" s="22"/>
      <c r="C512" s="22"/>
      <c r="D512" s="22"/>
      <c r="E512" s="23" t="str">
        <f>IF($D512="","",IFERROR(VLOOKUP($D512,'SAMA Consumables Tracker'!$A:$H,8,FALSE()),""))</f>
        <v/>
      </c>
      <c r="F512" s="24"/>
      <c r="G512" s="25" t="str">
        <f>IF($D512="","",IFERROR(VLOOKUP($D512,'SAMA Consumables Tracker'!$A:$D,4,FALSE()),""))</f>
        <v/>
      </c>
      <c r="H512" s="22"/>
    </row>
    <row r="513" spans="1:8">
      <c r="A513" s="21"/>
      <c r="B513" s="22"/>
      <c r="C513" s="22"/>
      <c r="D513" s="22"/>
      <c r="E513" s="23" t="str">
        <f>IF($D513="","",IFERROR(VLOOKUP($D513,'SAMA Consumables Tracker'!$A:$H,8,FALSE()),""))</f>
        <v/>
      </c>
      <c r="F513" s="24"/>
      <c r="G513" s="25" t="str">
        <f>IF($D513="","",IFERROR(VLOOKUP($D513,'SAMA Consumables Tracker'!$A:$D,4,FALSE()),""))</f>
        <v/>
      </c>
      <c r="H513" s="22"/>
    </row>
    <row r="514" spans="1:8">
      <c r="A514" s="21"/>
      <c r="B514" s="22"/>
      <c r="C514" s="22"/>
      <c r="D514" s="22"/>
      <c r="E514" s="23" t="str">
        <f>IF($D514="","",IFERROR(VLOOKUP($D514,'SAMA Consumables Tracker'!$A:$H,8,FALSE()),""))</f>
        <v/>
      </c>
      <c r="F514" s="24"/>
      <c r="G514" s="25" t="str">
        <f>IF($D514="","",IFERROR(VLOOKUP($D514,'SAMA Consumables Tracker'!$A:$D,4,FALSE()),""))</f>
        <v/>
      </c>
      <c r="H514" s="22"/>
    </row>
    <row r="515" spans="1:8">
      <c r="A515" s="21"/>
      <c r="B515" s="22"/>
      <c r="C515" s="22"/>
      <c r="D515" s="22"/>
      <c r="E515" s="23" t="str">
        <f>IF($D515="","",IFERROR(VLOOKUP($D515,'SAMA Consumables Tracker'!$A:$H,8,FALSE()),""))</f>
        <v/>
      </c>
      <c r="F515" s="24"/>
      <c r="G515" s="25" t="str">
        <f>IF($D515="","",IFERROR(VLOOKUP($D515,'SAMA Consumables Tracker'!$A:$D,4,FALSE()),""))</f>
        <v/>
      </c>
      <c r="H515" s="22"/>
    </row>
    <row r="516" spans="1:8">
      <c r="A516" s="21"/>
      <c r="B516" s="22"/>
      <c r="C516" s="22"/>
      <c r="D516" s="22"/>
      <c r="E516" s="23" t="str">
        <f>IF($D516="","",IFERROR(VLOOKUP($D516,'SAMA Consumables Tracker'!$A:$H,8,FALSE()),""))</f>
        <v/>
      </c>
      <c r="F516" s="24"/>
      <c r="G516" s="25" t="str">
        <f>IF($D516="","",IFERROR(VLOOKUP($D516,'SAMA Consumables Tracker'!$A:$D,4,FALSE()),""))</f>
        <v/>
      </c>
      <c r="H516" s="22"/>
    </row>
    <row r="517" spans="1:8">
      <c r="A517" s="21"/>
      <c r="B517" s="22"/>
      <c r="C517" s="22"/>
      <c r="D517" s="22"/>
      <c r="E517" s="23" t="str">
        <f>IF($D517="","",IFERROR(VLOOKUP($D517,'SAMA Consumables Tracker'!$A:$H,8,FALSE()),""))</f>
        <v/>
      </c>
      <c r="F517" s="24"/>
      <c r="G517" s="25" t="str">
        <f>IF($D517="","",IFERROR(VLOOKUP($D517,'SAMA Consumables Tracker'!$A:$D,4,FALSE()),""))</f>
        <v/>
      </c>
      <c r="H517" s="22"/>
    </row>
    <row r="518" spans="1:8">
      <c r="A518" s="21"/>
      <c r="B518" s="22"/>
      <c r="C518" s="22"/>
      <c r="D518" s="22"/>
      <c r="E518" s="23" t="str">
        <f>IF($D518="","",IFERROR(VLOOKUP($D518,'SAMA Consumables Tracker'!$A:$H,8,FALSE()),""))</f>
        <v/>
      </c>
      <c r="F518" s="24"/>
      <c r="G518" s="25" t="str">
        <f>IF($D518="","",IFERROR(VLOOKUP($D518,'SAMA Consumables Tracker'!$A:$D,4,FALSE()),""))</f>
        <v/>
      </c>
      <c r="H518" s="22"/>
    </row>
    <row r="519" spans="1:8">
      <c r="A519" s="21"/>
      <c r="B519" s="22"/>
      <c r="C519" s="22"/>
      <c r="D519" s="22"/>
      <c r="E519" s="23" t="str">
        <f>IF($D519="","",IFERROR(VLOOKUP($D519,'SAMA Consumables Tracker'!$A:$H,8,FALSE()),""))</f>
        <v/>
      </c>
      <c r="F519" s="24"/>
      <c r="G519" s="25" t="str">
        <f>IF($D519="","",IFERROR(VLOOKUP($D519,'SAMA Consumables Tracker'!$A:$D,4,FALSE()),""))</f>
        <v/>
      </c>
      <c r="H519" s="22"/>
    </row>
    <row r="520" spans="1:8">
      <c r="A520" s="21"/>
      <c r="B520" s="22"/>
      <c r="C520" s="22"/>
      <c r="D520" s="22"/>
      <c r="E520" s="23" t="str">
        <f>IF($D520="","",IFERROR(VLOOKUP($D520,'SAMA Consumables Tracker'!$A:$H,8,FALSE()),""))</f>
        <v/>
      </c>
      <c r="F520" s="24"/>
      <c r="G520" s="25" t="str">
        <f>IF($D520="","",IFERROR(VLOOKUP($D520,'SAMA Consumables Tracker'!$A:$D,4,FALSE()),""))</f>
        <v/>
      </c>
      <c r="H520" s="22"/>
    </row>
    <row r="521" spans="1:8">
      <c r="A521" s="21"/>
      <c r="B521" s="22"/>
      <c r="C521" s="22"/>
      <c r="D521" s="22"/>
      <c r="E521" s="23" t="str">
        <f>IF($D521="","",IFERROR(VLOOKUP($D521,'SAMA Consumables Tracker'!$A:$H,8,FALSE()),""))</f>
        <v/>
      </c>
      <c r="F521" s="24"/>
      <c r="G521" s="25" t="str">
        <f>IF($D521="","",IFERROR(VLOOKUP($D521,'SAMA Consumables Tracker'!$A:$D,4,FALSE()),""))</f>
        <v/>
      </c>
      <c r="H521" s="22"/>
    </row>
    <row r="522" spans="1:8">
      <c r="A522" s="21"/>
      <c r="B522" s="22"/>
      <c r="C522" s="22"/>
      <c r="D522" s="22"/>
      <c r="E522" s="23" t="str">
        <f>IF($D522="","",IFERROR(VLOOKUP($D522,'SAMA Consumables Tracker'!$A:$H,8,FALSE()),""))</f>
        <v/>
      </c>
      <c r="F522" s="24"/>
      <c r="G522" s="25" t="str">
        <f>IF($D522="","",IFERROR(VLOOKUP($D522,'SAMA Consumables Tracker'!$A:$D,4,FALSE()),""))</f>
        <v/>
      </c>
      <c r="H522" s="22"/>
    </row>
    <row r="523" spans="1:8">
      <c r="A523" s="21"/>
      <c r="B523" s="22"/>
      <c r="C523" s="22"/>
      <c r="D523" s="22"/>
      <c r="E523" s="23" t="str">
        <f>IF($D523="","",IFERROR(VLOOKUP($D523,'SAMA Consumables Tracker'!$A:$H,8,FALSE()),""))</f>
        <v/>
      </c>
      <c r="F523" s="24"/>
      <c r="G523" s="25" t="str">
        <f>IF($D523="","",IFERROR(VLOOKUP($D523,'SAMA Consumables Tracker'!$A:$D,4,FALSE()),""))</f>
        <v/>
      </c>
      <c r="H523" s="22"/>
    </row>
    <row r="524" spans="1:8">
      <c r="A524" s="21"/>
      <c r="B524" s="22"/>
      <c r="C524" s="22"/>
      <c r="D524" s="22"/>
      <c r="E524" s="23" t="str">
        <f>IF($D524="","",IFERROR(VLOOKUP($D524,'SAMA Consumables Tracker'!$A:$H,8,FALSE()),""))</f>
        <v/>
      </c>
      <c r="F524" s="24"/>
      <c r="G524" s="25" t="str">
        <f>IF($D524="","",IFERROR(VLOOKUP($D524,'SAMA Consumables Tracker'!$A:$D,4,FALSE()),""))</f>
        <v/>
      </c>
      <c r="H524" s="22"/>
    </row>
    <row r="525" spans="1:8">
      <c r="A525" s="21"/>
      <c r="B525" s="22"/>
      <c r="C525" s="22"/>
      <c r="D525" s="22"/>
      <c r="E525" s="23" t="str">
        <f>IF($D525="","",IFERROR(VLOOKUP($D525,'SAMA Consumables Tracker'!$A:$H,8,FALSE()),""))</f>
        <v/>
      </c>
      <c r="F525" s="24"/>
      <c r="G525" s="25" t="str">
        <f>IF($D525="","",IFERROR(VLOOKUP($D525,'SAMA Consumables Tracker'!$A:$D,4,FALSE()),""))</f>
        <v/>
      </c>
      <c r="H525" s="22"/>
    </row>
    <row r="526" spans="1:8">
      <c r="A526" s="21"/>
      <c r="B526" s="22"/>
      <c r="C526" s="22"/>
      <c r="D526" s="22"/>
      <c r="E526" s="23" t="str">
        <f>IF($D526="","",IFERROR(VLOOKUP($D526,'SAMA Consumables Tracker'!$A:$H,8,FALSE()),""))</f>
        <v/>
      </c>
      <c r="F526" s="24"/>
      <c r="G526" s="25" t="str">
        <f>IF($D526="","",IFERROR(VLOOKUP($D526,'SAMA Consumables Tracker'!$A:$D,4,FALSE()),""))</f>
        <v/>
      </c>
      <c r="H526" s="22"/>
    </row>
    <row r="527" spans="1:8">
      <c r="A527" s="21"/>
      <c r="B527" s="22"/>
      <c r="C527" s="22"/>
      <c r="D527" s="22"/>
      <c r="E527" s="23" t="str">
        <f>IF($D527="","",IFERROR(VLOOKUP($D527,'SAMA Consumables Tracker'!$A:$H,8,FALSE()),""))</f>
        <v/>
      </c>
      <c r="F527" s="24"/>
      <c r="G527" s="25" t="str">
        <f>IF($D527="","",IFERROR(VLOOKUP($D527,'SAMA Consumables Tracker'!$A:$D,4,FALSE()),""))</f>
        <v/>
      </c>
      <c r="H527" s="22"/>
    </row>
    <row r="528" spans="1:8">
      <c r="A528" s="21"/>
      <c r="B528" s="22"/>
      <c r="C528" s="22"/>
      <c r="D528" s="22"/>
      <c r="E528" s="23" t="str">
        <f>IF($D528="","",IFERROR(VLOOKUP($D528,'SAMA Consumables Tracker'!$A:$H,8,FALSE()),""))</f>
        <v/>
      </c>
      <c r="F528" s="24"/>
      <c r="G528" s="25" t="str">
        <f>IF($D528="","",IFERROR(VLOOKUP($D528,'SAMA Consumables Tracker'!$A:$D,4,FALSE()),""))</f>
        <v/>
      </c>
      <c r="H528" s="22"/>
    </row>
    <row r="529" spans="1:8">
      <c r="A529" s="21"/>
      <c r="B529" s="22"/>
      <c r="C529" s="22"/>
      <c r="D529" s="22"/>
      <c r="E529" s="23" t="str">
        <f>IF($D529="","",IFERROR(VLOOKUP($D529,'SAMA Consumables Tracker'!$A:$H,8,FALSE()),""))</f>
        <v/>
      </c>
      <c r="F529" s="24"/>
      <c r="G529" s="25" t="str">
        <f>IF($D529="","",IFERROR(VLOOKUP($D529,'SAMA Consumables Tracker'!$A:$D,4,FALSE()),""))</f>
        <v/>
      </c>
      <c r="H529" s="22"/>
    </row>
    <row r="530" spans="1:8">
      <c r="A530" s="21"/>
      <c r="B530" s="22"/>
      <c r="C530" s="22"/>
      <c r="D530" s="22"/>
      <c r="E530" s="23" t="str">
        <f>IF($D530="","",IFERROR(VLOOKUP($D530,'SAMA Consumables Tracker'!$A:$H,8,FALSE()),""))</f>
        <v/>
      </c>
      <c r="F530" s="24"/>
      <c r="G530" s="25" t="str">
        <f>IF($D530="","",IFERROR(VLOOKUP($D530,'SAMA Consumables Tracker'!$A:$D,4,FALSE()),""))</f>
        <v/>
      </c>
      <c r="H530" s="22"/>
    </row>
    <row r="531" spans="1:8">
      <c r="A531" s="21"/>
      <c r="B531" s="22"/>
      <c r="C531" s="22"/>
      <c r="D531" s="22"/>
      <c r="E531" s="23" t="str">
        <f>IF($D531="","",IFERROR(VLOOKUP($D531,'SAMA Consumables Tracker'!$A:$H,8,FALSE()),""))</f>
        <v/>
      </c>
      <c r="F531" s="24"/>
      <c r="G531" s="25" t="str">
        <f>IF($D531="","",IFERROR(VLOOKUP($D531,'SAMA Consumables Tracker'!$A:$D,4,FALSE()),""))</f>
        <v/>
      </c>
      <c r="H531" s="22"/>
    </row>
    <row r="532" spans="1:8">
      <c r="A532" s="21"/>
      <c r="B532" s="22"/>
      <c r="C532" s="22"/>
      <c r="D532" s="22"/>
      <c r="E532" s="23" t="str">
        <f>IF($D532="","",IFERROR(VLOOKUP($D532,'SAMA Consumables Tracker'!$A:$H,8,FALSE()),""))</f>
        <v/>
      </c>
      <c r="F532" s="24"/>
      <c r="G532" s="25" t="str">
        <f>IF($D532="","",IFERROR(VLOOKUP($D532,'SAMA Consumables Tracker'!$A:$D,4,FALSE()),""))</f>
        <v/>
      </c>
      <c r="H532" s="22"/>
    </row>
    <row r="533" spans="1:8">
      <c r="A533" s="21"/>
      <c r="B533" s="22"/>
      <c r="C533" s="22"/>
      <c r="D533" s="22"/>
      <c r="E533" s="23" t="str">
        <f>IF($D533="","",IFERROR(VLOOKUP($D533,'SAMA Consumables Tracker'!$A:$H,8,FALSE()),""))</f>
        <v/>
      </c>
      <c r="F533" s="24"/>
      <c r="G533" s="25" t="str">
        <f>IF($D533="","",IFERROR(VLOOKUP($D533,'SAMA Consumables Tracker'!$A:$D,4,FALSE()),""))</f>
        <v/>
      </c>
      <c r="H533" s="22"/>
    </row>
    <row r="534" spans="1:8">
      <c r="A534" s="21"/>
      <c r="B534" s="22"/>
      <c r="C534" s="22"/>
      <c r="D534" s="22"/>
      <c r="E534" s="23" t="str">
        <f>IF($D534="","",IFERROR(VLOOKUP($D534,'SAMA Consumables Tracker'!$A:$H,8,FALSE()),""))</f>
        <v/>
      </c>
      <c r="F534" s="24"/>
      <c r="G534" s="25" t="str">
        <f>IF($D534="","",IFERROR(VLOOKUP($D534,'SAMA Consumables Tracker'!$A:$D,4,FALSE()),""))</f>
        <v/>
      </c>
      <c r="H534" s="22"/>
    </row>
    <row r="535" spans="1:8">
      <c r="A535" s="21"/>
      <c r="B535" s="22"/>
      <c r="C535" s="22"/>
      <c r="D535" s="22"/>
      <c r="E535" s="23" t="str">
        <f>IF($D535="","",IFERROR(VLOOKUP($D535,'SAMA Consumables Tracker'!$A:$H,8,FALSE()),""))</f>
        <v/>
      </c>
      <c r="F535" s="24"/>
      <c r="G535" s="25" t="str">
        <f>IF($D535="","",IFERROR(VLOOKUP($D535,'SAMA Consumables Tracker'!$A:$D,4,FALSE()),""))</f>
        <v/>
      </c>
      <c r="H535" s="22"/>
    </row>
    <row r="536" spans="1:8">
      <c r="A536" s="21"/>
      <c r="B536" s="22"/>
      <c r="C536" s="22"/>
      <c r="D536" s="22"/>
      <c r="E536" s="23" t="str">
        <f>IF($D536="","",IFERROR(VLOOKUP($D536,'SAMA Consumables Tracker'!$A:$H,8,FALSE()),""))</f>
        <v/>
      </c>
      <c r="F536" s="24"/>
      <c r="G536" s="25" t="str">
        <f>IF($D536="","",IFERROR(VLOOKUP($D536,'SAMA Consumables Tracker'!$A:$D,4,FALSE()),""))</f>
        <v/>
      </c>
      <c r="H536" s="22"/>
    </row>
    <row r="537" spans="1:8">
      <c r="A537" s="21"/>
      <c r="B537" s="22"/>
      <c r="C537" s="22"/>
      <c r="D537" s="22"/>
      <c r="E537" s="23" t="str">
        <f>IF($D537="","",IFERROR(VLOOKUP($D537,'SAMA Consumables Tracker'!$A:$H,8,FALSE()),""))</f>
        <v/>
      </c>
      <c r="F537" s="24"/>
      <c r="G537" s="25" t="str">
        <f>IF($D537="","",IFERROR(VLOOKUP($D537,'SAMA Consumables Tracker'!$A:$D,4,FALSE()),""))</f>
        <v/>
      </c>
      <c r="H537" s="22"/>
    </row>
    <row r="538" spans="1:8">
      <c r="A538" s="21"/>
      <c r="B538" s="22"/>
      <c r="C538" s="22"/>
      <c r="D538" s="22"/>
      <c r="E538" s="23" t="str">
        <f>IF($D538="","",IFERROR(VLOOKUP($D538,'SAMA Consumables Tracker'!$A:$H,8,FALSE()),""))</f>
        <v/>
      </c>
      <c r="F538" s="24"/>
      <c r="G538" s="25" t="str">
        <f>IF($D538="","",IFERROR(VLOOKUP($D538,'SAMA Consumables Tracker'!$A:$D,4,FALSE()),""))</f>
        <v/>
      </c>
      <c r="H538" s="22"/>
    </row>
    <row r="539" spans="1:8">
      <c r="A539" s="21"/>
      <c r="B539" s="22"/>
      <c r="C539" s="22"/>
      <c r="D539" s="22"/>
      <c r="E539" s="23" t="str">
        <f>IF($D539="","",IFERROR(VLOOKUP($D539,'SAMA Consumables Tracker'!$A:$H,8,FALSE()),""))</f>
        <v/>
      </c>
      <c r="F539" s="24"/>
      <c r="G539" s="25" t="str">
        <f>IF($D539="","",IFERROR(VLOOKUP($D539,'SAMA Consumables Tracker'!$A:$D,4,FALSE()),""))</f>
        <v/>
      </c>
      <c r="H539" s="22"/>
    </row>
    <row r="540" spans="1:8">
      <c r="A540" s="21"/>
      <c r="B540" s="22"/>
      <c r="C540" s="22"/>
      <c r="D540" s="22"/>
      <c r="E540" s="23" t="str">
        <f>IF($D540="","",IFERROR(VLOOKUP($D540,'SAMA Consumables Tracker'!$A:$H,8,FALSE()),""))</f>
        <v/>
      </c>
      <c r="F540" s="24"/>
      <c r="G540" s="25" t="str">
        <f>IF($D540="","",IFERROR(VLOOKUP($D540,'SAMA Consumables Tracker'!$A:$D,4,FALSE()),""))</f>
        <v/>
      </c>
      <c r="H540" s="22"/>
    </row>
    <row r="541" spans="1:8">
      <c r="A541" s="21"/>
      <c r="B541" s="22"/>
      <c r="C541" s="22"/>
      <c r="D541" s="22"/>
      <c r="E541" s="23" t="str">
        <f>IF($D541="","",IFERROR(VLOOKUP($D541,'SAMA Consumables Tracker'!$A:$H,8,FALSE()),""))</f>
        <v/>
      </c>
      <c r="F541" s="24"/>
      <c r="G541" s="25" t="str">
        <f>IF($D541="","",IFERROR(VLOOKUP($D541,'SAMA Consumables Tracker'!$A:$D,4,FALSE()),""))</f>
        <v/>
      </c>
      <c r="H541" s="22"/>
    </row>
    <row r="542" spans="1:8">
      <c r="A542" s="21"/>
      <c r="B542" s="22"/>
      <c r="C542" s="22"/>
      <c r="D542" s="22"/>
      <c r="E542" s="23" t="str">
        <f>IF($D542="","",IFERROR(VLOOKUP($D542,'SAMA Consumables Tracker'!$A:$H,8,FALSE()),""))</f>
        <v/>
      </c>
      <c r="F542" s="24"/>
      <c r="G542" s="25" t="str">
        <f>IF($D542="","",IFERROR(VLOOKUP($D542,'SAMA Consumables Tracker'!$A:$D,4,FALSE()),""))</f>
        <v/>
      </c>
      <c r="H542" s="22"/>
    </row>
    <row r="543" spans="1:8">
      <c r="A543" s="21"/>
      <c r="B543" s="22"/>
      <c r="C543" s="22"/>
      <c r="D543" s="22"/>
      <c r="E543" s="23" t="str">
        <f>IF($D543="","",IFERROR(VLOOKUP($D543,'SAMA Consumables Tracker'!$A:$H,8,FALSE()),""))</f>
        <v/>
      </c>
      <c r="F543" s="24"/>
      <c r="G543" s="25" t="str">
        <f>IF($D543="","",IFERROR(VLOOKUP($D543,'SAMA Consumables Tracker'!$A:$D,4,FALSE()),""))</f>
        <v/>
      </c>
      <c r="H543" s="22"/>
    </row>
    <row r="544" spans="1:8">
      <c r="A544" s="21"/>
      <c r="B544" s="22"/>
      <c r="C544" s="22"/>
      <c r="D544" s="22"/>
      <c r="E544" s="23" t="str">
        <f>IF($D544="","",IFERROR(VLOOKUP($D544,'SAMA Consumables Tracker'!$A:$H,8,FALSE()),""))</f>
        <v/>
      </c>
      <c r="F544" s="24"/>
      <c r="G544" s="25" t="str">
        <f>IF($D544="","",IFERROR(VLOOKUP($D544,'SAMA Consumables Tracker'!$A:$D,4,FALSE()),""))</f>
        <v/>
      </c>
      <c r="H544" s="22"/>
    </row>
    <row r="545" spans="1:8">
      <c r="A545" s="21"/>
      <c r="B545" s="22"/>
      <c r="C545" s="22"/>
      <c r="D545" s="22"/>
      <c r="E545" s="23" t="str">
        <f>IF($D545="","",IFERROR(VLOOKUP($D545,'SAMA Consumables Tracker'!$A:$H,8,FALSE()),""))</f>
        <v/>
      </c>
      <c r="F545" s="24"/>
      <c r="G545" s="25" t="str">
        <f>IF($D545="","",IFERROR(VLOOKUP($D545,'SAMA Consumables Tracker'!$A:$D,4,FALSE()),""))</f>
        <v/>
      </c>
      <c r="H545" s="22"/>
    </row>
    <row r="546" spans="1:8">
      <c r="A546" s="21"/>
      <c r="B546" s="22"/>
      <c r="C546" s="22"/>
      <c r="D546" s="22"/>
      <c r="E546" s="23" t="str">
        <f>IF($D546="","",IFERROR(VLOOKUP($D546,'SAMA Consumables Tracker'!$A:$H,8,FALSE()),""))</f>
        <v/>
      </c>
      <c r="F546" s="24"/>
      <c r="G546" s="25" t="str">
        <f>IF($D546="","",IFERROR(VLOOKUP($D546,'SAMA Consumables Tracker'!$A:$D,4,FALSE()),""))</f>
        <v/>
      </c>
      <c r="H546" s="22"/>
    </row>
    <row r="547" spans="1:8">
      <c r="A547" s="21"/>
      <c r="B547" s="22"/>
      <c r="C547" s="22"/>
      <c r="D547" s="22"/>
      <c r="E547" s="23" t="str">
        <f>IF($D547="","",IFERROR(VLOOKUP($D547,'SAMA Consumables Tracker'!$A:$H,8,FALSE()),""))</f>
        <v/>
      </c>
      <c r="F547" s="24"/>
      <c r="G547" s="25" t="str">
        <f>IF($D547="","",IFERROR(VLOOKUP($D547,'SAMA Consumables Tracker'!$A:$D,4,FALSE()),""))</f>
        <v/>
      </c>
      <c r="H547" s="22"/>
    </row>
    <row r="548" spans="1:8">
      <c r="A548" s="21"/>
      <c r="B548" s="22"/>
      <c r="C548" s="22"/>
      <c r="D548" s="22"/>
      <c r="E548" s="23" t="str">
        <f>IF($D548="","",IFERROR(VLOOKUP($D548,'SAMA Consumables Tracker'!$A:$H,8,FALSE()),""))</f>
        <v/>
      </c>
      <c r="F548" s="24"/>
      <c r="G548" s="25" t="str">
        <f>IF($D548="","",IFERROR(VLOOKUP($D548,'SAMA Consumables Tracker'!$A:$D,4,FALSE()),""))</f>
        <v/>
      </c>
      <c r="H548" s="22"/>
    </row>
    <row r="549" spans="1:8">
      <c r="A549" s="21"/>
      <c r="B549" s="22"/>
      <c r="C549" s="22"/>
      <c r="D549" s="22"/>
      <c r="E549" s="23" t="str">
        <f>IF($D549="","",IFERROR(VLOOKUP($D549,'SAMA Consumables Tracker'!$A:$H,8,FALSE()),""))</f>
        <v/>
      </c>
      <c r="F549" s="24"/>
      <c r="G549" s="25" t="str">
        <f>IF($D549="","",IFERROR(VLOOKUP($D549,'SAMA Consumables Tracker'!$A:$D,4,FALSE()),""))</f>
        <v/>
      </c>
      <c r="H549" s="22"/>
    </row>
    <row r="550" spans="1:8">
      <c r="A550" s="21"/>
      <c r="B550" s="22"/>
      <c r="C550" s="22"/>
      <c r="D550" s="22"/>
      <c r="E550" s="23" t="str">
        <f>IF($D550="","",IFERROR(VLOOKUP($D550,'SAMA Consumables Tracker'!$A:$H,8,FALSE()),""))</f>
        <v/>
      </c>
      <c r="F550" s="24"/>
      <c r="G550" s="25" t="str">
        <f>IF($D550="","",IFERROR(VLOOKUP($D550,'SAMA Consumables Tracker'!$A:$D,4,FALSE()),""))</f>
        <v/>
      </c>
      <c r="H550" s="22"/>
    </row>
    <row r="551" spans="1:8">
      <c r="A551" s="21"/>
      <c r="B551" s="22"/>
      <c r="C551" s="22"/>
      <c r="D551" s="22"/>
      <c r="E551" s="23" t="str">
        <f>IF($D551="","",IFERROR(VLOOKUP($D551,'SAMA Consumables Tracker'!$A:$H,8,FALSE()),""))</f>
        <v/>
      </c>
      <c r="F551" s="24"/>
      <c r="G551" s="25" t="str">
        <f>IF($D551="","",IFERROR(VLOOKUP($D551,'SAMA Consumables Tracker'!$A:$D,4,FALSE()),""))</f>
        <v/>
      </c>
      <c r="H551" s="22"/>
    </row>
    <row r="552" spans="1:8">
      <c r="A552" s="21"/>
      <c r="B552" s="22"/>
      <c r="C552" s="22"/>
      <c r="D552" s="22"/>
      <c r="E552" s="23" t="str">
        <f>IF($D552="","",IFERROR(VLOOKUP($D552,'SAMA Consumables Tracker'!$A:$H,8,FALSE()),""))</f>
        <v/>
      </c>
      <c r="F552" s="24"/>
      <c r="G552" s="25" t="str">
        <f>IF($D552="","",IFERROR(VLOOKUP($D552,'SAMA Consumables Tracker'!$A:$D,4,FALSE()),""))</f>
        <v/>
      </c>
      <c r="H552" s="22"/>
    </row>
    <row r="553" spans="1:8">
      <c r="A553" s="21"/>
      <c r="B553" s="22"/>
      <c r="C553" s="22"/>
      <c r="D553" s="22"/>
      <c r="E553" s="23" t="str">
        <f>IF($D553="","",IFERROR(VLOOKUP($D553,'SAMA Consumables Tracker'!$A:$H,8,FALSE()),""))</f>
        <v/>
      </c>
      <c r="F553" s="24"/>
      <c r="G553" s="25" t="str">
        <f>IF($D553="","",IFERROR(VLOOKUP($D553,'SAMA Consumables Tracker'!$A:$D,4,FALSE()),""))</f>
        <v/>
      </c>
      <c r="H553" s="22"/>
    </row>
    <row r="554" spans="1:8">
      <c r="A554" s="21"/>
      <c r="B554" s="22"/>
      <c r="C554" s="22"/>
      <c r="D554" s="22"/>
      <c r="E554" s="23" t="str">
        <f>IF($D554="","",IFERROR(VLOOKUP($D554,'SAMA Consumables Tracker'!$A:$H,8,FALSE()),""))</f>
        <v/>
      </c>
      <c r="F554" s="24"/>
      <c r="G554" s="25" t="str">
        <f>IF($D554="","",IFERROR(VLOOKUP($D554,'SAMA Consumables Tracker'!$A:$D,4,FALSE()),""))</f>
        <v/>
      </c>
      <c r="H554" s="22"/>
    </row>
    <row r="555" spans="1:8">
      <c r="A555" s="21"/>
      <c r="B555" s="22"/>
      <c r="C555" s="22"/>
      <c r="D555" s="22"/>
      <c r="E555" s="23" t="str">
        <f>IF($D555="","",IFERROR(VLOOKUP($D555,'SAMA Consumables Tracker'!$A:$H,8,FALSE()),""))</f>
        <v/>
      </c>
      <c r="F555" s="24"/>
      <c r="G555" s="25" t="str">
        <f>IF($D555="","",IFERROR(VLOOKUP($D555,'SAMA Consumables Tracker'!$A:$D,4,FALSE()),""))</f>
        <v/>
      </c>
      <c r="H555" s="22"/>
    </row>
    <row r="556" spans="1:8">
      <c r="A556" s="21"/>
      <c r="B556" s="22"/>
      <c r="C556" s="22"/>
      <c r="D556" s="22"/>
      <c r="E556" s="23" t="str">
        <f>IF($D556="","",IFERROR(VLOOKUP($D556,'SAMA Consumables Tracker'!$A:$H,8,FALSE()),""))</f>
        <v/>
      </c>
      <c r="F556" s="24"/>
      <c r="G556" s="25" t="str">
        <f>IF($D556="","",IFERROR(VLOOKUP($D556,'SAMA Consumables Tracker'!$A:$D,4,FALSE()),""))</f>
        <v/>
      </c>
      <c r="H556" s="22"/>
    </row>
    <row r="557" spans="1:8">
      <c r="A557" s="21"/>
      <c r="B557" s="22"/>
      <c r="C557" s="22"/>
      <c r="D557" s="22"/>
      <c r="E557" s="23" t="str">
        <f>IF($D557="","",IFERROR(VLOOKUP($D557,'SAMA Consumables Tracker'!$A:$H,8,FALSE()),""))</f>
        <v/>
      </c>
      <c r="F557" s="24"/>
      <c r="G557" s="25" t="str">
        <f>IF($D557="","",IFERROR(VLOOKUP($D557,'SAMA Consumables Tracker'!$A:$D,4,FALSE()),""))</f>
        <v/>
      </c>
      <c r="H557" s="22"/>
    </row>
    <row r="558" spans="1:8">
      <c r="A558" s="21"/>
      <c r="B558" s="22"/>
      <c r="C558" s="22"/>
      <c r="D558" s="22"/>
      <c r="E558" s="23" t="str">
        <f>IF($D558="","",IFERROR(VLOOKUP($D558,'SAMA Consumables Tracker'!$A:$H,8,FALSE()),""))</f>
        <v/>
      </c>
      <c r="F558" s="24"/>
      <c r="G558" s="25" t="str">
        <f>IF($D558="","",IFERROR(VLOOKUP($D558,'SAMA Consumables Tracker'!$A:$D,4,FALSE()),""))</f>
        <v/>
      </c>
      <c r="H558" s="22"/>
    </row>
    <row r="559" spans="1:8">
      <c r="A559" s="21"/>
      <c r="B559" s="22"/>
      <c r="C559" s="22"/>
      <c r="D559" s="22"/>
      <c r="E559" s="23" t="str">
        <f>IF($D559="","",IFERROR(VLOOKUP($D559,'SAMA Consumables Tracker'!$A:$H,8,FALSE()),""))</f>
        <v/>
      </c>
      <c r="F559" s="24"/>
      <c r="G559" s="25" t="str">
        <f>IF($D559="","",IFERROR(VLOOKUP($D559,'SAMA Consumables Tracker'!$A:$D,4,FALSE()),""))</f>
        <v/>
      </c>
      <c r="H559" s="22"/>
    </row>
    <row r="560" spans="1:8">
      <c r="A560" s="21"/>
      <c r="B560" s="22"/>
      <c r="C560" s="22"/>
      <c r="D560" s="22"/>
      <c r="E560" s="23" t="str">
        <f>IF($D560="","",IFERROR(VLOOKUP($D560,'SAMA Consumables Tracker'!$A:$H,8,FALSE()),""))</f>
        <v/>
      </c>
      <c r="F560" s="24"/>
      <c r="G560" s="25" t="str">
        <f>IF($D560="","",IFERROR(VLOOKUP($D560,'SAMA Consumables Tracker'!$A:$D,4,FALSE()),""))</f>
        <v/>
      </c>
      <c r="H560" s="22"/>
    </row>
    <row r="561" spans="1:8">
      <c r="A561" s="21"/>
      <c r="B561" s="22"/>
      <c r="C561" s="22"/>
      <c r="D561" s="22"/>
      <c r="E561" s="23" t="str">
        <f>IF($D561="","",IFERROR(VLOOKUP($D561,'SAMA Consumables Tracker'!$A:$H,8,FALSE()),""))</f>
        <v/>
      </c>
      <c r="F561" s="24"/>
      <c r="G561" s="25" t="str">
        <f>IF($D561="","",IFERROR(VLOOKUP($D561,'SAMA Consumables Tracker'!$A:$D,4,FALSE()),""))</f>
        <v/>
      </c>
      <c r="H561" s="22"/>
    </row>
    <row r="562" spans="1:8">
      <c r="A562" s="21"/>
      <c r="B562" s="22"/>
      <c r="C562" s="22"/>
      <c r="D562" s="22"/>
      <c r="E562" s="23" t="str">
        <f>IF($D562="","",IFERROR(VLOOKUP($D562,'SAMA Consumables Tracker'!$A:$H,8,FALSE()),""))</f>
        <v/>
      </c>
      <c r="F562" s="24"/>
      <c r="G562" s="25" t="str">
        <f>IF($D562="","",IFERROR(VLOOKUP($D562,'SAMA Consumables Tracker'!$A:$D,4,FALSE()),""))</f>
        <v/>
      </c>
      <c r="H562" s="22"/>
    </row>
    <row r="563" spans="1:8">
      <c r="A563" s="21"/>
      <c r="B563" s="22"/>
      <c r="C563" s="22"/>
      <c r="D563" s="22"/>
      <c r="E563" s="23" t="str">
        <f>IF($D563="","",IFERROR(VLOOKUP($D563,'SAMA Consumables Tracker'!$A:$H,8,FALSE()),""))</f>
        <v/>
      </c>
      <c r="F563" s="24"/>
      <c r="G563" s="25" t="str">
        <f>IF($D563="","",IFERROR(VLOOKUP($D563,'SAMA Consumables Tracker'!$A:$D,4,FALSE()),""))</f>
        <v/>
      </c>
      <c r="H563" s="22"/>
    </row>
    <row r="564" spans="1:8">
      <c r="A564" s="21"/>
      <c r="B564" s="22"/>
      <c r="C564" s="22"/>
      <c r="D564" s="22"/>
      <c r="E564" s="23" t="str">
        <f>IF($D564="","",IFERROR(VLOOKUP($D564,'SAMA Consumables Tracker'!$A:$H,8,FALSE()),""))</f>
        <v/>
      </c>
      <c r="F564" s="24"/>
      <c r="G564" s="25" t="str">
        <f>IF($D564="","",IFERROR(VLOOKUP($D564,'SAMA Consumables Tracker'!$A:$D,4,FALSE()),""))</f>
        <v/>
      </c>
      <c r="H564" s="22"/>
    </row>
    <row r="565" spans="1:8">
      <c r="A565" s="21"/>
      <c r="B565" s="22"/>
      <c r="C565" s="22"/>
      <c r="D565" s="22"/>
      <c r="E565" s="23" t="str">
        <f>IF($D565="","",IFERROR(VLOOKUP($D565,'SAMA Consumables Tracker'!$A:$H,8,FALSE()),""))</f>
        <v/>
      </c>
      <c r="F565" s="24"/>
      <c r="G565" s="25" t="str">
        <f>IF($D565="","",IFERROR(VLOOKUP($D565,'SAMA Consumables Tracker'!$A:$D,4,FALSE()),""))</f>
        <v/>
      </c>
      <c r="H565" s="22"/>
    </row>
    <row r="566" spans="1:8">
      <c r="A566" s="21"/>
      <c r="B566" s="22"/>
      <c r="C566" s="22"/>
      <c r="D566" s="22"/>
      <c r="E566" s="23" t="str">
        <f>IF($D566="","",IFERROR(VLOOKUP($D566,'SAMA Consumables Tracker'!$A:$H,8,FALSE()),""))</f>
        <v/>
      </c>
      <c r="F566" s="24"/>
      <c r="G566" s="25" t="str">
        <f>IF($D566="","",IFERROR(VLOOKUP($D566,'SAMA Consumables Tracker'!$A:$D,4,FALSE()),""))</f>
        <v/>
      </c>
      <c r="H566" s="22"/>
    </row>
    <row r="567" spans="1:8">
      <c r="A567" s="21"/>
      <c r="B567" s="22"/>
      <c r="C567" s="22"/>
      <c r="D567" s="22"/>
      <c r="E567" s="23" t="str">
        <f>IF($D567="","",IFERROR(VLOOKUP($D567,'SAMA Consumables Tracker'!$A:$H,8,FALSE()),""))</f>
        <v/>
      </c>
      <c r="F567" s="24"/>
      <c r="G567" s="25" t="str">
        <f>IF($D567="","",IFERROR(VLOOKUP($D567,'SAMA Consumables Tracker'!$A:$D,4,FALSE()),""))</f>
        <v/>
      </c>
      <c r="H567" s="22"/>
    </row>
    <row r="568" spans="1:8">
      <c r="A568" s="21"/>
      <c r="B568" s="22"/>
      <c r="C568" s="22"/>
      <c r="D568" s="22"/>
      <c r="E568" s="23" t="str">
        <f>IF($D568="","",IFERROR(VLOOKUP($D568,'SAMA Consumables Tracker'!$A:$H,8,FALSE()),""))</f>
        <v/>
      </c>
      <c r="F568" s="24"/>
      <c r="G568" s="25" t="str">
        <f>IF($D568="","",IFERROR(VLOOKUP($D568,'SAMA Consumables Tracker'!$A:$D,4,FALSE()),""))</f>
        <v/>
      </c>
      <c r="H568" s="22"/>
    </row>
    <row r="569" spans="1:8">
      <c r="A569" s="21"/>
      <c r="B569" s="22"/>
      <c r="C569" s="22"/>
      <c r="D569" s="22"/>
      <c r="E569" s="23" t="str">
        <f>IF($D569="","",IFERROR(VLOOKUP($D569,'SAMA Consumables Tracker'!$A:$H,8,FALSE()),""))</f>
        <v/>
      </c>
      <c r="F569" s="24"/>
      <c r="G569" s="25" t="str">
        <f>IF($D569="","",IFERROR(VLOOKUP($D569,'SAMA Consumables Tracker'!$A:$D,4,FALSE()),""))</f>
        <v/>
      </c>
      <c r="H569" s="22"/>
    </row>
    <row r="570" spans="1:8">
      <c r="A570" s="21"/>
      <c r="B570" s="22"/>
      <c r="C570" s="22"/>
      <c r="D570" s="22"/>
      <c r="E570" s="23" t="str">
        <f>IF($D570="","",IFERROR(VLOOKUP($D570,'SAMA Consumables Tracker'!$A:$H,8,FALSE()),""))</f>
        <v/>
      </c>
      <c r="F570" s="24"/>
      <c r="G570" s="25" t="str">
        <f>IF($D570="","",IFERROR(VLOOKUP($D570,'SAMA Consumables Tracker'!$A:$D,4,FALSE()),""))</f>
        <v/>
      </c>
      <c r="H570" s="22"/>
    </row>
    <row r="571" spans="1:8">
      <c r="A571" s="21"/>
      <c r="B571" s="22"/>
      <c r="C571" s="22"/>
      <c r="D571" s="22"/>
      <c r="E571" s="23" t="str">
        <f>IF($D571="","",IFERROR(VLOOKUP($D571,'SAMA Consumables Tracker'!$A:$H,8,FALSE()),""))</f>
        <v/>
      </c>
      <c r="F571" s="24"/>
      <c r="G571" s="25" t="str">
        <f>IF($D571="","",IFERROR(VLOOKUP($D571,'SAMA Consumables Tracker'!$A:$D,4,FALSE()),""))</f>
        <v/>
      </c>
      <c r="H571" s="22"/>
    </row>
    <row r="572" spans="1:8">
      <c r="A572" s="21"/>
      <c r="B572" s="22"/>
      <c r="C572" s="22"/>
      <c r="D572" s="22"/>
      <c r="E572" s="23" t="str">
        <f>IF($D572="","",IFERROR(VLOOKUP($D572,'SAMA Consumables Tracker'!$A:$H,8,FALSE()),""))</f>
        <v/>
      </c>
      <c r="F572" s="24"/>
      <c r="G572" s="25" t="str">
        <f>IF($D572="","",IFERROR(VLOOKUP($D572,'SAMA Consumables Tracker'!$A:$D,4,FALSE()),""))</f>
        <v/>
      </c>
      <c r="H572" s="22"/>
    </row>
    <row r="573" spans="1:8">
      <c r="A573" s="21"/>
      <c r="B573" s="22"/>
      <c r="C573" s="22"/>
      <c r="D573" s="22"/>
      <c r="E573" s="23" t="str">
        <f>IF($D573="","",IFERROR(VLOOKUP($D573,'SAMA Consumables Tracker'!$A:$H,8,FALSE()),""))</f>
        <v/>
      </c>
      <c r="F573" s="24"/>
      <c r="G573" s="25" t="str">
        <f>IF($D573="","",IFERROR(VLOOKUP($D573,'SAMA Consumables Tracker'!$A:$D,4,FALSE()),""))</f>
        <v/>
      </c>
      <c r="H573" s="22"/>
    </row>
    <row r="574" spans="1:8">
      <c r="A574" s="21"/>
      <c r="B574" s="22"/>
      <c r="C574" s="22"/>
      <c r="D574" s="22"/>
      <c r="E574" s="23" t="str">
        <f>IF($D574="","",IFERROR(VLOOKUP($D574,'SAMA Consumables Tracker'!$A:$H,8,FALSE()),""))</f>
        <v/>
      </c>
      <c r="F574" s="24"/>
      <c r="G574" s="25" t="str">
        <f>IF($D574="","",IFERROR(VLOOKUP($D574,'SAMA Consumables Tracker'!$A:$D,4,FALSE()),""))</f>
        <v/>
      </c>
      <c r="H574" s="22"/>
    </row>
    <row r="575" spans="1:8">
      <c r="A575" s="21"/>
      <c r="B575" s="22"/>
      <c r="C575" s="22"/>
      <c r="D575" s="22"/>
      <c r="E575" s="23" t="str">
        <f>IF($D575="","",IFERROR(VLOOKUP($D575,'SAMA Consumables Tracker'!$A:$H,8,FALSE()),""))</f>
        <v/>
      </c>
      <c r="F575" s="24"/>
      <c r="G575" s="25" t="str">
        <f>IF($D575="","",IFERROR(VLOOKUP($D575,'SAMA Consumables Tracker'!$A:$D,4,FALSE()),""))</f>
        <v/>
      </c>
      <c r="H575" s="22"/>
    </row>
    <row r="576" spans="1:8">
      <c r="A576" s="21"/>
      <c r="B576" s="22"/>
      <c r="C576" s="22"/>
      <c r="D576" s="22"/>
      <c r="E576" s="23" t="str">
        <f>IF($D576="","",IFERROR(VLOOKUP($D576,'SAMA Consumables Tracker'!$A:$H,8,FALSE()),""))</f>
        <v/>
      </c>
      <c r="F576" s="24"/>
      <c r="G576" s="25" t="str">
        <f>IF($D576="","",IFERROR(VLOOKUP($D576,'SAMA Consumables Tracker'!$A:$D,4,FALSE()),""))</f>
        <v/>
      </c>
      <c r="H576" s="22"/>
    </row>
    <row r="577" spans="1:8">
      <c r="A577" s="21"/>
      <c r="B577" s="22"/>
      <c r="C577" s="22"/>
      <c r="D577" s="22"/>
      <c r="E577" s="23" t="str">
        <f>IF($D577="","",IFERROR(VLOOKUP($D577,'SAMA Consumables Tracker'!$A:$H,8,FALSE()),""))</f>
        <v/>
      </c>
      <c r="F577" s="24"/>
      <c r="G577" s="25" t="str">
        <f>IF($D577="","",IFERROR(VLOOKUP($D577,'SAMA Consumables Tracker'!$A:$D,4,FALSE()),""))</f>
        <v/>
      </c>
      <c r="H577" s="22"/>
    </row>
    <row r="578" spans="1:8">
      <c r="A578" s="21"/>
      <c r="B578" s="22"/>
      <c r="C578" s="22"/>
      <c r="D578" s="22"/>
      <c r="E578" s="23" t="str">
        <f>IF($D578="","",IFERROR(VLOOKUP($D578,'SAMA Consumables Tracker'!$A:$H,8,FALSE()),""))</f>
        <v/>
      </c>
      <c r="F578" s="24"/>
      <c r="G578" s="25" t="str">
        <f>IF($D578="","",IFERROR(VLOOKUP($D578,'SAMA Consumables Tracker'!$A:$D,4,FALSE()),""))</f>
        <v/>
      </c>
      <c r="H578" s="22"/>
    </row>
    <row r="579" spans="1:8">
      <c r="A579" s="21"/>
      <c r="B579" s="22"/>
      <c r="C579" s="22"/>
      <c r="D579" s="22"/>
      <c r="E579" s="23" t="str">
        <f>IF($D579="","",IFERROR(VLOOKUP($D579,'SAMA Consumables Tracker'!$A:$H,8,FALSE()),""))</f>
        <v/>
      </c>
      <c r="F579" s="24"/>
      <c r="G579" s="25" t="str">
        <f>IF($D579="","",IFERROR(VLOOKUP($D579,'SAMA Consumables Tracker'!$A:$D,4,FALSE()),""))</f>
        <v/>
      </c>
      <c r="H579" s="22"/>
    </row>
    <row r="580" spans="1:8">
      <c r="A580" s="21"/>
      <c r="B580" s="22"/>
      <c r="C580" s="22"/>
      <c r="D580" s="22"/>
      <c r="E580" s="23" t="str">
        <f>IF($D580="","",IFERROR(VLOOKUP($D580,'SAMA Consumables Tracker'!$A:$H,8,FALSE()),""))</f>
        <v/>
      </c>
      <c r="F580" s="24"/>
      <c r="G580" s="25" t="str">
        <f>IF($D580="","",IFERROR(VLOOKUP($D580,'SAMA Consumables Tracker'!$A:$D,4,FALSE()),""))</f>
        <v/>
      </c>
      <c r="H580" s="22"/>
    </row>
    <row r="581" spans="1:8">
      <c r="A581" s="21"/>
      <c r="B581" s="22"/>
      <c r="C581" s="22"/>
      <c r="D581" s="22"/>
      <c r="E581" s="23" t="str">
        <f>IF($D581="","",IFERROR(VLOOKUP($D581,'SAMA Consumables Tracker'!$A:$H,8,FALSE()),""))</f>
        <v/>
      </c>
      <c r="F581" s="24"/>
      <c r="G581" s="25" t="str">
        <f>IF($D581="","",IFERROR(VLOOKUP($D581,'SAMA Consumables Tracker'!$A:$D,4,FALSE()),""))</f>
        <v/>
      </c>
      <c r="H581" s="22"/>
    </row>
    <row r="582" spans="1:8">
      <c r="A582" s="21"/>
      <c r="B582" s="22"/>
      <c r="C582" s="22"/>
      <c r="D582" s="22"/>
      <c r="E582" s="23" t="str">
        <f>IF($D582="","",IFERROR(VLOOKUP($D582,'SAMA Consumables Tracker'!$A:$H,8,FALSE()),""))</f>
        <v/>
      </c>
      <c r="F582" s="24"/>
      <c r="G582" s="25" t="str">
        <f>IF($D582="","",IFERROR(VLOOKUP($D582,'SAMA Consumables Tracker'!$A:$D,4,FALSE()),""))</f>
        <v/>
      </c>
      <c r="H582" s="22"/>
    </row>
    <row r="583" spans="1:8">
      <c r="A583" s="21"/>
      <c r="B583" s="22"/>
      <c r="C583" s="22"/>
      <c r="D583" s="22"/>
      <c r="E583" s="23" t="str">
        <f>IF($D583="","",IFERROR(VLOOKUP($D583,'SAMA Consumables Tracker'!$A:$H,8,FALSE()),""))</f>
        <v/>
      </c>
      <c r="F583" s="24"/>
      <c r="G583" s="25" t="str">
        <f>IF($D583="","",IFERROR(VLOOKUP($D583,'SAMA Consumables Tracker'!$A:$D,4,FALSE()),""))</f>
        <v/>
      </c>
      <c r="H583" s="22"/>
    </row>
    <row r="584" spans="1:8">
      <c r="A584" s="21"/>
      <c r="B584" s="22"/>
      <c r="C584" s="22"/>
      <c r="D584" s="22"/>
      <c r="E584" s="23" t="str">
        <f>IF($D584="","",IFERROR(VLOOKUP($D584,'SAMA Consumables Tracker'!$A:$H,8,FALSE()),""))</f>
        <v/>
      </c>
      <c r="F584" s="24"/>
      <c r="G584" s="25" t="str">
        <f>IF($D584="","",IFERROR(VLOOKUP($D584,'SAMA Consumables Tracker'!$A:$D,4,FALSE()),""))</f>
        <v/>
      </c>
      <c r="H584" s="22"/>
    </row>
    <row r="585" spans="1:8">
      <c r="A585" s="21"/>
      <c r="B585" s="22"/>
      <c r="C585" s="22"/>
      <c r="D585" s="22"/>
      <c r="E585" s="23" t="str">
        <f>IF($D585="","",IFERROR(VLOOKUP($D585,'SAMA Consumables Tracker'!$A:$H,8,FALSE()),""))</f>
        <v/>
      </c>
      <c r="F585" s="24"/>
      <c r="G585" s="25" t="str">
        <f>IF($D585="","",IFERROR(VLOOKUP($D585,'SAMA Consumables Tracker'!$A:$D,4,FALSE()),""))</f>
        <v/>
      </c>
      <c r="H585" s="22"/>
    </row>
    <row r="586" spans="1:8">
      <c r="A586" s="21"/>
      <c r="B586" s="22"/>
      <c r="C586" s="22"/>
      <c r="D586" s="22"/>
      <c r="E586" s="23" t="str">
        <f>IF($D586="","",IFERROR(VLOOKUP($D586,'SAMA Consumables Tracker'!$A:$H,8,FALSE()),""))</f>
        <v/>
      </c>
      <c r="F586" s="24"/>
      <c r="G586" s="25" t="str">
        <f>IF($D586="","",IFERROR(VLOOKUP($D586,'SAMA Consumables Tracker'!$A:$D,4,FALSE()),""))</f>
        <v/>
      </c>
      <c r="H586" s="22"/>
    </row>
    <row r="587" spans="1:8">
      <c r="A587" s="21"/>
      <c r="B587" s="22"/>
      <c r="C587" s="22"/>
      <c r="D587" s="22"/>
      <c r="E587" s="23" t="str">
        <f>IF($D587="","",IFERROR(VLOOKUP($D587,'SAMA Consumables Tracker'!$A:$H,8,FALSE()),""))</f>
        <v/>
      </c>
      <c r="F587" s="24"/>
      <c r="G587" s="25" t="str">
        <f>IF($D587="","",IFERROR(VLOOKUP($D587,'SAMA Consumables Tracker'!$A:$D,4,FALSE()),""))</f>
        <v/>
      </c>
      <c r="H587" s="22"/>
    </row>
    <row r="588" spans="1:8">
      <c r="A588" s="21"/>
      <c r="B588" s="22"/>
      <c r="C588" s="22"/>
      <c r="D588" s="22"/>
      <c r="E588" s="23" t="str">
        <f>IF($D588="","",IFERROR(VLOOKUP($D588,'SAMA Consumables Tracker'!$A:$H,8,FALSE()),""))</f>
        <v/>
      </c>
      <c r="F588" s="24"/>
      <c r="G588" s="25" t="str">
        <f>IF($D588="","",IFERROR(VLOOKUP($D588,'SAMA Consumables Tracker'!$A:$D,4,FALSE()),""))</f>
        <v/>
      </c>
      <c r="H588" s="22"/>
    </row>
    <row r="589" spans="1:8">
      <c r="A589" s="21"/>
      <c r="B589" s="22"/>
      <c r="C589" s="22"/>
      <c r="D589" s="22"/>
      <c r="E589" s="23" t="str">
        <f>IF($D589="","",IFERROR(VLOOKUP($D589,'SAMA Consumables Tracker'!$A:$H,8,FALSE()),""))</f>
        <v/>
      </c>
      <c r="F589" s="24"/>
      <c r="G589" s="25" t="str">
        <f>IF($D589="","",IFERROR(VLOOKUP($D589,'SAMA Consumables Tracker'!$A:$D,4,FALSE()),""))</f>
        <v/>
      </c>
      <c r="H589" s="22"/>
    </row>
    <row r="590" spans="1:8">
      <c r="A590" s="21"/>
      <c r="B590" s="22"/>
      <c r="C590" s="22"/>
      <c r="D590" s="22"/>
      <c r="E590" s="23" t="str">
        <f>IF($D590="","",IFERROR(VLOOKUP($D590,'SAMA Consumables Tracker'!$A:$H,8,FALSE()),""))</f>
        <v/>
      </c>
      <c r="F590" s="24"/>
      <c r="G590" s="25" t="str">
        <f>IF($D590="","",IFERROR(VLOOKUP($D590,'SAMA Consumables Tracker'!$A:$D,4,FALSE()),""))</f>
        <v/>
      </c>
      <c r="H590" s="22"/>
    </row>
    <row r="591" spans="1:8">
      <c r="A591" s="21"/>
      <c r="B591" s="22"/>
      <c r="C591" s="22"/>
      <c r="D591" s="22"/>
      <c r="E591" s="23" t="str">
        <f>IF($D591="","",IFERROR(VLOOKUP($D591,'SAMA Consumables Tracker'!$A:$H,8,FALSE()),""))</f>
        <v/>
      </c>
      <c r="F591" s="24"/>
      <c r="G591" s="25" t="str">
        <f>IF($D591="","",IFERROR(VLOOKUP($D591,'SAMA Consumables Tracker'!$A:$D,4,FALSE()),""))</f>
        <v/>
      </c>
      <c r="H591" s="22"/>
    </row>
    <row r="592" spans="1:8">
      <c r="A592" s="21"/>
      <c r="B592" s="22"/>
      <c r="C592" s="22"/>
      <c r="D592" s="22"/>
      <c r="E592" s="23" t="str">
        <f>IF($D592="","",IFERROR(VLOOKUP($D592,'SAMA Consumables Tracker'!$A:$H,8,FALSE()),""))</f>
        <v/>
      </c>
      <c r="F592" s="24"/>
      <c r="G592" s="25" t="str">
        <f>IF($D592="","",IFERROR(VLOOKUP($D592,'SAMA Consumables Tracker'!$A:$D,4,FALSE()),""))</f>
        <v/>
      </c>
      <c r="H592" s="22"/>
    </row>
    <row r="593" spans="1:8">
      <c r="A593" s="21"/>
      <c r="B593" s="22"/>
      <c r="C593" s="22"/>
      <c r="D593" s="22"/>
      <c r="E593" s="23" t="str">
        <f>IF($D593="","",IFERROR(VLOOKUP($D593,'SAMA Consumables Tracker'!$A:$H,8,FALSE()),""))</f>
        <v/>
      </c>
      <c r="F593" s="24"/>
      <c r="G593" s="25" t="str">
        <f>IF($D593="","",IFERROR(VLOOKUP($D593,'SAMA Consumables Tracker'!$A:$D,4,FALSE()),""))</f>
        <v/>
      </c>
      <c r="H593" s="22"/>
    </row>
    <row r="594" spans="1:8">
      <c r="A594" s="21"/>
      <c r="B594" s="22"/>
      <c r="C594" s="22"/>
      <c r="D594" s="22"/>
      <c r="E594" s="23" t="str">
        <f>IF($D594="","",IFERROR(VLOOKUP($D594,'SAMA Consumables Tracker'!$A:$H,8,FALSE()),""))</f>
        <v/>
      </c>
      <c r="F594" s="24"/>
      <c r="G594" s="25" t="str">
        <f>IF($D594="","",IFERROR(VLOOKUP($D594,'SAMA Consumables Tracker'!$A:$D,4,FALSE()),""))</f>
        <v/>
      </c>
      <c r="H594" s="22"/>
    </row>
    <row r="595" spans="1:8">
      <c r="A595" s="21"/>
      <c r="B595" s="22"/>
      <c r="C595" s="22"/>
      <c r="D595" s="22"/>
      <c r="E595" s="23" t="str">
        <f>IF($D595="","",IFERROR(VLOOKUP($D595,'SAMA Consumables Tracker'!$A:$H,8,FALSE()),""))</f>
        <v/>
      </c>
      <c r="F595" s="24"/>
      <c r="G595" s="25" t="str">
        <f>IF($D595="","",IFERROR(VLOOKUP($D595,'SAMA Consumables Tracker'!$A:$D,4,FALSE()),""))</f>
        <v/>
      </c>
      <c r="H595" s="22"/>
    </row>
    <row r="596" spans="1:8">
      <c r="A596" s="21"/>
      <c r="B596" s="22"/>
      <c r="C596" s="22"/>
      <c r="D596" s="22"/>
      <c r="E596" s="23" t="str">
        <f>IF($D596="","",IFERROR(VLOOKUP($D596,'SAMA Consumables Tracker'!$A:$H,8,FALSE()),""))</f>
        <v/>
      </c>
      <c r="F596" s="24"/>
      <c r="G596" s="25" t="str">
        <f>IF($D596="","",IFERROR(VLOOKUP($D596,'SAMA Consumables Tracker'!$A:$D,4,FALSE()),""))</f>
        <v/>
      </c>
      <c r="H596" s="22"/>
    </row>
    <row r="597" spans="1:8">
      <c r="A597" s="21"/>
      <c r="B597" s="22"/>
      <c r="C597" s="22"/>
      <c r="D597" s="22"/>
      <c r="E597" s="23" t="str">
        <f>IF($D597="","",IFERROR(VLOOKUP($D597,'SAMA Consumables Tracker'!$A:$H,8,FALSE()),""))</f>
        <v/>
      </c>
      <c r="F597" s="24"/>
      <c r="G597" s="25" t="str">
        <f>IF($D597="","",IFERROR(VLOOKUP($D597,'SAMA Consumables Tracker'!$A:$D,4,FALSE()),""))</f>
        <v/>
      </c>
      <c r="H597" s="22"/>
    </row>
    <row r="598" spans="1:8">
      <c r="A598" s="21"/>
      <c r="B598" s="22"/>
      <c r="C598" s="22"/>
      <c r="D598" s="22"/>
      <c r="E598" s="23" t="str">
        <f>IF($D598="","",IFERROR(VLOOKUP($D598,'SAMA Consumables Tracker'!$A:$H,8,FALSE()),""))</f>
        <v/>
      </c>
      <c r="F598" s="24"/>
      <c r="G598" s="25" t="str">
        <f>IF($D598="","",IFERROR(VLOOKUP($D598,'SAMA Consumables Tracker'!$A:$D,4,FALSE()),""))</f>
        <v/>
      </c>
      <c r="H598" s="22"/>
    </row>
    <row r="599" spans="1:8">
      <c r="A599" s="21"/>
      <c r="B599" s="22"/>
      <c r="C599" s="22"/>
      <c r="D599" s="22"/>
      <c r="E599" s="23" t="str">
        <f>IF($D599="","",IFERROR(VLOOKUP($D599,'SAMA Consumables Tracker'!$A:$H,8,FALSE()),""))</f>
        <v/>
      </c>
      <c r="F599" s="24"/>
      <c r="G599" s="25" t="str">
        <f>IF($D599="","",IFERROR(VLOOKUP($D599,'SAMA Consumables Tracker'!$A:$D,4,FALSE()),""))</f>
        <v/>
      </c>
      <c r="H599" s="22"/>
    </row>
    <row r="600" spans="1:8">
      <c r="A600" s="21"/>
      <c r="B600" s="22"/>
      <c r="C600" s="22"/>
      <c r="D600" s="22"/>
      <c r="E600" s="23" t="str">
        <f>IF($D600="","",IFERROR(VLOOKUP($D600,'SAMA Consumables Tracker'!$A:$H,8,FALSE()),""))</f>
        <v/>
      </c>
      <c r="F600" s="24"/>
      <c r="G600" s="25" t="str">
        <f>IF($D600="","",IFERROR(VLOOKUP($D600,'SAMA Consumables Tracker'!$A:$D,4,FALSE()),""))</f>
        <v/>
      </c>
      <c r="H600" s="22"/>
    </row>
    <row r="601" spans="1:8">
      <c r="A601" s="21"/>
      <c r="B601" s="22"/>
      <c r="C601" s="22"/>
      <c r="D601" s="22"/>
      <c r="E601" s="23" t="str">
        <f>IF($D601="","",IFERROR(VLOOKUP($D601,'SAMA Consumables Tracker'!$A:$H,8,FALSE()),""))</f>
        <v/>
      </c>
      <c r="F601" s="24"/>
      <c r="G601" s="25" t="str">
        <f>IF($D601="","",IFERROR(VLOOKUP($D601,'SAMA Consumables Tracker'!$A:$D,4,FALSE()),""))</f>
        <v/>
      </c>
      <c r="H601" s="22"/>
    </row>
    <row r="602" spans="1:8">
      <c r="A602" s="21"/>
      <c r="B602" s="22"/>
      <c r="C602" s="22"/>
      <c r="D602" s="22"/>
      <c r="E602" s="23" t="str">
        <f>IF($D602="","",IFERROR(VLOOKUP($D602,'SAMA Consumables Tracker'!$A:$H,8,FALSE()),""))</f>
        <v/>
      </c>
      <c r="F602" s="24"/>
      <c r="G602" s="25" t="str">
        <f>IF($D602="","",IFERROR(VLOOKUP($D602,'SAMA Consumables Tracker'!$A:$D,4,FALSE()),""))</f>
        <v/>
      </c>
      <c r="H602" s="22"/>
    </row>
    <row r="603" spans="1:8">
      <c r="A603" s="21"/>
      <c r="B603" s="22"/>
      <c r="C603" s="22"/>
      <c r="D603" s="22"/>
      <c r="E603" s="23" t="str">
        <f>IF($D603="","",IFERROR(VLOOKUP($D603,'SAMA Consumables Tracker'!$A:$H,8,FALSE()),""))</f>
        <v/>
      </c>
      <c r="F603" s="24"/>
      <c r="G603" s="25" t="str">
        <f>IF($D603="","",IFERROR(VLOOKUP($D603,'SAMA Consumables Tracker'!$A:$D,4,FALSE()),""))</f>
        <v/>
      </c>
      <c r="H603" s="22"/>
    </row>
    <row r="604" spans="1:8">
      <c r="A604" s="21"/>
      <c r="B604" s="22"/>
      <c r="C604" s="22"/>
      <c r="D604" s="22"/>
      <c r="E604" s="23" t="str">
        <f>IF($D604="","",IFERROR(VLOOKUP($D604,'SAMA Consumables Tracker'!$A:$H,8,FALSE()),""))</f>
        <v/>
      </c>
      <c r="F604" s="24"/>
      <c r="G604" s="25" t="str">
        <f>IF($D604="","",IFERROR(VLOOKUP($D604,'SAMA Consumables Tracker'!$A:$D,4,FALSE()),""))</f>
        <v/>
      </c>
      <c r="H604" s="22"/>
    </row>
    <row r="605" spans="1:8">
      <c r="A605" s="21"/>
      <c r="B605" s="22"/>
      <c r="C605" s="22"/>
      <c r="D605" s="22"/>
      <c r="E605" s="23" t="str">
        <f>IF($D605="","",IFERROR(VLOOKUP($D605,'SAMA Consumables Tracker'!$A:$H,8,FALSE()),""))</f>
        <v/>
      </c>
      <c r="F605" s="24"/>
      <c r="G605" s="25" t="str">
        <f>IF($D605="","",IFERROR(VLOOKUP($D605,'SAMA Consumables Tracker'!$A:$D,4,FALSE()),""))</f>
        <v/>
      </c>
      <c r="H605" s="22"/>
    </row>
    <row r="606" spans="1:8">
      <c r="A606" s="21"/>
      <c r="B606" s="22"/>
      <c r="C606" s="22"/>
      <c r="D606" s="22"/>
      <c r="E606" s="23" t="str">
        <f>IF($D606="","",IFERROR(VLOOKUP($D606,'SAMA Consumables Tracker'!$A:$H,8,FALSE()),""))</f>
        <v/>
      </c>
      <c r="F606" s="24"/>
      <c r="G606" s="25" t="str">
        <f>IF($D606="","",IFERROR(VLOOKUP($D606,'SAMA Consumables Tracker'!$A:$D,4,FALSE()),""))</f>
        <v/>
      </c>
      <c r="H606" s="22"/>
    </row>
    <row r="607" spans="1:8">
      <c r="A607" s="21"/>
      <c r="B607" s="22"/>
      <c r="C607" s="22"/>
      <c r="D607" s="22"/>
      <c r="E607" s="23" t="str">
        <f>IF($D607="","",IFERROR(VLOOKUP($D607,'SAMA Consumables Tracker'!$A:$H,8,FALSE()),""))</f>
        <v/>
      </c>
      <c r="F607" s="24"/>
      <c r="G607" s="25" t="str">
        <f>IF($D607="","",IFERROR(VLOOKUP($D607,'SAMA Consumables Tracker'!$A:$D,4,FALSE()),""))</f>
        <v/>
      </c>
      <c r="H607" s="22"/>
    </row>
    <row r="608" spans="1:8">
      <c r="A608" s="21"/>
      <c r="B608" s="22"/>
      <c r="C608" s="22"/>
      <c r="D608" s="22"/>
      <c r="E608" s="23" t="str">
        <f>IF($D608="","",IFERROR(VLOOKUP($D608,'SAMA Consumables Tracker'!$A:$H,8,FALSE()),""))</f>
        <v/>
      </c>
      <c r="F608" s="24"/>
      <c r="G608" s="25" t="str">
        <f>IF($D608="","",IFERROR(VLOOKUP($D608,'SAMA Consumables Tracker'!$A:$D,4,FALSE()),""))</f>
        <v/>
      </c>
      <c r="H608" s="22"/>
    </row>
    <row r="609" spans="1:8">
      <c r="A609" s="21"/>
      <c r="B609" s="22"/>
      <c r="C609" s="22"/>
      <c r="D609" s="22"/>
      <c r="E609" s="23" t="str">
        <f>IF($D609="","",IFERROR(VLOOKUP($D609,'SAMA Consumables Tracker'!$A:$H,8,FALSE()),""))</f>
        <v/>
      </c>
      <c r="F609" s="24"/>
      <c r="G609" s="25" t="str">
        <f>IF($D609="","",IFERROR(VLOOKUP($D609,'SAMA Consumables Tracker'!$A:$D,4,FALSE()),""))</f>
        <v/>
      </c>
      <c r="H609" s="22"/>
    </row>
    <row r="610" spans="1:8">
      <c r="A610" s="21"/>
      <c r="B610" s="22"/>
      <c r="C610" s="22"/>
      <c r="D610" s="22"/>
      <c r="E610" s="23" t="str">
        <f>IF($D610="","",IFERROR(VLOOKUP($D610,'SAMA Consumables Tracker'!$A:$H,8,FALSE()),""))</f>
        <v/>
      </c>
      <c r="F610" s="24"/>
      <c r="G610" s="25" t="str">
        <f>IF($D610="","",IFERROR(VLOOKUP($D610,'SAMA Consumables Tracker'!$A:$D,4,FALSE()),""))</f>
        <v/>
      </c>
      <c r="H610" s="22"/>
    </row>
    <row r="611" spans="1:8">
      <c r="A611" s="21"/>
      <c r="B611" s="22"/>
      <c r="C611" s="22"/>
      <c r="D611" s="22"/>
      <c r="E611" s="23" t="str">
        <f>IF($D611="","",IFERROR(VLOOKUP($D611,'SAMA Consumables Tracker'!$A:$H,8,FALSE()),""))</f>
        <v/>
      </c>
      <c r="F611" s="24"/>
      <c r="G611" s="25" t="str">
        <f>IF($D611="","",IFERROR(VLOOKUP($D611,'SAMA Consumables Tracker'!$A:$D,4,FALSE()),""))</f>
        <v/>
      </c>
      <c r="H611" s="22"/>
    </row>
    <row r="612" spans="1:8">
      <c r="A612" s="21"/>
      <c r="B612" s="22"/>
      <c r="C612" s="22"/>
      <c r="D612" s="22"/>
      <c r="E612" s="23" t="str">
        <f>IF($D612="","",IFERROR(VLOOKUP($D612,'SAMA Consumables Tracker'!$A:$H,8,FALSE()),""))</f>
        <v/>
      </c>
      <c r="F612" s="24"/>
      <c r="G612" s="25" t="str">
        <f>IF($D612="","",IFERROR(VLOOKUP($D612,'SAMA Consumables Tracker'!$A:$D,4,FALSE()),""))</f>
        <v/>
      </c>
      <c r="H612" s="22"/>
    </row>
    <row r="613" spans="1:8">
      <c r="A613" s="21"/>
      <c r="B613" s="22"/>
      <c r="C613" s="22"/>
      <c r="D613" s="22"/>
      <c r="E613" s="23" t="str">
        <f>IF($D613="","",IFERROR(VLOOKUP($D613,'SAMA Consumables Tracker'!$A:$H,8,FALSE()),""))</f>
        <v/>
      </c>
      <c r="F613" s="24"/>
      <c r="G613" s="25" t="str">
        <f>IF($D613="","",IFERROR(VLOOKUP($D613,'SAMA Consumables Tracker'!$A:$D,4,FALSE()),""))</f>
        <v/>
      </c>
      <c r="H613" s="22"/>
    </row>
    <row r="614" spans="1:8">
      <c r="A614" s="21"/>
      <c r="B614" s="22"/>
      <c r="C614" s="22"/>
      <c r="D614" s="22"/>
      <c r="E614" s="23" t="str">
        <f>IF($D614="","",IFERROR(VLOOKUP($D614,'SAMA Consumables Tracker'!$A:$H,8,FALSE()),""))</f>
        <v/>
      </c>
      <c r="F614" s="24"/>
      <c r="G614" s="25" t="str">
        <f>IF($D614="","",IFERROR(VLOOKUP($D614,'SAMA Consumables Tracker'!$A:$D,4,FALSE()),""))</f>
        <v/>
      </c>
      <c r="H614" s="22"/>
    </row>
    <row r="615" spans="1:8">
      <c r="A615" s="21"/>
      <c r="B615" s="22"/>
      <c r="C615" s="22"/>
      <c r="D615" s="22"/>
      <c r="E615" s="23" t="str">
        <f>IF($D615="","",IFERROR(VLOOKUP($D615,'SAMA Consumables Tracker'!$A:$H,8,FALSE()),""))</f>
        <v/>
      </c>
      <c r="F615" s="24"/>
      <c r="G615" s="25" t="str">
        <f>IF($D615="","",IFERROR(VLOOKUP($D615,'SAMA Consumables Tracker'!$A:$D,4,FALSE()),""))</f>
        <v/>
      </c>
      <c r="H615" s="22"/>
    </row>
    <row r="616" spans="1:8">
      <c r="A616" s="21"/>
      <c r="B616" s="22"/>
      <c r="C616" s="22"/>
      <c r="D616" s="22"/>
      <c r="E616" s="23" t="str">
        <f>IF($D616="","",IFERROR(VLOOKUP($D616,'SAMA Consumables Tracker'!$A:$H,8,FALSE()),""))</f>
        <v/>
      </c>
      <c r="F616" s="24"/>
      <c r="G616" s="25" t="str">
        <f>IF($D616="","",IFERROR(VLOOKUP($D616,'SAMA Consumables Tracker'!$A:$D,4,FALSE()),""))</f>
        <v/>
      </c>
      <c r="H616" s="22"/>
    </row>
    <row r="617" spans="1:8">
      <c r="A617" s="21"/>
      <c r="B617" s="22"/>
      <c r="C617" s="22"/>
      <c r="D617" s="22"/>
      <c r="E617" s="23" t="str">
        <f>IF($D617="","",IFERROR(VLOOKUP($D617,'SAMA Consumables Tracker'!$A:$H,8,FALSE()),""))</f>
        <v/>
      </c>
      <c r="F617" s="24"/>
      <c r="G617" s="25" t="str">
        <f>IF($D617="","",IFERROR(VLOOKUP($D617,'SAMA Consumables Tracker'!$A:$D,4,FALSE()),""))</f>
        <v/>
      </c>
      <c r="H617" s="22"/>
    </row>
    <row r="618" spans="1:8">
      <c r="A618" s="21"/>
      <c r="B618" s="22"/>
      <c r="C618" s="22"/>
      <c r="D618" s="22"/>
      <c r="E618" s="23" t="str">
        <f>IF($D618="","",IFERROR(VLOOKUP($D618,'SAMA Consumables Tracker'!$A:$H,8,FALSE()),""))</f>
        <v/>
      </c>
      <c r="F618" s="24"/>
      <c r="G618" s="25" t="str">
        <f>IF($D618="","",IFERROR(VLOOKUP($D618,'SAMA Consumables Tracker'!$A:$D,4,FALSE()),""))</f>
        <v/>
      </c>
      <c r="H618" s="22"/>
    </row>
    <row r="619" spans="1:8">
      <c r="A619" s="21"/>
      <c r="B619" s="22"/>
      <c r="C619" s="22"/>
      <c r="D619" s="22"/>
      <c r="E619" s="23" t="str">
        <f>IF($D619="","",IFERROR(VLOOKUP($D619,'SAMA Consumables Tracker'!$A:$H,8,FALSE()),""))</f>
        <v/>
      </c>
      <c r="F619" s="24"/>
      <c r="G619" s="25" t="str">
        <f>IF($D619="","",IFERROR(VLOOKUP($D619,'SAMA Consumables Tracker'!$A:$D,4,FALSE()),""))</f>
        <v/>
      </c>
      <c r="H619" s="22"/>
    </row>
    <row r="620" spans="1:8">
      <c r="A620" s="21"/>
      <c r="B620" s="22"/>
      <c r="C620" s="22"/>
      <c r="D620" s="22"/>
      <c r="E620" s="23" t="str">
        <f>IF($D620="","",IFERROR(VLOOKUP($D620,'SAMA Consumables Tracker'!$A:$H,8,FALSE()),""))</f>
        <v/>
      </c>
      <c r="F620" s="24"/>
      <c r="G620" s="25" t="str">
        <f>IF($D620="","",IFERROR(VLOOKUP($D620,'SAMA Consumables Tracker'!$A:$D,4,FALSE()),""))</f>
        <v/>
      </c>
      <c r="H620" s="22"/>
    </row>
    <row r="621" spans="1:8">
      <c r="A621" s="21"/>
      <c r="B621" s="22"/>
      <c r="C621" s="22"/>
      <c r="D621" s="22"/>
      <c r="E621" s="23" t="str">
        <f>IF($D621="","",IFERROR(VLOOKUP($D621,'SAMA Consumables Tracker'!$A:$H,8,FALSE()),""))</f>
        <v/>
      </c>
      <c r="F621" s="24"/>
      <c r="G621" s="25" t="str">
        <f>IF($D621="","",IFERROR(VLOOKUP($D621,'SAMA Consumables Tracker'!$A:$D,4,FALSE()),""))</f>
        <v/>
      </c>
      <c r="H621" s="22"/>
    </row>
    <row r="622" spans="1:8">
      <c r="A622" s="21"/>
      <c r="B622" s="22"/>
      <c r="C622" s="22"/>
      <c r="D622" s="22"/>
      <c r="E622" s="23" t="str">
        <f>IF($D622="","",IFERROR(VLOOKUP($D622,'SAMA Consumables Tracker'!$A:$H,8,FALSE()),""))</f>
        <v/>
      </c>
      <c r="F622" s="24"/>
      <c r="G622" s="25" t="str">
        <f>IF($D622="","",IFERROR(VLOOKUP($D622,'SAMA Consumables Tracker'!$A:$D,4,FALSE()),""))</f>
        <v/>
      </c>
      <c r="H622" s="22"/>
    </row>
    <row r="623" spans="1:8">
      <c r="A623" s="21"/>
      <c r="B623" s="22"/>
      <c r="C623" s="22"/>
      <c r="D623" s="22"/>
      <c r="E623" s="23" t="str">
        <f>IF($D623="","",IFERROR(VLOOKUP($D623,'SAMA Consumables Tracker'!$A:$H,8,FALSE()),""))</f>
        <v/>
      </c>
      <c r="F623" s="24"/>
      <c r="G623" s="25" t="str">
        <f>IF($D623="","",IFERROR(VLOOKUP($D623,'SAMA Consumables Tracker'!$A:$D,4,FALSE()),""))</f>
        <v/>
      </c>
      <c r="H623" s="22"/>
    </row>
    <row r="624" spans="1:8">
      <c r="A624" s="21"/>
      <c r="B624" s="22"/>
      <c r="C624" s="22"/>
      <c r="D624" s="22"/>
      <c r="E624" s="23" t="str">
        <f>IF($D624="","",IFERROR(VLOOKUP($D624,'SAMA Consumables Tracker'!$A:$H,8,FALSE()),""))</f>
        <v/>
      </c>
      <c r="F624" s="24"/>
      <c r="G624" s="25" t="str">
        <f>IF($D624="","",IFERROR(VLOOKUP($D624,'SAMA Consumables Tracker'!$A:$D,4,FALSE()),""))</f>
        <v/>
      </c>
      <c r="H624" s="22"/>
    </row>
    <row r="625" spans="1:8">
      <c r="A625" s="21"/>
      <c r="B625" s="22"/>
      <c r="C625" s="22"/>
      <c r="D625" s="22"/>
      <c r="E625" s="23" t="str">
        <f>IF($D625="","",IFERROR(VLOOKUP($D625,'SAMA Consumables Tracker'!$A:$H,8,FALSE()),""))</f>
        <v/>
      </c>
      <c r="F625" s="24"/>
      <c r="G625" s="25" t="str">
        <f>IF($D625="","",IFERROR(VLOOKUP($D625,'SAMA Consumables Tracker'!$A:$D,4,FALSE()),""))</f>
        <v/>
      </c>
      <c r="H625" s="22"/>
    </row>
    <row r="626" spans="1:8">
      <c r="A626" s="21"/>
      <c r="B626" s="22"/>
      <c r="C626" s="22"/>
      <c r="D626" s="22"/>
      <c r="E626" s="23" t="str">
        <f>IF($D626="","",IFERROR(VLOOKUP($D626,'SAMA Consumables Tracker'!$A:$H,8,FALSE()),""))</f>
        <v/>
      </c>
      <c r="F626" s="24"/>
      <c r="G626" s="25" t="str">
        <f>IF($D626="","",IFERROR(VLOOKUP($D626,'SAMA Consumables Tracker'!$A:$D,4,FALSE()),""))</f>
        <v/>
      </c>
      <c r="H626" s="22"/>
    </row>
    <row r="627" spans="1:8">
      <c r="A627" s="21"/>
      <c r="B627" s="22"/>
      <c r="C627" s="22"/>
      <c r="D627" s="22"/>
      <c r="E627" s="23" t="str">
        <f>IF($D627="","",IFERROR(VLOOKUP($D627,'SAMA Consumables Tracker'!$A:$H,8,FALSE()),""))</f>
        <v/>
      </c>
      <c r="F627" s="24"/>
      <c r="G627" s="25" t="str">
        <f>IF($D627="","",IFERROR(VLOOKUP($D627,'SAMA Consumables Tracker'!$A:$D,4,FALSE()),""))</f>
        <v/>
      </c>
      <c r="H627" s="22"/>
    </row>
    <row r="628" spans="1:8">
      <c r="A628" s="21"/>
      <c r="B628" s="22"/>
      <c r="C628" s="22"/>
      <c r="D628" s="22"/>
      <c r="E628" s="23" t="str">
        <f>IF($D628="","",IFERROR(VLOOKUP($D628,'SAMA Consumables Tracker'!$A:$H,8,FALSE()),""))</f>
        <v/>
      </c>
      <c r="F628" s="24"/>
      <c r="G628" s="25" t="str">
        <f>IF($D628="","",IFERROR(VLOOKUP($D628,'SAMA Consumables Tracker'!$A:$D,4,FALSE()),""))</f>
        <v/>
      </c>
      <c r="H628" s="22"/>
    </row>
    <row r="629" spans="1:8">
      <c r="A629" s="21"/>
      <c r="B629" s="22"/>
      <c r="C629" s="22"/>
      <c r="D629" s="22"/>
      <c r="E629" s="23" t="str">
        <f>IF($D629="","",IFERROR(VLOOKUP($D629,'SAMA Consumables Tracker'!$A:$H,8,FALSE()),""))</f>
        <v/>
      </c>
      <c r="F629" s="24"/>
      <c r="G629" s="25" t="str">
        <f>IF($D629="","",IFERROR(VLOOKUP($D629,'SAMA Consumables Tracker'!$A:$D,4,FALSE()),""))</f>
        <v/>
      </c>
      <c r="H629" s="22"/>
    </row>
    <row r="630" spans="1:8">
      <c r="A630" s="21"/>
      <c r="B630" s="22"/>
      <c r="C630" s="22"/>
      <c r="D630" s="22"/>
      <c r="E630" s="23" t="str">
        <f>IF($D630="","",IFERROR(VLOOKUP($D630,'SAMA Consumables Tracker'!$A:$H,8,FALSE()),""))</f>
        <v/>
      </c>
      <c r="F630" s="24"/>
      <c r="G630" s="25" t="str">
        <f>IF($D630="","",IFERROR(VLOOKUP($D630,'SAMA Consumables Tracker'!$A:$D,4,FALSE()),""))</f>
        <v/>
      </c>
      <c r="H630" s="22"/>
    </row>
    <row r="631" spans="1:8">
      <c r="A631" s="21"/>
      <c r="B631" s="22"/>
      <c r="C631" s="22"/>
      <c r="D631" s="22"/>
      <c r="E631" s="23" t="str">
        <f>IF($D631="","",IFERROR(VLOOKUP($D631,'SAMA Consumables Tracker'!$A:$H,8,FALSE()),""))</f>
        <v/>
      </c>
      <c r="F631" s="24"/>
      <c r="G631" s="25" t="str">
        <f>IF($D631="","",IFERROR(VLOOKUP($D631,'SAMA Consumables Tracker'!$A:$D,4,FALSE()),""))</f>
        <v/>
      </c>
      <c r="H631" s="22"/>
    </row>
    <row r="632" spans="1:8">
      <c r="A632" s="21"/>
      <c r="B632" s="22"/>
      <c r="C632" s="22"/>
      <c r="D632" s="22"/>
      <c r="E632" s="23" t="str">
        <f>IF($D632="","",IFERROR(VLOOKUP($D632,'SAMA Consumables Tracker'!$A:$H,8,FALSE()),""))</f>
        <v/>
      </c>
      <c r="F632" s="24"/>
      <c r="G632" s="25" t="str">
        <f>IF($D632="","",IFERROR(VLOOKUP($D632,'SAMA Consumables Tracker'!$A:$D,4,FALSE()),""))</f>
        <v/>
      </c>
      <c r="H632" s="22"/>
    </row>
    <row r="633" spans="1:8">
      <c r="A633" s="21"/>
      <c r="B633" s="22"/>
      <c r="C633" s="22"/>
      <c r="D633" s="22"/>
      <c r="E633" s="23" t="str">
        <f>IF($D633="","",IFERROR(VLOOKUP($D633,'SAMA Consumables Tracker'!$A:$H,8,FALSE()),""))</f>
        <v/>
      </c>
      <c r="F633" s="24"/>
      <c r="G633" s="25" t="str">
        <f>IF($D633="","",IFERROR(VLOOKUP($D633,'SAMA Consumables Tracker'!$A:$D,4,FALSE()),""))</f>
        <v/>
      </c>
      <c r="H633" s="22"/>
    </row>
    <row r="634" spans="1:8">
      <c r="A634" s="21"/>
      <c r="B634" s="22"/>
      <c r="C634" s="22"/>
      <c r="D634" s="22"/>
      <c r="E634" s="23" t="str">
        <f>IF($D634="","",IFERROR(VLOOKUP($D634,'SAMA Consumables Tracker'!$A:$H,8,FALSE()),""))</f>
        <v/>
      </c>
      <c r="F634" s="24"/>
      <c r="G634" s="25" t="str">
        <f>IF($D634="","",IFERROR(VLOOKUP($D634,'SAMA Consumables Tracker'!$A:$D,4,FALSE()),""))</f>
        <v/>
      </c>
      <c r="H634" s="22"/>
    </row>
    <row r="635" spans="1:8">
      <c r="A635" s="21"/>
      <c r="B635" s="22"/>
      <c r="C635" s="22"/>
      <c r="D635" s="22"/>
      <c r="E635" s="23" t="str">
        <f>IF($D635="","",IFERROR(VLOOKUP($D635,'SAMA Consumables Tracker'!$A:$H,8,FALSE()),""))</f>
        <v/>
      </c>
      <c r="F635" s="24"/>
      <c r="G635" s="25" t="str">
        <f>IF($D635="","",IFERROR(VLOOKUP($D635,'SAMA Consumables Tracker'!$A:$D,4,FALSE()),""))</f>
        <v/>
      </c>
      <c r="H635" s="22"/>
    </row>
    <row r="636" spans="1:8">
      <c r="A636" s="21"/>
      <c r="B636" s="22"/>
      <c r="C636" s="22"/>
      <c r="D636" s="22"/>
      <c r="E636" s="23" t="str">
        <f>IF($D636="","",IFERROR(VLOOKUP($D636,'SAMA Consumables Tracker'!$A:$H,8,FALSE()),""))</f>
        <v/>
      </c>
      <c r="F636" s="24"/>
      <c r="G636" s="25" t="str">
        <f>IF($D636="","",IFERROR(VLOOKUP($D636,'SAMA Consumables Tracker'!$A:$D,4,FALSE()),""))</f>
        <v/>
      </c>
      <c r="H636" s="22"/>
    </row>
    <row r="637" spans="1:8">
      <c r="A637" s="21"/>
      <c r="B637" s="22"/>
      <c r="C637" s="22"/>
      <c r="D637" s="22"/>
      <c r="E637" s="23" t="str">
        <f>IF($D637="","",IFERROR(VLOOKUP($D637,'SAMA Consumables Tracker'!$A:$H,8,FALSE()),""))</f>
        <v/>
      </c>
      <c r="F637" s="24"/>
      <c r="G637" s="25" t="str">
        <f>IF($D637="","",IFERROR(VLOOKUP($D637,'SAMA Consumables Tracker'!$A:$D,4,FALSE()),""))</f>
        <v/>
      </c>
      <c r="H637" s="22"/>
    </row>
    <row r="638" spans="1:8">
      <c r="A638" s="21"/>
      <c r="B638" s="22"/>
      <c r="C638" s="22"/>
      <c r="D638" s="22"/>
      <c r="E638" s="23" t="str">
        <f>IF($D638="","",IFERROR(VLOOKUP($D638,'SAMA Consumables Tracker'!$A:$H,8,FALSE()),""))</f>
        <v/>
      </c>
      <c r="F638" s="24"/>
      <c r="G638" s="25" t="str">
        <f>IF($D638="","",IFERROR(VLOOKUP($D638,'SAMA Consumables Tracker'!$A:$D,4,FALSE()),""))</f>
        <v/>
      </c>
      <c r="H638" s="22"/>
    </row>
    <row r="639" spans="1:8">
      <c r="A639" s="21"/>
      <c r="B639" s="22"/>
      <c r="C639" s="22"/>
      <c r="D639" s="22"/>
      <c r="E639" s="23" t="str">
        <f>IF($D639="","",IFERROR(VLOOKUP($D639,'SAMA Consumables Tracker'!$A:$H,8,FALSE()),""))</f>
        <v/>
      </c>
      <c r="F639" s="24"/>
      <c r="G639" s="25" t="str">
        <f>IF($D639="","",IFERROR(VLOOKUP($D639,'SAMA Consumables Tracker'!$A:$D,4,FALSE()),""))</f>
        <v/>
      </c>
      <c r="H639" s="22"/>
    </row>
    <row r="640" spans="1:8">
      <c r="A640" s="21"/>
      <c r="B640" s="22"/>
      <c r="C640" s="22"/>
      <c r="D640" s="22"/>
      <c r="E640" s="23" t="str">
        <f>IF($D640="","",IFERROR(VLOOKUP($D640,'SAMA Consumables Tracker'!$A:$H,8,FALSE()),""))</f>
        <v/>
      </c>
      <c r="F640" s="24"/>
      <c r="G640" s="25" t="str">
        <f>IF($D640="","",IFERROR(VLOOKUP($D640,'SAMA Consumables Tracker'!$A:$D,4,FALSE()),""))</f>
        <v/>
      </c>
      <c r="H640" s="22"/>
    </row>
    <row r="641" spans="1:8">
      <c r="A641" s="21"/>
      <c r="B641" s="22"/>
      <c r="C641" s="22"/>
      <c r="D641" s="22"/>
      <c r="E641" s="23" t="str">
        <f>IF($D641="","",IFERROR(VLOOKUP($D641,'SAMA Consumables Tracker'!$A:$H,8,FALSE()),""))</f>
        <v/>
      </c>
      <c r="F641" s="24"/>
      <c r="G641" s="25" t="str">
        <f>IF($D641="","",IFERROR(VLOOKUP($D641,'SAMA Consumables Tracker'!$A:$D,4,FALSE()),""))</f>
        <v/>
      </c>
      <c r="H641" s="22"/>
    </row>
    <row r="642" spans="1:8">
      <c r="A642" s="21"/>
      <c r="B642" s="22"/>
      <c r="C642" s="22"/>
      <c r="D642" s="22"/>
      <c r="E642" s="23" t="str">
        <f>IF($D642="","",IFERROR(VLOOKUP($D642,'SAMA Consumables Tracker'!$A:$H,8,FALSE()),""))</f>
        <v/>
      </c>
      <c r="F642" s="24"/>
      <c r="G642" s="25" t="str">
        <f>IF($D642="","",IFERROR(VLOOKUP($D642,'SAMA Consumables Tracker'!$A:$D,4,FALSE()),""))</f>
        <v/>
      </c>
      <c r="H642" s="22"/>
    </row>
    <row r="643" spans="1:8">
      <c r="A643" s="21"/>
      <c r="B643" s="22"/>
      <c r="C643" s="22"/>
      <c r="D643" s="22"/>
      <c r="E643" s="23" t="str">
        <f>IF($D643="","",IFERROR(VLOOKUP($D643,'SAMA Consumables Tracker'!$A:$H,8,FALSE()),""))</f>
        <v/>
      </c>
      <c r="F643" s="24"/>
      <c r="G643" s="25" t="str">
        <f>IF($D643="","",IFERROR(VLOOKUP($D643,'SAMA Consumables Tracker'!$A:$D,4,FALSE()),""))</f>
        <v/>
      </c>
      <c r="H643" s="22"/>
    </row>
    <row r="644" spans="1:8">
      <c r="A644" s="21"/>
      <c r="B644" s="22"/>
      <c r="C644" s="22"/>
      <c r="D644" s="22"/>
      <c r="E644" s="23" t="str">
        <f>IF($D644="","",IFERROR(VLOOKUP($D644,'SAMA Consumables Tracker'!$A:$H,8,FALSE()),""))</f>
        <v/>
      </c>
      <c r="F644" s="24"/>
      <c r="G644" s="25" t="str">
        <f>IF($D644="","",IFERROR(VLOOKUP($D644,'SAMA Consumables Tracker'!$A:$D,4,FALSE()),""))</f>
        <v/>
      </c>
      <c r="H644" s="22"/>
    </row>
    <row r="645" spans="1:8">
      <c r="A645" s="21"/>
      <c r="B645" s="22"/>
      <c r="C645" s="22"/>
      <c r="D645" s="22"/>
      <c r="E645" s="23" t="str">
        <f>IF($D645="","",IFERROR(VLOOKUP($D645,'SAMA Consumables Tracker'!$A:$H,8,FALSE()),""))</f>
        <v/>
      </c>
      <c r="F645" s="24"/>
      <c r="G645" s="25" t="str">
        <f>IF($D645="","",IFERROR(VLOOKUP($D645,'SAMA Consumables Tracker'!$A:$D,4,FALSE()),""))</f>
        <v/>
      </c>
      <c r="H645" s="22"/>
    </row>
    <row r="646" spans="1:8">
      <c r="A646" s="21"/>
      <c r="B646" s="22"/>
      <c r="C646" s="22"/>
      <c r="D646" s="22"/>
      <c r="E646" s="23" t="str">
        <f>IF($D646="","",IFERROR(VLOOKUP($D646,'SAMA Consumables Tracker'!$A:$H,8,FALSE()),""))</f>
        <v/>
      </c>
      <c r="F646" s="24"/>
      <c r="G646" s="25" t="str">
        <f>IF($D646="","",IFERROR(VLOOKUP($D646,'SAMA Consumables Tracker'!$A:$D,4,FALSE()),""))</f>
        <v/>
      </c>
      <c r="H646" s="22"/>
    </row>
    <row r="647" spans="1:8">
      <c r="A647" s="21"/>
      <c r="B647" s="22"/>
      <c r="C647" s="22"/>
      <c r="D647" s="22"/>
      <c r="E647" s="23" t="str">
        <f>IF($D647="","",IFERROR(VLOOKUP($D647,'SAMA Consumables Tracker'!$A:$H,8,FALSE()),""))</f>
        <v/>
      </c>
      <c r="F647" s="24"/>
      <c r="G647" s="25" t="str">
        <f>IF($D647="","",IFERROR(VLOOKUP($D647,'SAMA Consumables Tracker'!$A:$D,4,FALSE()),""))</f>
        <v/>
      </c>
      <c r="H647" s="22"/>
    </row>
    <row r="648" spans="1:8">
      <c r="A648" s="21"/>
      <c r="B648" s="22"/>
      <c r="C648" s="22"/>
      <c r="D648" s="22"/>
      <c r="E648" s="23" t="str">
        <f>IF($D648="","",IFERROR(VLOOKUP($D648,'SAMA Consumables Tracker'!$A:$H,8,FALSE()),""))</f>
        <v/>
      </c>
      <c r="F648" s="24"/>
      <c r="G648" s="25" t="str">
        <f>IF($D648="","",IFERROR(VLOOKUP($D648,'SAMA Consumables Tracker'!$A:$D,4,FALSE()),""))</f>
        <v/>
      </c>
      <c r="H648" s="22"/>
    </row>
    <row r="649" spans="1:8">
      <c r="A649" s="21"/>
      <c r="B649" s="22"/>
      <c r="C649" s="22"/>
      <c r="D649" s="22"/>
      <c r="E649" s="23" t="str">
        <f>IF($D649="","",IFERROR(VLOOKUP($D649,'SAMA Consumables Tracker'!$A:$H,8,FALSE()),""))</f>
        <v/>
      </c>
      <c r="F649" s="24"/>
      <c r="G649" s="25" t="str">
        <f>IF($D649="","",IFERROR(VLOOKUP($D649,'SAMA Consumables Tracker'!$A:$D,4,FALSE()),""))</f>
        <v/>
      </c>
      <c r="H649" s="22"/>
    </row>
    <row r="650" spans="1:8">
      <c r="A650" s="21"/>
      <c r="B650" s="22"/>
      <c r="C650" s="22"/>
      <c r="D650" s="22"/>
      <c r="E650" s="23" t="str">
        <f>IF($D650="","",IFERROR(VLOOKUP($D650,'SAMA Consumables Tracker'!$A:$H,8,FALSE()),""))</f>
        <v/>
      </c>
      <c r="F650" s="24"/>
      <c r="G650" s="25" t="str">
        <f>IF($D650="","",IFERROR(VLOOKUP($D650,'SAMA Consumables Tracker'!$A:$D,4,FALSE()),""))</f>
        <v/>
      </c>
      <c r="H650" s="22"/>
    </row>
    <row r="651" spans="1:8">
      <c r="A651" s="21"/>
      <c r="B651" s="22"/>
      <c r="C651" s="22"/>
      <c r="D651" s="22"/>
      <c r="E651" s="23" t="str">
        <f>IF($D651="","",IFERROR(VLOOKUP($D651,'SAMA Consumables Tracker'!$A:$H,8,FALSE()),""))</f>
        <v/>
      </c>
      <c r="F651" s="24"/>
      <c r="G651" s="25" t="str">
        <f>IF($D651="","",IFERROR(VLOOKUP($D651,'SAMA Consumables Tracker'!$A:$D,4,FALSE()),""))</f>
        <v/>
      </c>
      <c r="H651" s="22"/>
    </row>
    <row r="652" spans="1:8">
      <c r="A652" s="21"/>
      <c r="B652" s="22"/>
      <c r="C652" s="22"/>
      <c r="D652" s="22"/>
      <c r="E652" s="23" t="str">
        <f>IF($D652="","",IFERROR(VLOOKUP($D652,'SAMA Consumables Tracker'!$A:$H,8,FALSE()),""))</f>
        <v/>
      </c>
      <c r="F652" s="24"/>
      <c r="G652" s="25" t="str">
        <f>IF($D652="","",IFERROR(VLOOKUP($D652,'SAMA Consumables Tracker'!$A:$D,4,FALSE()),""))</f>
        <v/>
      </c>
      <c r="H652" s="22"/>
    </row>
    <row r="653" spans="1:8">
      <c r="A653" s="21"/>
      <c r="B653" s="22"/>
      <c r="C653" s="22"/>
      <c r="D653" s="22"/>
      <c r="E653" s="23" t="str">
        <f>IF($D653="","",IFERROR(VLOOKUP($D653,'SAMA Consumables Tracker'!$A:$H,8,FALSE()),""))</f>
        <v/>
      </c>
      <c r="F653" s="24"/>
      <c r="G653" s="25" t="str">
        <f>IF($D653="","",IFERROR(VLOOKUP($D653,'SAMA Consumables Tracker'!$A:$D,4,FALSE()),""))</f>
        <v/>
      </c>
      <c r="H653" s="22"/>
    </row>
    <row r="654" spans="1:8">
      <c r="A654" s="21"/>
      <c r="B654" s="22"/>
      <c r="C654" s="22"/>
      <c r="D654" s="22"/>
      <c r="E654" s="23" t="str">
        <f>IF($D654="","",IFERROR(VLOOKUP($D654,'SAMA Consumables Tracker'!$A:$H,8,FALSE()),""))</f>
        <v/>
      </c>
      <c r="F654" s="24"/>
      <c r="G654" s="25" t="str">
        <f>IF($D654="","",IFERROR(VLOOKUP($D654,'SAMA Consumables Tracker'!$A:$D,4,FALSE()),""))</f>
        <v/>
      </c>
      <c r="H654" s="22"/>
    </row>
    <row r="655" spans="1:8">
      <c r="A655" s="21"/>
      <c r="B655" s="22"/>
      <c r="C655" s="22"/>
      <c r="D655" s="22"/>
      <c r="E655" s="23" t="str">
        <f>IF($D655="","",IFERROR(VLOOKUP($D655,'SAMA Consumables Tracker'!$A:$H,8,FALSE()),""))</f>
        <v/>
      </c>
      <c r="F655" s="24"/>
      <c r="G655" s="25" t="str">
        <f>IF($D655="","",IFERROR(VLOOKUP($D655,'SAMA Consumables Tracker'!$A:$D,4,FALSE()),""))</f>
        <v/>
      </c>
      <c r="H655" s="22"/>
    </row>
    <row r="656" spans="1:8">
      <c r="A656" s="21"/>
      <c r="B656" s="22"/>
      <c r="C656" s="22"/>
      <c r="D656" s="22"/>
      <c r="E656" s="23" t="str">
        <f>IF($D656="","",IFERROR(VLOOKUP($D656,'SAMA Consumables Tracker'!$A:$H,8,FALSE()),""))</f>
        <v/>
      </c>
      <c r="F656" s="24"/>
      <c r="G656" s="25" t="str">
        <f>IF($D656="","",IFERROR(VLOOKUP($D656,'SAMA Consumables Tracker'!$A:$D,4,FALSE()),""))</f>
        <v/>
      </c>
      <c r="H656" s="22"/>
    </row>
    <row r="657" spans="1:8">
      <c r="A657" s="21"/>
      <c r="B657" s="22"/>
      <c r="C657" s="22"/>
      <c r="D657" s="22"/>
      <c r="E657" s="23" t="str">
        <f>IF($D657="","",IFERROR(VLOOKUP($D657,'SAMA Consumables Tracker'!$A:$H,8,FALSE()),""))</f>
        <v/>
      </c>
      <c r="F657" s="24"/>
      <c r="G657" s="25" t="str">
        <f>IF($D657="","",IFERROR(VLOOKUP($D657,'SAMA Consumables Tracker'!$A:$D,4,FALSE()),""))</f>
        <v/>
      </c>
      <c r="H657" s="22"/>
    </row>
    <row r="658" spans="1:8">
      <c r="A658" s="21"/>
      <c r="B658" s="22"/>
      <c r="C658" s="22"/>
      <c r="D658" s="22"/>
      <c r="E658" s="23" t="str">
        <f>IF($D658="","",IFERROR(VLOOKUP($D658,'SAMA Consumables Tracker'!$A:$H,8,FALSE()),""))</f>
        <v/>
      </c>
      <c r="F658" s="24"/>
      <c r="G658" s="25" t="str">
        <f>IF($D658="","",IFERROR(VLOOKUP($D658,'SAMA Consumables Tracker'!$A:$D,4,FALSE()),""))</f>
        <v/>
      </c>
      <c r="H658" s="22"/>
    </row>
    <row r="659" spans="1:8">
      <c r="A659" s="21"/>
      <c r="B659" s="22"/>
      <c r="C659" s="22"/>
      <c r="D659" s="22"/>
      <c r="E659" s="23" t="str">
        <f>IF($D659="","",IFERROR(VLOOKUP($D659,'SAMA Consumables Tracker'!$A:$H,8,FALSE()),""))</f>
        <v/>
      </c>
      <c r="F659" s="24"/>
      <c r="G659" s="25" t="str">
        <f>IF($D659="","",IFERROR(VLOOKUP($D659,'SAMA Consumables Tracker'!$A:$D,4,FALSE()),""))</f>
        <v/>
      </c>
      <c r="H659" s="22"/>
    </row>
    <row r="660" spans="1:8">
      <c r="A660" s="21"/>
      <c r="B660" s="22"/>
      <c r="C660" s="22"/>
      <c r="D660" s="22"/>
      <c r="E660" s="23" t="str">
        <f>IF($D660="","",IFERROR(VLOOKUP($D660,'SAMA Consumables Tracker'!$A:$H,8,FALSE()),""))</f>
        <v/>
      </c>
      <c r="F660" s="24"/>
      <c r="G660" s="25" t="str">
        <f>IF($D660="","",IFERROR(VLOOKUP($D660,'SAMA Consumables Tracker'!$A:$D,4,FALSE()),""))</f>
        <v/>
      </c>
      <c r="H660" s="22"/>
    </row>
    <row r="661" spans="1:8">
      <c r="A661" s="21"/>
      <c r="B661" s="22"/>
      <c r="C661" s="22"/>
      <c r="D661" s="22"/>
      <c r="E661" s="23" t="str">
        <f>IF($D661="","",IFERROR(VLOOKUP($D661,'SAMA Consumables Tracker'!$A:$H,8,FALSE()),""))</f>
        <v/>
      </c>
      <c r="F661" s="24"/>
      <c r="G661" s="25" t="str">
        <f>IF($D661="","",IFERROR(VLOOKUP($D661,'SAMA Consumables Tracker'!$A:$D,4,FALSE()),""))</f>
        <v/>
      </c>
      <c r="H661" s="22"/>
    </row>
    <row r="662" spans="1:8">
      <c r="A662" s="21"/>
      <c r="B662" s="22"/>
      <c r="C662" s="22"/>
      <c r="D662" s="22"/>
      <c r="E662" s="23" t="str">
        <f>IF($D662="","",IFERROR(VLOOKUP($D662,'SAMA Consumables Tracker'!$A:$H,8,FALSE()),""))</f>
        <v/>
      </c>
      <c r="F662" s="24"/>
      <c r="G662" s="25" t="str">
        <f>IF($D662="","",IFERROR(VLOOKUP($D662,'SAMA Consumables Tracker'!$A:$D,4,FALSE()),""))</f>
        <v/>
      </c>
      <c r="H662" s="22"/>
    </row>
    <row r="663" spans="1:8">
      <c r="A663" s="21"/>
      <c r="B663" s="22"/>
      <c r="C663" s="22"/>
      <c r="D663" s="22"/>
      <c r="E663" s="23" t="str">
        <f>IF($D663="","",IFERROR(VLOOKUP($D663,'SAMA Consumables Tracker'!$A:$H,8,FALSE()),""))</f>
        <v/>
      </c>
      <c r="F663" s="24"/>
      <c r="G663" s="25" t="str">
        <f>IF($D663="","",IFERROR(VLOOKUP($D663,'SAMA Consumables Tracker'!$A:$D,4,FALSE()),""))</f>
        <v/>
      </c>
      <c r="H663" s="22"/>
    </row>
    <row r="664" spans="1:8">
      <c r="A664" s="21"/>
      <c r="B664" s="22"/>
      <c r="C664" s="22"/>
      <c r="D664" s="22"/>
      <c r="E664" s="23" t="str">
        <f>IF($D664="","",IFERROR(VLOOKUP($D664,'SAMA Consumables Tracker'!$A:$H,8,FALSE()),""))</f>
        <v/>
      </c>
      <c r="F664" s="24"/>
      <c r="G664" s="25" t="str">
        <f>IF($D664="","",IFERROR(VLOOKUP($D664,'SAMA Consumables Tracker'!$A:$D,4,FALSE()),""))</f>
        <v/>
      </c>
      <c r="H664" s="22"/>
    </row>
    <row r="665" spans="1:8">
      <c r="A665" s="21"/>
      <c r="B665" s="22"/>
      <c r="C665" s="22"/>
      <c r="D665" s="22"/>
      <c r="E665" s="23" t="str">
        <f>IF($D665="","",IFERROR(VLOOKUP($D665,'SAMA Consumables Tracker'!$A:$H,8,FALSE()),""))</f>
        <v/>
      </c>
      <c r="F665" s="24"/>
      <c r="G665" s="25" t="str">
        <f>IF($D665="","",IFERROR(VLOOKUP($D665,'SAMA Consumables Tracker'!$A:$D,4,FALSE()),""))</f>
        <v/>
      </c>
      <c r="H665" s="22"/>
    </row>
    <row r="666" spans="1:8">
      <c r="A666" s="21"/>
      <c r="B666" s="22"/>
      <c r="C666" s="22"/>
      <c r="D666" s="22"/>
      <c r="E666" s="23" t="str">
        <f>IF($D666="","",IFERROR(VLOOKUP($D666,'SAMA Consumables Tracker'!$A:$H,8,FALSE()),""))</f>
        <v/>
      </c>
      <c r="F666" s="24"/>
      <c r="G666" s="25" t="str">
        <f>IF($D666="","",IFERROR(VLOOKUP($D666,'SAMA Consumables Tracker'!$A:$D,4,FALSE()),""))</f>
        <v/>
      </c>
      <c r="H666" s="22"/>
    </row>
    <row r="667" spans="1:8">
      <c r="A667" s="21"/>
      <c r="B667" s="22"/>
      <c r="C667" s="22"/>
      <c r="D667" s="22"/>
      <c r="E667" s="23" t="str">
        <f>IF($D667="","",IFERROR(VLOOKUP($D667,'SAMA Consumables Tracker'!$A:$H,8,FALSE()),""))</f>
        <v/>
      </c>
      <c r="F667" s="24"/>
      <c r="G667" s="25" t="str">
        <f>IF($D667="","",IFERROR(VLOOKUP($D667,'SAMA Consumables Tracker'!$A:$D,4,FALSE()),""))</f>
        <v/>
      </c>
      <c r="H667" s="22"/>
    </row>
    <row r="668" spans="1:8">
      <c r="A668" s="21"/>
      <c r="B668" s="22"/>
      <c r="C668" s="22"/>
      <c r="D668" s="22"/>
      <c r="E668" s="23" t="str">
        <f>IF($D668="","",IFERROR(VLOOKUP($D668,'SAMA Consumables Tracker'!$A:$H,8,FALSE()),""))</f>
        <v/>
      </c>
      <c r="F668" s="24"/>
      <c r="G668" s="25" t="str">
        <f>IF($D668="","",IFERROR(VLOOKUP($D668,'SAMA Consumables Tracker'!$A:$D,4,FALSE()),""))</f>
        <v/>
      </c>
      <c r="H668" s="22"/>
    </row>
    <row r="669" spans="1:8">
      <c r="A669" s="21"/>
      <c r="B669" s="22"/>
      <c r="C669" s="22"/>
      <c r="D669" s="22"/>
      <c r="E669" s="23" t="str">
        <f>IF($D669="","",IFERROR(VLOOKUP($D669,'SAMA Consumables Tracker'!$A:$H,8,FALSE()),""))</f>
        <v/>
      </c>
      <c r="F669" s="24"/>
      <c r="G669" s="25" t="str">
        <f>IF($D669="","",IFERROR(VLOOKUP($D669,'SAMA Consumables Tracker'!$A:$D,4,FALSE()),""))</f>
        <v/>
      </c>
      <c r="H669" s="22"/>
    </row>
    <row r="670" spans="1:8">
      <c r="A670" s="21"/>
      <c r="B670" s="22"/>
      <c r="C670" s="22"/>
      <c r="D670" s="22"/>
      <c r="E670" s="23" t="str">
        <f>IF($D670="","",IFERROR(VLOOKUP($D670,'SAMA Consumables Tracker'!$A:$H,8,FALSE()),""))</f>
        <v/>
      </c>
      <c r="F670" s="24"/>
      <c r="G670" s="25" t="str">
        <f>IF($D670="","",IFERROR(VLOOKUP($D670,'SAMA Consumables Tracker'!$A:$D,4,FALSE()),""))</f>
        <v/>
      </c>
      <c r="H670" s="22"/>
    </row>
    <row r="671" spans="1:8">
      <c r="A671" s="21"/>
      <c r="B671" s="22"/>
      <c r="C671" s="22"/>
      <c r="D671" s="22"/>
      <c r="E671" s="23" t="str">
        <f>IF($D671="","",IFERROR(VLOOKUP($D671,'SAMA Consumables Tracker'!$A:$H,8,FALSE()),""))</f>
        <v/>
      </c>
      <c r="F671" s="24"/>
      <c r="G671" s="25" t="str">
        <f>IF($D671="","",IFERROR(VLOOKUP($D671,'SAMA Consumables Tracker'!$A:$D,4,FALSE()),""))</f>
        <v/>
      </c>
      <c r="H671" s="22"/>
    </row>
    <row r="672" spans="1:8">
      <c r="A672" s="21"/>
      <c r="B672" s="22"/>
      <c r="C672" s="22"/>
      <c r="D672" s="22"/>
      <c r="E672" s="23" t="str">
        <f>IF($D672="","",IFERROR(VLOOKUP($D672,'SAMA Consumables Tracker'!$A:$H,8,FALSE()),""))</f>
        <v/>
      </c>
      <c r="F672" s="24"/>
      <c r="G672" s="25" t="str">
        <f>IF($D672="","",IFERROR(VLOOKUP($D672,'SAMA Consumables Tracker'!$A:$D,4,FALSE()),""))</f>
        <v/>
      </c>
      <c r="H672" s="22"/>
    </row>
    <row r="673" spans="1:8">
      <c r="A673" s="21"/>
      <c r="B673" s="22"/>
      <c r="C673" s="22"/>
      <c r="D673" s="22"/>
      <c r="E673" s="23" t="str">
        <f>IF($D673="","",IFERROR(VLOOKUP($D673,'SAMA Consumables Tracker'!$A:$H,8,FALSE()),""))</f>
        <v/>
      </c>
      <c r="F673" s="24"/>
      <c r="G673" s="25" t="str">
        <f>IF($D673="","",IFERROR(VLOOKUP($D673,'SAMA Consumables Tracker'!$A:$D,4,FALSE()),""))</f>
        <v/>
      </c>
      <c r="H673" s="22"/>
    </row>
    <row r="674" spans="1:8">
      <c r="A674" s="21"/>
      <c r="B674" s="22"/>
      <c r="C674" s="22"/>
      <c r="D674" s="22"/>
      <c r="E674" s="23" t="str">
        <f>IF($D674="","",IFERROR(VLOOKUP($D674,'SAMA Consumables Tracker'!$A:$H,8,FALSE()),""))</f>
        <v/>
      </c>
      <c r="F674" s="24"/>
      <c r="G674" s="25" t="str">
        <f>IF($D674="","",IFERROR(VLOOKUP($D674,'SAMA Consumables Tracker'!$A:$D,4,FALSE()),""))</f>
        <v/>
      </c>
      <c r="H674" s="22"/>
    </row>
    <row r="675" spans="1:8">
      <c r="A675" s="21"/>
      <c r="B675" s="22"/>
      <c r="C675" s="22"/>
      <c r="D675" s="22"/>
      <c r="E675" s="23" t="str">
        <f>IF($D675="","",IFERROR(VLOOKUP($D675,'SAMA Consumables Tracker'!$A:$H,8,FALSE()),""))</f>
        <v/>
      </c>
      <c r="F675" s="24"/>
      <c r="G675" s="25" t="str">
        <f>IF($D675="","",IFERROR(VLOOKUP($D675,'SAMA Consumables Tracker'!$A:$D,4,FALSE()),""))</f>
        <v/>
      </c>
      <c r="H675" s="22"/>
    </row>
    <row r="676" spans="1:8">
      <c r="A676" s="21"/>
      <c r="B676" s="22"/>
      <c r="C676" s="22"/>
      <c r="D676" s="22"/>
      <c r="E676" s="23" t="str">
        <f>IF($D676="","",IFERROR(VLOOKUP($D676,'SAMA Consumables Tracker'!$A:$H,8,FALSE()),""))</f>
        <v/>
      </c>
      <c r="F676" s="24"/>
      <c r="G676" s="25" t="str">
        <f>IF($D676="","",IFERROR(VLOOKUP($D676,'SAMA Consumables Tracker'!$A:$D,4,FALSE()),""))</f>
        <v/>
      </c>
      <c r="H676" s="22"/>
    </row>
    <row r="677" spans="1:8">
      <c r="A677" s="21"/>
      <c r="B677" s="22"/>
      <c r="C677" s="22"/>
      <c r="D677" s="22"/>
      <c r="E677" s="23" t="str">
        <f>IF($D677="","",IFERROR(VLOOKUP($D677,'SAMA Consumables Tracker'!$A:$H,8,FALSE()),""))</f>
        <v/>
      </c>
      <c r="F677" s="24"/>
      <c r="G677" s="25" t="str">
        <f>IF($D677="","",IFERROR(VLOOKUP($D677,'SAMA Consumables Tracker'!$A:$D,4,FALSE()),""))</f>
        <v/>
      </c>
      <c r="H677" s="22"/>
    </row>
    <row r="678" spans="1:8">
      <c r="A678" s="21"/>
      <c r="B678" s="22"/>
      <c r="C678" s="22"/>
      <c r="D678" s="22"/>
      <c r="E678" s="23" t="str">
        <f>IF($D678="","",IFERROR(VLOOKUP($D678,'SAMA Consumables Tracker'!$A:$H,8,FALSE()),""))</f>
        <v/>
      </c>
      <c r="F678" s="24"/>
      <c r="G678" s="25" t="str">
        <f>IF($D678="","",IFERROR(VLOOKUP($D678,'SAMA Consumables Tracker'!$A:$D,4,FALSE()),""))</f>
        <v/>
      </c>
      <c r="H678" s="22"/>
    </row>
    <row r="679" spans="1:8">
      <c r="A679" s="21"/>
      <c r="B679" s="22"/>
      <c r="C679" s="22"/>
      <c r="D679" s="22"/>
      <c r="E679" s="23" t="str">
        <f>IF($D679="","",IFERROR(VLOOKUP($D679,'SAMA Consumables Tracker'!$A:$H,8,FALSE()),""))</f>
        <v/>
      </c>
      <c r="F679" s="24"/>
      <c r="G679" s="25" t="str">
        <f>IF($D679="","",IFERROR(VLOOKUP($D679,'SAMA Consumables Tracker'!$A:$D,4,FALSE()),""))</f>
        <v/>
      </c>
      <c r="H679" s="22"/>
    </row>
    <row r="680" spans="1:8">
      <c r="A680" s="21"/>
      <c r="B680" s="22"/>
      <c r="C680" s="22"/>
      <c r="D680" s="22"/>
      <c r="E680" s="23" t="str">
        <f>IF($D680="","",IFERROR(VLOOKUP($D680,'SAMA Consumables Tracker'!$A:$H,8,FALSE()),""))</f>
        <v/>
      </c>
      <c r="F680" s="24"/>
      <c r="G680" s="25" t="str">
        <f>IF($D680="","",IFERROR(VLOOKUP($D680,'SAMA Consumables Tracker'!$A:$D,4,FALSE()),""))</f>
        <v/>
      </c>
      <c r="H680" s="22"/>
    </row>
    <row r="681" spans="1:8">
      <c r="A681" s="21"/>
      <c r="B681" s="22"/>
      <c r="C681" s="22"/>
      <c r="D681" s="22"/>
      <c r="E681" s="23" t="str">
        <f>IF($D681="","",IFERROR(VLOOKUP($D681,'SAMA Consumables Tracker'!$A:$H,8,FALSE()),""))</f>
        <v/>
      </c>
      <c r="F681" s="24"/>
      <c r="G681" s="25" t="str">
        <f>IF($D681="","",IFERROR(VLOOKUP($D681,'SAMA Consumables Tracker'!$A:$D,4,FALSE()),""))</f>
        <v/>
      </c>
      <c r="H681" s="22"/>
    </row>
    <row r="682" spans="1:8">
      <c r="A682" s="21"/>
      <c r="B682" s="22"/>
      <c r="C682" s="22"/>
      <c r="D682" s="22"/>
      <c r="E682" s="23" t="str">
        <f>IF($D682="","",IFERROR(VLOOKUP($D682,'SAMA Consumables Tracker'!$A:$H,8,FALSE()),""))</f>
        <v/>
      </c>
      <c r="F682" s="24"/>
      <c r="G682" s="25" t="str">
        <f>IF($D682="","",IFERROR(VLOOKUP($D682,'SAMA Consumables Tracker'!$A:$D,4,FALSE()),""))</f>
        <v/>
      </c>
      <c r="H682" s="22"/>
    </row>
    <row r="683" spans="1:8">
      <c r="A683" s="21"/>
      <c r="B683" s="22"/>
      <c r="C683" s="22"/>
      <c r="D683" s="22"/>
      <c r="E683" s="23" t="str">
        <f>IF($D683="","",IFERROR(VLOOKUP($D683,'SAMA Consumables Tracker'!$A:$H,8,FALSE()),""))</f>
        <v/>
      </c>
      <c r="F683" s="24"/>
      <c r="G683" s="25" t="str">
        <f>IF($D683="","",IFERROR(VLOOKUP($D683,'SAMA Consumables Tracker'!$A:$D,4,FALSE()),""))</f>
        <v/>
      </c>
      <c r="H683" s="22"/>
    </row>
    <row r="684" spans="1:8">
      <c r="A684" s="21"/>
      <c r="B684" s="22"/>
      <c r="C684" s="22"/>
      <c r="D684" s="22"/>
      <c r="E684" s="23" t="str">
        <f>IF($D684="","",IFERROR(VLOOKUP($D684,'SAMA Consumables Tracker'!$A:$H,8,FALSE()),""))</f>
        <v/>
      </c>
      <c r="F684" s="24"/>
      <c r="G684" s="25" t="str">
        <f>IF($D684="","",IFERROR(VLOOKUP($D684,'SAMA Consumables Tracker'!$A:$D,4,FALSE()),""))</f>
        <v/>
      </c>
      <c r="H684" s="22"/>
    </row>
    <row r="685" spans="1:8">
      <c r="A685" s="21"/>
      <c r="B685" s="22"/>
      <c r="C685" s="22"/>
      <c r="D685" s="22"/>
      <c r="E685" s="23" t="str">
        <f>IF($D685="","",IFERROR(VLOOKUP($D685,'SAMA Consumables Tracker'!$A:$H,8,FALSE()),""))</f>
        <v/>
      </c>
      <c r="F685" s="24"/>
      <c r="G685" s="25" t="str">
        <f>IF($D685="","",IFERROR(VLOOKUP($D685,'SAMA Consumables Tracker'!$A:$D,4,FALSE()),""))</f>
        <v/>
      </c>
      <c r="H685" s="22"/>
    </row>
    <row r="686" spans="1:8">
      <c r="A686" s="21"/>
      <c r="B686" s="22"/>
      <c r="C686" s="22"/>
      <c r="D686" s="22"/>
      <c r="E686" s="23" t="str">
        <f>IF($D686="","",IFERROR(VLOOKUP($D686,'SAMA Consumables Tracker'!$A:$H,8,FALSE()),""))</f>
        <v/>
      </c>
      <c r="F686" s="24"/>
      <c r="G686" s="25" t="str">
        <f>IF($D686="","",IFERROR(VLOOKUP($D686,'SAMA Consumables Tracker'!$A:$D,4,FALSE()),""))</f>
        <v/>
      </c>
      <c r="H686" s="22"/>
    </row>
    <row r="687" spans="1:8">
      <c r="A687" s="21"/>
      <c r="B687" s="22"/>
      <c r="C687" s="22"/>
      <c r="D687" s="22"/>
      <c r="E687" s="23" t="str">
        <f>IF($D687="","",IFERROR(VLOOKUP($D687,'SAMA Consumables Tracker'!$A:$H,8,FALSE()),""))</f>
        <v/>
      </c>
      <c r="F687" s="24"/>
      <c r="G687" s="25" t="str">
        <f>IF($D687="","",IFERROR(VLOOKUP($D687,'SAMA Consumables Tracker'!$A:$D,4,FALSE()),""))</f>
        <v/>
      </c>
      <c r="H687" s="22"/>
    </row>
    <row r="688" spans="1:8">
      <c r="A688" s="21"/>
      <c r="B688" s="22"/>
      <c r="C688" s="22"/>
      <c r="D688" s="22"/>
      <c r="E688" s="23" t="str">
        <f>IF($D688="","",IFERROR(VLOOKUP($D688,'SAMA Consumables Tracker'!$A:$H,8,FALSE()),""))</f>
        <v/>
      </c>
      <c r="F688" s="24"/>
      <c r="G688" s="25" t="str">
        <f>IF($D688="","",IFERROR(VLOOKUP($D688,'SAMA Consumables Tracker'!$A:$D,4,FALSE()),""))</f>
        <v/>
      </c>
      <c r="H688" s="22"/>
    </row>
    <row r="689" spans="1:8">
      <c r="A689" s="21"/>
      <c r="B689" s="22"/>
      <c r="C689" s="22"/>
      <c r="D689" s="22"/>
      <c r="E689" s="23" t="str">
        <f>IF($D689="","",IFERROR(VLOOKUP($D689,'SAMA Consumables Tracker'!$A:$H,8,FALSE()),""))</f>
        <v/>
      </c>
      <c r="F689" s="24"/>
      <c r="G689" s="25" t="str">
        <f>IF($D689="","",IFERROR(VLOOKUP($D689,'SAMA Consumables Tracker'!$A:$D,4,FALSE()),""))</f>
        <v/>
      </c>
      <c r="H689" s="22"/>
    </row>
    <row r="690" spans="1:8">
      <c r="A690" s="21"/>
      <c r="B690" s="22"/>
      <c r="C690" s="22"/>
      <c r="D690" s="22"/>
      <c r="E690" s="23" t="str">
        <f>IF($D690="","",IFERROR(VLOOKUP($D690,'SAMA Consumables Tracker'!$A:$H,8,FALSE()),""))</f>
        <v/>
      </c>
      <c r="F690" s="24"/>
      <c r="G690" s="25" t="str">
        <f>IF($D690="","",IFERROR(VLOOKUP($D690,'SAMA Consumables Tracker'!$A:$D,4,FALSE()),""))</f>
        <v/>
      </c>
      <c r="H690" s="22"/>
    </row>
    <row r="691" spans="1:8">
      <c r="A691" s="21"/>
      <c r="B691" s="22"/>
      <c r="C691" s="22"/>
      <c r="D691" s="22"/>
      <c r="E691" s="23" t="str">
        <f>IF($D691="","",IFERROR(VLOOKUP($D691,'SAMA Consumables Tracker'!$A:$H,8,FALSE()),""))</f>
        <v/>
      </c>
      <c r="F691" s="24"/>
      <c r="G691" s="25" t="str">
        <f>IF($D691="","",IFERROR(VLOOKUP($D691,'SAMA Consumables Tracker'!$A:$D,4,FALSE()),""))</f>
        <v/>
      </c>
      <c r="H691" s="22"/>
    </row>
    <row r="692" spans="1:8">
      <c r="A692" s="21"/>
      <c r="B692" s="22"/>
      <c r="C692" s="22"/>
      <c r="D692" s="22"/>
      <c r="E692" s="23" t="str">
        <f>IF($D692="","",IFERROR(VLOOKUP($D692,'SAMA Consumables Tracker'!$A:$H,8,FALSE()),""))</f>
        <v/>
      </c>
      <c r="F692" s="24"/>
      <c r="G692" s="25" t="str">
        <f>IF($D692="","",IFERROR(VLOOKUP($D692,'SAMA Consumables Tracker'!$A:$D,4,FALSE()),""))</f>
        <v/>
      </c>
      <c r="H692" s="22"/>
    </row>
    <row r="693" spans="1:8">
      <c r="A693" s="21"/>
      <c r="B693" s="22"/>
      <c r="C693" s="22"/>
      <c r="D693" s="22"/>
      <c r="E693" s="23" t="str">
        <f>IF($D693="","",IFERROR(VLOOKUP($D693,'SAMA Consumables Tracker'!$A:$H,8,FALSE()),""))</f>
        <v/>
      </c>
      <c r="F693" s="24"/>
      <c r="G693" s="25" t="str">
        <f>IF($D693="","",IFERROR(VLOOKUP($D693,'SAMA Consumables Tracker'!$A:$D,4,FALSE()),""))</f>
        <v/>
      </c>
      <c r="H693" s="22"/>
    </row>
    <row r="694" spans="1:8">
      <c r="A694" s="21"/>
      <c r="B694" s="22"/>
      <c r="C694" s="22"/>
      <c r="D694" s="22"/>
      <c r="E694" s="23" t="str">
        <f>IF($D694="","",IFERROR(VLOOKUP($D694,'SAMA Consumables Tracker'!$A:$H,8,FALSE()),""))</f>
        <v/>
      </c>
      <c r="F694" s="24"/>
      <c r="G694" s="25" t="str">
        <f>IF($D694="","",IFERROR(VLOOKUP($D694,'SAMA Consumables Tracker'!$A:$D,4,FALSE()),""))</f>
        <v/>
      </c>
      <c r="H694" s="22"/>
    </row>
    <row r="695" spans="1:8">
      <c r="A695" s="21"/>
      <c r="B695" s="22"/>
      <c r="C695" s="22"/>
      <c r="D695" s="22"/>
      <c r="E695" s="23" t="str">
        <f>IF($D695="","",IFERROR(VLOOKUP($D695,'SAMA Consumables Tracker'!$A:$H,8,FALSE()),""))</f>
        <v/>
      </c>
      <c r="F695" s="24"/>
      <c r="G695" s="25" t="str">
        <f>IF($D695="","",IFERROR(VLOOKUP($D695,'SAMA Consumables Tracker'!$A:$D,4,FALSE()),""))</f>
        <v/>
      </c>
      <c r="H695" s="22"/>
    </row>
    <row r="696" spans="1:8">
      <c r="A696" s="21"/>
      <c r="B696" s="22"/>
      <c r="C696" s="22"/>
      <c r="D696" s="22"/>
      <c r="E696" s="23" t="str">
        <f>IF($D696="","",IFERROR(VLOOKUP($D696,'SAMA Consumables Tracker'!$A:$H,8,FALSE()),""))</f>
        <v/>
      </c>
      <c r="F696" s="24"/>
      <c r="G696" s="25" t="str">
        <f>IF($D696="","",IFERROR(VLOOKUP($D696,'SAMA Consumables Tracker'!$A:$D,4,FALSE()),""))</f>
        <v/>
      </c>
      <c r="H696" s="22"/>
    </row>
    <row r="697" spans="1:8">
      <c r="A697" s="21"/>
      <c r="B697" s="22"/>
      <c r="C697" s="22"/>
      <c r="D697" s="22"/>
      <c r="E697" s="23" t="str">
        <f>IF($D697="","",IFERROR(VLOOKUP($D697,'SAMA Consumables Tracker'!$A:$H,8,FALSE()),""))</f>
        <v/>
      </c>
      <c r="F697" s="24"/>
      <c r="G697" s="25" t="str">
        <f>IF($D697="","",IFERROR(VLOOKUP($D697,'SAMA Consumables Tracker'!$A:$D,4,FALSE()),""))</f>
        <v/>
      </c>
      <c r="H697" s="22"/>
    </row>
    <row r="698" spans="1:8">
      <c r="A698" s="21"/>
      <c r="B698" s="22"/>
      <c r="C698" s="22"/>
      <c r="D698" s="22"/>
      <c r="E698" s="23" t="str">
        <f>IF($D698="","",IFERROR(VLOOKUP($D698,'SAMA Consumables Tracker'!$A:$H,8,FALSE()),""))</f>
        <v/>
      </c>
      <c r="F698" s="24"/>
      <c r="G698" s="25" t="str">
        <f>IF($D698="","",IFERROR(VLOOKUP($D698,'SAMA Consumables Tracker'!$A:$D,4,FALSE()),""))</f>
        <v/>
      </c>
      <c r="H698" s="22"/>
    </row>
    <row r="699" spans="1:8">
      <c r="A699" s="21"/>
      <c r="B699" s="22"/>
      <c r="C699" s="22"/>
      <c r="D699" s="22"/>
      <c r="E699" s="23" t="str">
        <f>IF($D699="","",IFERROR(VLOOKUP($D699,'SAMA Consumables Tracker'!$A:$H,8,FALSE()),""))</f>
        <v/>
      </c>
      <c r="F699" s="24"/>
      <c r="G699" s="25" t="str">
        <f>IF($D699="","",IFERROR(VLOOKUP($D699,'SAMA Consumables Tracker'!$A:$D,4,FALSE()),""))</f>
        <v/>
      </c>
      <c r="H699" s="22"/>
    </row>
    <row r="700" spans="1:8">
      <c r="A700" s="21"/>
      <c r="B700" s="22"/>
      <c r="C700" s="22"/>
      <c r="D700" s="22"/>
      <c r="E700" s="23" t="str">
        <f>IF($D700="","",IFERROR(VLOOKUP($D700,'SAMA Consumables Tracker'!$A:$H,8,FALSE()),""))</f>
        <v/>
      </c>
      <c r="F700" s="24"/>
      <c r="G700" s="25" t="str">
        <f>IF($D700="","",IFERROR(VLOOKUP($D700,'SAMA Consumables Tracker'!$A:$D,4,FALSE()),""))</f>
        <v/>
      </c>
      <c r="H700" s="22"/>
    </row>
    <row r="701" spans="1:8">
      <c r="A701" s="21"/>
      <c r="B701" s="22"/>
      <c r="C701" s="22"/>
      <c r="D701" s="22"/>
      <c r="E701" s="23" t="str">
        <f>IF($D701="","",IFERROR(VLOOKUP($D701,'SAMA Consumables Tracker'!$A:$H,8,FALSE()),""))</f>
        <v/>
      </c>
      <c r="F701" s="24"/>
      <c r="G701" s="25" t="str">
        <f>IF($D701="","",IFERROR(VLOOKUP($D701,'SAMA Consumables Tracker'!$A:$D,4,FALSE()),""))</f>
        <v/>
      </c>
      <c r="H701" s="22"/>
    </row>
    <row r="702" spans="1:8">
      <c r="A702" s="21"/>
      <c r="B702" s="22"/>
      <c r="C702" s="22"/>
      <c r="D702" s="22"/>
      <c r="E702" s="23" t="str">
        <f>IF($D702="","",IFERROR(VLOOKUP($D702,'SAMA Consumables Tracker'!$A:$H,8,FALSE()),""))</f>
        <v/>
      </c>
      <c r="F702" s="24"/>
      <c r="G702" s="25" t="str">
        <f>IF($D702="","",IFERROR(VLOOKUP($D702,'SAMA Consumables Tracker'!$A:$D,4,FALSE()),""))</f>
        <v/>
      </c>
      <c r="H702" s="22"/>
    </row>
    <row r="703" spans="1:8">
      <c r="A703" s="21"/>
      <c r="B703" s="22"/>
      <c r="C703" s="22"/>
      <c r="D703" s="22"/>
      <c r="E703" s="23" t="str">
        <f>IF($D703="","",IFERROR(VLOOKUP($D703,'SAMA Consumables Tracker'!$A:$H,8,FALSE()),""))</f>
        <v/>
      </c>
      <c r="F703" s="24"/>
      <c r="G703" s="25" t="str">
        <f>IF($D703="","",IFERROR(VLOOKUP($D703,'SAMA Consumables Tracker'!$A:$D,4,FALSE()),""))</f>
        <v/>
      </c>
      <c r="H703" s="22"/>
    </row>
    <row r="704" spans="1:8">
      <c r="A704" s="21"/>
      <c r="B704" s="22"/>
      <c r="C704" s="22"/>
      <c r="D704" s="22"/>
      <c r="E704" s="23" t="str">
        <f>IF($D704="","",IFERROR(VLOOKUP($D704,'SAMA Consumables Tracker'!$A:$H,8,FALSE()),""))</f>
        <v/>
      </c>
      <c r="F704" s="24"/>
      <c r="G704" s="25" t="str">
        <f>IF($D704="","",IFERROR(VLOOKUP($D704,'SAMA Consumables Tracker'!$A:$D,4,FALSE()),""))</f>
        <v/>
      </c>
      <c r="H704" s="22"/>
    </row>
    <row r="705" spans="1:8">
      <c r="A705" s="21"/>
      <c r="B705" s="22"/>
      <c r="C705" s="22"/>
      <c r="D705" s="22"/>
      <c r="E705" s="23" t="str">
        <f>IF($D705="","",IFERROR(VLOOKUP($D705,'SAMA Consumables Tracker'!$A:$H,8,FALSE()),""))</f>
        <v/>
      </c>
      <c r="F705" s="24"/>
      <c r="G705" s="25" t="str">
        <f>IF($D705="","",IFERROR(VLOOKUP($D705,'SAMA Consumables Tracker'!$A:$D,4,FALSE()),""))</f>
        <v/>
      </c>
      <c r="H705" s="22"/>
    </row>
    <row r="706" spans="1:8">
      <c r="A706" s="21"/>
      <c r="B706" s="22"/>
      <c r="C706" s="22"/>
      <c r="D706" s="22"/>
      <c r="E706" s="23" t="str">
        <f>IF($D706="","",IFERROR(VLOOKUP($D706,'SAMA Consumables Tracker'!$A:$H,8,FALSE()),""))</f>
        <v/>
      </c>
      <c r="F706" s="24"/>
      <c r="G706" s="25" t="str">
        <f>IF($D706="","",IFERROR(VLOOKUP($D706,'SAMA Consumables Tracker'!$A:$D,4,FALSE()),""))</f>
        <v/>
      </c>
      <c r="H706" s="22"/>
    </row>
    <row r="707" spans="1:8">
      <c r="A707" s="21"/>
      <c r="B707" s="22"/>
      <c r="C707" s="22"/>
      <c r="D707" s="22"/>
      <c r="E707" s="23" t="str">
        <f>IF($D707="","",IFERROR(VLOOKUP($D707,'SAMA Consumables Tracker'!$A:$H,8,FALSE()),""))</f>
        <v/>
      </c>
      <c r="F707" s="24"/>
      <c r="G707" s="25" t="str">
        <f>IF($D707="","",IFERROR(VLOOKUP($D707,'SAMA Consumables Tracker'!$A:$D,4,FALSE()),""))</f>
        <v/>
      </c>
      <c r="H707" s="22"/>
    </row>
    <row r="708" spans="1:8">
      <c r="A708" s="21"/>
      <c r="B708" s="22"/>
      <c r="C708" s="22"/>
      <c r="D708" s="22"/>
      <c r="E708" s="23" t="str">
        <f>IF($D708="","",IFERROR(VLOOKUP($D708,'SAMA Consumables Tracker'!$A:$H,8,FALSE()),""))</f>
        <v/>
      </c>
      <c r="F708" s="24"/>
      <c r="G708" s="25" t="str">
        <f>IF($D708="","",IFERROR(VLOOKUP($D708,'SAMA Consumables Tracker'!$A:$D,4,FALSE()),""))</f>
        <v/>
      </c>
      <c r="H708" s="22"/>
    </row>
    <row r="709" spans="1:8">
      <c r="A709" s="21"/>
      <c r="B709" s="22"/>
      <c r="C709" s="22"/>
      <c r="D709" s="22"/>
      <c r="E709" s="23" t="str">
        <f>IF($D709="","",IFERROR(VLOOKUP($D709,'SAMA Consumables Tracker'!$A:$H,8,FALSE()),""))</f>
        <v/>
      </c>
      <c r="F709" s="24"/>
      <c r="G709" s="25" t="str">
        <f>IF($D709="","",IFERROR(VLOOKUP($D709,'SAMA Consumables Tracker'!$A:$D,4,FALSE()),""))</f>
        <v/>
      </c>
      <c r="H709" s="22"/>
    </row>
    <row r="710" spans="1:8">
      <c r="A710" s="21"/>
      <c r="B710" s="22"/>
      <c r="C710" s="22"/>
      <c r="D710" s="22"/>
      <c r="E710" s="23" t="str">
        <f>IF($D710="","",IFERROR(VLOOKUP($D710,'SAMA Consumables Tracker'!$A:$H,8,FALSE()),""))</f>
        <v/>
      </c>
      <c r="F710" s="24"/>
      <c r="G710" s="25" t="str">
        <f>IF($D710="","",IFERROR(VLOOKUP($D710,'SAMA Consumables Tracker'!$A:$D,4,FALSE()),""))</f>
        <v/>
      </c>
      <c r="H710" s="22"/>
    </row>
    <row r="711" spans="1:8">
      <c r="A711" s="21"/>
      <c r="B711" s="22"/>
      <c r="C711" s="22"/>
      <c r="D711" s="22"/>
      <c r="E711" s="23" t="str">
        <f>IF($D711="","",IFERROR(VLOOKUP($D711,'SAMA Consumables Tracker'!$A:$H,8,FALSE()),""))</f>
        <v/>
      </c>
      <c r="F711" s="24"/>
      <c r="G711" s="25" t="str">
        <f>IF($D711="","",IFERROR(VLOOKUP($D711,'SAMA Consumables Tracker'!$A:$D,4,FALSE()),""))</f>
        <v/>
      </c>
      <c r="H711" s="22"/>
    </row>
    <row r="712" spans="1:8">
      <c r="A712" s="21"/>
      <c r="B712" s="22"/>
      <c r="C712" s="22"/>
      <c r="D712" s="22"/>
      <c r="E712" s="23" t="str">
        <f>IF($D712="","",IFERROR(VLOOKUP($D712,'SAMA Consumables Tracker'!$A:$H,8,FALSE()),""))</f>
        <v/>
      </c>
      <c r="F712" s="24"/>
      <c r="G712" s="25" t="str">
        <f>IF($D712="","",IFERROR(VLOOKUP($D712,'SAMA Consumables Tracker'!$A:$D,4,FALSE()),""))</f>
        <v/>
      </c>
      <c r="H712" s="22"/>
    </row>
    <row r="713" spans="1:8">
      <c r="A713" s="21"/>
      <c r="B713" s="22"/>
      <c r="C713" s="22"/>
      <c r="D713" s="22"/>
      <c r="E713" s="23" t="str">
        <f>IF($D713="","",IFERROR(VLOOKUP($D713,'SAMA Consumables Tracker'!$A:$H,8,FALSE()),""))</f>
        <v/>
      </c>
      <c r="F713" s="24"/>
      <c r="G713" s="25" t="str">
        <f>IF($D713="","",IFERROR(VLOOKUP($D713,'SAMA Consumables Tracker'!$A:$D,4,FALSE()),""))</f>
        <v/>
      </c>
      <c r="H713" s="22"/>
    </row>
    <row r="714" spans="1:8">
      <c r="A714" s="21"/>
      <c r="B714" s="22"/>
      <c r="C714" s="22"/>
      <c r="D714" s="22"/>
      <c r="E714" s="23" t="str">
        <f>IF($D714="","",IFERROR(VLOOKUP($D714,'SAMA Consumables Tracker'!$A:$H,8,FALSE()),""))</f>
        <v/>
      </c>
      <c r="F714" s="24"/>
      <c r="G714" s="25" t="str">
        <f>IF($D714="","",IFERROR(VLOOKUP($D714,'SAMA Consumables Tracker'!$A:$D,4,FALSE()),""))</f>
        <v/>
      </c>
      <c r="H714" s="22"/>
    </row>
    <row r="715" spans="1:8">
      <c r="A715" s="21"/>
      <c r="B715" s="22"/>
      <c r="C715" s="22"/>
      <c r="D715" s="22"/>
      <c r="E715" s="23" t="str">
        <f>IF($D715="","",IFERROR(VLOOKUP($D715,'SAMA Consumables Tracker'!$A:$H,8,FALSE()),""))</f>
        <v/>
      </c>
      <c r="F715" s="24"/>
      <c r="G715" s="25" t="str">
        <f>IF($D715="","",IFERROR(VLOOKUP($D715,'SAMA Consumables Tracker'!$A:$D,4,FALSE()),""))</f>
        <v/>
      </c>
      <c r="H715" s="22"/>
    </row>
    <row r="716" spans="1:8">
      <c r="A716" s="21"/>
      <c r="B716" s="22"/>
      <c r="C716" s="22"/>
      <c r="D716" s="22"/>
      <c r="E716" s="23" t="str">
        <f>IF($D716="","",IFERROR(VLOOKUP($D716,'SAMA Consumables Tracker'!$A:$H,8,FALSE()),""))</f>
        <v/>
      </c>
      <c r="F716" s="24"/>
      <c r="G716" s="25" t="str">
        <f>IF($D716="","",IFERROR(VLOOKUP($D716,'SAMA Consumables Tracker'!$A:$D,4,FALSE()),""))</f>
        <v/>
      </c>
      <c r="H716" s="22"/>
    </row>
    <row r="717" spans="1:8">
      <c r="A717" s="21"/>
      <c r="B717" s="22"/>
      <c r="C717" s="22"/>
      <c r="D717" s="22"/>
      <c r="E717" s="23" t="str">
        <f>IF($D717="","",IFERROR(VLOOKUP($D717,'SAMA Consumables Tracker'!$A:$H,8,FALSE()),""))</f>
        <v/>
      </c>
      <c r="F717" s="24"/>
      <c r="G717" s="25" t="str">
        <f>IF($D717="","",IFERROR(VLOOKUP($D717,'SAMA Consumables Tracker'!$A:$D,4,FALSE()),""))</f>
        <v/>
      </c>
      <c r="H717" s="22"/>
    </row>
    <row r="718" spans="1:8">
      <c r="A718" s="21"/>
      <c r="B718" s="22"/>
      <c r="C718" s="22"/>
      <c r="D718" s="22"/>
      <c r="E718" s="23" t="str">
        <f>IF($D718="","",IFERROR(VLOOKUP($D718,'SAMA Consumables Tracker'!$A:$H,8,FALSE()),""))</f>
        <v/>
      </c>
      <c r="F718" s="24"/>
      <c r="G718" s="25" t="str">
        <f>IF($D718="","",IFERROR(VLOOKUP($D718,'SAMA Consumables Tracker'!$A:$D,4,FALSE()),""))</f>
        <v/>
      </c>
      <c r="H718" s="22"/>
    </row>
    <row r="719" spans="1:8">
      <c r="A719" s="21"/>
      <c r="B719" s="22"/>
      <c r="C719" s="22"/>
      <c r="D719" s="22"/>
      <c r="E719" s="23" t="str">
        <f>IF($D719="","",IFERROR(VLOOKUP($D719,'SAMA Consumables Tracker'!$A:$H,8,FALSE()),""))</f>
        <v/>
      </c>
      <c r="F719" s="24"/>
      <c r="G719" s="25" t="str">
        <f>IF($D719="","",IFERROR(VLOOKUP($D719,'SAMA Consumables Tracker'!$A:$D,4,FALSE()),""))</f>
        <v/>
      </c>
      <c r="H719" s="22"/>
    </row>
    <row r="720" spans="1:8">
      <c r="A720" s="21"/>
      <c r="B720" s="22"/>
      <c r="C720" s="22"/>
      <c r="D720" s="22"/>
      <c r="E720" s="23" t="str">
        <f>IF($D720="","",IFERROR(VLOOKUP($D720,'SAMA Consumables Tracker'!$A:$H,8,FALSE()),""))</f>
        <v/>
      </c>
      <c r="F720" s="24"/>
      <c r="G720" s="25" t="str">
        <f>IF($D720="","",IFERROR(VLOOKUP($D720,'SAMA Consumables Tracker'!$A:$D,4,FALSE()),""))</f>
        <v/>
      </c>
      <c r="H720" s="22"/>
    </row>
    <row r="721" spans="1:8">
      <c r="A721" s="21"/>
      <c r="B721" s="22"/>
      <c r="C721" s="22"/>
      <c r="D721" s="22"/>
      <c r="E721" s="23" t="str">
        <f>IF($D721="","",IFERROR(VLOOKUP($D721,'SAMA Consumables Tracker'!$A:$H,8,FALSE()),""))</f>
        <v/>
      </c>
      <c r="F721" s="24"/>
      <c r="G721" s="25" t="str">
        <f>IF($D721="","",IFERROR(VLOOKUP($D721,'SAMA Consumables Tracker'!$A:$D,4,FALSE()),""))</f>
        <v/>
      </c>
      <c r="H721" s="22"/>
    </row>
    <row r="722" spans="1:8">
      <c r="A722" s="21"/>
      <c r="B722" s="22"/>
      <c r="C722" s="22"/>
      <c r="D722" s="22"/>
      <c r="E722" s="23" t="str">
        <f>IF($D722="","",IFERROR(VLOOKUP($D722,'SAMA Consumables Tracker'!$A:$H,8,FALSE()),""))</f>
        <v/>
      </c>
      <c r="F722" s="24"/>
      <c r="G722" s="25" t="str">
        <f>IF($D722="","",IFERROR(VLOOKUP($D722,'SAMA Consumables Tracker'!$A:$D,4,FALSE()),""))</f>
        <v/>
      </c>
      <c r="H722" s="22"/>
    </row>
    <row r="723" spans="1:8">
      <c r="A723" s="21"/>
      <c r="B723" s="22"/>
      <c r="C723" s="22"/>
      <c r="D723" s="22"/>
      <c r="E723" s="23" t="str">
        <f>IF($D723="","",IFERROR(VLOOKUP($D723,'SAMA Consumables Tracker'!$A:$H,8,FALSE()),""))</f>
        <v/>
      </c>
      <c r="F723" s="24"/>
      <c r="G723" s="25" t="str">
        <f>IF($D723="","",IFERROR(VLOOKUP($D723,'SAMA Consumables Tracker'!$A:$D,4,FALSE()),""))</f>
        <v/>
      </c>
      <c r="H723" s="22"/>
    </row>
    <row r="724" spans="1:8">
      <c r="A724" s="21"/>
      <c r="B724" s="22"/>
      <c r="C724" s="22"/>
      <c r="D724" s="22"/>
      <c r="E724" s="23" t="str">
        <f>IF($D724="","",IFERROR(VLOOKUP($D724,'SAMA Consumables Tracker'!$A:$H,8,FALSE()),""))</f>
        <v/>
      </c>
      <c r="F724" s="24"/>
      <c r="G724" s="25" t="str">
        <f>IF($D724="","",IFERROR(VLOOKUP($D724,'SAMA Consumables Tracker'!$A:$D,4,FALSE()),""))</f>
        <v/>
      </c>
      <c r="H724" s="22"/>
    </row>
    <row r="725" spans="1:8">
      <c r="A725" s="21"/>
      <c r="B725" s="22"/>
      <c r="C725" s="22"/>
      <c r="D725" s="22"/>
      <c r="E725" s="23" t="str">
        <f>IF($D725="","",IFERROR(VLOOKUP($D725,'SAMA Consumables Tracker'!$A:$H,8,FALSE()),""))</f>
        <v/>
      </c>
      <c r="F725" s="24"/>
      <c r="G725" s="25" t="str">
        <f>IF($D725="","",IFERROR(VLOOKUP($D725,'SAMA Consumables Tracker'!$A:$D,4,FALSE()),""))</f>
        <v/>
      </c>
      <c r="H725" s="22"/>
    </row>
    <row r="726" spans="1:8">
      <c r="A726" s="21"/>
      <c r="B726" s="22"/>
      <c r="C726" s="22"/>
      <c r="D726" s="22"/>
      <c r="E726" s="23" t="str">
        <f>IF($D726="","",IFERROR(VLOOKUP($D726,'SAMA Consumables Tracker'!$A:$H,8,FALSE()),""))</f>
        <v/>
      </c>
      <c r="F726" s="24"/>
      <c r="G726" s="25" t="str">
        <f>IF($D726="","",IFERROR(VLOOKUP($D726,'SAMA Consumables Tracker'!$A:$D,4,FALSE()),""))</f>
        <v/>
      </c>
      <c r="H726" s="22"/>
    </row>
    <row r="727" spans="1:8">
      <c r="A727" s="21"/>
      <c r="B727" s="22"/>
      <c r="C727" s="22"/>
      <c r="D727" s="22"/>
      <c r="E727" s="23" t="str">
        <f>IF($D727="","",IFERROR(VLOOKUP($D727,'SAMA Consumables Tracker'!$A:$H,8,FALSE()),""))</f>
        <v/>
      </c>
      <c r="F727" s="24"/>
      <c r="G727" s="25" t="str">
        <f>IF($D727="","",IFERROR(VLOOKUP($D727,'SAMA Consumables Tracker'!$A:$D,4,FALSE()),""))</f>
        <v/>
      </c>
      <c r="H727" s="22"/>
    </row>
    <row r="728" spans="1:8">
      <c r="A728" s="21"/>
      <c r="B728" s="22"/>
      <c r="C728" s="22"/>
      <c r="D728" s="22"/>
      <c r="E728" s="23" t="str">
        <f>IF($D728="","",IFERROR(VLOOKUP($D728,'SAMA Consumables Tracker'!$A:$H,8,FALSE()),""))</f>
        <v/>
      </c>
      <c r="F728" s="24"/>
      <c r="G728" s="25" t="str">
        <f>IF($D728="","",IFERROR(VLOOKUP($D728,'SAMA Consumables Tracker'!$A:$D,4,FALSE()),""))</f>
        <v/>
      </c>
      <c r="H728" s="22"/>
    </row>
    <row r="729" spans="1:8">
      <c r="A729" s="21"/>
      <c r="B729" s="22"/>
      <c r="C729" s="22"/>
      <c r="D729" s="22"/>
      <c r="E729" s="23" t="str">
        <f>IF($D729="","",IFERROR(VLOOKUP($D729,'SAMA Consumables Tracker'!$A:$H,8,FALSE()),""))</f>
        <v/>
      </c>
      <c r="F729" s="24"/>
      <c r="G729" s="25" t="str">
        <f>IF($D729="","",IFERROR(VLOOKUP($D729,'SAMA Consumables Tracker'!$A:$D,4,FALSE()),""))</f>
        <v/>
      </c>
      <c r="H729" s="22"/>
    </row>
    <row r="730" spans="1:8">
      <c r="A730" s="21"/>
      <c r="B730" s="22"/>
      <c r="C730" s="22"/>
      <c r="D730" s="22"/>
      <c r="E730" s="23" t="str">
        <f>IF($D730="","",IFERROR(VLOOKUP($D730,'SAMA Consumables Tracker'!$A:$H,8,FALSE()),""))</f>
        <v/>
      </c>
      <c r="F730" s="24"/>
      <c r="G730" s="25" t="str">
        <f>IF($D730="","",IFERROR(VLOOKUP($D730,'SAMA Consumables Tracker'!$A:$D,4,FALSE()),""))</f>
        <v/>
      </c>
      <c r="H730" s="22"/>
    </row>
    <row r="731" spans="1:8">
      <c r="A731" s="21"/>
      <c r="B731" s="22"/>
      <c r="C731" s="22"/>
      <c r="D731" s="22"/>
      <c r="E731" s="23" t="str">
        <f>IF($D731="","",IFERROR(VLOOKUP($D731,'SAMA Consumables Tracker'!$A:$H,8,FALSE()),""))</f>
        <v/>
      </c>
      <c r="F731" s="24"/>
      <c r="G731" s="25" t="str">
        <f>IF($D731="","",IFERROR(VLOOKUP($D731,'SAMA Consumables Tracker'!$A:$D,4,FALSE()),""))</f>
        <v/>
      </c>
      <c r="H731" s="22"/>
    </row>
    <row r="732" spans="1:8">
      <c r="A732" s="21"/>
      <c r="B732" s="22"/>
      <c r="C732" s="22"/>
      <c r="D732" s="22"/>
      <c r="E732" s="23" t="str">
        <f>IF($D732="","",IFERROR(VLOOKUP($D732,'SAMA Consumables Tracker'!$A:$H,8,FALSE()),""))</f>
        <v/>
      </c>
      <c r="F732" s="24"/>
      <c r="G732" s="25" t="str">
        <f>IF($D732="","",IFERROR(VLOOKUP($D732,'SAMA Consumables Tracker'!$A:$D,4,FALSE()),""))</f>
        <v/>
      </c>
      <c r="H732" s="22"/>
    </row>
    <row r="733" spans="1:8">
      <c r="A733" s="21"/>
      <c r="B733" s="22"/>
      <c r="C733" s="22"/>
      <c r="D733" s="22"/>
      <c r="E733" s="23" t="str">
        <f>IF($D733="","",IFERROR(VLOOKUP($D733,'SAMA Consumables Tracker'!$A:$H,8,FALSE()),""))</f>
        <v/>
      </c>
      <c r="F733" s="24"/>
      <c r="G733" s="25" t="str">
        <f>IF($D733="","",IFERROR(VLOOKUP($D733,'SAMA Consumables Tracker'!$A:$D,4,FALSE()),""))</f>
        <v/>
      </c>
      <c r="H733" s="22"/>
    </row>
    <row r="734" spans="1:8">
      <c r="A734" s="21"/>
      <c r="B734" s="22"/>
      <c r="C734" s="22"/>
      <c r="D734" s="22"/>
      <c r="E734" s="23" t="str">
        <f>IF($D734="","",IFERROR(VLOOKUP($D734,'SAMA Consumables Tracker'!$A:$H,8,FALSE()),""))</f>
        <v/>
      </c>
      <c r="F734" s="24"/>
      <c r="G734" s="25" t="str">
        <f>IF($D734="","",IFERROR(VLOOKUP($D734,'SAMA Consumables Tracker'!$A:$D,4,FALSE()),""))</f>
        <v/>
      </c>
      <c r="H734" s="22"/>
    </row>
    <row r="735" spans="1:8">
      <c r="A735" s="21"/>
      <c r="B735" s="22"/>
      <c r="C735" s="22"/>
      <c r="D735" s="22"/>
      <c r="E735" s="23" t="str">
        <f>IF($D735="","",IFERROR(VLOOKUP($D735,'SAMA Consumables Tracker'!$A:$H,8,FALSE()),""))</f>
        <v/>
      </c>
      <c r="F735" s="24"/>
      <c r="G735" s="25" t="str">
        <f>IF($D735="","",IFERROR(VLOOKUP($D735,'SAMA Consumables Tracker'!$A:$D,4,FALSE()),""))</f>
        <v/>
      </c>
      <c r="H735" s="22"/>
    </row>
    <row r="736" spans="1:8">
      <c r="A736" s="21"/>
      <c r="B736" s="22"/>
      <c r="C736" s="22"/>
      <c r="D736" s="22"/>
      <c r="E736" s="23" t="str">
        <f>IF($D736="","",IFERROR(VLOOKUP($D736,'SAMA Consumables Tracker'!$A:$H,8,FALSE()),""))</f>
        <v/>
      </c>
      <c r="F736" s="24"/>
      <c r="G736" s="25" t="str">
        <f>IF($D736="","",IFERROR(VLOOKUP($D736,'SAMA Consumables Tracker'!$A:$D,4,FALSE()),""))</f>
        <v/>
      </c>
      <c r="H736" s="22"/>
    </row>
    <row r="737" spans="1:8">
      <c r="A737" s="21"/>
      <c r="B737" s="22"/>
      <c r="C737" s="22"/>
      <c r="D737" s="22"/>
      <c r="E737" s="23" t="str">
        <f>IF($D737="","",IFERROR(VLOOKUP($D737,'SAMA Consumables Tracker'!$A:$H,8,FALSE()),""))</f>
        <v/>
      </c>
      <c r="F737" s="24"/>
      <c r="G737" s="25" t="str">
        <f>IF($D737="","",IFERROR(VLOOKUP($D737,'SAMA Consumables Tracker'!$A:$D,4,FALSE()),""))</f>
        <v/>
      </c>
      <c r="H737" s="22"/>
    </row>
    <row r="738" spans="1:8">
      <c r="A738" s="21"/>
      <c r="B738" s="22"/>
      <c r="C738" s="22"/>
      <c r="D738" s="22"/>
      <c r="E738" s="23" t="str">
        <f>IF($D738="","",IFERROR(VLOOKUP($D738,'SAMA Consumables Tracker'!$A:$H,8,FALSE()),""))</f>
        <v/>
      </c>
      <c r="F738" s="24"/>
      <c r="G738" s="25" t="str">
        <f>IF($D738="","",IFERROR(VLOOKUP($D738,'SAMA Consumables Tracker'!$A:$D,4,FALSE()),""))</f>
        <v/>
      </c>
      <c r="H738" s="22"/>
    </row>
    <row r="739" spans="1:8">
      <c r="A739" s="21"/>
      <c r="B739" s="22"/>
      <c r="C739" s="22"/>
      <c r="D739" s="22"/>
      <c r="E739" s="23" t="str">
        <f>IF($D739="","",IFERROR(VLOOKUP($D739,'SAMA Consumables Tracker'!$A:$H,8,FALSE()),""))</f>
        <v/>
      </c>
      <c r="F739" s="24"/>
      <c r="G739" s="25" t="str">
        <f>IF($D739="","",IFERROR(VLOOKUP($D739,'SAMA Consumables Tracker'!$A:$D,4,FALSE()),""))</f>
        <v/>
      </c>
      <c r="H739" s="22"/>
    </row>
    <row r="740" spans="1:8">
      <c r="A740" s="21"/>
      <c r="B740" s="22"/>
      <c r="C740" s="22"/>
      <c r="D740" s="22"/>
      <c r="E740" s="23" t="str">
        <f>IF($D740="","",IFERROR(VLOOKUP($D740,'SAMA Consumables Tracker'!$A:$H,8,FALSE()),""))</f>
        <v/>
      </c>
      <c r="F740" s="24"/>
      <c r="G740" s="25" t="str">
        <f>IF($D740="","",IFERROR(VLOOKUP($D740,'SAMA Consumables Tracker'!$A:$D,4,FALSE()),""))</f>
        <v/>
      </c>
      <c r="H740" s="22"/>
    </row>
    <row r="741" spans="1:8">
      <c r="A741" s="21"/>
      <c r="B741" s="22"/>
      <c r="C741" s="22"/>
      <c r="D741" s="22"/>
      <c r="E741" s="23" t="str">
        <f>IF($D741="","",IFERROR(VLOOKUP($D741,'SAMA Consumables Tracker'!$A:$H,8,FALSE()),""))</f>
        <v/>
      </c>
      <c r="F741" s="24"/>
      <c r="G741" s="25" t="str">
        <f>IF($D741="","",IFERROR(VLOOKUP($D741,'SAMA Consumables Tracker'!$A:$D,4,FALSE()),""))</f>
        <v/>
      </c>
      <c r="H741" s="22"/>
    </row>
    <row r="742" spans="1:8">
      <c r="A742" s="21"/>
      <c r="B742" s="22"/>
      <c r="C742" s="22"/>
      <c r="D742" s="22"/>
      <c r="E742" s="23" t="str">
        <f>IF($D742="","",IFERROR(VLOOKUP($D742,'SAMA Consumables Tracker'!$A:$H,8,FALSE()),""))</f>
        <v/>
      </c>
      <c r="F742" s="24"/>
      <c r="G742" s="25" t="str">
        <f>IF($D742="","",IFERROR(VLOOKUP($D742,'SAMA Consumables Tracker'!$A:$D,4,FALSE()),""))</f>
        <v/>
      </c>
      <c r="H742" s="22"/>
    </row>
    <row r="743" spans="1:8">
      <c r="A743" s="21"/>
      <c r="B743" s="22"/>
      <c r="C743" s="22"/>
      <c r="D743" s="22"/>
      <c r="E743" s="23" t="str">
        <f>IF($D743="","",IFERROR(VLOOKUP($D743,'SAMA Consumables Tracker'!$A:$H,8,FALSE()),""))</f>
        <v/>
      </c>
      <c r="F743" s="24"/>
      <c r="G743" s="25" t="str">
        <f>IF($D743="","",IFERROR(VLOOKUP($D743,'SAMA Consumables Tracker'!$A:$D,4,FALSE()),""))</f>
        <v/>
      </c>
      <c r="H743" s="22"/>
    </row>
    <row r="744" spans="1:8">
      <c r="A744" s="21"/>
      <c r="B744" s="22"/>
      <c r="C744" s="22"/>
      <c r="D744" s="22"/>
      <c r="E744" s="23" t="str">
        <f>IF($D744="","",IFERROR(VLOOKUP($D744,'SAMA Consumables Tracker'!$A:$H,8,FALSE()),""))</f>
        <v/>
      </c>
      <c r="F744" s="24"/>
      <c r="G744" s="25" t="str">
        <f>IF($D744="","",IFERROR(VLOOKUP($D744,'SAMA Consumables Tracker'!$A:$D,4,FALSE()),""))</f>
        <v/>
      </c>
      <c r="H744" s="22"/>
    </row>
    <row r="745" spans="1:8">
      <c r="A745" s="21"/>
      <c r="B745" s="22"/>
      <c r="C745" s="22"/>
      <c r="D745" s="22"/>
      <c r="E745" s="23" t="str">
        <f>IF($D745="","",IFERROR(VLOOKUP($D745,'SAMA Consumables Tracker'!$A:$H,8,FALSE()),""))</f>
        <v/>
      </c>
      <c r="F745" s="24"/>
      <c r="G745" s="25" t="str">
        <f>IF($D745="","",IFERROR(VLOOKUP($D745,'SAMA Consumables Tracker'!$A:$D,4,FALSE()),""))</f>
        <v/>
      </c>
      <c r="H745" s="22"/>
    </row>
    <row r="746" spans="1:8">
      <c r="A746" s="21"/>
      <c r="B746" s="22"/>
      <c r="C746" s="22"/>
      <c r="D746" s="22"/>
      <c r="E746" s="23" t="str">
        <f>IF($D746="","",IFERROR(VLOOKUP($D746,'SAMA Consumables Tracker'!$A:$H,8,FALSE()),""))</f>
        <v/>
      </c>
      <c r="F746" s="24"/>
      <c r="G746" s="25" t="str">
        <f>IF($D746="","",IFERROR(VLOOKUP($D746,'SAMA Consumables Tracker'!$A:$D,4,FALSE()),""))</f>
        <v/>
      </c>
      <c r="H746" s="22"/>
    </row>
    <row r="747" spans="1:8">
      <c r="A747" s="21"/>
      <c r="B747" s="22"/>
      <c r="C747" s="22"/>
      <c r="D747" s="22"/>
      <c r="E747" s="23" t="str">
        <f>IF($D747="","",IFERROR(VLOOKUP($D747,'SAMA Consumables Tracker'!$A:$H,8,FALSE()),""))</f>
        <v/>
      </c>
      <c r="F747" s="24"/>
      <c r="G747" s="25" t="str">
        <f>IF($D747="","",IFERROR(VLOOKUP($D747,'SAMA Consumables Tracker'!$A:$D,4,FALSE()),""))</f>
        <v/>
      </c>
      <c r="H747" s="22"/>
    </row>
    <row r="748" spans="1:8">
      <c r="A748" s="21"/>
      <c r="B748" s="22"/>
      <c r="C748" s="22"/>
      <c r="D748" s="22"/>
      <c r="E748" s="23" t="str">
        <f>IF($D748="","",IFERROR(VLOOKUP($D748,'SAMA Consumables Tracker'!$A:$H,8,FALSE()),""))</f>
        <v/>
      </c>
      <c r="F748" s="24"/>
      <c r="G748" s="25" t="str">
        <f>IF($D748="","",IFERROR(VLOOKUP($D748,'SAMA Consumables Tracker'!$A:$D,4,FALSE()),""))</f>
        <v/>
      </c>
      <c r="H748" s="22"/>
    </row>
    <row r="749" spans="1:8">
      <c r="A749" s="21"/>
      <c r="B749" s="22"/>
      <c r="C749" s="22"/>
      <c r="D749" s="22"/>
      <c r="E749" s="23" t="str">
        <f>IF($D749="","",IFERROR(VLOOKUP($D749,'SAMA Consumables Tracker'!$A:$H,8,FALSE()),""))</f>
        <v/>
      </c>
      <c r="F749" s="24"/>
      <c r="G749" s="25" t="str">
        <f>IF($D749="","",IFERROR(VLOOKUP($D749,'SAMA Consumables Tracker'!$A:$D,4,FALSE()),""))</f>
        <v/>
      </c>
      <c r="H749" s="22"/>
    </row>
    <row r="750" spans="1:8">
      <c r="A750" s="21"/>
      <c r="B750" s="22"/>
      <c r="C750" s="22"/>
      <c r="D750" s="22"/>
      <c r="E750" s="23" t="str">
        <f>IF($D750="","",IFERROR(VLOOKUP($D750,'SAMA Consumables Tracker'!$A:$H,8,FALSE()),""))</f>
        <v/>
      </c>
      <c r="F750" s="24"/>
      <c r="G750" s="25" t="str">
        <f>IF($D750="","",IFERROR(VLOOKUP($D750,'SAMA Consumables Tracker'!$A:$D,4,FALSE()),""))</f>
        <v/>
      </c>
      <c r="H750" s="22"/>
    </row>
    <row r="751" spans="1:8">
      <c r="A751" s="21"/>
      <c r="B751" s="22"/>
      <c r="C751" s="22"/>
      <c r="D751" s="22"/>
      <c r="E751" s="23" t="str">
        <f>IF($D751="","",IFERROR(VLOOKUP($D751,'SAMA Consumables Tracker'!$A:$H,8,FALSE()),""))</f>
        <v/>
      </c>
      <c r="F751" s="24"/>
      <c r="G751" s="25" t="str">
        <f>IF($D751="","",IFERROR(VLOOKUP($D751,'SAMA Consumables Tracker'!$A:$D,4,FALSE()),""))</f>
        <v/>
      </c>
      <c r="H751" s="22"/>
    </row>
    <row r="752" spans="1:8">
      <c r="A752" s="21"/>
      <c r="B752" s="22"/>
      <c r="C752" s="22"/>
      <c r="D752" s="22"/>
      <c r="E752" s="23" t="str">
        <f>IF($D752="","",IFERROR(VLOOKUP($D752,'SAMA Consumables Tracker'!$A:$H,8,FALSE()),""))</f>
        <v/>
      </c>
      <c r="F752" s="24"/>
      <c r="G752" s="25" t="str">
        <f>IF($D752="","",IFERROR(VLOOKUP($D752,'SAMA Consumables Tracker'!$A:$D,4,FALSE()),""))</f>
        <v/>
      </c>
      <c r="H752" s="22"/>
    </row>
    <row r="753" spans="1:8">
      <c r="A753" s="21"/>
      <c r="B753" s="22"/>
      <c r="C753" s="22"/>
      <c r="D753" s="22"/>
      <c r="E753" s="23" t="str">
        <f>IF($D753="","",IFERROR(VLOOKUP($D753,'SAMA Consumables Tracker'!$A:$H,8,FALSE()),""))</f>
        <v/>
      </c>
      <c r="F753" s="24"/>
      <c r="G753" s="25" t="str">
        <f>IF($D753="","",IFERROR(VLOOKUP($D753,'SAMA Consumables Tracker'!$A:$D,4,FALSE()),""))</f>
        <v/>
      </c>
      <c r="H753" s="22"/>
    </row>
    <row r="754" spans="1:8">
      <c r="A754" s="21"/>
      <c r="B754" s="22"/>
      <c r="C754" s="22"/>
      <c r="D754" s="22"/>
      <c r="E754" s="23" t="str">
        <f>IF($D754="","",IFERROR(VLOOKUP($D754,'SAMA Consumables Tracker'!$A:$H,8,FALSE()),""))</f>
        <v/>
      </c>
      <c r="F754" s="24"/>
      <c r="G754" s="25" t="str">
        <f>IF($D754="","",IFERROR(VLOOKUP($D754,'SAMA Consumables Tracker'!$A:$D,4,FALSE()),""))</f>
        <v/>
      </c>
      <c r="H754" s="22"/>
    </row>
    <row r="755" spans="1:8">
      <c r="A755" s="21"/>
      <c r="B755" s="22"/>
      <c r="C755" s="22"/>
      <c r="D755" s="22"/>
      <c r="E755" s="23" t="str">
        <f>IF($D755="","",IFERROR(VLOOKUP($D755,'SAMA Consumables Tracker'!$A:$H,8,FALSE()),""))</f>
        <v/>
      </c>
      <c r="F755" s="24"/>
      <c r="G755" s="25" t="str">
        <f>IF($D755="","",IFERROR(VLOOKUP($D755,'SAMA Consumables Tracker'!$A:$D,4,FALSE()),""))</f>
        <v/>
      </c>
      <c r="H755" s="22"/>
    </row>
    <row r="756" spans="1:8">
      <c r="A756" s="21"/>
      <c r="B756" s="22"/>
      <c r="C756" s="22"/>
      <c r="D756" s="22"/>
      <c r="E756" s="23" t="str">
        <f>IF($D756="","",IFERROR(VLOOKUP($D756,'SAMA Consumables Tracker'!$A:$H,8,FALSE()),""))</f>
        <v/>
      </c>
      <c r="F756" s="24"/>
      <c r="G756" s="25" t="str">
        <f>IF($D756="","",IFERROR(VLOOKUP($D756,'SAMA Consumables Tracker'!$A:$D,4,FALSE()),""))</f>
        <v/>
      </c>
      <c r="H756" s="22"/>
    </row>
    <row r="757" spans="1:8">
      <c r="A757" s="21"/>
      <c r="B757" s="22"/>
      <c r="C757" s="22"/>
      <c r="D757" s="22"/>
      <c r="E757" s="23" t="str">
        <f>IF($D757="","",IFERROR(VLOOKUP($D757,'SAMA Consumables Tracker'!$A:$H,8,FALSE()),""))</f>
        <v/>
      </c>
      <c r="F757" s="24"/>
      <c r="G757" s="25" t="str">
        <f>IF($D757="","",IFERROR(VLOOKUP($D757,'SAMA Consumables Tracker'!$A:$D,4,FALSE()),""))</f>
        <v/>
      </c>
      <c r="H757" s="22"/>
    </row>
    <row r="758" spans="1:8">
      <c r="A758" s="21"/>
      <c r="B758" s="22"/>
      <c r="C758" s="22"/>
      <c r="D758" s="22"/>
      <c r="E758" s="23" t="str">
        <f>IF($D758="","",IFERROR(VLOOKUP($D758,'SAMA Consumables Tracker'!$A:$H,8,FALSE()),""))</f>
        <v/>
      </c>
      <c r="F758" s="24"/>
      <c r="G758" s="25" t="str">
        <f>IF($D758="","",IFERROR(VLOOKUP($D758,'SAMA Consumables Tracker'!$A:$D,4,FALSE()),""))</f>
        <v/>
      </c>
      <c r="H758" s="22"/>
    </row>
    <row r="759" spans="1:8">
      <c r="A759" s="21"/>
      <c r="B759" s="22"/>
      <c r="C759" s="22"/>
      <c r="D759" s="22"/>
      <c r="E759" s="23" t="str">
        <f>IF($D759="","",IFERROR(VLOOKUP($D759,'SAMA Consumables Tracker'!$A:$H,8,FALSE()),""))</f>
        <v/>
      </c>
      <c r="F759" s="24"/>
      <c r="G759" s="25" t="str">
        <f>IF($D759="","",IFERROR(VLOOKUP($D759,'SAMA Consumables Tracker'!$A:$D,4,FALSE()),""))</f>
        <v/>
      </c>
      <c r="H759" s="22"/>
    </row>
    <row r="760" spans="1:8">
      <c r="A760" s="21"/>
      <c r="B760" s="22"/>
      <c r="C760" s="22"/>
      <c r="D760" s="22"/>
      <c r="E760" s="23" t="str">
        <f>IF($D760="","",IFERROR(VLOOKUP($D760,'SAMA Consumables Tracker'!$A:$H,8,FALSE()),""))</f>
        <v/>
      </c>
      <c r="F760" s="24"/>
      <c r="G760" s="25" t="str">
        <f>IF($D760="","",IFERROR(VLOOKUP($D760,'SAMA Consumables Tracker'!$A:$D,4,FALSE()),""))</f>
        <v/>
      </c>
      <c r="H760" s="22"/>
    </row>
    <row r="761" spans="1:8">
      <c r="A761" s="21"/>
      <c r="B761" s="22"/>
      <c r="C761" s="22"/>
      <c r="D761" s="22"/>
      <c r="E761" s="23" t="str">
        <f>IF($D761="","",IFERROR(VLOOKUP($D761,'SAMA Consumables Tracker'!$A:$H,8,FALSE()),""))</f>
        <v/>
      </c>
      <c r="F761" s="24"/>
      <c r="G761" s="25" t="str">
        <f>IF($D761="","",IFERROR(VLOOKUP($D761,'SAMA Consumables Tracker'!$A:$D,4,FALSE()),""))</f>
        <v/>
      </c>
      <c r="H761" s="22"/>
    </row>
    <row r="762" spans="1:8">
      <c r="A762" s="21"/>
      <c r="B762" s="22"/>
      <c r="C762" s="22"/>
      <c r="D762" s="22"/>
      <c r="E762" s="23" t="str">
        <f>IF($D762="","",IFERROR(VLOOKUP($D762,'SAMA Consumables Tracker'!$A:$H,8,FALSE()),""))</f>
        <v/>
      </c>
      <c r="F762" s="24"/>
      <c r="G762" s="25" t="str">
        <f>IF($D762="","",IFERROR(VLOOKUP($D762,'SAMA Consumables Tracker'!$A:$D,4,FALSE()),""))</f>
        <v/>
      </c>
      <c r="H762" s="22"/>
    </row>
    <row r="763" spans="1:8">
      <c r="A763" s="21"/>
      <c r="B763" s="22"/>
      <c r="C763" s="22"/>
      <c r="D763" s="22"/>
      <c r="E763" s="23" t="str">
        <f>IF($D763="","",IFERROR(VLOOKUP($D763,'SAMA Consumables Tracker'!$A:$H,8,FALSE()),""))</f>
        <v/>
      </c>
      <c r="F763" s="24"/>
      <c r="G763" s="25" t="str">
        <f>IF($D763="","",IFERROR(VLOOKUP($D763,'SAMA Consumables Tracker'!$A:$D,4,FALSE()),""))</f>
        <v/>
      </c>
      <c r="H763" s="22"/>
    </row>
    <row r="764" spans="1:8">
      <c r="A764" s="21"/>
      <c r="B764" s="22"/>
      <c r="C764" s="22"/>
      <c r="D764" s="22"/>
      <c r="E764" s="23" t="str">
        <f>IF($D764="","",IFERROR(VLOOKUP($D764,'SAMA Consumables Tracker'!$A:$H,8,FALSE()),""))</f>
        <v/>
      </c>
      <c r="F764" s="24"/>
      <c r="G764" s="25" t="str">
        <f>IF($D764="","",IFERROR(VLOOKUP($D764,'SAMA Consumables Tracker'!$A:$D,4,FALSE()),""))</f>
        <v/>
      </c>
      <c r="H764" s="22"/>
    </row>
    <row r="765" spans="1:8">
      <c r="A765" s="21"/>
      <c r="B765" s="22"/>
      <c r="C765" s="22"/>
      <c r="D765" s="22"/>
      <c r="E765" s="23" t="str">
        <f>IF($D765="","",IFERROR(VLOOKUP($D765,'SAMA Consumables Tracker'!$A:$H,8,FALSE()),""))</f>
        <v/>
      </c>
      <c r="F765" s="24"/>
      <c r="G765" s="25" t="str">
        <f>IF($D765="","",IFERROR(VLOOKUP($D765,'SAMA Consumables Tracker'!$A:$D,4,FALSE()),""))</f>
        <v/>
      </c>
      <c r="H765" s="22"/>
    </row>
    <row r="766" spans="1:8">
      <c r="A766" s="21"/>
      <c r="B766" s="22"/>
      <c r="C766" s="22"/>
      <c r="D766" s="22"/>
      <c r="E766" s="23" t="str">
        <f>IF($D766="","",IFERROR(VLOOKUP($D766,'SAMA Consumables Tracker'!$A:$H,8,FALSE()),""))</f>
        <v/>
      </c>
      <c r="F766" s="24"/>
      <c r="G766" s="25" t="str">
        <f>IF($D766="","",IFERROR(VLOOKUP($D766,'SAMA Consumables Tracker'!$A:$D,4,FALSE()),""))</f>
        <v/>
      </c>
      <c r="H766" s="22"/>
    </row>
    <row r="767" spans="1:8">
      <c r="A767" s="21"/>
      <c r="B767" s="22"/>
      <c r="C767" s="22"/>
      <c r="D767" s="22"/>
      <c r="E767" s="23" t="str">
        <f>IF($D767="","",IFERROR(VLOOKUP($D767,'SAMA Consumables Tracker'!$A:$H,8,FALSE()),""))</f>
        <v/>
      </c>
      <c r="F767" s="24"/>
      <c r="G767" s="25" t="str">
        <f>IF($D767="","",IFERROR(VLOOKUP($D767,'SAMA Consumables Tracker'!$A:$D,4,FALSE()),""))</f>
        <v/>
      </c>
      <c r="H767" s="22"/>
    </row>
    <row r="768" spans="1:8">
      <c r="A768" s="21"/>
      <c r="B768" s="22"/>
      <c r="C768" s="22"/>
      <c r="D768" s="22"/>
      <c r="E768" s="23" t="str">
        <f>IF($D768="","",IFERROR(VLOOKUP($D768,'SAMA Consumables Tracker'!$A:$H,8,FALSE()),""))</f>
        <v/>
      </c>
      <c r="F768" s="24"/>
      <c r="G768" s="25" t="str">
        <f>IF($D768="","",IFERROR(VLOOKUP($D768,'SAMA Consumables Tracker'!$A:$D,4,FALSE()),""))</f>
        <v/>
      </c>
      <c r="H768" s="22"/>
    </row>
    <row r="769" spans="1:8">
      <c r="A769" s="21"/>
      <c r="B769" s="22"/>
      <c r="C769" s="22"/>
      <c r="D769" s="22"/>
      <c r="E769" s="23" t="str">
        <f>IF($D769="","",IFERROR(VLOOKUP($D769,'SAMA Consumables Tracker'!$A:$H,8,FALSE()),""))</f>
        <v/>
      </c>
      <c r="F769" s="24"/>
      <c r="G769" s="25" t="str">
        <f>IF($D769="","",IFERROR(VLOOKUP($D769,'SAMA Consumables Tracker'!$A:$D,4,FALSE()),""))</f>
        <v/>
      </c>
      <c r="H769" s="22"/>
    </row>
    <row r="770" spans="1:8">
      <c r="A770" s="21"/>
      <c r="B770" s="22"/>
      <c r="C770" s="22"/>
      <c r="D770" s="22"/>
      <c r="E770" s="23" t="str">
        <f>IF($D770="","",IFERROR(VLOOKUP($D770,'SAMA Consumables Tracker'!$A:$H,8,FALSE()),""))</f>
        <v/>
      </c>
      <c r="F770" s="24"/>
      <c r="G770" s="25" t="str">
        <f>IF($D770="","",IFERROR(VLOOKUP($D770,'SAMA Consumables Tracker'!$A:$D,4,FALSE()),""))</f>
        <v/>
      </c>
      <c r="H770" s="22"/>
    </row>
    <row r="771" spans="1:8">
      <c r="A771" s="21"/>
      <c r="B771" s="22"/>
      <c r="C771" s="22"/>
      <c r="D771" s="22"/>
      <c r="E771" s="23" t="str">
        <f>IF($D771="","",IFERROR(VLOOKUP($D771,'SAMA Consumables Tracker'!$A:$H,8,FALSE()),""))</f>
        <v/>
      </c>
      <c r="F771" s="24"/>
      <c r="G771" s="25" t="str">
        <f>IF($D771="","",IFERROR(VLOOKUP($D771,'SAMA Consumables Tracker'!$A:$D,4,FALSE()),""))</f>
        <v/>
      </c>
      <c r="H771" s="22"/>
    </row>
    <row r="772" spans="1:8">
      <c r="A772" s="21"/>
      <c r="B772" s="22"/>
      <c r="C772" s="22"/>
      <c r="D772" s="22"/>
      <c r="E772" s="23" t="str">
        <f>IF($D772="","",IFERROR(VLOOKUP($D772,'SAMA Consumables Tracker'!$A:$H,8,FALSE()),""))</f>
        <v/>
      </c>
      <c r="F772" s="24"/>
      <c r="G772" s="25" t="str">
        <f>IF($D772="","",IFERROR(VLOOKUP($D772,'SAMA Consumables Tracker'!$A:$D,4,FALSE()),""))</f>
        <v/>
      </c>
      <c r="H772" s="22"/>
    </row>
    <row r="773" spans="1:8">
      <c r="A773" s="21"/>
      <c r="B773" s="22"/>
      <c r="C773" s="22"/>
      <c r="D773" s="22"/>
      <c r="E773" s="23" t="str">
        <f>IF($D773="","",IFERROR(VLOOKUP($D773,'SAMA Consumables Tracker'!$A:$H,8,FALSE()),""))</f>
        <v/>
      </c>
      <c r="F773" s="24"/>
      <c r="G773" s="25" t="str">
        <f>IF($D773="","",IFERROR(VLOOKUP($D773,'SAMA Consumables Tracker'!$A:$D,4,FALSE()),""))</f>
        <v/>
      </c>
      <c r="H773" s="22"/>
    </row>
    <row r="774" spans="1:8">
      <c r="A774" s="21"/>
      <c r="B774" s="22"/>
      <c r="C774" s="22"/>
      <c r="D774" s="22"/>
      <c r="E774" s="23" t="str">
        <f>IF($D774="","",IFERROR(VLOOKUP($D774,'SAMA Consumables Tracker'!$A:$H,8,FALSE()),""))</f>
        <v/>
      </c>
      <c r="F774" s="24"/>
      <c r="G774" s="25" t="str">
        <f>IF($D774="","",IFERROR(VLOOKUP($D774,'SAMA Consumables Tracker'!$A:$D,4,FALSE()),""))</f>
        <v/>
      </c>
      <c r="H774" s="22"/>
    </row>
    <row r="775" spans="1:8">
      <c r="A775" s="21"/>
      <c r="B775" s="22"/>
      <c r="C775" s="22"/>
      <c r="D775" s="22"/>
      <c r="E775" s="23" t="str">
        <f>IF($D775="","",IFERROR(VLOOKUP($D775,'SAMA Consumables Tracker'!$A:$H,8,FALSE()),""))</f>
        <v/>
      </c>
      <c r="F775" s="24"/>
      <c r="G775" s="25" t="str">
        <f>IF($D775="","",IFERROR(VLOOKUP($D775,'SAMA Consumables Tracker'!$A:$D,4,FALSE()),""))</f>
        <v/>
      </c>
      <c r="H775" s="22"/>
    </row>
    <row r="776" spans="1:8">
      <c r="A776" s="21"/>
      <c r="B776" s="22"/>
      <c r="C776" s="22"/>
      <c r="D776" s="22"/>
      <c r="E776" s="23" t="str">
        <f>IF($D776="","",IFERROR(VLOOKUP($D776,'SAMA Consumables Tracker'!$A:$H,8,FALSE()),""))</f>
        <v/>
      </c>
      <c r="F776" s="24"/>
      <c r="G776" s="25" t="str">
        <f>IF($D776="","",IFERROR(VLOOKUP($D776,'SAMA Consumables Tracker'!$A:$D,4,FALSE()),""))</f>
        <v/>
      </c>
      <c r="H776" s="22"/>
    </row>
    <row r="777" spans="1:8">
      <c r="A777" s="21"/>
      <c r="B777" s="22"/>
      <c r="C777" s="22"/>
      <c r="D777" s="22"/>
      <c r="E777" s="23" t="str">
        <f>IF($D777="","",IFERROR(VLOOKUP($D777,'SAMA Consumables Tracker'!$A:$H,8,FALSE()),""))</f>
        <v/>
      </c>
      <c r="F777" s="24"/>
      <c r="G777" s="25" t="str">
        <f>IF($D777="","",IFERROR(VLOOKUP($D777,'SAMA Consumables Tracker'!$A:$D,4,FALSE()),""))</f>
        <v/>
      </c>
      <c r="H777" s="22"/>
    </row>
    <row r="778" spans="1:8">
      <c r="A778" s="21"/>
      <c r="B778" s="22"/>
      <c r="C778" s="22"/>
      <c r="D778" s="22"/>
      <c r="E778" s="23" t="str">
        <f>IF($D778="","",IFERROR(VLOOKUP($D778,'SAMA Consumables Tracker'!$A:$H,8,FALSE()),""))</f>
        <v/>
      </c>
      <c r="F778" s="24"/>
      <c r="G778" s="25" t="str">
        <f>IF($D778="","",IFERROR(VLOOKUP($D778,'SAMA Consumables Tracker'!$A:$D,4,FALSE()),""))</f>
        <v/>
      </c>
      <c r="H778" s="22"/>
    </row>
    <row r="779" spans="1:8">
      <c r="A779" s="21"/>
      <c r="B779" s="22"/>
      <c r="C779" s="22"/>
      <c r="D779" s="22"/>
      <c r="E779" s="23" t="str">
        <f>IF($D779="","",IFERROR(VLOOKUP($D779,'SAMA Consumables Tracker'!$A:$H,8,FALSE()),""))</f>
        <v/>
      </c>
      <c r="F779" s="24"/>
      <c r="G779" s="25" t="str">
        <f>IF($D779="","",IFERROR(VLOOKUP($D779,'SAMA Consumables Tracker'!$A:$D,4,FALSE()),""))</f>
        <v/>
      </c>
      <c r="H779" s="22"/>
    </row>
    <row r="780" spans="1:8">
      <c r="A780" s="21"/>
      <c r="B780" s="22"/>
      <c r="C780" s="22"/>
      <c r="D780" s="22"/>
      <c r="E780" s="23" t="str">
        <f>IF($D780="","",IFERROR(VLOOKUP($D780,'SAMA Consumables Tracker'!$A:$H,8,FALSE()),""))</f>
        <v/>
      </c>
      <c r="F780" s="24"/>
      <c r="G780" s="25" t="str">
        <f>IF($D780="","",IFERROR(VLOOKUP($D780,'SAMA Consumables Tracker'!$A:$D,4,FALSE()),""))</f>
        <v/>
      </c>
      <c r="H780" s="22"/>
    </row>
    <row r="781" spans="1:8">
      <c r="A781" s="21"/>
      <c r="B781" s="22"/>
      <c r="C781" s="22"/>
      <c r="D781" s="22"/>
      <c r="E781" s="23" t="str">
        <f>IF($D781="","",IFERROR(VLOOKUP($D781,'SAMA Consumables Tracker'!$A:$H,8,FALSE()),""))</f>
        <v/>
      </c>
      <c r="F781" s="24"/>
      <c r="G781" s="25" t="str">
        <f>IF($D781="","",IFERROR(VLOOKUP($D781,'SAMA Consumables Tracker'!$A:$D,4,FALSE()),""))</f>
        <v/>
      </c>
      <c r="H781" s="22"/>
    </row>
    <row r="782" spans="1:8">
      <c r="A782" s="21"/>
      <c r="B782" s="22"/>
      <c r="C782" s="22"/>
      <c r="D782" s="22"/>
      <c r="E782" s="23" t="str">
        <f>IF($D782="","",IFERROR(VLOOKUP($D782,'SAMA Consumables Tracker'!$A:$H,8,FALSE()),""))</f>
        <v/>
      </c>
      <c r="F782" s="24"/>
      <c r="G782" s="25" t="str">
        <f>IF($D782="","",IFERROR(VLOOKUP($D782,'SAMA Consumables Tracker'!$A:$D,4,FALSE()),""))</f>
        <v/>
      </c>
      <c r="H782" s="22"/>
    </row>
    <row r="783" spans="1:8">
      <c r="A783" s="21"/>
      <c r="B783" s="22"/>
      <c r="C783" s="22"/>
      <c r="D783" s="22"/>
      <c r="E783" s="23" t="str">
        <f>IF($D783="","",IFERROR(VLOOKUP($D783,'SAMA Consumables Tracker'!$A:$H,8,FALSE()),""))</f>
        <v/>
      </c>
      <c r="F783" s="24"/>
      <c r="G783" s="25" t="str">
        <f>IF($D783="","",IFERROR(VLOOKUP($D783,'SAMA Consumables Tracker'!$A:$D,4,FALSE()),""))</f>
        <v/>
      </c>
      <c r="H783" s="22"/>
    </row>
    <row r="784" spans="1:8">
      <c r="A784" s="21"/>
      <c r="B784" s="22"/>
      <c r="C784" s="22"/>
      <c r="D784" s="22"/>
      <c r="E784" s="23" t="str">
        <f>IF($D784="","",IFERROR(VLOOKUP($D784,'SAMA Consumables Tracker'!$A:$H,8,FALSE()),""))</f>
        <v/>
      </c>
      <c r="F784" s="24"/>
      <c r="G784" s="25" t="str">
        <f>IF($D784="","",IFERROR(VLOOKUP($D784,'SAMA Consumables Tracker'!$A:$D,4,FALSE()),""))</f>
        <v/>
      </c>
      <c r="H784" s="22"/>
    </row>
    <row r="785" spans="1:8">
      <c r="A785" s="21"/>
      <c r="B785" s="22"/>
      <c r="C785" s="22"/>
      <c r="D785" s="22"/>
      <c r="E785" s="23" t="str">
        <f>IF($D785="","",IFERROR(VLOOKUP($D785,'SAMA Consumables Tracker'!$A:$H,8,FALSE()),""))</f>
        <v/>
      </c>
      <c r="F785" s="24"/>
      <c r="G785" s="25" t="str">
        <f>IF($D785="","",IFERROR(VLOOKUP($D785,'SAMA Consumables Tracker'!$A:$D,4,FALSE()),""))</f>
        <v/>
      </c>
      <c r="H785" s="22"/>
    </row>
    <row r="786" spans="1:8">
      <c r="A786" s="21"/>
      <c r="B786" s="22"/>
      <c r="C786" s="22"/>
      <c r="D786" s="22"/>
      <c r="E786" s="23" t="str">
        <f>IF($D786="","",IFERROR(VLOOKUP($D786,'SAMA Consumables Tracker'!$A:$H,8,FALSE()),""))</f>
        <v/>
      </c>
      <c r="F786" s="24"/>
      <c r="G786" s="25" t="str">
        <f>IF($D786="","",IFERROR(VLOOKUP($D786,'SAMA Consumables Tracker'!$A:$D,4,FALSE()),""))</f>
        <v/>
      </c>
      <c r="H786" s="22"/>
    </row>
    <row r="787" spans="1:8">
      <c r="A787" s="21"/>
      <c r="B787" s="22"/>
      <c r="C787" s="22"/>
      <c r="D787" s="22"/>
      <c r="E787" s="23" t="str">
        <f>IF($D787="","",IFERROR(VLOOKUP($D787,'SAMA Consumables Tracker'!$A:$H,8,FALSE()),""))</f>
        <v/>
      </c>
      <c r="F787" s="24"/>
      <c r="G787" s="25" t="str">
        <f>IF($D787="","",IFERROR(VLOOKUP($D787,'SAMA Consumables Tracker'!$A:$D,4,FALSE()),""))</f>
        <v/>
      </c>
      <c r="H787" s="22"/>
    </row>
    <row r="788" spans="1:8">
      <c r="A788" s="21"/>
      <c r="B788" s="22"/>
      <c r="C788" s="22"/>
      <c r="D788" s="22"/>
      <c r="E788" s="23" t="str">
        <f>IF($D788="","",IFERROR(VLOOKUP($D788,'SAMA Consumables Tracker'!$A:$H,8,FALSE()),""))</f>
        <v/>
      </c>
      <c r="F788" s="24"/>
      <c r="G788" s="25" t="str">
        <f>IF($D788="","",IFERROR(VLOOKUP($D788,'SAMA Consumables Tracker'!$A:$D,4,FALSE()),""))</f>
        <v/>
      </c>
      <c r="H788" s="22"/>
    </row>
    <row r="789" spans="1:8">
      <c r="A789" s="21"/>
      <c r="B789" s="22"/>
      <c r="C789" s="22"/>
      <c r="D789" s="22"/>
      <c r="E789" s="23" t="str">
        <f>IF($D789="","",IFERROR(VLOOKUP($D789,'SAMA Consumables Tracker'!$A:$H,8,FALSE()),""))</f>
        <v/>
      </c>
      <c r="F789" s="24"/>
      <c r="G789" s="25" t="str">
        <f>IF($D789="","",IFERROR(VLOOKUP($D789,'SAMA Consumables Tracker'!$A:$D,4,FALSE()),""))</f>
        <v/>
      </c>
      <c r="H789" s="22"/>
    </row>
    <row r="790" spans="1:8">
      <c r="A790" s="21"/>
      <c r="B790" s="22"/>
      <c r="C790" s="22"/>
      <c r="D790" s="22"/>
      <c r="E790" s="23" t="str">
        <f>IF($D790="","",IFERROR(VLOOKUP($D790,'SAMA Consumables Tracker'!$A:$H,8,FALSE()),""))</f>
        <v/>
      </c>
      <c r="F790" s="24"/>
      <c r="G790" s="25" t="str">
        <f>IF($D790="","",IFERROR(VLOOKUP($D790,'SAMA Consumables Tracker'!$A:$D,4,FALSE()),""))</f>
        <v/>
      </c>
      <c r="H790" s="22"/>
    </row>
    <row r="791" spans="1:8">
      <c r="A791" s="21"/>
      <c r="B791" s="22"/>
      <c r="C791" s="22"/>
      <c r="D791" s="22"/>
      <c r="E791" s="23" t="str">
        <f>IF($D791="","",IFERROR(VLOOKUP($D791,'SAMA Consumables Tracker'!$A:$H,8,FALSE()),""))</f>
        <v/>
      </c>
      <c r="F791" s="24"/>
      <c r="G791" s="25" t="str">
        <f>IF($D791="","",IFERROR(VLOOKUP($D791,'SAMA Consumables Tracker'!$A:$D,4,FALSE()),""))</f>
        <v/>
      </c>
      <c r="H791" s="22"/>
    </row>
    <row r="792" spans="1:8">
      <c r="A792" s="21"/>
      <c r="B792" s="22"/>
      <c r="C792" s="22"/>
      <c r="D792" s="22"/>
      <c r="E792" s="23" t="str">
        <f>IF($D792="","",IFERROR(VLOOKUP($D792,'SAMA Consumables Tracker'!$A:$H,8,FALSE()),""))</f>
        <v/>
      </c>
      <c r="F792" s="24"/>
      <c r="G792" s="25" t="str">
        <f>IF($D792="","",IFERROR(VLOOKUP($D792,'SAMA Consumables Tracker'!$A:$D,4,FALSE()),""))</f>
        <v/>
      </c>
      <c r="H792" s="22"/>
    </row>
    <row r="793" spans="1:8">
      <c r="A793" s="21"/>
      <c r="B793" s="22"/>
      <c r="C793" s="22"/>
      <c r="D793" s="22"/>
      <c r="E793" s="23" t="str">
        <f>IF($D793="","",IFERROR(VLOOKUP($D793,'SAMA Consumables Tracker'!$A:$H,8,FALSE()),""))</f>
        <v/>
      </c>
      <c r="F793" s="24"/>
      <c r="G793" s="25" t="str">
        <f>IF($D793="","",IFERROR(VLOOKUP($D793,'SAMA Consumables Tracker'!$A:$D,4,FALSE()),""))</f>
        <v/>
      </c>
      <c r="H793" s="22"/>
    </row>
    <row r="794" spans="1:8">
      <c r="A794" s="21"/>
      <c r="B794" s="22"/>
      <c r="C794" s="22"/>
      <c r="D794" s="22"/>
      <c r="E794" s="23" t="str">
        <f>IF($D794="","",IFERROR(VLOOKUP($D794,'SAMA Consumables Tracker'!$A:$H,8,FALSE()),""))</f>
        <v/>
      </c>
      <c r="F794" s="24"/>
      <c r="G794" s="25" t="str">
        <f>IF($D794="","",IFERROR(VLOOKUP($D794,'SAMA Consumables Tracker'!$A:$D,4,FALSE()),""))</f>
        <v/>
      </c>
      <c r="H794" s="22"/>
    </row>
    <row r="795" spans="1:8">
      <c r="A795" s="21"/>
      <c r="B795" s="22"/>
      <c r="C795" s="22"/>
      <c r="D795" s="22"/>
      <c r="E795" s="23" t="str">
        <f>IF($D795="","",IFERROR(VLOOKUP($D795,'SAMA Consumables Tracker'!$A:$H,8,FALSE()),""))</f>
        <v/>
      </c>
      <c r="F795" s="24"/>
      <c r="G795" s="25" t="str">
        <f>IF($D795="","",IFERROR(VLOOKUP($D795,'SAMA Consumables Tracker'!$A:$D,4,FALSE()),""))</f>
        <v/>
      </c>
      <c r="H795" s="22"/>
    </row>
    <row r="796" spans="1:8">
      <c r="A796" s="21"/>
      <c r="B796" s="22"/>
      <c r="C796" s="22"/>
      <c r="D796" s="22"/>
      <c r="E796" s="23" t="str">
        <f>IF($D796="","",IFERROR(VLOOKUP($D796,'SAMA Consumables Tracker'!$A:$H,8,FALSE()),""))</f>
        <v/>
      </c>
      <c r="F796" s="24"/>
      <c r="G796" s="25" t="str">
        <f>IF($D796="","",IFERROR(VLOOKUP($D796,'SAMA Consumables Tracker'!$A:$D,4,FALSE()),""))</f>
        <v/>
      </c>
      <c r="H796" s="22"/>
    </row>
    <row r="797" spans="1:8">
      <c r="A797" s="21"/>
      <c r="B797" s="22"/>
      <c r="C797" s="22"/>
      <c r="D797" s="22"/>
      <c r="E797" s="23" t="str">
        <f>IF($D797="","",IFERROR(VLOOKUP($D797,'SAMA Consumables Tracker'!$A:$H,8,FALSE()),""))</f>
        <v/>
      </c>
      <c r="F797" s="24"/>
      <c r="G797" s="25" t="str">
        <f>IF($D797="","",IFERROR(VLOOKUP($D797,'SAMA Consumables Tracker'!$A:$D,4,FALSE()),""))</f>
        <v/>
      </c>
      <c r="H797" s="22"/>
    </row>
    <row r="798" spans="1:8">
      <c r="A798" s="21"/>
      <c r="B798" s="22"/>
      <c r="C798" s="22"/>
      <c r="D798" s="22"/>
      <c r="E798" s="23" t="str">
        <f>IF($D798="","",IFERROR(VLOOKUP($D798,'SAMA Consumables Tracker'!$A:$H,8,FALSE()),""))</f>
        <v/>
      </c>
      <c r="F798" s="24"/>
      <c r="G798" s="25" t="str">
        <f>IF($D798="","",IFERROR(VLOOKUP($D798,'SAMA Consumables Tracker'!$A:$D,4,FALSE()),""))</f>
        <v/>
      </c>
      <c r="H798" s="22"/>
    </row>
    <row r="799" spans="1:8">
      <c r="A799" s="21"/>
      <c r="B799" s="22"/>
      <c r="C799" s="22"/>
      <c r="D799" s="22"/>
      <c r="E799" s="23" t="str">
        <f>IF($D799="","",IFERROR(VLOOKUP($D799,'SAMA Consumables Tracker'!$A:$H,8,FALSE()),""))</f>
        <v/>
      </c>
      <c r="F799" s="24"/>
      <c r="G799" s="25" t="str">
        <f>IF($D799="","",IFERROR(VLOOKUP($D799,'SAMA Consumables Tracker'!$A:$D,4,FALSE()),""))</f>
        <v/>
      </c>
      <c r="H799" s="22"/>
    </row>
    <row r="800" spans="1:8">
      <c r="A800" s="21"/>
      <c r="B800" s="22"/>
      <c r="C800" s="22"/>
      <c r="D800" s="22"/>
      <c r="E800" s="23" t="str">
        <f>IF($D800="","",IFERROR(VLOOKUP($D800,'SAMA Consumables Tracker'!$A:$H,8,FALSE()),""))</f>
        <v/>
      </c>
      <c r="F800" s="24"/>
      <c r="G800" s="25" t="str">
        <f>IF($D800="","",IFERROR(VLOOKUP($D800,'SAMA Consumables Tracker'!$A:$D,4,FALSE()),""))</f>
        <v/>
      </c>
      <c r="H800" s="22"/>
    </row>
    <row r="801" spans="1:8">
      <c r="A801" s="21"/>
      <c r="B801" s="22"/>
      <c r="C801" s="22"/>
      <c r="D801" s="22"/>
      <c r="E801" s="23" t="str">
        <f>IF($D801="","",IFERROR(VLOOKUP($D801,'SAMA Consumables Tracker'!$A:$H,8,FALSE()),""))</f>
        <v/>
      </c>
      <c r="F801" s="24"/>
      <c r="G801" s="25" t="str">
        <f>IF($D801="","",IFERROR(VLOOKUP($D801,'SAMA Consumables Tracker'!$A:$D,4,FALSE()),""))</f>
        <v/>
      </c>
      <c r="H801" s="22"/>
    </row>
    <row r="802" spans="1:8">
      <c r="A802" s="21"/>
      <c r="B802" s="22"/>
      <c r="C802" s="22"/>
      <c r="D802" s="22"/>
      <c r="E802" s="23" t="str">
        <f>IF($D802="","",IFERROR(VLOOKUP($D802,'SAMA Consumables Tracker'!$A:$H,8,FALSE()),""))</f>
        <v/>
      </c>
      <c r="F802" s="24"/>
      <c r="G802" s="25" t="str">
        <f>IF($D802="","",IFERROR(VLOOKUP($D802,'SAMA Consumables Tracker'!$A:$D,4,FALSE()),""))</f>
        <v/>
      </c>
      <c r="H802" s="22"/>
    </row>
    <row r="803" spans="1:8">
      <c r="A803" s="21"/>
      <c r="B803" s="22"/>
      <c r="C803" s="22"/>
      <c r="D803" s="22"/>
      <c r="E803" s="23" t="str">
        <f>IF($D803="","",IFERROR(VLOOKUP($D803,'SAMA Consumables Tracker'!$A:$H,8,FALSE()),""))</f>
        <v/>
      </c>
      <c r="F803" s="24"/>
      <c r="G803" s="25" t="str">
        <f>IF($D803="","",IFERROR(VLOOKUP($D803,'SAMA Consumables Tracker'!$A:$D,4,FALSE()),""))</f>
        <v/>
      </c>
      <c r="H803" s="22"/>
    </row>
    <row r="804" spans="1:8">
      <c r="A804" s="21"/>
      <c r="B804" s="22"/>
      <c r="C804" s="22"/>
      <c r="D804" s="22"/>
      <c r="E804" s="23" t="str">
        <f>IF($D804="","",IFERROR(VLOOKUP($D804,'SAMA Consumables Tracker'!$A:$H,8,FALSE()),""))</f>
        <v/>
      </c>
      <c r="F804" s="24"/>
      <c r="G804" s="25" t="str">
        <f>IF($D804="","",IFERROR(VLOOKUP($D804,'SAMA Consumables Tracker'!$A:$D,4,FALSE()),""))</f>
        <v/>
      </c>
      <c r="H804" s="22"/>
    </row>
    <row r="805" spans="1:8">
      <c r="A805" s="21"/>
      <c r="B805" s="22"/>
      <c r="C805" s="22"/>
      <c r="D805" s="22"/>
      <c r="E805" s="23" t="str">
        <f>IF($D805="","",IFERROR(VLOOKUP($D805,'SAMA Consumables Tracker'!$A:$H,8,FALSE()),""))</f>
        <v/>
      </c>
      <c r="F805" s="24"/>
      <c r="G805" s="25" t="str">
        <f>IF($D805="","",IFERROR(VLOOKUP($D805,'SAMA Consumables Tracker'!$A:$D,4,FALSE()),""))</f>
        <v/>
      </c>
      <c r="H805" s="22"/>
    </row>
    <row r="806" spans="1:8">
      <c r="A806" s="21"/>
      <c r="B806" s="22"/>
      <c r="C806" s="22"/>
      <c r="D806" s="22"/>
      <c r="E806" s="23" t="str">
        <f>IF($D806="","",IFERROR(VLOOKUP($D806,'SAMA Consumables Tracker'!$A:$H,8,FALSE()),""))</f>
        <v/>
      </c>
      <c r="F806" s="24"/>
      <c r="G806" s="25" t="str">
        <f>IF($D806="","",IFERROR(VLOOKUP($D806,'SAMA Consumables Tracker'!$A:$D,4,FALSE()),""))</f>
        <v/>
      </c>
      <c r="H806" s="22"/>
    </row>
    <row r="807" spans="1:8">
      <c r="A807" s="21"/>
      <c r="B807" s="22"/>
      <c r="C807" s="22"/>
      <c r="D807" s="22"/>
      <c r="E807" s="23" t="str">
        <f>IF($D807="","",IFERROR(VLOOKUP($D807,'SAMA Consumables Tracker'!$A:$H,8,FALSE()),""))</f>
        <v/>
      </c>
      <c r="F807" s="24"/>
      <c r="G807" s="25" t="str">
        <f>IF($D807="","",IFERROR(VLOOKUP($D807,'SAMA Consumables Tracker'!$A:$D,4,FALSE()),""))</f>
        <v/>
      </c>
      <c r="H807" s="22"/>
    </row>
    <row r="808" spans="1:8">
      <c r="A808" s="21"/>
      <c r="B808" s="22"/>
      <c r="C808" s="22"/>
      <c r="D808" s="22"/>
      <c r="E808" s="23" t="str">
        <f>IF($D808="","",IFERROR(VLOOKUP($D808,'SAMA Consumables Tracker'!$A:$H,8,FALSE()),""))</f>
        <v/>
      </c>
      <c r="F808" s="24"/>
      <c r="G808" s="25" t="str">
        <f>IF($D808="","",IFERROR(VLOOKUP($D808,'SAMA Consumables Tracker'!$A:$D,4,FALSE()),""))</f>
        <v/>
      </c>
      <c r="H808" s="22"/>
    </row>
    <row r="809" spans="1:8">
      <c r="A809" s="21"/>
      <c r="B809" s="22"/>
      <c r="C809" s="22"/>
      <c r="D809" s="22"/>
      <c r="E809" s="23" t="str">
        <f>IF($D809="","",IFERROR(VLOOKUP($D809,'SAMA Consumables Tracker'!$A:$H,8,FALSE()),""))</f>
        <v/>
      </c>
      <c r="F809" s="24"/>
      <c r="G809" s="25" t="str">
        <f>IF($D809="","",IFERROR(VLOOKUP($D809,'SAMA Consumables Tracker'!$A:$D,4,FALSE()),""))</f>
        <v/>
      </c>
      <c r="H809" s="22"/>
    </row>
    <row r="810" spans="1:8">
      <c r="A810" s="21"/>
      <c r="B810" s="22"/>
      <c r="C810" s="22"/>
      <c r="D810" s="22"/>
      <c r="E810" s="23" t="str">
        <f>IF($D810="","",IFERROR(VLOOKUP($D810,'SAMA Consumables Tracker'!$A:$H,8,FALSE()),""))</f>
        <v/>
      </c>
      <c r="F810" s="24"/>
      <c r="G810" s="25" t="str">
        <f>IF($D810="","",IFERROR(VLOOKUP($D810,'SAMA Consumables Tracker'!$A:$D,4,FALSE()),""))</f>
        <v/>
      </c>
      <c r="H810" s="22"/>
    </row>
    <row r="811" spans="1:8">
      <c r="A811" s="21"/>
      <c r="B811" s="22"/>
      <c r="C811" s="22"/>
      <c r="D811" s="22"/>
      <c r="E811" s="23" t="str">
        <f>IF($D811="","",IFERROR(VLOOKUP($D811,'SAMA Consumables Tracker'!$A:$H,8,FALSE()),""))</f>
        <v/>
      </c>
      <c r="F811" s="24"/>
      <c r="G811" s="25" t="str">
        <f>IF($D811="","",IFERROR(VLOOKUP($D811,'SAMA Consumables Tracker'!$A:$D,4,FALSE()),""))</f>
        <v/>
      </c>
      <c r="H811" s="22"/>
    </row>
    <row r="812" spans="1:8">
      <c r="A812" s="21"/>
      <c r="B812" s="22"/>
      <c r="C812" s="22"/>
      <c r="D812" s="22"/>
      <c r="E812" s="23" t="str">
        <f>IF($D812="","",IFERROR(VLOOKUP($D812,'SAMA Consumables Tracker'!$A:$H,8,FALSE()),""))</f>
        <v/>
      </c>
      <c r="F812" s="24"/>
      <c r="G812" s="25" t="str">
        <f>IF($D812="","",IFERROR(VLOOKUP($D812,'SAMA Consumables Tracker'!$A:$D,4,FALSE()),""))</f>
        <v/>
      </c>
      <c r="H812" s="22"/>
    </row>
    <row r="813" spans="1:8">
      <c r="A813" s="21"/>
      <c r="B813" s="22"/>
      <c r="C813" s="22"/>
      <c r="D813" s="22"/>
      <c r="E813" s="23" t="str">
        <f>IF($D813="","",IFERROR(VLOOKUP($D813,'SAMA Consumables Tracker'!$A:$H,8,FALSE()),""))</f>
        <v/>
      </c>
      <c r="F813" s="24"/>
      <c r="G813" s="25" t="str">
        <f>IF($D813="","",IFERROR(VLOOKUP($D813,'SAMA Consumables Tracker'!$A:$D,4,FALSE()),""))</f>
        <v/>
      </c>
      <c r="H813" s="22"/>
    </row>
    <row r="814" spans="1:8">
      <c r="A814" s="21"/>
      <c r="B814" s="22"/>
      <c r="C814" s="22"/>
      <c r="D814" s="22"/>
      <c r="E814" s="23" t="str">
        <f>IF($D814="","",IFERROR(VLOOKUP($D814,'SAMA Consumables Tracker'!$A:$H,8,FALSE()),""))</f>
        <v/>
      </c>
      <c r="F814" s="24"/>
      <c r="G814" s="25" t="str">
        <f>IF($D814="","",IFERROR(VLOOKUP($D814,'SAMA Consumables Tracker'!$A:$D,4,FALSE()),""))</f>
        <v/>
      </c>
      <c r="H814" s="22"/>
    </row>
    <row r="815" spans="1:8">
      <c r="A815" s="21"/>
      <c r="B815" s="22"/>
      <c r="C815" s="22"/>
      <c r="D815" s="22"/>
      <c r="E815" s="23" t="str">
        <f>IF($D815="","",IFERROR(VLOOKUP($D815,'SAMA Consumables Tracker'!$A:$H,8,FALSE()),""))</f>
        <v/>
      </c>
      <c r="F815" s="24"/>
      <c r="G815" s="25" t="str">
        <f>IF($D815="","",IFERROR(VLOOKUP($D815,'SAMA Consumables Tracker'!$A:$D,4,FALSE()),""))</f>
        <v/>
      </c>
      <c r="H815" s="22"/>
    </row>
    <row r="816" spans="1:8">
      <c r="A816" s="21"/>
      <c r="B816" s="22"/>
      <c r="C816" s="22"/>
      <c r="D816" s="22"/>
      <c r="E816" s="23" t="str">
        <f>IF($D816="","",IFERROR(VLOOKUP($D816,'SAMA Consumables Tracker'!$A:$H,8,FALSE()),""))</f>
        <v/>
      </c>
      <c r="F816" s="24"/>
      <c r="G816" s="25" t="str">
        <f>IF($D816="","",IFERROR(VLOOKUP($D816,'SAMA Consumables Tracker'!$A:$D,4,FALSE()),""))</f>
        <v/>
      </c>
      <c r="H816" s="22"/>
    </row>
    <row r="817" spans="1:8">
      <c r="A817" s="21"/>
      <c r="B817" s="22"/>
      <c r="C817" s="22"/>
      <c r="D817" s="22"/>
      <c r="E817" s="23" t="str">
        <f>IF($D817="","",IFERROR(VLOOKUP($D817,'SAMA Consumables Tracker'!$A:$H,8,FALSE()),""))</f>
        <v/>
      </c>
      <c r="F817" s="24"/>
      <c r="G817" s="25" t="str">
        <f>IF($D817="","",IFERROR(VLOOKUP($D817,'SAMA Consumables Tracker'!$A:$D,4,FALSE()),""))</f>
        <v/>
      </c>
      <c r="H817" s="22"/>
    </row>
    <row r="818" spans="1:8">
      <c r="A818" s="21"/>
      <c r="B818" s="22"/>
      <c r="C818" s="22"/>
      <c r="D818" s="22"/>
      <c r="E818" s="23" t="str">
        <f>IF($D818="","",IFERROR(VLOOKUP($D818,'SAMA Consumables Tracker'!$A:$H,8,FALSE()),""))</f>
        <v/>
      </c>
      <c r="F818" s="24"/>
      <c r="G818" s="25" t="str">
        <f>IF($D818="","",IFERROR(VLOOKUP($D818,'SAMA Consumables Tracker'!$A:$D,4,FALSE()),""))</f>
        <v/>
      </c>
      <c r="H818" s="22"/>
    </row>
    <row r="819" spans="1:8">
      <c r="A819" s="21"/>
      <c r="B819" s="22"/>
      <c r="C819" s="22"/>
      <c r="D819" s="22"/>
      <c r="E819" s="23" t="str">
        <f>IF($D819="","",IFERROR(VLOOKUP($D819,'SAMA Consumables Tracker'!$A:$H,8,FALSE()),""))</f>
        <v/>
      </c>
      <c r="F819" s="24"/>
      <c r="G819" s="25" t="str">
        <f>IF($D819="","",IFERROR(VLOOKUP($D819,'SAMA Consumables Tracker'!$A:$D,4,FALSE()),""))</f>
        <v/>
      </c>
      <c r="H819" s="22"/>
    </row>
    <row r="820" spans="1:8">
      <c r="A820" s="21"/>
      <c r="B820" s="22"/>
      <c r="C820" s="22"/>
      <c r="D820" s="22"/>
      <c r="E820" s="23" t="str">
        <f>IF($D820="","",IFERROR(VLOOKUP($D820,'SAMA Consumables Tracker'!$A:$H,8,FALSE()),""))</f>
        <v/>
      </c>
      <c r="F820" s="24"/>
      <c r="G820" s="25" t="str">
        <f>IF($D820="","",IFERROR(VLOOKUP($D820,'SAMA Consumables Tracker'!$A:$D,4,FALSE()),""))</f>
        <v/>
      </c>
      <c r="H820" s="22"/>
    </row>
    <row r="821" spans="1:8">
      <c r="A821" s="21"/>
      <c r="B821" s="22"/>
      <c r="C821" s="22"/>
      <c r="D821" s="22"/>
      <c r="E821" s="23" t="str">
        <f>IF($D821="","",IFERROR(VLOOKUP($D821,'SAMA Consumables Tracker'!$A:$H,8,FALSE()),""))</f>
        <v/>
      </c>
      <c r="F821" s="24"/>
      <c r="G821" s="25" t="str">
        <f>IF($D821="","",IFERROR(VLOOKUP($D821,'SAMA Consumables Tracker'!$A:$D,4,FALSE()),""))</f>
        <v/>
      </c>
      <c r="H821" s="22"/>
    </row>
    <row r="822" spans="1:8">
      <c r="A822" s="21"/>
      <c r="B822" s="22"/>
      <c r="C822" s="22"/>
      <c r="D822" s="22"/>
      <c r="E822" s="23" t="str">
        <f>IF($D822="","",IFERROR(VLOOKUP($D822,'SAMA Consumables Tracker'!$A:$H,8,FALSE()),""))</f>
        <v/>
      </c>
      <c r="F822" s="24"/>
      <c r="G822" s="25" t="str">
        <f>IF($D822="","",IFERROR(VLOOKUP($D822,'SAMA Consumables Tracker'!$A:$D,4,FALSE()),""))</f>
        <v/>
      </c>
      <c r="H822" s="22"/>
    </row>
    <row r="823" spans="1:8">
      <c r="A823" s="21"/>
      <c r="B823" s="22"/>
      <c r="C823" s="22"/>
      <c r="D823" s="22"/>
      <c r="E823" s="23" t="str">
        <f>IF($D823="","",IFERROR(VLOOKUP($D823,'SAMA Consumables Tracker'!$A:$H,8,FALSE()),""))</f>
        <v/>
      </c>
      <c r="F823" s="24"/>
      <c r="G823" s="25" t="str">
        <f>IF($D823="","",IFERROR(VLOOKUP($D823,'SAMA Consumables Tracker'!$A:$D,4,FALSE()),""))</f>
        <v/>
      </c>
      <c r="H823" s="22"/>
    </row>
    <row r="824" spans="1:8">
      <c r="A824" s="21"/>
      <c r="B824" s="22"/>
      <c r="C824" s="22"/>
      <c r="D824" s="22"/>
      <c r="E824" s="23" t="str">
        <f>IF($D824="","",IFERROR(VLOOKUP($D824,'SAMA Consumables Tracker'!$A:$H,8,FALSE()),""))</f>
        <v/>
      </c>
      <c r="F824" s="24"/>
      <c r="G824" s="25" t="str">
        <f>IF($D824="","",IFERROR(VLOOKUP($D824,'SAMA Consumables Tracker'!$A:$D,4,FALSE()),""))</f>
        <v/>
      </c>
      <c r="H824" s="22"/>
    </row>
    <row r="825" spans="1:8">
      <c r="A825" s="21"/>
      <c r="B825" s="22"/>
      <c r="C825" s="22"/>
      <c r="D825" s="22"/>
      <c r="E825" s="23" t="str">
        <f>IF($D825="","",IFERROR(VLOOKUP($D825,'SAMA Consumables Tracker'!$A:$H,8,FALSE()),""))</f>
        <v/>
      </c>
      <c r="F825" s="24"/>
      <c r="G825" s="25" t="str">
        <f>IF($D825="","",IFERROR(VLOOKUP($D825,'SAMA Consumables Tracker'!$A:$D,4,FALSE()),""))</f>
        <v/>
      </c>
      <c r="H825" s="22"/>
    </row>
    <row r="826" spans="1:8">
      <c r="A826" s="21"/>
      <c r="B826" s="22"/>
      <c r="C826" s="22"/>
      <c r="D826" s="22"/>
      <c r="E826" s="23" t="str">
        <f>IF($D826="","",IFERROR(VLOOKUP($D826,'SAMA Consumables Tracker'!$A:$H,8,FALSE()),""))</f>
        <v/>
      </c>
      <c r="F826" s="24"/>
      <c r="G826" s="25" t="str">
        <f>IF($D826="","",IFERROR(VLOOKUP($D826,'SAMA Consumables Tracker'!$A:$D,4,FALSE()),""))</f>
        <v/>
      </c>
      <c r="H826" s="22"/>
    </row>
    <row r="827" spans="1:8">
      <c r="A827" s="21"/>
      <c r="B827" s="22"/>
      <c r="C827" s="22"/>
      <c r="D827" s="22"/>
      <c r="E827" s="23" t="str">
        <f>IF($D827="","",IFERROR(VLOOKUP($D827,'SAMA Consumables Tracker'!$A:$H,8,FALSE()),""))</f>
        <v/>
      </c>
      <c r="F827" s="24"/>
      <c r="G827" s="25" t="str">
        <f>IF($D827="","",IFERROR(VLOOKUP($D827,'SAMA Consumables Tracker'!$A:$D,4,FALSE()),""))</f>
        <v/>
      </c>
      <c r="H827" s="22"/>
    </row>
    <row r="828" spans="1:8">
      <c r="A828" s="21"/>
      <c r="B828" s="22"/>
      <c r="C828" s="22"/>
      <c r="D828" s="22"/>
      <c r="E828" s="23" t="str">
        <f>IF($D828="","",IFERROR(VLOOKUP($D828,'SAMA Consumables Tracker'!$A:$H,8,FALSE()),""))</f>
        <v/>
      </c>
      <c r="F828" s="24"/>
      <c r="G828" s="25" t="str">
        <f>IF($D828="","",IFERROR(VLOOKUP($D828,'SAMA Consumables Tracker'!$A:$D,4,FALSE()),""))</f>
        <v/>
      </c>
      <c r="H828" s="22"/>
    </row>
    <row r="829" spans="1:8">
      <c r="A829" s="21"/>
      <c r="B829" s="22"/>
      <c r="C829" s="22"/>
      <c r="D829" s="22"/>
      <c r="E829" s="23" t="str">
        <f>IF($D829="","",IFERROR(VLOOKUP($D829,'SAMA Consumables Tracker'!$A:$H,8,FALSE()),""))</f>
        <v/>
      </c>
      <c r="F829" s="24"/>
      <c r="G829" s="25" t="str">
        <f>IF($D829="","",IFERROR(VLOOKUP($D829,'SAMA Consumables Tracker'!$A:$D,4,FALSE()),""))</f>
        <v/>
      </c>
      <c r="H829" s="22"/>
    </row>
    <row r="830" spans="1:8">
      <c r="A830" s="21"/>
      <c r="B830" s="22"/>
      <c r="C830" s="22"/>
      <c r="D830" s="22"/>
      <c r="E830" s="23" t="str">
        <f>IF($D830="","",IFERROR(VLOOKUP($D830,'SAMA Consumables Tracker'!$A:$H,8,FALSE()),""))</f>
        <v/>
      </c>
      <c r="F830" s="24"/>
      <c r="G830" s="25" t="str">
        <f>IF($D830="","",IFERROR(VLOOKUP($D830,'SAMA Consumables Tracker'!$A:$D,4,FALSE()),""))</f>
        <v/>
      </c>
      <c r="H830" s="22"/>
    </row>
    <row r="831" spans="1:8">
      <c r="A831" s="21"/>
      <c r="B831" s="22"/>
      <c r="C831" s="22"/>
      <c r="D831" s="22"/>
      <c r="E831" s="23" t="str">
        <f>IF($D831="","",IFERROR(VLOOKUP($D831,'SAMA Consumables Tracker'!$A:$H,8,FALSE()),""))</f>
        <v/>
      </c>
      <c r="F831" s="24"/>
      <c r="G831" s="25" t="str">
        <f>IF($D831="","",IFERROR(VLOOKUP($D831,'SAMA Consumables Tracker'!$A:$D,4,FALSE()),""))</f>
        <v/>
      </c>
      <c r="H831" s="22"/>
    </row>
    <row r="832" spans="1:8">
      <c r="A832" s="21"/>
      <c r="B832" s="22"/>
      <c r="C832" s="22"/>
      <c r="D832" s="22"/>
      <c r="E832" s="23" t="str">
        <f>IF($D832="","",IFERROR(VLOOKUP($D832,'SAMA Consumables Tracker'!$A:$H,8,FALSE()),""))</f>
        <v/>
      </c>
      <c r="F832" s="24"/>
      <c r="G832" s="25" t="str">
        <f>IF($D832="","",IFERROR(VLOOKUP($D832,'SAMA Consumables Tracker'!$A:$D,4,FALSE()),""))</f>
        <v/>
      </c>
      <c r="H832" s="22"/>
    </row>
    <row r="833" spans="1:8">
      <c r="A833" s="21"/>
      <c r="B833" s="22"/>
      <c r="C833" s="22"/>
      <c r="D833" s="22"/>
      <c r="E833" s="23" t="str">
        <f>IF($D833="","",IFERROR(VLOOKUP($D833,'SAMA Consumables Tracker'!$A:$H,8,FALSE()),""))</f>
        <v/>
      </c>
      <c r="F833" s="24"/>
      <c r="G833" s="25" t="str">
        <f>IF($D833="","",IFERROR(VLOOKUP($D833,'SAMA Consumables Tracker'!$A:$D,4,FALSE()),""))</f>
        <v/>
      </c>
      <c r="H833" s="22"/>
    </row>
    <row r="834" spans="1:8">
      <c r="A834" s="21"/>
      <c r="B834" s="22"/>
      <c r="C834" s="22"/>
      <c r="D834" s="22"/>
      <c r="E834" s="23" t="str">
        <f>IF($D834="","",IFERROR(VLOOKUP($D834,'SAMA Consumables Tracker'!$A:$H,8,FALSE()),""))</f>
        <v/>
      </c>
      <c r="F834" s="24"/>
      <c r="G834" s="25" t="str">
        <f>IF($D834="","",IFERROR(VLOOKUP($D834,'SAMA Consumables Tracker'!$A:$D,4,FALSE()),""))</f>
        <v/>
      </c>
      <c r="H834" s="22"/>
    </row>
    <row r="835" spans="1:8">
      <c r="A835" s="21"/>
      <c r="B835" s="22"/>
      <c r="C835" s="22"/>
      <c r="D835" s="22"/>
      <c r="E835" s="23" t="str">
        <f>IF($D835="","",IFERROR(VLOOKUP($D835,'SAMA Consumables Tracker'!$A:$H,8,FALSE()),""))</f>
        <v/>
      </c>
      <c r="F835" s="24"/>
      <c r="G835" s="25" t="str">
        <f>IF($D835="","",IFERROR(VLOOKUP($D835,'SAMA Consumables Tracker'!$A:$D,4,FALSE()),""))</f>
        <v/>
      </c>
      <c r="H835" s="22"/>
    </row>
    <row r="836" spans="1:8">
      <c r="A836" s="21"/>
      <c r="B836" s="22"/>
      <c r="C836" s="22"/>
      <c r="D836" s="22"/>
      <c r="E836" s="23" t="str">
        <f>IF($D836="","",IFERROR(VLOOKUP($D836,'SAMA Consumables Tracker'!$A:$H,8,FALSE()),""))</f>
        <v/>
      </c>
      <c r="F836" s="24"/>
      <c r="G836" s="25" t="str">
        <f>IF($D836="","",IFERROR(VLOOKUP($D836,'SAMA Consumables Tracker'!$A:$D,4,FALSE()),""))</f>
        <v/>
      </c>
      <c r="H836" s="22"/>
    </row>
    <row r="837" spans="1:8">
      <c r="A837" s="21"/>
      <c r="B837" s="22"/>
      <c r="C837" s="22"/>
      <c r="D837" s="22"/>
      <c r="E837" s="23" t="str">
        <f>IF($D837="","",IFERROR(VLOOKUP($D837,'SAMA Consumables Tracker'!$A:$H,8,FALSE()),""))</f>
        <v/>
      </c>
      <c r="F837" s="24"/>
      <c r="G837" s="25" t="str">
        <f>IF($D837="","",IFERROR(VLOOKUP($D837,'SAMA Consumables Tracker'!$A:$D,4,FALSE()),""))</f>
        <v/>
      </c>
      <c r="H837" s="22"/>
    </row>
    <row r="838" spans="1:8">
      <c r="A838" s="21"/>
      <c r="B838" s="22"/>
      <c r="C838" s="22"/>
      <c r="D838" s="22"/>
      <c r="E838" s="23" t="str">
        <f>IF($D838="","",IFERROR(VLOOKUP($D838,'SAMA Consumables Tracker'!$A:$H,8,FALSE()),""))</f>
        <v/>
      </c>
      <c r="F838" s="24"/>
      <c r="G838" s="25" t="str">
        <f>IF($D838="","",IFERROR(VLOOKUP($D838,'SAMA Consumables Tracker'!$A:$D,4,FALSE()),""))</f>
        <v/>
      </c>
      <c r="H838" s="22"/>
    </row>
    <row r="839" spans="1:8">
      <c r="A839" s="21"/>
      <c r="B839" s="22"/>
      <c r="C839" s="22"/>
      <c r="D839" s="22"/>
      <c r="E839" s="23" t="str">
        <f>IF($D839="","",IFERROR(VLOOKUP($D839,'SAMA Consumables Tracker'!$A:$H,8,FALSE()),""))</f>
        <v/>
      </c>
      <c r="F839" s="24"/>
      <c r="G839" s="25" t="str">
        <f>IF($D839="","",IFERROR(VLOOKUP($D839,'SAMA Consumables Tracker'!$A:$D,4,FALSE()),""))</f>
        <v/>
      </c>
      <c r="H839" s="22"/>
    </row>
    <row r="840" spans="1:8">
      <c r="A840" s="21"/>
      <c r="B840" s="22"/>
      <c r="C840" s="22"/>
      <c r="D840" s="22"/>
      <c r="E840" s="23" t="str">
        <f>IF($D840="","",IFERROR(VLOOKUP($D840,'SAMA Consumables Tracker'!$A:$H,8,FALSE()),""))</f>
        <v/>
      </c>
      <c r="F840" s="24"/>
      <c r="G840" s="25" t="str">
        <f>IF($D840="","",IFERROR(VLOOKUP($D840,'SAMA Consumables Tracker'!$A:$D,4,FALSE()),""))</f>
        <v/>
      </c>
      <c r="H840" s="22"/>
    </row>
    <row r="841" spans="1:8">
      <c r="A841" s="21"/>
      <c r="B841" s="22"/>
      <c r="C841" s="22"/>
      <c r="D841" s="22"/>
      <c r="E841" s="23" t="str">
        <f>IF($D841="","",IFERROR(VLOOKUP($D841,'SAMA Consumables Tracker'!$A:$H,8,FALSE()),""))</f>
        <v/>
      </c>
      <c r="F841" s="24"/>
      <c r="G841" s="25" t="str">
        <f>IF($D841="","",IFERROR(VLOOKUP($D841,'SAMA Consumables Tracker'!$A:$D,4,FALSE()),""))</f>
        <v/>
      </c>
      <c r="H841" s="22"/>
    </row>
    <row r="842" spans="1:8">
      <c r="A842" s="21"/>
      <c r="B842" s="22"/>
      <c r="C842" s="22"/>
      <c r="D842" s="22"/>
      <c r="E842" s="23" t="str">
        <f>IF($D842="","",IFERROR(VLOOKUP($D842,'SAMA Consumables Tracker'!$A:$H,8,FALSE()),""))</f>
        <v/>
      </c>
      <c r="F842" s="24"/>
      <c r="G842" s="25" t="str">
        <f>IF($D842="","",IFERROR(VLOOKUP($D842,'SAMA Consumables Tracker'!$A:$D,4,FALSE()),""))</f>
        <v/>
      </c>
      <c r="H842" s="22"/>
    </row>
    <row r="843" spans="1:8">
      <c r="A843" s="21"/>
      <c r="B843" s="22"/>
      <c r="C843" s="22"/>
      <c r="D843" s="22"/>
      <c r="E843" s="23" t="str">
        <f>IF($D843="","",IFERROR(VLOOKUP($D843,'SAMA Consumables Tracker'!$A:$H,8,FALSE()),""))</f>
        <v/>
      </c>
      <c r="F843" s="24"/>
      <c r="G843" s="25" t="str">
        <f>IF($D843="","",IFERROR(VLOOKUP($D843,'SAMA Consumables Tracker'!$A:$D,4,FALSE()),""))</f>
        <v/>
      </c>
      <c r="H843" s="22"/>
    </row>
    <row r="844" spans="1:8">
      <c r="A844" s="21"/>
      <c r="B844" s="22"/>
      <c r="C844" s="22"/>
      <c r="D844" s="22"/>
      <c r="E844" s="23" t="str">
        <f>IF($D844="","",IFERROR(VLOOKUP($D844,'SAMA Consumables Tracker'!$A:$H,8,FALSE()),""))</f>
        <v/>
      </c>
      <c r="F844" s="24"/>
      <c r="G844" s="25" t="str">
        <f>IF($D844="","",IFERROR(VLOOKUP($D844,'SAMA Consumables Tracker'!$A:$D,4,FALSE()),""))</f>
        <v/>
      </c>
      <c r="H844" s="22"/>
    </row>
    <row r="845" spans="1:8">
      <c r="A845" s="21"/>
      <c r="B845" s="22"/>
      <c r="C845" s="22"/>
      <c r="D845" s="22"/>
      <c r="E845" s="23" t="str">
        <f>IF($D845="","",IFERROR(VLOOKUP($D845,'SAMA Consumables Tracker'!$A:$H,8,FALSE()),""))</f>
        <v/>
      </c>
      <c r="F845" s="24"/>
      <c r="G845" s="25" t="str">
        <f>IF($D845="","",IFERROR(VLOOKUP($D845,'SAMA Consumables Tracker'!$A:$D,4,FALSE()),""))</f>
        <v/>
      </c>
      <c r="H845" s="22"/>
    </row>
    <row r="846" spans="1:8">
      <c r="A846" s="21"/>
      <c r="B846" s="22"/>
      <c r="C846" s="22"/>
      <c r="D846" s="22"/>
      <c r="E846" s="23" t="str">
        <f>IF($D846="","",IFERROR(VLOOKUP($D846,'SAMA Consumables Tracker'!$A:$H,8,FALSE()),""))</f>
        <v/>
      </c>
      <c r="F846" s="24"/>
      <c r="G846" s="25" t="str">
        <f>IF($D846="","",IFERROR(VLOOKUP($D846,'SAMA Consumables Tracker'!$A:$D,4,FALSE()),""))</f>
        <v/>
      </c>
      <c r="H846" s="22"/>
    </row>
    <row r="847" spans="1:8">
      <c r="A847" s="21"/>
      <c r="B847" s="22"/>
      <c r="C847" s="22"/>
      <c r="D847" s="22"/>
      <c r="E847" s="23" t="str">
        <f>IF($D847="","",IFERROR(VLOOKUP($D847,'SAMA Consumables Tracker'!$A:$H,8,FALSE()),""))</f>
        <v/>
      </c>
      <c r="F847" s="24"/>
      <c r="G847" s="25" t="str">
        <f>IF($D847="","",IFERROR(VLOOKUP($D847,'SAMA Consumables Tracker'!$A:$D,4,FALSE()),""))</f>
        <v/>
      </c>
      <c r="H847" s="22"/>
    </row>
    <row r="848" spans="1:8">
      <c r="A848" s="21"/>
      <c r="B848" s="22"/>
      <c r="C848" s="22"/>
      <c r="D848" s="22"/>
      <c r="E848" s="23" t="str">
        <f>IF($D848="","",IFERROR(VLOOKUP($D848,'SAMA Consumables Tracker'!$A:$H,8,FALSE()),""))</f>
        <v/>
      </c>
      <c r="F848" s="24"/>
      <c r="G848" s="25" t="str">
        <f>IF($D848="","",IFERROR(VLOOKUP($D848,'SAMA Consumables Tracker'!$A:$D,4,FALSE()),""))</f>
        <v/>
      </c>
      <c r="H848" s="22"/>
    </row>
    <row r="849" spans="1:8">
      <c r="A849" s="21"/>
      <c r="B849" s="22"/>
      <c r="C849" s="22"/>
      <c r="D849" s="22"/>
      <c r="E849" s="23" t="str">
        <f>IF($D849="","",IFERROR(VLOOKUP($D849,'SAMA Consumables Tracker'!$A:$H,8,FALSE()),""))</f>
        <v/>
      </c>
      <c r="F849" s="24"/>
      <c r="G849" s="25" t="str">
        <f>IF($D849="","",IFERROR(VLOOKUP($D849,'SAMA Consumables Tracker'!$A:$D,4,FALSE()),""))</f>
        <v/>
      </c>
      <c r="H849" s="22"/>
    </row>
    <row r="850" spans="1:8">
      <c r="A850" s="21"/>
      <c r="B850" s="22"/>
      <c r="C850" s="22"/>
      <c r="D850" s="22"/>
      <c r="E850" s="23" t="str">
        <f>IF($D850="","",IFERROR(VLOOKUP($D850,'SAMA Consumables Tracker'!$A:$H,8,FALSE()),""))</f>
        <v/>
      </c>
      <c r="F850" s="24"/>
      <c r="G850" s="25" t="str">
        <f>IF($D850="","",IFERROR(VLOOKUP($D850,'SAMA Consumables Tracker'!$A:$D,4,FALSE()),""))</f>
        <v/>
      </c>
      <c r="H850" s="22"/>
    </row>
    <row r="851" spans="1:8">
      <c r="A851" s="21"/>
      <c r="B851" s="22"/>
      <c r="C851" s="22"/>
      <c r="D851" s="22"/>
      <c r="E851" s="23" t="str">
        <f>IF($D851="","",IFERROR(VLOOKUP($D851,'SAMA Consumables Tracker'!$A:$H,8,FALSE()),""))</f>
        <v/>
      </c>
      <c r="F851" s="24"/>
      <c r="G851" s="25" t="str">
        <f>IF($D851="","",IFERROR(VLOOKUP($D851,'SAMA Consumables Tracker'!$A:$D,4,FALSE()),""))</f>
        <v/>
      </c>
      <c r="H851" s="22"/>
    </row>
    <row r="852" spans="1:8">
      <c r="A852" s="21"/>
      <c r="B852" s="22"/>
      <c r="C852" s="22"/>
      <c r="D852" s="22"/>
      <c r="E852" s="23" t="str">
        <f>IF($D852="","",IFERROR(VLOOKUP($D852,'SAMA Consumables Tracker'!$A:$H,8,FALSE()),""))</f>
        <v/>
      </c>
      <c r="F852" s="24"/>
      <c r="G852" s="25" t="str">
        <f>IF($D852="","",IFERROR(VLOOKUP($D852,'SAMA Consumables Tracker'!$A:$D,4,FALSE()),""))</f>
        <v/>
      </c>
      <c r="H852" s="22"/>
    </row>
    <row r="853" spans="1:8">
      <c r="A853" s="21"/>
      <c r="B853" s="22"/>
      <c r="C853" s="22"/>
      <c r="D853" s="22"/>
      <c r="E853" s="23" t="str">
        <f>IF($D853="","",IFERROR(VLOOKUP($D853,'SAMA Consumables Tracker'!$A:$H,8,FALSE()),""))</f>
        <v/>
      </c>
      <c r="F853" s="24"/>
      <c r="G853" s="25" t="str">
        <f>IF($D853="","",IFERROR(VLOOKUP($D853,'SAMA Consumables Tracker'!$A:$D,4,FALSE()),""))</f>
        <v/>
      </c>
      <c r="H853" s="22"/>
    </row>
    <row r="854" spans="1:8">
      <c r="A854" s="21"/>
      <c r="B854" s="22"/>
      <c r="C854" s="22"/>
      <c r="D854" s="22"/>
      <c r="E854" s="23" t="str">
        <f>IF($D854="","",IFERROR(VLOOKUP($D854,'SAMA Consumables Tracker'!$A:$H,8,FALSE()),""))</f>
        <v/>
      </c>
      <c r="F854" s="24"/>
      <c r="G854" s="25" t="str">
        <f>IF($D854="","",IFERROR(VLOOKUP($D854,'SAMA Consumables Tracker'!$A:$D,4,FALSE()),""))</f>
        <v/>
      </c>
      <c r="H854" s="22"/>
    </row>
    <row r="855" spans="1:8">
      <c r="A855" s="21"/>
      <c r="B855" s="22"/>
      <c r="C855" s="22"/>
      <c r="D855" s="22"/>
      <c r="E855" s="23" t="str">
        <f>IF($D855="","",IFERROR(VLOOKUP($D855,'SAMA Consumables Tracker'!$A:$H,8,FALSE()),""))</f>
        <v/>
      </c>
      <c r="F855" s="24"/>
      <c r="G855" s="25" t="str">
        <f>IF($D855="","",IFERROR(VLOOKUP($D855,'SAMA Consumables Tracker'!$A:$D,4,FALSE()),""))</f>
        <v/>
      </c>
      <c r="H855" s="22"/>
    </row>
    <row r="856" spans="1:8">
      <c r="A856" s="21"/>
      <c r="B856" s="22"/>
      <c r="C856" s="22"/>
      <c r="D856" s="22"/>
      <c r="E856" s="23" t="str">
        <f>IF($D856="","",IFERROR(VLOOKUP($D856,'SAMA Consumables Tracker'!$A:$H,8,FALSE()),""))</f>
        <v/>
      </c>
      <c r="F856" s="24"/>
      <c r="G856" s="25" t="str">
        <f>IF($D856="","",IFERROR(VLOOKUP($D856,'SAMA Consumables Tracker'!$A:$D,4,FALSE()),""))</f>
        <v/>
      </c>
      <c r="H856" s="22"/>
    </row>
    <row r="857" spans="1:8">
      <c r="A857" s="21"/>
      <c r="B857" s="22"/>
      <c r="C857" s="22"/>
      <c r="D857" s="22"/>
      <c r="E857" s="23" t="str">
        <f>IF($D857="","",IFERROR(VLOOKUP($D857,'SAMA Consumables Tracker'!$A:$H,8,FALSE()),""))</f>
        <v/>
      </c>
      <c r="F857" s="24"/>
      <c r="G857" s="25" t="str">
        <f>IF($D857="","",IFERROR(VLOOKUP($D857,'SAMA Consumables Tracker'!$A:$D,4,FALSE()),""))</f>
        <v/>
      </c>
      <c r="H857" s="22"/>
    </row>
    <row r="858" spans="1:8">
      <c r="A858" s="21"/>
      <c r="B858" s="22"/>
      <c r="C858" s="22"/>
      <c r="D858" s="22"/>
      <c r="E858" s="23" t="str">
        <f>IF($D858="","",IFERROR(VLOOKUP($D858,'SAMA Consumables Tracker'!$A:$H,8,FALSE()),""))</f>
        <v/>
      </c>
      <c r="F858" s="24"/>
      <c r="G858" s="25" t="str">
        <f>IF($D858="","",IFERROR(VLOOKUP($D858,'SAMA Consumables Tracker'!$A:$D,4,FALSE()),""))</f>
        <v/>
      </c>
      <c r="H858" s="22"/>
    </row>
    <row r="859" spans="1:8">
      <c r="A859" s="21"/>
      <c r="B859" s="22"/>
      <c r="C859" s="22"/>
      <c r="D859" s="22"/>
      <c r="E859" s="23" t="str">
        <f>IF($D859="","",IFERROR(VLOOKUP($D859,'SAMA Consumables Tracker'!$A:$H,8,FALSE()),""))</f>
        <v/>
      </c>
      <c r="F859" s="24"/>
      <c r="G859" s="25" t="str">
        <f>IF($D859="","",IFERROR(VLOOKUP($D859,'SAMA Consumables Tracker'!$A:$D,4,FALSE()),""))</f>
        <v/>
      </c>
      <c r="H859" s="22"/>
    </row>
    <row r="860" spans="1:8">
      <c r="A860" s="21"/>
      <c r="B860" s="22"/>
      <c r="C860" s="22"/>
      <c r="D860" s="22"/>
      <c r="E860" s="23" t="str">
        <f>IF($D860="","",IFERROR(VLOOKUP($D860,'SAMA Consumables Tracker'!$A:$H,8,FALSE()),""))</f>
        <v/>
      </c>
      <c r="F860" s="24"/>
      <c r="G860" s="25" t="str">
        <f>IF($D860="","",IFERROR(VLOOKUP($D860,'SAMA Consumables Tracker'!$A:$D,4,FALSE()),""))</f>
        <v/>
      </c>
      <c r="H860" s="22"/>
    </row>
    <row r="861" spans="1:8">
      <c r="A861" s="21"/>
      <c r="B861" s="22"/>
      <c r="C861" s="22"/>
      <c r="D861" s="22"/>
      <c r="E861" s="23" t="str">
        <f>IF($D861="","",IFERROR(VLOOKUP($D861,'SAMA Consumables Tracker'!$A:$H,8,FALSE()),""))</f>
        <v/>
      </c>
      <c r="F861" s="24"/>
      <c r="G861" s="25" t="str">
        <f>IF($D861="","",IFERROR(VLOOKUP($D861,'SAMA Consumables Tracker'!$A:$D,4,FALSE()),""))</f>
        <v/>
      </c>
      <c r="H861" s="22"/>
    </row>
    <row r="862" spans="1:8">
      <c r="A862" s="21"/>
      <c r="B862" s="22"/>
      <c r="C862" s="22"/>
      <c r="D862" s="22"/>
      <c r="E862" s="23" t="str">
        <f>IF($D862="","",IFERROR(VLOOKUP($D862,'SAMA Consumables Tracker'!$A:$H,8,FALSE()),""))</f>
        <v/>
      </c>
      <c r="F862" s="24"/>
      <c r="G862" s="25" t="str">
        <f>IF($D862="","",IFERROR(VLOOKUP($D862,'SAMA Consumables Tracker'!$A:$D,4,FALSE()),""))</f>
        <v/>
      </c>
      <c r="H862" s="22"/>
    </row>
    <row r="863" spans="1:8">
      <c r="A863" s="21"/>
      <c r="B863" s="22"/>
      <c r="C863" s="22"/>
      <c r="D863" s="22"/>
      <c r="E863" s="23" t="str">
        <f>IF($D863="","",IFERROR(VLOOKUP($D863,'SAMA Consumables Tracker'!$A:$H,8,FALSE()),""))</f>
        <v/>
      </c>
      <c r="F863" s="24"/>
      <c r="G863" s="25" t="str">
        <f>IF($D863="","",IFERROR(VLOOKUP($D863,'SAMA Consumables Tracker'!$A:$D,4,FALSE()),""))</f>
        <v/>
      </c>
      <c r="H863" s="22"/>
    </row>
    <row r="864" spans="1:8">
      <c r="A864" s="21"/>
      <c r="B864" s="22"/>
      <c r="C864" s="22"/>
      <c r="D864" s="22"/>
      <c r="E864" s="23" t="str">
        <f>IF($D864="","",IFERROR(VLOOKUP($D864,'SAMA Consumables Tracker'!$A:$H,8,FALSE()),""))</f>
        <v/>
      </c>
      <c r="F864" s="24"/>
      <c r="G864" s="25" t="str">
        <f>IF($D864="","",IFERROR(VLOOKUP($D864,'SAMA Consumables Tracker'!$A:$D,4,FALSE()),""))</f>
        <v/>
      </c>
      <c r="H864" s="22"/>
    </row>
    <row r="865" spans="1:8">
      <c r="A865" s="21"/>
      <c r="B865" s="22"/>
      <c r="C865" s="22"/>
      <c r="D865" s="22"/>
      <c r="E865" s="23" t="str">
        <f>IF($D865="","",IFERROR(VLOOKUP($D865,'SAMA Consumables Tracker'!$A:$H,8,FALSE()),""))</f>
        <v/>
      </c>
      <c r="F865" s="24"/>
      <c r="G865" s="25" t="str">
        <f>IF($D865="","",IFERROR(VLOOKUP($D865,'SAMA Consumables Tracker'!$A:$D,4,FALSE()),""))</f>
        <v/>
      </c>
      <c r="H865" s="22"/>
    </row>
    <row r="866" spans="1:8">
      <c r="A866" s="21"/>
      <c r="B866" s="22"/>
      <c r="C866" s="22"/>
      <c r="D866" s="22"/>
      <c r="E866" s="23" t="str">
        <f>IF($D866="","",IFERROR(VLOOKUP($D866,'SAMA Consumables Tracker'!$A:$H,8,FALSE()),""))</f>
        <v/>
      </c>
      <c r="F866" s="24"/>
      <c r="G866" s="25" t="str">
        <f>IF($D866="","",IFERROR(VLOOKUP($D866,'SAMA Consumables Tracker'!$A:$D,4,FALSE()),""))</f>
        <v/>
      </c>
      <c r="H866" s="22"/>
    </row>
    <row r="867" spans="1:8">
      <c r="A867" s="21"/>
      <c r="B867" s="22"/>
      <c r="C867" s="22"/>
      <c r="D867" s="22"/>
      <c r="E867" s="23" t="str">
        <f>IF($D867="","",IFERROR(VLOOKUP($D867,'SAMA Consumables Tracker'!$A:$H,8,FALSE()),""))</f>
        <v/>
      </c>
      <c r="F867" s="24"/>
      <c r="G867" s="25" t="str">
        <f>IF($D867="","",IFERROR(VLOOKUP($D867,'SAMA Consumables Tracker'!$A:$D,4,FALSE()),""))</f>
        <v/>
      </c>
      <c r="H867" s="22"/>
    </row>
    <row r="868" spans="1:8">
      <c r="A868" s="21"/>
      <c r="B868" s="22"/>
      <c r="C868" s="22"/>
      <c r="D868" s="22"/>
      <c r="E868" s="23" t="str">
        <f>IF($D868="","",IFERROR(VLOOKUP($D868,'SAMA Consumables Tracker'!$A:$H,8,FALSE()),""))</f>
        <v/>
      </c>
      <c r="F868" s="24"/>
      <c r="G868" s="25" t="str">
        <f>IF($D868="","",IFERROR(VLOOKUP($D868,'SAMA Consumables Tracker'!$A:$D,4,FALSE()),""))</f>
        <v/>
      </c>
      <c r="H868" s="22"/>
    </row>
    <row r="869" spans="1:8">
      <c r="A869" s="21"/>
      <c r="B869" s="22"/>
      <c r="C869" s="22"/>
      <c r="D869" s="22"/>
      <c r="E869" s="23" t="str">
        <f>IF($D869="","",IFERROR(VLOOKUP($D869,'SAMA Consumables Tracker'!$A:$H,8,FALSE()),""))</f>
        <v/>
      </c>
      <c r="F869" s="24"/>
      <c r="G869" s="25" t="str">
        <f>IF($D869="","",IFERROR(VLOOKUP($D869,'SAMA Consumables Tracker'!$A:$D,4,FALSE()),""))</f>
        <v/>
      </c>
      <c r="H869" s="22"/>
    </row>
    <row r="870" spans="1:8">
      <c r="A870" s="21"/>
      <c r="B870" s="22"/>
      <c r="C870" s="22"/>
      <c r="D870" s="22"/>
      <c r="E870" s="23" t="str">
        <f>IF($D870="","",IFERROR(VLOOKUP($D870,'SAMA Consumables Tracker'!$A:$H,8,FALSE()),""))</f>
        <v/>
      </c>
      <c r="F870" s="24"/>
      <c r="G870" s="25" t="str">
        <f>IF($D870="","",IFERROR(VLOOKUP($D870,'SAMA Consumables Tracker'!$A:$D,4,FALSE()),""))</f>
        <v/>
      </c>
      <c r="H870" s="22"/>
    </row>
    <row r="871" spans="1:8">
      <c r="A871" s="21"/>
      <c r="B871" s="22"/>
      <c r="C871" s="22"/>
      <c r="D871" s="22"/>
      <c r="E871" s="23" t="str">
        <f>IF($D871="","",IFERROR(VLOOKUP($D871,'SAMA Consumables Tracker'!$A:$H,8,FALSE()),""))</f>
        <v/>
      </c>
      <c r="F871" s="24"/>
      <c r="G871" s="25" t="str">
        <f>IF($D871="","",IFERROR(VLOOKUP($D871,'SAMA Consumables Tracker'!$A:$D,4,FALSE()),""))</f>
        <v/>
      </c>
      <c r="H871" s="22"/>
    </row>
    <row r="872" spans="1:8">
      <c r="A872" s="21"/>
      <c r="B872" s="22"/>
      <c r="C872" s="22"/>
      <c r="D872" s="22"/>
      <c r="E872" s="23" t="str">
        <f>IF($D872="","",IFERROR(VLOOKUP($D872,'SAMA Consumables Tracker'!$A:$H,8,FALSE()),""))</f>
        <v/>
      </c>
      <c r="F872" s="24"/>
      <c r="G872" s="25" t="str">
        <f>IF($D872="","",IFERROR(VLOOKUP($D872,'SAMA Consumables Tracker'!$A:$D,4,FALSE()),""))</f>
        <v/>
      </c>
      <c r="H872" s="22"/>
    </row>
    <row r="873" spans="1:8">
      <c r="A873" s="21"/>
      <c r="B873" s="22"/>
      <c r="C873" s="22"/>
      <c r="D873" s="22"/>
      <c r="E873" s="23" t="str">
        <f>IF($D873="","",IFERROR(VLOOKUP($D873,'SAMA Consumables Tracker'!$A:$H,8,FALSE()),""))</f>
        <v/>
      </c>
      <c r="F873" s="24"/>
      <c r="G873" s="25" t="str">
        <f>IF($D873="","",IFERROR(VLOOKUP($D873,'SAMA Consumables Tracker'!$A:$D,4,FALSE()),""))</f>
        <v/>
      </c>
      <c r="H873" s="22"/>
    </row>
    <row r="874" spans="1:8">
      <c r="A874" s="21"/>
      <c r="B874" s="22"/>
      <c r="C874" s="22"/>
      <c r="D874" s="22"/>
      <c r="E874" s="23" t="str">
        <f>IF($D874="","",IFERROR(VLOOKUP($D874,'SAMA Consumables Tracker'!$A:$H,8,FALSE()),""))</f>
        <v/>
      </c>
      <c r="F874" s="24"/>
      <c r="G874" s="25" t="str">
        <f>IF($D874="","",IFERROR(VLOOKUP($D874,'SAMA Consumables Tracker'!$A:$D,4,FALSE()),""))</f>
        <v/>
      </c>
      <c r="H874" s="22"/>
    </row>
    <row r="875" spans="1:8">
      <c r="A875" s="21"/>
      <c r="B875" s="22"/>
      <c r="C875" s="22"/>
      <c r="D875" s="22"/>
      <c r="E875" s="23" t="str">
        <f>IF($D875="","",IFERROR(VLOOKUP($D875,'SAMA Consumables Tracker'!$A:$H,8,FALSE()),""))</f>
        <v/>
      </c>
      <c r="F875" s="24"/>
      <c r="G875" s="25" t="str">
        <f>IF($D875="","",IFERROR(VLOOKUP($D875,'SAMA Consumables Tracker'!$A:$D,4,FALSE()),""))</f>
        <v/>
      </c>
      <c r="H875" s="22"/>
    </row>
    <row r="876" spans="1:8">
      <c r="A876" s="21"/>
      <c r="B876" s="22"/>
      <c r="C876" s="22"/>
      <c r="D876" s="22"/>
      <c r="E876" s="23" t="str">
        <f>IF($D876="","",IFERROR(VLOOKUP($D876,'SAMA Consumables Tracker'!$A:$H,8,FALSE()),""))</f>
        <v/>
      </c>
      <c r="F876" s="24"/>
      <c r="G876" s="25" t="str">
        <f>IF($D876="","",IFERROR(VLOOKUP($D876,'SAMA Consumables Tracker'!$A:$D,4,FALSE()),""))</f>
        <v/>
      </c>
      <c r="H876" s="22"/>
    </row>
    <row r="877" spans="1:8">
      <c r="A877" s="21"/>
      <c r="B877" s="22"/>
      <c r="C877" s="22"/>
      <c r="D877" s="22"/>
      <c r="E877" s="23" t="str">
        <f>IF($D877="","",IFERROR(VLOOKUP($D877,'SAMA Consumables Tracker'!$A:$H,8,FALSE()),""))</f>
        <v/>
      </c>
      <c r="F877" s="24"/>
      <c r="G877" s="25" t="str">
        <f>IF($D877="","",IFERROR(VLOOKUP($D877,'SAMA Consumables Tracker'!$A:$D,4,FALSE()),""))</f>
        <v/>
      </c>
      <c r="H877" s="22"/>
    </row>
    <row r="878" spans="1:8">
      <c r="A878" s="21"/>
      <c r="B878" s="22"/>
      <c r="C878" s="22"/>
      <c r="D878" s="22"/>
      <c r="E878" s="23" t="str">
        <f>IF($D878="","",IFERROR(VLOOKUP($D878,'SAMA Consumables Tracker'!$A:$H,8,FALSE()),""))</f>
        <v/>
      </c>
      <c r="F878" s="24"/>
      <c r="G878" s="25" t="str">
        <f>IF($D878="","",IFERROR(VLOOKUP($D878,'SAMA Consumables Tracker'!$A:$D,4,FALSE()),""))</f>
        <v/>
      </c>
      <c r="H878" s="22"/>
    </row>
    <row r="879" spans="1:8">
      <c r="A879" s="21"/>
      <c r="B879" s="22"/>
      <c r="C879" s="22"/>
      <c r="D879" s="22"/>
      <c r="E879" s="23" t="str">
        <f>IF($D879="","",IFERROR(VLOOKUP($D879,'SAMA Consumables Tracker'!$A:$H,8,FALSE()),""))</f>
        <v/>
      </c>
      <c r="F879" s="24"/>
      <c r="G879" s="25" t="str">
        <f>IF($D879="","",IFERROR(VLOOKUP($D879,'SAMA Consumables Tracker'!$A:$D,4,FALSE()),""))</f>
        <v/>
      </c>
      <c r="H879" s="22"/>
    </row>
    <row r="880" spans="1:8">
      <c r="A880" s="21"/>
      <c r="B880" s="22"/>
      <c r="C880" s="22"/>
      <c r="D880" s="22"/>
      <c r="E880" s="23" t="str">
        <f>IF($D880="","",IFERROR(VLOOKUP($D880,'SAMA Consumables Tracker'!$A:$H,8,FALSE()),""))</f>
        <v/>
      </c>
      <c r="F880" s="24"/>
      <c r="G880" s="25" t="str">
        <f>IF($D880="","",IFERROR(VLOOKUP($D880,'SAMA Consumables Tracker'!$A:$D,4,FALSE()),""))</f>
        <v/>
      </c>
      <c r="H880" s="22"/>
    </row>
    <row r="881" spans="1:8">
      <c r="A881" s="21"/>
      <c r="B881" s="22"/>
      <c r="C881" s="22"/>
      <c r="D881" s="22"/>
      <c r="E881" s="23" t="str">
        <f>IF($D881="","",IFERROR(VLOOKUP($D881,'SAMA Consumables Tracker'!$A:$H,8,FALSE()),""))</f>
        <v/>
      </c>
      <c r="F881" s="24"/>
      <c r="G881" s="25" t="str">
        <f>IF($D881="","",IFERROR(VLOOKUP($D881,'SAMA Consumables Tracker'!$A:$D,4,FALSE()),""))</f>
        <v/>
      </c>
      <c r="H881" s="22"/>
    </row>
    <row r="882" spans="1:8">
      <c r="A882" s="21"/>
      <c r="B882" s="22"/>
      <c r="C882" s="22"/>
      <c r="D882" s="22"/>
      <c r="E882" s="23" t="str">
        <f>IF($D882="","",IFERROR(VLOOKUP($D882,'SAMA Consumables Tracker'!$A:$H,8,FALSE()),""))</f>
        <v/>
      </c>
      <c r="F882" s="24"/>
      <c r="G882" s="25" t="str">
        <f>IF($D882="","",IFERROR(VLOOKUP($D882,'SAMA Consumables Tracker'!$A:$D,4,FALSE()),""))</f>
        <v/>
      </c>
      <c r="H882" s="22"/>
    </row>
    <row r="883" spans="1:8">
      <c r="A883" s="21"/>
      <c r="B883" s="22"/>
      <c r="C883" s="22"/>
      <c r="D883" s="22"/>
      <c r="E883" s="23" t="str">
        <f>IF($D883="","",IFERROR(VLOOKUP($D883,'SAMA Consumables Tracker'!$A:$H,8,FALSE()),""))</f>
        <v/>
      </c>
      <c r="F883" s="24"/>
      <c r="G883" s="25" t="str">
        <f>IF($D883="","",IFERROR(VLOOKUP($D883,'SAMA Consumables Tracker'!$A:$D,4,FALSE()),""))</f>
        <v/>
      </c>
      <c r="H883" s="22"/>
    </row>
    <row r="884" spans="1:8">
      <c r="A884" s="21"/>
      <c r="B884" s="22"/>
      <c r="C884" s="22"/>
      <c r="D884" s="22"/>
      <c r="E884" s="23" t="str">
        <f>IF($D884="","",IFERROR(VLOOKUP($D884,'SAMA Consumables Tracker'!$A:$H,8,FALSE()),""))</f>
        <v/>
      </c>
      <c r="F884" s="24"/>
      <c r="G884" s="25" t="str">
        <f>IF($D884="","",IFERROR(VLOOKUP($D884,'SAMA Consumables Tracker'!$A:$D,4,FALSE()),""))</f>
        <v/>
      </c>
      <c r="H884" s="22"/>
    </row>
    <row r="885" spans="1:8">
      <c r="A885" s="21"/>
      <c r="B885" s="22"/>
      <c r="C885" s="22"/>
      <c r="D885" s="22"/>
      <c r="E885" s="23" t="str">
        <f>IF($D885="","",IFERROR(VLOOKUP($D885,'SAMA Consumables Tracker'!$A:$H,8,FALSE()),""))</f>
        <v/>
      </c>
      <c r="F885" s="24"/>
      <c r="G885" s="25" t="str">
        <f>IF($D885="","",IFERROR(VLOOKUP($D885,'SAMA Consumables Tracker'!$A:$D,4,FALSE()),""))</f>
        <v/>
      </c>
      <c r="H885" s="22"/>
    </row>
    <row r="886" spans="1:8">
      <c r="A886" s="21"/>
      <c r="B886" s="22"/>
      <c r="C886" s="22"/>
      <c r="D886" s="22"/>
      <c r="E886" s="23" t="str">
        <f>IF($D886="","",IFERROR(VLOOKUP($D886,'SAMA Consumables Tracker'!$A:$H,8,FALSE()),""))</f>
        <v/>
      </c>
      <c r="F886" s="24"/>
      <c r="G886" s="25" t="str">
        <f>IF($D886="","",IFERROR(VLOOKUP($D886,'SAMA Consumables Tracker'!$A:$D,4,FALSE()),""))</f>
        <v/>
      </c>
      <c r="H886" s="22"/>
    </row>
    <row r="887" spans="1:8">
      <c r="A887" s="21"/>
      <c r="B887" s="22"/>
      <c r="C887" s="22"/>
      <c r="D887" s="22"/>
      <c r="E887" s="23" t="str">
        <f>IF($D887="","",IFERROR(VLOOKUP($D887,'SAMA Consumables Tracker'!$A:$H,8,FALSE()),""))</f>
        <v/>
      </c>
      <c r="F887" s="24"/>
      <c r="G887" s="25" t="str">
        <f>IF($D887="","",IFERROR(VLOOKUP($D887,'SAMA Consumables Tracker'!$A:$D,4,FALSE()),""))</f>
        <v/>
      </c>
      <c r="H887" s="22"/>
    </row>
    <row r="888" spans="1:8">
      <c r="A888" s="21"/>
      <c r="B888" s="22"/>
      <c r="C888" s="22"/>
      <c r="D888" s="22"/>
      <c r="E888" s="23" t="str">
        <f>IF($D888="","",IFERROR(VLOOKUP($D888,'SAMA Consumables Tracker'!$A:$H,8,FALSE()),""))</f>
        <v/>
      </c>
      <c r="F888" s="24"/>
      <c r="G888" s="25" t="str">
        <f>IF($D888="","",IFERROR(VLOOKUP($D888,'SAMA Consumables Tracker'!$A:$D,4,FALSE()),""))</f>
        <v/>
      </c>
      <c r="H888" s="22"/>
    </row>
    <row r="889" spans="1:8">
      <c r="A889" s="21"/>
      <c r="B889" s="22"/>
      <c r="C889" s="22"/>
      <c r="D889" s="22"/>
      <c r="E889" s="23" t="str">
        <f>IF($D889="","",IFERROR(VLOOKUP($D889,'SAMA Consumables Tracker'!$A:$H,8,FALSE()),""))</f>
        <v/>
      </c>
      <c r="F889" s="24"/>
      <c r="G889" s="25" t="str">
        <f>IF($D889="","",IFERROR(VLOOKUP($D889,'SAMA Consumables Tracker'!$A:$D,4,FALSE()),""))</f>
        <v/>
      </c>
      <c r="H889" s="22"/>
    </row>
    <row r="890" spans="1:8">
      <c r="A890" s="21"/>
      <c r="B890" s="22"/>
      <c r="C890" s="22"/>
      <c r="D890" s="22"/>
      <c r="E890" s="23" t="str">
        <f>IF($D890="","",IFERROR(VLOOKUP($D890,'SAMA Consumables Tracker'!$A:$H,8,FALSE()),""))</f>
        <v/>
      </c>
      <c r="F890" s="24"/>
      <c r="G890" s="25" t="str">
        <f>IF($D890="","",IFERROR(VLOOKUP($D890,'SAMA Consumables Tracker'!$A:$D,4,FALSE()),""))</f>
        <v/>
      </c>
      <c r="H890" s="22"/>
    </row>
    <row r="891" spans="1:8">
      <c r="A891" s="21"/>
      <c r="B891" s="22"/>
      <c r="C891" s="22"/>
      <c r="D891" s="22"/>
      <c r="E891" s="23" t="str">
        <f>IF($D891="","",IFERROR(VLOOKUP($D891,'SAMA Consumables Tracker'!$A:$H,8,FALSE()),""))</f>
        <v/>
      </c>
      <c r="F891" s="24"/>
      <c r="G891" s="25" t="str">
        <f>IF($D891="","",IFERROR(VLOOKUP($D891,'SAMA Consumables Tracker'!$A:$D,4,FALSE()),""))</f>
        <v/>
      </c>
      <c r="H891" s="22"/>
    </row>
    <row r="892" spans="1:8">
      <c r="A892" s="21"/>
      <c r="B892" s="22"/>
      <c r="C892" s="22"/>
      <c r="D892" s="22"/>
      <c r="E892" s="23" t="str">
        <f>IF($D892="","",IFERROR(VLOOKUP($D892,'SAMA Consumables Tracker'!$A:$H,8,FALSE()),""))</f>
        <v/>
      </c>
      <c r="F892" s="24"/>
      <c r="G892" s="25" t="str">
        <f>IF($D892="","",IFERROR(VLOOKUP($D892,'SAMA Consumables Tracker'!$A:$D,4,FALSE()),""))</f>
        <v/>
      </c>
      <c r="H892" s="22"/>
    </row>
    <row r="893" spans="1:8">
      <c r="A893" s="21"/>
      <c r="B893" s="22"/>
      <c r="C893" s="22"/>
      <c r="D893" s="22"/>
      <c r="E893" s="23" t="str">
        <f>IF($D893="","",IFERROR(VLOOKUP($D893,'SAMA Consumables Tracker'!$A:$H,8,FALSE()),""))</f>
        <v/>
      </c>
      <c r="F893" s="24"/>
      <c r="G893" s="25" t="str">
        <f>IF($D893="","",IFERROR(VLOOKUP($D893,'SAMA Consumables Tracker'!$A:$D,4,FALSE()),""))</f>
        <v/>
      </c>
      <c r="H893" s="22"/>
    </row>
    <row r="894" spans="1:8">
      <c r="A894" s="21"/>
      <c r="B894" s="22"/>
      <c r="C894" s="22"/>
      <c r="D894" s="22"/>
      <c r="E894" s="23" t="str">
        <f>IF($D894="","",IFERROR(VLOOKUP($D894,'SAMA Consumables Tracker'!$A:$H,8,FALSE()),""))</f>
        <v/>
      </c>
      <c r="F894" s="24"/>
      <c r="G894" s="25" t="str">
        <f>IF($D894="","",IFERROR(VLOOKUP($D894,'SAMA Consumables Tracker'!$A:$D,4,FALSE()),""))</f>
        <v/>
      </c>
      <c r="H894" s="22"/>
    </row>
    <row r="895" spans="1:8">
      <c r="A895" s="21"/>
      <c r="B895" s="22"/>
      <c r="C895" s="22"/>
      <c r="D895" s="22"/>
      <c r="E895" s="23" t="str">
        <f>IF($D895="","",IFERROR(VLOOKUP($D895,'SAMA Consumables Tracker'!$A:$H,8,FALSE()),""))</f>
        <v/>
      </c>
      <c r="F895" s="24"/>
      <c r="G895" s="25" t="str">
        <f>IF($D895="","",IFERROR(VLOOKUP($D895,'SAMA Consumables Tracker'!$A:$D,4,FALSE()),""))</f>
        <v/>
      </c>
      <c r="H895" s="22"/>
    </row>
    <row r="896" spans="1:8">
      <c r="A896" s="21"/>
      <c r="B896" s="22"/>
      <c r="C896" s="22"/>
      <c r="D896" s="22"/>
      <c r="E896" s="23" t="str">
        <f>IF($D896="","",IFERROR(VLOOKUP($D896,'SAMA Consumables Tracker'!$A:$H,8,FALSE()),""))</f>
        <v/>
      </c>
      <c r="F896" s="24"/>
      <c r="G896" s="25" t="str">
        <f>IF($D896="","",IFERROR(VLOOKUP($D896,'SAMA Consumables Tracker'!$A:$D,4,FALSE()),""))</f>
        <v/>
      </c>
      <c r="H896" s="22"/>
    </row>
    <row r="897" spans="1:8">
      <c r="A897" s="21"/>
      <c r="B897" s="22"/>
      <c r="C897" s="22"/>
      <c r="D897" s="22"/>
      <c r="E897" s="23" t="str">
        <f>IF($D897="","",IFERROR(VLOOKUP($D897,'SAMA Consumables Tracker'!$A:$H,8,FALSE()),""))</f>
        <v/>
      </c>
      <c r="F897" s="24"/>
      <c r="G897" s="25" t="str">
        <f>IF($D897="","",IFERROR(VLOOKUP($D897,'SAMA Consumables Tracker'!$A:$D,4,FALSE()),""))</f>
        <v/>
      </c>
      <c r="H897" s="22"/>
    </row>
    <row r="898" spans="1:8">
      <c r="A898" s="21"/>
      <c r="B898" s="22"/>
      <c r="C898" s="22"/>
      <c r="D898" s="22"/>
      <c r="E898" s="23" t="str">
        <f>IF($D898="","",IFERROR(VLOOKUP($D898,'SAMA Consumables Tracker'!$A:$H,8,FALSE()),""))</f>
        <v/>
      </c>
      <c r="F898" s="24"/>
      <c r="G898" s="25" t="str">
        <f>IF($D898="","",IFERROR(VLOOKUP($D898,'SAMA Consumables Tracker'!$A:$D,4,FALSE()),""))</f>
        <v/>
      </c>
      <c r="H898" s="22"/>
    </row>
    <row r="899" spans="1:8">
      <c r="A899" s="21"/>
      <c r="B899" s="22"/>
      <c r="C899" s="22"/>
      <c r="D899" s="22"/>
      <c r="E899" s="23" t="str">
        <f>IF($D899="","",IFERROR(VLOOKUP($D899,'SAMA Consumables Tracker'!$A:$H,8,FALSE()),""))</f>
        <v/>
      </c>
      <c r="F899" s="24"/>
      <c r="G899" s="25" t="str">
        <f>IF($D899="","",IFERROR(VLOOKUP($D899,'SAMA Consumables Tracker'!$A:$D,4,FALSE()),""))</f>
        <v/>
      </c>
      <c r="H899" s="22"/>
    </row>
    <row r="900" spans="1:8">
      <c r="A900" s="21"/>
      <c r="B900" s="22"/>
      <c r="C900" s="22"/>
      <c r="D900" s="22"/>
      <c r="E900" s="23" t="str">
        <f>IF($D900="","",IFERROR(VLOOKUP($D900,'SAMA Consumables Tracker'!$A:$H,8,FALSE()),""))</f>
        <v/>
      </c>
      <c r="F900" s="24"/>
      <c r="G900" s="25" t="str">
        <f>IF($D900="","",IFERROR(VLOOKUP($D900,'SAMA Consumables Tracker'!$A:$D,4,FALSE()),""))</f>
        <v/>
      </c>
      <c r="H900" s="22"/>
    </row>
    <row r="901" spans="1:8">
      <c r="A901" s="21"/>
      <c r="B901" s="22"/>
      <c r="C901" s="22"/>
      <c r="D901" s="22"/>
      <c r="E901" s="23" t="str">
        <f>IF($D901="","",IFERROR(VLOOKUP($D901,'SAMA Consumables Tracker'!$A:$H,8,FALSE()),""))</f>
        <v/>
      </c>
      <c r="F901" s="24"/>
      <c r="G901" s="25" t="str">
        <f>IF($D901="","",IFERROR(VLOOKUP($D901,'SAMA Consumables Tracker'!$A:$D,4,FALSE()),""))</f>
        <v/>
      </c>
      <c r="H901" s="22"/>
    </row>
    <row r="902" spans="1:8">
      <c r="A902" s="21"/>
      <c r="B902" s="22"/>
      <c r="C902" s="22"/>
      <c r="D902" s="22"/>
      <c r="E902" s="23" t="str">
        <f>IF($D902="","",IFERROR(VLOOKUP($D902,'SAMA Consumables Tracker'!$A:$H,8,FALSE()),""))</f>
        <v/>
      </c>
      <c r="F902" s="24"/>
      <c r="G902" s="25" t="str">
        <f>IF($D902="","",IFERROR(VLOOKUP($D902,'SAMA Consumables Tracker'!$A:$D,4,FALSE()),""))</f>
        <v/>
      </c>
      <c r="H902" s="22"/>
    </row>
    <row r="903" spans="1:8">
      <c r="A903" s="21"/>
      <c r="B903" s="22"/>
      <c r="C903" s="22"/>
      <c r="D903" s="22"/>
      <c r="E903" s="23" t="str">
        <f>IF($D903="","",IFERROR(VLOOKUP($D903,'SAMA Consumables Tracker'!$A:$H,8,FALSE()),""))</f>
        <v/>
      </c>
      <c r="F903" s="24"/>
      <c r="G903" s="25" t="str">
        <f>IF($D903="","",IFERROR(VLOOKUP($D903,'SAMA Consumables Tracker'!$A:$D,4,FALSE()),""))</f>
        <v/>
      </c>
      <c r="H903" s="22"/>
    </row>
    <row r="904" spans="1:8">
      <c r="A904" s="21"/>
      <c r="B904" s="22"/>
      <c r="C904" s="22"/>
      <c r="D904" s="22"/>
      <c r="E904" s="23" t="str">
        <f>IF($D904="","",IFERROR(VLOOKUP($D904,'SAMA Consumables Tracker'!$A:$H,8,FALSE()),""))</f>
        <v/>
      </c>
      <c r="F904" s="24"/>
      <c r="G904" s="25" t="str">
        <f>IF($D904="","",IFERROR(VLOOKUP($D904,'SAMA Consumables Tracker'!$A:$D,4,FALSE()),""))</f>
        <v/>
      </c>
      <c r="H904" s="22"/>
    </row>
    <row r="905" spans="1:8">
      <c r="A905" s="21"/>
      <c r="B905" s="22"/>
      <c r="C905" s="22"/>
      <c r="D905" s="22"/>
      <c r="E905" s="23" t="str">
        <f>IF($D905="","",IFERROR(VLOOKUP($D905,'SAMA Consumables Tracker'!$A:$H,8,FALSE()),""))</f>
        <v/>
      </c>
      <c r="F905" s="24"/>
      <c r="G905" s="25" t="str">
        <f>IF($D905="","",IFERROR(VLOOKUP($D905,'SAMA Consumables Tracker'!$A:$D,4,FALSE()),""))</f>
        <v/>
      </c>
      <c r="H905" s="22"/>
    </row>
    <row r="906" spans="1:8">
      <c r="A906" s="21"/>
      <c r="B906" s="22"/>
      <c r="C906" s="22"/>
      <c r="D906" s="22"/>
      <c r="E906" s="23" t="str">
        <f>IF($D906="","",IFERROR(VLOOKUP($D906,'SAMA Consumables Tracker'!$A:$H,8,FALSE()),""))</f>
        <v/>
      </c>
      <c r="F906" s="24"/>
      <c r="G906" s="25" t="str">
        <f>IF($D906="","",IFERROR(VLOOKUP($D906,'SAMA Consumables Tracker'!$A:$D,4,FALSE()),""))</f>
        <v/>
      </c>
      <c r="H906" s="22"/>
    </row>
    <row r="907" spans="1:8">
      <c r="A907" s="21"/>
      <c r="B907" s="22"/>
      <c r="C907" s="22"/>
      <c r="D907" s="22"/>
      <c r="E907" s="23" t="str">
        <f>IF($D907="","",IFERROR(VLOOKUP($D907,'SAMA Consumables Tracker'!$A:$H,8,FALSE()),""))</f>
        <v/>
      </c>
      <c r="F907" s="24"/>
      <c r="G907" s="25" t="str">
        <f>IF($D907="","",IFERROR(VLOOKUP($D907,'SAMA Consumables Tracker'!$A:$D,4,FALSE()),""))</f>
        <v/>
      </c>
      <c r="H907" s="22"/>
    </row>
    <row r="908" spans="1:8">
      <c r="A908" s="21"/>
      <c r="B908" s="22"/>
      <c r="C908" s="22"/>
      <c r="D908" s="22"/>
      <c r="E908" s="23" t="str">
        <f>IF($D908="","",IFERROR(VLOOKUP($D908,'SAMA Consumables Tracker'!$A:$H,8,FALSE()),""))</f>
        <v/>
      </c>
      <c r="F908" s="24"/>
      <c r="G908" s="25" t="str">
        <f>IF($D908="","",IFERROR(VLOOKUP($D908,'SAMA Consumables Tracker'!$A:$D,4,FALSE()),""))</f>
        <v/>
      </c>
      <c r="H908" s="22"/>
    </row>
    <row r="909" spans="1:8">
      <c r="A909" s="21"/>
      <c r="B909" s="22"/>
      <c r="C909" s="22"/>
      <c r="D909" s="22"/>
      <c r="E909" s="23" t="str">
        <f>IF($D909="","",IFERROR(VLOOKUP($D909,'SAMA Consumables Tracker'!$A:$H,8,FALSE()),""))</f>
        <v/>
      </c>
      <c r="F909" s="24"/>
      <c r="G909" s="25" t="str">
        <f>IF($D909="","",IFERROR(VLOOKUP($D909,'SAMA Consumables Tracker'!$A:$D,4,FALSE()),""))</f>
        <v/>
      </c>
      <c r="H909" s="22"/>
    </row>
    <row r="910" spans="1:8">
      <c r="A910" s="21"/>
      <c r="B910" s="22"/>
      <c r="C910" s="22"/>
      <c r="D910" s="22"/>
      <c r="E910" s="23" t="str">
        <f>IF($D910="","",IFERROR(VLOOKUP($D910,'SAMA Consumables Tracker'!$A:$H,8,FALSE()),""))</f>
        <v/>
      </c>
      <c r="F910" s="24"/>
      <c r="G910" s="25" t="str">
        <f>IF($D910="","",IFERROR(VLOOKUP($D910,'SAMA Consumables Tracker'!$A:$D,4,FALSE()),""))</f>
        <v/>
      </c>
      <c r="H910" s="22"/>
    </row>
    <row r="911" spans="1:8">
      <c r="A911" s="21"/>
      <c r="B911" s="22"/>
      <c r="C911" s="22"/>
      <c r="D911" s="22"/>
      <c r="E911" s="23" t="str">
        <f>IF($D911="","",IFERROR(VLOOKUP($D911,'SAMA Consumables Tracker'!$A:$H,8,FALSE()),""))</f>
        <v/>
      </c>
      <c r="F911" s="24"/>
      <c r="G911" s="25" t="str">
        <f>IF($D911="","",IFERROR(VLOOKUP($D911,'SAMA Consumables Tracker'!$A:$D,4,FALSE()),""))</f>
        <v/>
      </c>
      <c r="H911" s="22"/>
    </row>
    <row r="912" spans="1:8">
      <c r="A912" s="21"/>
      <c r="B912" s="22"/>
      <c r="C912" s="22"/>
      <c r="D912" s="22"/>
      <c r="E912" s="23" t="str">
        <f>IF($D912="","",IFERROR(VLOOKUP($D912,'SAMA Consumables Tracker'!$A:$H,8,FALSE()),""))</f>
        <v/>
      </c>
      <c r="F912" s="24"/>
      <c r="G912" s="25" t="str">
        <f>IF($D912="","",IFERROR(VLOOKUP($D912,'SAMA Consumables Tracker'!$A:$D,4,FALSE()),""))</f>
        <v/>
      </c>
      <c r="H912" s="22"/>
    </row>
    <row r="913" spans="1:8">
      <c r="A913" s="21"/>
      <c r="B913" s="22"/>
      <c r="C913" s="22"/>
      <c r="D913" s="22"/>
      <c r="E913" s="23" t="str">
        <f>IF($D913="","",IFERROR(VLOOKUP($D913,'SAMA Consumables Tracker'!$A:$H,8,FALSE()),""))</f>
        <v/>
      </c>
      <c r="F913" s="24"/>
      <c r="G913" s="25" t="str">
        <f>IF($D913="","",IFERROR(VLOOKUP($D913,'SAMA Consumables Tracker'!$A:$D,4,FALSE()),""))</f>
        <v/>
      </c>
      <c r="H913" s="22"/>
    </row>
    <row r="914" spans="1:8">
      <c r="A914" s="21"/>
      <c r="B914" s="22"/>
      <c r="C914" s="22"/>
      <c r="D914" s="22"/>
      <c r="E914" s="23" t="str">
        <f>IF($D914="","",IFERROR(VLOOKUP($D914,'SAMA Consumables Tracker'!$A:$H,8,FALSE()),""))</f>
        <v/>
      </c>
      <c r="F914" s="24"/>
      <c r="G914" s="25" t="str">
        <f>IF($D914="","",IFERROR(VLOOKUP($D914,'SAMA Consumables Tracker'!$A:$D,4,FALSE()),""))</f>
        <v/>
      </c>
      <c r="H914" s="22"/>
    </row>
    <row r="915" spans="1:8">
      <c r="A915" s="21"/>
      <c r="B915" s="22"/>
      <c r="C915" s="22"/>
      <c r="D915" s="22"/>
      <c r="E915" s="23" t="str">
        <f>IF($D915="","",IFERROR(VLOOKUP($D915,'SAMA Consumables Tracker'!$A:$H,8,FALSE()),""))</f>
        <v/>
      </c>
      <c r="F915" s="24"/>
      <c r="G915" s="25" t="str">
        <f>IF($D915="","",IFERROR(VLOOKUP($D915,'SAMA Consumables Tracker'!$A:$D,4,FALSE()),""))</f>
        <v/>
      </c>
      <c r="H915" s="22"/>
    </row>
    <row r="916" spans="1:8">
      <c r="A916" s="21"/>
      <c r="B916" s="22"/>
      <c r="C916" s="22"/>
      <c r="D916" s="22"/>
      <c r="E916" s="23" t="str">
        <f>IF($D916="","",IFERROR(VLOOKUP($D916,'SAMA Consumables Tracker'!$A:$H,8,FALSE()),""))</f>
        <v/>
      </c>
      <c r="F916" s="24"/>
      <c r="G916" s="25" t="str">
        <f>IF($D916="","",IFERROR(VLOOKUP($D916,'SAMA Consumables Tracker'!$A:$D,4,FALSE()),""))</f>
        <v/>
      </c>
      <c r="H916" s="22"/>
    </row>
    <row r="917" spans="1:8">
      <c r="A917" s="21"/>
      <c r="B917" s="22"/>
      <c r="C917" s="22"/>
      <c r="D917" s="22"/>
      <c r="E917" s="23" t="str">
        <f>IF($D917="","",IFERROR(VLOOKUP($D917,'SAMA Consumables Tracker'!$A:$H,8,FALSE()),""))</f>
        <v/>
      </c>
      <c r="F917" s="24"/>
      <c r="G917" s="25" t="str">
        <f>IF($D917="","",IFERROR(VLOOKUP($D917,'SAMA Consumables Tracker'!$A:$D,4,FALSE()),""))</f>
        <v/>
      </c>
      <c r="H917" s="22"/>
    </row>
    <row r="918" spans="1:8">
      <c r="A918" s="21"/>
      <c r="B918" s="22"/>
      <c r="C918" s="22"/>
      <c r="D918" s="22"/>
      <c r="E918" s="23" t="str">
        <f>IF($D918="","",IFERROR(VLOOKUP($D918,'SAMA Consumables Tracker'!$A:$H,8,FALSE()),""))</f>
        <v/>
      </c>
      <c r="F918" s="24"/>
      <c r="G918" s="25" t="str">
        <f>IF($D918="","",IFERROR(VLOOKUP($D918,'SAMA Consumables Tracker'!$A:$D,4,FALSE()),""))</f>
        <v/>
      </c>
      <c r="H918" s="22"/>
    </row>
    <row r="919" spans="1:8">
      <c r="A919" s="21"/>
      <c r="B919" s="22"/>
      <c r="C919" s="22"/>
      <c r="D919" s="22"/>
      <c r="E919" s="23" t="str">
        <f>IF($D919="","",IFERROR(VLOOKUP($D919,'SAMA Consumables Tracker'!$A:$H,8,FALSE()),""))</f>
        <v/>
      </c>
      <c r="F919" s="24"/>
      <c r="G919" s="25" t="str">
        <f>IF($D919="","",IFERROR(VLOOKUP($D919,'SAMA Consumables Tracker'!$A:$D,4,FALSE()),""))</f>
        <v/>
      </c>
      <c r="H919" s="22"/>
    </row>
    <row r="920" spans="1:8">
      <c r="A920" s="21"/>
      <c r="B920" s="22"/>
      <c r="C920" s="22"/>
      <c r="D920" s="22"/>
      <c r="E920" s="23" t="str">
        <f>IF($D920="","",IFERROR(VLOOKUP($D920,'SAMA Consumables Tracker'!$A:$H,8,FALSE()),""))</f>
        <v/>
      </c>
      <c r="F920" s="24"/>
      <c r="G920" s="25" t="str">
        <f>IF($D920="","",IFERROR(VLOOKUP($D920,'SAMA Consumables Tracker'!$A:$D,4,FALSE()),""))</f>
        <v/>
      </c>
      <c r="H920" s="22"/>
    </row>
    <row r="921" spans="1:8">
      <c r="A921" s="21"/>
      <c r="B921" s="22"/>
      <c r="C921" s="22"/>
      <c r="D921" s="22"/>
      <c r="E921" s="23" t="str">
        <f>IF($D921="","",IFERROR(VLOOKUP($D921,'SAMA Consumables Tracker'!$A:$H,8,FALSE()),""))</f>
        <v/>
      </c>
      <c r="F921" s="24"/>
      <c r="G921" s="25" t="str">
        <f>IF($D921="","",IFERROR(VLOOKUP($D921,'SAMA Consumables Tracker'!$A:$D,4,FALSE()),""))</f>
        <v/>
      </c>
      <c r="H921" s="22"/>
    </row>
    <row r="922" spans="1:8">
      <c r="A922" s="21"/>
      <c r="B922" s="22"/>
      <c r="C922" s="22"/>
      <c r="D922" s="22"/>
      <c r="E922" s="23" t="str">
        <f>IF($D922="","",IFERROR(VLOOKUP($D922,'SAMA Consumables Tracker'!$A:$H,8,FALSE()),""))</f>
        <v/>
      </c>
      <c r="F922" s="24"/>
      <c r="G922" s="25" t="str">
        <f>IF($D922="","",IFERROR(VLOOKUP($D922,'SAMA Consumables Tracker'!$A:$D,4,FALSE()),""))</f>
        <v/>
      </c>
      <c r="H922" s="22"/>
    </row>
    <row r="923" spans="1:8">
      <c r="A923" s="21"/>
      <c r="B923" s="22"/>
      <c r="C923" s="22"/>
      <c r="D923" s="22"/>
      <c r="E923" s="23" t="str">
        <f>IF($D923="","",IFERROR(VLOOKUP($D923,'SAMA Consumables Tracker'!$A:$H,8,FALSE()),""))</f>
        <v/>
      </c>
      <c r="F923" s="24"/>
      <c r="G923" s="25" t="str">
        <f>IF($D923="","",IFERROR(VLOOKUP($D923,'SAMA Consumables Tracker'!$A:$D,4,FALSE()),""))</f>
        <v/>
      </c>
      <c r="H923" s="22"/>
    </row>
    <row r="924" spans="1:8">
      <c r="A924" s="21"/>
      <c r="B924" s="22"/>
      <c r="C924" s="22"/>
      <c r="D924" s="22"/>
      <c r="E924" s="23" t="str">
        <f>IF($D924="","",IFERROR(VLOOKUP($D924,'SAMA Consumables Tracker'!$A:$H,8,FALSE()),""))</f>
        <v/>
      </c>
      <c r="F924" s="24"/>
      <c r="G924" s="25" t="str">
        <f>IF($D924="","",IFERROR(VLOOKUP($D924,'SAMA Consumables Tracker'!$A:$D,4,FALSE()),""))</f>
        <v/>
      </c>
      <c r="H924" s="22"/>
    </row>
    <row r="925" spans="1:8">
      <c r="A925" s="21"/>
      <c r="B925" s="22"/>
      <c r="C925" s="22"/>
      <c r="D925" s="22"/>
      <c r="E925" s="23" t="str">
        <f>IF($D925="","",IFERROR(VLOOKUP($D925,'SAMA Consumables Tracker'!$A:$H,8,FALSE()),""))</f>
        <v/>
      </c>
      <c r="F925" s="24"/>
      <c r="G925" s="25" t="str">
        <f>IF($D925="","",IFERROR(VLOOKUP($D925,'SAMA Consumables Tracker'!$A:$D,4,FALSE()),""))</f>
        <v/>
      </c>
      <c r="H925" s="22"/>
    </row>
    <row r="926" spans="1:8">
      <c r="A926" s="21"/>
      <c r="B926" s="22"/>
      <c r="C926" s="22"/>
      <c r="D926" s="22"/>
      <c r="E926" s="23" t="str">
        <f>IF($D926="","",IFERROR(VLOOKUP($D926,'SAMA Consumables Tracker'!$A:$H,8,FALSE()),""))</f>
        <v/>
      </c>
      <c r="F926" s="24"/>
      <c r="G926" s="25" t="str">
        <f>IF($D926="","",IFERROR(VLOOKUP($D926,'SAMA Consumables Tracker'!$A:$D,4,FALSE()),""))</f>
        <v/>
      </c>
      <c r="H926" s="22"/>
    </row>
    <row r="927" spans="1:8">
      <c r="A927" s="21"/>
      <c r="B927" s="22"/>
      <c r="C927" s="22"/>
      <c r="D927" s="22"/>
      <c r="E927" s="23" t="str">
        <f>IF($D927="","",IFERROR(VLOOKUP($D927,'SAMA Consumables Tracker'!$A:$H,8,FALSE()),""))</f>
        <v/>
      </c>
      <c r="F927" s="24"/>
      <c r="G927" s="25" t="str">
        <f>IF($D927="","",IFERROR(VLOOKUP($D927,'SAMA Consumables Tracker'!$A:$D,4,FALSE()),""))</f>
        <v/>
      </c>
      <c r="H927" s="22"/>
    </row>
    <row r="928" spans="1:8">
      <c r="A928" s="21"/>
      <c r="B928" s="22"/>
      <c r="C928" s="22"/>
      <c r="D928" s="22"/>
      <c r="E928" s="23" t="str">
        <f>IF($D928="","",IFERROR(VLOOKUP($D928,'SAMA Consumables Tracker'!$A:$H,8,FALSE()),""))</f>
        <v/>
      </c>
      <c r="F928" s="24"/>
      <c r="G928" s="25" t="str">
        <f>IF($D928="","",IFERROR(VLOOKUP($D928,'SAMA Consumables Tracker'!$A:$D,4,FALSE()),""))</f>
        <v/>
      </c>
      <c r="H928" s="22"/>
    </row>
    <row r="929" spans="1:8">
      <c r="A929" s="21"/>
      <c r="B929" s="22"/>
      <c r="C929" s="22"/>
      <c r="D929" s="22"/>
      <c r="E929" s="23" t="str">
        <f>IF($D929="","",IFERROR(VLOOKUP($D929,'SAMA Consumables Tracker'!$A:$H,8,FALSE()),""))</f>
        <v/>
      </c>
      <c r="F929" s="24"/>
      <c r="G929" s="25" t="str">
        <f>IF($D929="","",IFERROR(VLOOKUP($D929,'SAMA Consumables Tracker'!$A:$D,4,FALSE()),""))</f>
        <v/>
      </c>
      <c r="H929" s="22"/>
    </row>
    <row r="930" spans="1:8">
      <c r="A930" s="21"/>
      <c r="B930" s="22"/>
      <c r="C930" s="22"/>
      <c r="D930" s="22"/>
      <c r="E930" s="23" t="str">
        <f>IF($D930="","",IFERROR(VLOOKUP($D930,'SAMA Consumables Tracker'!$A:$H,8,FALSE()),""))</f>
        <v/>
      </c>
      <c r="F930" s="24"/>
      <c r="G930" s="25" t="str">
        <f>IF($D930="","",IFERROR(VLOOKUP($D930,'SAMA Consumables Tracker'!$A:$D,4,FALSE()),""))</f>
        <v/>
      </c>
      <c r="H930" s="22"/>
    </row>
    <row r="931" spans="1:8">
      <c r="A931" s="21"/>
      <c r="B931" s="22"/>
      <c r="C931" s="22"/>
      <c r="D931" s="22"/>
      <c r="E931" s="23" t="str">
        <f>IF($D931="","",IFERROR(VLOOKUP($D931,'SAMA Consumables Tracker'!$A:$H,8,FALSE()),""))</f>
        <v/>
      </c>
      <c r="F931" s="24"/>
      <c r="G931" s="25" t="str">
        <f>IF($D931="","",IFERROR(VLOOKUP($D931,'SAMA Consumables Tracker'!$A:$D,4,FALSE()),""))</f>
        <v/>
      </c>
      <c r="H931" s="22"/>
    </row>
    <row r="932" spans="1:8">
      <c r="A932" s="21"/>
      <c r="B932" s="22"/>
      <c r="C932" s="22"/>
      <c r="D932" s="22"/>
      <c r="E932" s="23" t="str">
        <f>IF($D932="","",IFERROR(VLOOKUP($D932,'SAMA Consumables Tracker'!$A:$H,8,FALSE()),""))</f>
        <v/>
      </c>
      <c r="F932" s="24"/>
      <c r="G932" s="25" t="str">
        <f>IF($D932="","",IFERROR(VLOOKUP($D932,'SAMA Consumables Tracker'!$A:$D,4,FALSE()),""))</f>
        <v/>
      </c>
      <c r="H932" s="22"/>
    </row>
    <row r="933" spans="1:8">
      <c r="A933" s="21"/>
      <c r="B933" s="22"/>
      <c r="C933" s="22"/>
      <c r="D933" s="22"/>
      <c r="E933" s="23" t="str">
        <f>IF($D933="","",IFERROR(VLOOKUP($D933,'SAMA Consumables Tracker'!$A:$H,8,FALSE()),""))</f>
        <v/>
      </c>
      <c r="F933" s="24"/>
      <c r="G933" s="25" t="str">
        <f>IF($D933="","",IFERROR(VLOOKUP($D933,'SAMA Consumables Tracker'!$A:$D,4,FALSE()),""))</f>
        <v/>
      </c>
      <c r="H933" s="22"/>
    </row>
    <row r="934" spans="1:8">
      <c r="A934" s="21"/>
      <c r="B934" s="22"/>
      <c r="C934" s="22"/>
      <c r="D934" s="22"/>
      <c r="E934" s="23" t="str">
        <f>IF($D934="","",IFERROR(VLOOKUP($D934,'SAMA Consumables Tracker'!$A:$H,8,FALSE()),""))</f>
        <v/>
      </c>
      <c r="F934" s="24"/>
      <c r="G934" s="25" t="str">
        <f>IF($D934="","",IFERROR(VLOOKUP($D934,'SAMA Consumables Tracker'!$A:$D,4,FALSE()),""))</f>
        <v/>
      </c>
      <c r="H934" s="22"/>
    </row>
    <row r="935" spans="1:8">
      <c r="A935" s="21"/>
      <c r="B935" s="22"/>
      <c r="C935" s="22"/>
      <c r="D935" s="22"/>
      <c r="E935" s="23" t="str">
        <f>IF($D935="","",IFERROR(VLOOKUP($D935,'SAMA Consumables Tracker'!$A:$H,8,FALSE()),""))</f>
        <v/>
      </c>
      <c r="F935" s="24"/>
      <c r="G935" s="25" t="str">
        <f>IF($D935="","",IFERROR(VLOOKUP($D935,'SAMA Consumables Tracker'!$A:$D,4,FALSE()),""))</f>
        <v/>
      </c>
      <c r="H935" s="22"/>
    </row>
    <row r="936" spans="1:8">
      <c r="A936" s="21"/>
      <c r="B936" s="22"/>
      <c r="C936" s="22"/>
      <c r="D936" s="22"/>
      <c r="E936" s="23" t="str">
        <f>IF($D936="","",IFERROR(VLOOKUP($D936,'SAMA Consumables Tracker'!$A:$H,8,FALSE()),""))</f>
        <v/>
      </c>
      <c r="F936" s="24"/>
      <c r="G936" s="25" t="str">
        <f>IF($D936="","",IFERROR(VLOOKUP($D936,'SAMA Consumables Tracker'!$A:$D,4,FALSE()),""))</f>
        <v/>
      </c>
      <c r="H936" s="22"/>
    </row>
    <row r="937" spans="1:8">
      <c r="A937" s="21"/>
      <c r="B937" s="22"/>
      <c r="C937" s="22"/>
      <c r="D937" s="22"/>
      <c r="E937" s="23" t="str">
        <f>IF($D937="","",IFERROR(VLOOKUP($D937,'SAMA Consumables Tracker'!$A:$H,8,FALSE()),""))</f>
        <v/>
      </c>
      <c r="F937" s="24"/>
      <c r="G937" s="25" t="str">
        <f>IF($D937="","",IFERROR(VLOOKUP($D937,'SAMA Consumables Tracker'!$A:$D,4,FALSE()),""))</f>
        <v/>
      </c>
      <c r="H937" s="22"/>
    </row>
    <row r="938" spans="1:8">
      <c r="A938" s="21"/>
      <c r="B938" s="22"/>
      <c r="C938" s="22"/>
      <c r="D938" s="22"/>
      <c r="E938" s="23" t="str">
        <f>IF($D938="","",IFERROR(VLOOKUP($D938,'SAMA Consumables Tracker'!$A:$H,8,FALSE()),""))</f>
        <v/>
      </c>
      <c r="F938" s="24"/>
      <c r="G938" s="25" t="str">
        <f>IF($D938="","",IFERROR(VLOOKUP($D938,'SAMA Consumables Tracker'!$A:$D,4,FALSE()),""))</f>
        <v/>
      </c>
      <c r="H938" s="22"/>
    </row>
    <row r="939" spans="1:8">
      <c r="A939" s="21"/>
      <c r="B939" s="22"/>
      <c r="C939" s="22"/>
      <c r="D939" s="22"/>
      <c r="E939" s="23" t="str">
        <f>IF($D939="","",IFERROR(VLOOKUP($D939,'SAMA Consumables Tracker'!$A:$H,8,FALSE()),""))</f>
        <v/>
      </c>
      <c r="F939" s="24"/>
      <c r="G939" s="25" t="str">
        <f>IF($D939="","",IFERROR(VLOOKUP($D939,'SAMA Consumables Tracker'!$A:$D,4,FALSE()),""))</f>
        <v/>
      </c>
      <c r="H939" s="22"/>
    </row>
    <row r="940" spans="1:8">
      <c r="A940" s="21"/>
      <c r="B940" s="22"/>
      <c r="C940" s="22"/>
      <c r="D940" s="22"/>
      <c r="E940" s="23" t="str">
        <f>IF($D940="","",IFERROR(VLOOKUP($D940,'SAMA Consumables Tracker'!$A:$H,8,FALSE()),""))</f>
        <v/>
      </c>
      <c r="F940" s="24"/>
      <c r="G940" s="25" t="str">
        <f>IF($D940="","",IFERROR(VLOOKUP($D940,'SAMA Consumables Tracker'!$A:$D,4,FALSE()),""))</f>
        <v/>
      </c>
      <c r="H940" s="22"/>
    </row>
    <row r="941" spans="1:8">
      <c r="A941" s="21"/>
      <c r="B941" s="22"/>
      <c r="C941" s="22"/>
      <c r="D941" s="22"/>
      <c r="E941" s="23" t="str">
        <f>IF($D941="","",IFERROR(VLOOKUP($D941,'SAMA Consumables Tracker'!$A:$H,8,FALSE()),""))</f>
        <v/>
      </c>
      <c r="F941" s="24"/>
      <c r="G941" s="25" t="str">
        <f>IF($D941="","",IFERROR(VLOOKUP($D941,'SAMA Consumables Tracker'!$A:$D,4,FALSE()),""))</f>
        <v/>
      </c>
      <c r="H941" s="22"/>
    </row>
    <row r="942" spans="1:8">
      <c r="A942" s="21"/>
      <c r="B942" s="22"/>
      <c r="C942" s="22"/>
      <c r="D942" s="22"/>
      <c r="E942" s="23" t="str">
        <f>IF($D942="","",IFERROR(VLOOKUP($D942,'SAMA Consumables Tracker'!$A:$H,8,FALSE()),""))</f>
        <v/>
      </c>
      <c r="F942" s="24"/>
      <c r="G942" s="25" t="str">
        <f>IF($D942="","",IFERROR(VLOOKUP($D942,'SAMA Consumables Tracker'!$A:$D,4,FALSE()),""))</f>
        <v/>
      </c>
      <c r="H942" s="22"/>
    </row>
    <row r="943" spans="1:8">
      <c r="A943" s="21"/>
      <c r="B943" s="22"/>
      <c r="C943" s="22"/>
      <c r="D943" s="22"/>
      <c r="E943" s="23" t="str">
        <f>IF($D943="","",IFERROR(VLOOKUP($D943,'SAMA Consumables Tracker'!$A:$H,8,FALSE()),""))</f>
        <v/>
      </c>
      <c r="F943" s="24"/>
      <c r="G943" s="25" t="str">
        <f>IF($D943="","",IFERROR(VLOOKUP($D943,'SAMA Consumables Tracker'!$A:$D,4,FALSE()),""))</f>
        <v/>
      </c>
      <c r="H943" s="22"/>
    </row>
    <row r="944" spans="1:8">
      <c r="A944" s="21"/>
      <c r="B944" s="22"/>
      <c r="C944" s="22"/>
      <c r="D944" s="22"/>
      <c r="E944" s="23" t="str">
        <f>IF($D944="","",IFERROR(VLOOKUP($D944,'SAMA Consumables Tracker'!$A:$H,8,FALSE()),""))</f>
        <v/>
      </c>
      <c r="F944" s="24"/>
      <c r="G944" s="25" t="str">
        <f>IF($D944="","",IFERROR(VLOOKUP($D944,'SAMA Consumables Tracker'!$A:$D,4,FALSE()),""))</f>
        <v/>
      </c>
      <c r="H944" s="22"/>
    </row>
    <row r="945" spans="1:8">
      <c r="A945" s="21"/>
      <c r="B945" s="22"/>
      <c r="C945" s="22"/>
      <c r="D945" s="22"/>
      <c r="E945" s="23" t="str">
        <f>IF($D945="","",IFERROR(VLOOKUP($D945,'SAMA Consumables Tracker'!$A:$H,8,FALSE()),""))</f>
        <v/>
      </c>
      <c r="F945" s="24"/>
      <c r="G945" s="25" t="str">
        <f>IF($D945="","",IFERROR(VLOOKUP($D945,'SAMA Consumables Tracker'!$A:$D,4,FALSE()),""))</f>
        <v/>
      </c>
      <c r="H945" s="22"/>
    </row>
    <row r="946" spans="1:8">
      <c r="A946" s="21"/>
      <c r="B946" s="22"/>
      <c r="C946" s="22"/>
      <c r="D946" s="22"/>
      <c r="E946" s="23" t="str">
        <f>IF($D946="","",IFERROR(VLOOKUP($D946,'SAMA Consumables Tracker'!$A:$H,8,FALSE()),""))</f>
        <v/>
      </c>
      <c r="F946" s="24"/>
      <c r="G946" s="25" t="str">
        <f>IF($D946="","",IFERROR(VLOOKUP($D946,'SAMA Consumables Tracker'!$A:$D,4,FALSE()),""))</f>
        <v/>
      </c>
      <c r="H946" s="22"/>
    </row>
    <row r="947" spans="1:8">
      <c r="A947" s="21"/>
      <c r="B947" s="22"/>
      <c r="C947" s="22"/>
      <c r="D947" s="22"/>
      <c r="E947" s="23" t="str">
        <f>IF($D947="","",IFERROR(VLOOKUP($D947,'SAMA Consumables Tracker'!$A:$H,8,FALSE()),""))</f>
        <v/>
      </c>
      <c r="F947" s="24"/>
      <c r="G947" s="25" t="str">
        <f>IF($D947="","",IFERROR(VLOOKUP($D947,'SAMA Consumables Tracker'!$A:$D,4,FALSE()),""))</f>
        <v/>
      </c>
      <c r="H947" s="22"/>
    </row>
    <row r="948" spans="1:8">
      <c r="A948" s="21"/>
      <c r="B948" s="22"/>
      <c r="C948" s="22"/>
      <c r="D948" s="22"/>
      <c r="E948" s="23" t="str">
        <f>IF($D948="","",IFERROR(VLOOKUP($D948,'SAMA Consumables Tracker'!$A:$H,8,FALSE()),""))</f>
        <v/>
      </c>
      <c r="F948" s="24"/>
      <c r="G948" s="25" t="str">
        <f>IF($D948="","",IFERROR(VLOOKUP($D948,'SAMA Consumables Tracker'!$A:$D,4,FALSE()),""))</f>
        <v/>
      </c>
      <c r="H948" s="22"/>
    </row>
    <row r="949" spans="1:8">
      <c r="A949" s="21"/>
      <c r="B949" s="22"/>
      <c r="C949" s="22"/>
      <c r="D949" s="22"/>
      <c r="E949" s="23" t="str">
        <f>IF($D949="","",IFERROR(VLOOKUP($D949,'SAMA Consumables Tracker'!$A:$H,8,FALSE()),""))</f>
        <v/>
      </c>
      <c r="F949" s="24"/>
      <c r="G949" s="25" t="str">
        <f>IF($D949="","",IFERROR(VLOOKUP($D949,'SAMA Consumables Tracker'!$A:$D,4,FALSE()),""))</f>
        <v/>
      </c>
      <c r="H949" s="22"/>
    </row>
    <row r="950" spans="1:8">
      <c r="A950" s="21"/>
      <c r="B950" s="22"/>
      <c r="C950" s="22"/>
      <c r="D950" s="22"/>
      <c r="E950" s="23" t="str">
        <f>IF($D950="","",IFERROR(VLOOKUP($D950,'SAMA Consumables Tracker'!$A:$H,8,FALSE()),""))</f>
        <v/>
      </c>
      <c r="F950" s="24"/>
      <c r="G950" s="25" t="str">
        <f>IF($D950="","",IFERROR(VLOOKUP($D950,'SAMA Consumables Tracker'!$A:$D,4,FALSE()),""))</f>
        <v/>
      </c>
      <c r="H950" s="22"/>
    </row>
    <row r="951" spans="1:8">
      <c r="A951" s="21"/>
      <c r="B951" s="22"/>
      <c r="C951" s="22"/>
      <c r="D951" s="22"/>
      <c r="E951" s="23" t="str">
        <f>IF($D951="","",IFERROR(VLOOKUP($D951,'SAMA Consumables Tracker'!$A:$H,8,FALSE()),""))</f>
        <v/>
      </c>
      <c r="F951" s="24"/>
      <c r="G951" s="25" t="str">
        <f>IF($D951="","",IFERROR(VLOOKUP($D951,'SAMA Consumables Tracker'!$A:$D,4,FALSE()),""))</f>
        <v/>
      </c>
      <c r="H951" s="22"/>
    </row>
    <row r="952" spans="1:8">
      <c r="A952" s="21"/>
      <c r="B952" s="22"/>
      <c r="C952" s="22"/>
      <c r="D952" s="22"/>
      <c r="E952" s="23" t="str">
        <f>IF($D952="","",IFERROR(VLOOKUP($D952,'SAMA Consumables Tracker'!$A:$H,8,FALSE()),""))</f>
        <v/>
      </c>
      <c r="F952" s="24"/>
      <c r="G952" s="25" t="str">
        <f>IF($D952="","",IFERROR(VLOOKUP($D952,'SAMA Consumables Tracker'!$A:$D,4,FALSE()),""))</f>
        <v/>
      </c>
      <c r="H952" s="22"/>
    </row>
    <row r="953" spans="1:8">
      <c r="A953" s="21"/>
      <c r="B953" s="22"/>
      <c r="C953" s="22"/>
      <c r="D953" s="22"/>
      <c r="E953" s="23" t="str">
        <f>IF($D953="","",IFERROR(VLOOKUP($D953,'SAMA Consumables Tracker'!$A:$H,8,FALSE()),""))</f>
        <v/>
      </c>
      <c r="F953" s="24"/>
      <c r="G953" s="25" t="str">
        <f>IF($D953="","",IFERROR(VLOOKUP($D953,'SAMA Consumables Tracker'!$A:$D,4,FALSE()),""))</f>
        <v/>
      </c>
      <c r="H953" s="22"/>
    </row>
    <row r="954" spans="1:8">
      <c r="A954" s="21"/>
      <c r="B954" s="22"/>
      <c r="C954" s="22"/>
      <c r="D954" s="22"/>
      <c r="E954" s="23" t="str">
        <f>IF($D954="","",IFERROR(VLOOKUP($D954,'SAMA Consumables Tracker'!$A:$H,8,FALSE()),""))</f>
        <v/>
      </c>
      <c r="F954" s="24"/>
      <c r="G954" s="25" t="str">
        <f>IF($D954="","",IFERROR(VLOOKUP($D954,'SAMA Consumables Tracker'!$A:$D,4,FALSE()),""))</f>
        <v/>
      </c>
      <c r="H954" s="22"/>
    </row>
    <row r="955" spans="1:8">
      <c r="A955" s="21"/>
      <c r="B955" s="22"/>
      <c r="C955" s="22"/>
      <c r="D955" s="22"/>
      <c r="E955" s="23" t="str">
        <f>IF($D955="","",IFERROR(VLOOKUP($D955,'SAMA Consumables Tracker'!$A:$H,8,FALSE()),""))</f>
        <v/>
      </c>
      <c r="F955" s="24"/>
      <c r="G955" s="25" t="str">
        <f>IF($D955="","",IFERROR(VLOOKUP($D955,'SAMA Consumables Tracker'!$A:$D,4,FALSE()),""))</f>
        <v/>
      </c>
      <c r="H955" s="22"/>
    </row>
    <row r="956" spans="1:8">
      <c r="A956" s="21"/>
      <c r="B956" s="22"/>
      <c r="C956" s="22"/>
      <c r="D956" s="22"/>
      <c r="E956" s="23" t="str">
        <f>IF($D956="","",IFERROR(VLOOKUP($D956,'SAMA Consumables Tracker'!$A:$H,8,FALSE()),""))</f>
        <v/>
      </c>
      <c r="F956" s="24"/>
      <c r="G956" s="25" t="str">
        <f>IF($D956="","",IFERROR(VLOOKUP($D956,'SAMA Consumables Tracker'!$A:$D,4,FALSE()),""))</f>
        <v/>
      </c>
      <c r="H956" s="22"/>
    </row>
    <row r="957" spans="1:8">
      <c r="A957" s="21"/>
      <c r="B957" s="22"/>
      <c r="C957" s="22"/>
      <c r="D957" s="22"/>
      <c r="E957" s="23" t="str">
        <f>IF($D957="","",IFERROR(VLOOKUP($D957,'SAMA Consumables Tracker'!$A:$H,8,FALSE()),""))</f>
        <v/>
      </c>
      <c r="F957" s="24"/>
      <c r="G957" s="25" t="str">
        <f>IF($D957="","",IFERROR(VLOOKUP($D957,'SAMA Consumables Tracker'!$A:$D,4,FALSE()),""))</f>
        <v/>
      </c>
      <c r="H957" s="22"/>
    </row>
    <row r="958" spans="1:8">
      <c r="A958" s="21"/>
      <c r="B958" s="22"/>
      <c r="C958" s="22"/>
      <c r="D958" s="22"/>
      <c r="E958" s="23" t="str">
        <f>IF($D958="","",IFERROR(VLOOKUP($D958,'SAMA Consumables Tracker'!$A:$H,8,FALSE()),""))</f>
        <v/>
      </c>
      <c r="F958" s="24"/>
      <c r="G958" s="25" t="str">
        <f>IF($D958="","",IFERROR(VLOOKUP($D958,'SAMA Consumables Tracker'!$A:$D,4,FALSE()),""))</f>
        <v/>
      </c>
      <c r="H958" s="22"/>
    </row>
    <row r="959" spans="1:8">
      <c r="A959" s="21"/>
      <c r="B959" s="22"/>
      <c r="C959" s="22"/>
      <c r="D959" s="22"/>
      <c r="E959" s="23" t="str">
        <f>IF($D959="","",IFERROR(VLOOKUP($D959,'SAMA Consumables Tracker'!$A:$H,8,FALSE()),""))</f>
        <v/>
      </c>
      <c r="F959" s="24"/>
      <c r="G959" s="25" t="str">
        <f>IF($D959="","",IFERROR(VLOOKUP($D959,'SAMA Consumables Tracker'!$A:$D,4,FALSE()),""))</f>
        <v/>
      </c>
      <c r="H959" s="22"/>
    </row>
    <row r="960" spans="1:8">
      <c r="A960" s="21"/>
      <c r="B960" s="22"/>
      <c r="C960" s="22"/>
      <c r="D960" s="22"/>
      <c r="E960" s="23" t="str">
        <f>IF($D960="","",IFERROR(VLOOKUP($D960,'SAMA Consumables Tracker'!$A:$H,8,FALSE()),""))</f>
        <v/>
      </c>
      <c r="F960" s="24"/>
      <c r="G960" s="25" t="str">
        <f>IF($D960="","",IFERROR(VLOOKUP($D960,'SAMA Consumables Tracker'!$A:$D,4,FALSE()),""))</f>
        <v/>
      </c>
      <c r="H960" s="22"/>
    </row>
    <row r="961" spans="1:8">
      <c r="A961" s="21"/>
      <c r="B961" s="22"/>
      <c r="C961" s="22"/>
      <c r="D961" s="22"/>
      <c r="E961" s="23" t="str">
        <f>IF($D961="","",IFERROR(VLOOKUP($D961,'SAMA Consumables Tracker'!$A:$H,8,FALSE()),""))</f>
        <v/>
      </c>
      <c r="F961" s="24"/>
      <c r="G961" s="25" t="str">
        <f>IF($D961="","",IFERROR(VLOOKUP($D961,'SAMA Consumables Tracker'!$A:$D,4,FALSE()),""))</f>
        <v/>
      </c>
      <c r="H961" s="22"/>
    </row>
    <row r="962" spans="1:8">
      <c r="A962" s="21"/>
      <c r="B962" s="22"/>
      <c r="C962" s="22"/>
      <c r="D962" s="22"/>
      <c r="E962" s="23" t="str">
        <f>IF($D962="","",IFERROR(VLOOKUP($D962,'SAMA Consumables Tracker'!$A:$H,8,FALSE()),""))</f>
        <v/>
      </c>
      <c r="F962" s="24"/>
      <c r="G962" s="25" t="str">
        <f>IF($D962="","",IFERROR(VLOOKUP($D962,'SAMA Consumables Tracker'!$A:$D,4,FALSE()),""))</f>
        <v/>
      </c>
      <c r="H962" s="22"/>
    </row>
    <row r="963" spans="1:8">
      <c r="A963" s="21"/>
      <c r="B963" s="22"/>
      <c r="C963" s="22"/>
      <c r="D963" s="22"/>
      <c r="E963" s="23" t="str">
        <f>IF($D963="","",IFERROR(VLOOKUP($D963,'SAMA Consumables Tracker'!$A:$H,8,FALSE()),""))</f>
        <v/>
      </c>
      <c r="F963" s="24"/>
      <c r="G963" s="25" t="str">
        <f>IF($D963="","",IFERROR(VLOOKUP($D963,'SAMA Consumables Tracker'!$A:$D,4,FALSE()),""))</f>
        <v/>
      </c>
      <c r="H963" s="22"/>
    </row>
    <row r="964" spans="1:8">
      <c r="A964" s="21"/>
      <c r="B964" s="22"/>
      <c r="C964" s="22"/>
      <c r="D964" s="22"/>
      <c r="E964" s="23" t="str">
        <f>IF($D964="","",IFERROR(VLOOKUP($D964,'SAMA Consumables Tracker'!$A:$H,8,FALSE()),""))</f>
        <v/>
      </c>
      <c r="F964" s="24"/>
      <c r="G964" s="25" t="str">
        <f>IF($D964="","",IFERROR(VLOOKUP($D964,'SAMA Consumables Tracker'!$A:$D,4,FALSE()),""))</f>
        <v/>
      </c>
      <c r="H964" s="22"/>
    </row>
    <row r="965" spans="1:8">
      <c r="A965" s="21"/>
      <c r="B965" s="22"/>
      <c r="C965" s="22"/>
      <c r="D965" s="22"/>
      <c r="E965" s="23" t="str">
        <f>IF($D965="","",IFERROR(VLOOKUP($D965,'SAMA Consumables Tracker'!$A:$H,8,FALSE()),""))</f>
        <v/>
      </c>
      <c r="F965" s="24"/>
      <c r="G965" s="25" t="str">
        <f>IF($D965="","",IFERROR(VLOOKUP($D965,'SAMA Consumables Tracker'!$A:$D,4,FALSE()),""))</f>
        <v/>
      </c>
      <c r="H965" s="22"/>
    </row>
    <row r="966" spans="1:8">
      <c r="A966" s="21"/>
      <c r="B966" s="22"/>
      <c r="C966" s="22"/>
      <c r="D966" s="22"/>
      <c r="E966" s="23" t="str">
        <f>IF($D966="","",IFERROR(VLOOKUP($D966,'SAMA Consumables Tracker'!$A:$H,8,FALSE()),""))</f>
        <v/>
      </c>
      <c r="F966" s="24"/>
      <c r="G966" s="25" t="str">
        <f>IF($D966="","",IFERROR(VLOOKUP($D966,'SAMA Consumables Tracker'!$A:$D,4,FALSE()),""))</f>
        <v/>
      </c>
      <c r="H966" s="22"/>
    </row>
    <row r="967" spans="1:8">
      <c r="A967" s="21"/>
      <c r="B967" s="22"/>
      <c r="C967" s="22"/>
      <c r="D967" s="22"/>
      <c r="E967" s="23" t="str">
        <f>IF($D967="","",IFERROR(VLOOKUP($D967,'SAMA Consumables Tracker'!$A:$H,8,FALSE()),""))</f>
        <v/>
      </c>
      <c r="F967" s="24"/>
      <c r="G967" s="25" t="str">
        <f>IF($D967="","",IFERROR(VLOOKUP($D967,'SAMA Consumables Tracker'!$A:$D,4,FALSE()),""))</f>
        <v/>
      </c>
      <c r="H967" s="22"/>
    </row>
    <row r="968" spans="1:8">
      <c r="A968" s="21"/>
      <c r="B968" s="22"/>
      <c r="C968" s="22"/>
      <c r="D968" s="22"/>
      <c r="E968" s="23" t="str">
        <f>IF($D968="","",IFERROR(VLOOKUP($D968,'SAMA Consumables Tracker'!$A:$H,8,FALSE()),""))</f>
        <v/>
      </c>
      <c r="F968" s="24"/>
      <c r="G968" s="25" t="str">
        <f>IF($D968="","",IFERROR(VLOOKUP($D968,'SAMA Consumables Tracker'!$A:$D,4,FALSE()),""))</f>
        <v/>
      </c>
      <c r="H968" s="22"/>
    </row>
    <row r="969" spans="1:8">
      <c r="A969" s="21"/>
      <c r="B969" s="22"/>
      <c r="C969" s="22"/>
      <c r="D969" s="22"/>
      <c r="E969" s="23" t="str">
        <f>IF($D969="","",IFERROR(VLOOKUP($D969,'SAMA Consumables Tracker'!$A:$H,8,FALSE()),""))</f>
        <v/>
      </c>
      <c r="F969" s="24"/>
      <c r="G969" s="25" t="str">
        <f>IF($D969="","",IFERROR(VLOOKUP($D969,'SAMA Consumables Tracker'!$A:$D,4,FALSE()),""))</f>
        <v/>
      </c>
      <c r="H969" s="22"/>
    </row>
    <row r="970" spans="1:8">
      <c r="A970" s="21"/>
      <c r="B970" s="22"/>
      <c r="C970" s="22"/>
      <c r="D970" s="22"/>
      <c r="E970" s="23" t="str">
        <f>IF($D970="","",IFERROR(VLOOKUP($D970,'SAMA Consumables Tracker'!$A:$H,8,FALSE()),""))</f>
        <v/>
      </c>
      <c r="F970" s="24"/>
      <c r="G970" s="25" t="str">
        <f>IF($D970="","",IFERROR(VLOOKUP($D970,'SAMA Consumables Tracker'!$A:$D,4,FALSE()),""))</f>
        <v/>
      </c>
      <c r="H970" s="22"/>
    </row>
    <row r="971" spans="1:8">
      <c r="A971" s="21"/>
      <c r="B971" s="22"/>
      <c r="C971" s="22"/>
      <c r="D971" s="22"/>
      <c r="E971" s="23" t="str">
        <f>IF($D971="","",IFERROR(VLOOKUP($D971,'SAMA Consumables Tracker'!$A:$H,8,FALSE()),""))</f>
        <v/>
      </c>
      <c r="F971" s="24"/>
      <c r="G971" s="25" t="str">
        <f>IF($D971="","",IFERROR(VLOOKUP($D971,'SAMA Consumables Tracker'!$A:$D,4,FALSE()),""))</f>
        <v/>
      </c>
      <c r="H971" s="22"/>
    </row>
    <row r="972" spans="1:8">
      <c r="A972" s="21"/>
      <c r="B972" s="22"/>
      <c r="C972" s="22"/>
      <c r="D972" s="22"/>
      <c r="E972" s="23" t="str">
        <f>IF($D972="","",IFERROR(VLOOKUP($D972,'SAMA Consumables Tracker'!$A:$H,8,FALSE()),""))</f>
        <v/>
      </c>
      <c r="F972" s="24"/>
      <c r="G972" s="25" t="str">
        <f>IF($D972="","",IFERROR(VLOOKUP($D972,'SAMA Consumables Tracker'!$A:$D,4,FALSE()),""))</f>
        <v/>
      </c>
      <c r="H972" s="22"/>
    </row>
    <row r="973" spans="1:8">
      <c r="A973" s="21"/>
      <c r="B973" s="22"/>
      <c r="C973" s="22"/>
      <c r="D973" s="22"/>
      <c r="E973" s="23" t="str">
        <f>IF($D973="","",IFERROR(VLOOKUP($D973,'SAMA Consumables Tracker'!$A:$H,8,FALSE()),""))</f>
        <v/>
      </c>
      <c r="F973" s="24"/>
      <c r="G973" s="25" t="str">
        <f>IF($D973="","",IFERROR(VLOOKUP($D973,'SAMA Consumables Tracker'!$A:$D,4,FALSE()),""))</f>
        <v/>
      </c>
      <c r="H973" s="22"/>
    </row>
    <row r="974" spans="1:8">
      <c r="A974" s="21"/>
      <c r="B974" s="22"/>
      <c r="C974" s="22"/>
      <c r="D974" s="22"/>
      <c r="E974" s="23" t="str">
        <f>IF($D974="","",IFERROR(VLOOKUP($D974,'SAMA Consumables Tracker'!$A:$H,8,FALSE()),""))</f>
        <v/>
      </c>
      <c r="F974" s="24"/>
      <c r="G974" s="25" t="str">
        <f>IF($D974="","",IFERROR(VLOOKUP($D974,'SAMA Consumables Tracker'!$A:$D,4,FALSE()),""))</f>
        <v/>
      </c>
      <c r="H974" s="22"/>
    </row>
    <row r="975" spans="1:8">
      <c r="A975" s="21"/>
      <c r="B975" s="22"/>
      <c r="C975" s="22"/>
      <c r="D975" s="22"/>
      <c r="E975" s="23" t="str">
        <f>IF($D975="","",IFERROR(VLOOKUP($D975,'SAMA Consumables Tracker'!$A:$H,8,FALSE()),""))</f>
        <v/>
      </c>
      <c r="F975" s="24"/>
      <c r="G975" s="25" t="str">
        <f>IF($D975="","",IFERROR(VLOOKUP($D975,'SAMA Consumables Tracker'!$A:$D,4,FALSE()),""))</f>
        <v/>
      </c>
      <c r="H975" s="22"/>
    </row>
    <row r="976" spans="1:8">
      <c r="A976" s="21"/>
      <c r="B976" s="22"/>
      <c r="C976" s="22"/>
      <c r="D976" s="22"/>
      <c r="E976" s="23" t="str">
        <f>IF($D976="","",IFERROR(VLOOKUP($D976,'SAMA Consumables Tracker'!$A:$H,8,FALSE()),""))</f>
        <v/>
      </c>
      <c r="F976" s="24"/>
      <c r="G976" s="25" t="str">
        <f>IF($D976="","",IFERROR(VLOOKUP($D976,'SAMA Consumables Tracker'!$A:$D,4,FALSE()),""))</f>
        <v/>
      </c>
      <c r="H976" s="22"/>
    </row>
    <row r="977" spans="1:8">
      <c r="A977" s="21"/>
      <c r="B977" s="22"/>
      <c r="C977" s="22"/>
      <c r="D977" s="22"/>
      <c r="E977" s="23" t="str">
        <f>IF($D977="","",IFERROR(VLOOKUP($D977,'SAMA Consumables Tracker'!$A:$H,8,FALSE()),""))</f>
        <v/>
      </c>
      <c r="F977" s="24"/>
      <c r="G977" s="25" t="str">
        <f>IF($D977="","",IFERROR(VLOOKUP($D977,'SAMA Consumables Tracker'!$A:$D,4,FALSE()),""))</f>
        <v/>
      </c>
      <c r="H977" s="22"/>
    </row>
    <row r="978" spans="1:8">
      <c r="A978" s="21"/>
      <c r="B978" s="22"/>
      <c r="C978" s="22"/>
      <c r="D978" s="22"/>
      <c r="E978" s="23" t="str">
        <f>IF($D978="","",IFERROR(VLOOKUP($D978,'SAMA Consumables Tracker'!$A:$H,8,FALSE()),""))</f>
        <v/>
      </c>
      <c r="F978" s="24"/>
      <c r="G978" s="25" t="str">
        <f>IF($D978="","",IFERROR(VLOOKUP($D978,'SAMA Consumables Tracker'!$A:$D,4,FALSE()),""))</f>
        <v/>
      </c>
      <c r="H978" s="22"/>
    </row>
    <row r="979" spans="1:8">
      <c r="A979" s="21"/>
      <c r="B979" s="22"/>
      <c r="C979" s="22"/>
      <c r="D979" s="22"/>
      <c r="E979" s="23" t="str">
        <f>IF($D979="","",IFERROR(VLOOKUP($D979,'SAMA Consumables Tracker'!$A:$H,8,FALSE()),""))</f>
        <v/>
      </c>
      <c r="F979" s="24"/>
      <c r="G979" s="25" t="str">
        <f>IF($D979="","",IFERROR(VLOOKUP($D979,'SAMA Consumables Tracker'!$A:$D,4,FALSE()),""))</f>
        <v/>
      </c>
      <c r="H979" s="22"/>
    </row>
    <row r="980" spans="1:8">
      <c r="A980" s="21"/>
      <c r="B980" s="22"/>
      <c r="C980" s="22"/>
      <c r="D980" s="22"/>
      <c r="E980" s="23" t="str">
        <f>IF($D980="","",IFERROR(VLOOKUP($D980,'SAMA Consumables Tracker'!$A:$H,8,FALSE()),""))</f>
        <v/>
      </c>
      <c r="F980" s="24"/>
      <c r="G980" s="25" t="str">
        <f>IF($D980="","",IFERROR(VLOOKUP($D980,'SAMA Consumables Tracker'!$A:$D,4,FALSE()),""))</f>
        <v/>
      </c>
      <c r="H980" s="22"/>
    </row>
    <row r="981" spans="1:8">
      <c r="A981" s="21"/>
      <c r="B981" s="22"/>
      <c r="C981" s="22"/>
      <c r="D981" s="22"/>
      <c r="E981" s="23" t="str">
        <f>IF($D981="","",IFERROR(VLOOKUP($D981,'SAMA Consumables Tracker'!$A:$H,8,FALSE()),""))</f>
        <v/>
      </c>
      <c r="F981" s="24"/>
      <c r="G981" s="25" t="str">
        <f>IF($D981="","",IFERROR(VLOOKUP($D981,'SAMA Consumables Tracker'!$A:$D,4,FALSE()),""))</f>
        <v/>
      </c>
      <c r="H981" s="22"/>
    </row>
    <row r="982" spans="1:8">
      <c r="A982" s="21"/>
      <c r="B982" s="22"/>
      <c r="C982" s="22"/>
      <c r="D982" s="22"/>
      <c r="E982" s="23" t="str">
        <f>IF($D982="","",IFERROR(VLOOKUP($D982,'SAMA Consumables Tracker'!$A:$H,8,FALSE()),""))</f>
        <v/>
      </c>
      <c r="F982" s="24"/>
      <c r="G982" s="25" t="str">
        <f>IF($D982="","",IFERROR(VLOOKUP($D982,'SAMA Consumables Tracker'!$A:$D,4,FALSE()),""))</f>
        <v/>
      </c>
      <c r="H982" s="22"/>
    </row>
    <row r="983" spans="1:8">
      <c r="A983" s="21"/>
      <c r="B983" s="22"/>
      <c r="C983" s="22"/>
      <c r="D983" s="22"/>
      <c r="E983" s="23" t="str">
        <f>IF($D983="","",IFERROR(VLOOKUP($D983,'SAMA Consumables Tracker'!$A:$H,8,FALSE()),""))</f>
        <v/>
      </c>
      <c r="F983" s="24"/>
      <c r="G983" s="25" t="str">
        <f>IF($D983="","",IFERROR(VLOOKUP($D983,'SAMA Consumables Tracker'!$A:$D,4,FALSE()),""))</f>
        <v/>
      </c>
      <c r="H983" s="22"/>
    </row>
    <row r="984" spans="1:8">
      <c r="A984" s="21"/>
      <c r="B984" s="22"/>
      <c r="C984" s="22"/>
      <c r="D984" s="22"/>
      <c r="E984" s="23" t="str">
        <f>IF($D984="","",IFERROR(VLOOKUP($D984,'SAMA Consumables Tracker'!$A:$H,8,FALSE()),""))</f>
        <v/>
      </c>
      <c r="F984" s="24"/>
      <c r="G984" s="25" t="str">
        <f>IF($D984="","",IFERROR(VLOOKUP($D984,'SAMA Consumables Tracker'!$A:$D,4,FALSE()),""))</f>
        <v/>
      </c>
      <c r="H984" s="22"/>
    </row>
    <row r="985" spans="1:8">
      <c r="A985" s="21"/>
      <c r="B985" s="22"/>
      <c r="C985" s="22"/>
      <c r="D985" s="22"/>
      <c r="E985" s="23" t="str">
        <f>IF($D985="","",IFERROR(VLOOKUP($D985,'SAMA Consumables Tracker'!$A:$H,8,FALSE()),""))</f>
        <v/>
      </c>
      <c r="F985" s="24"/>
      <c r="G985" s="25" t="str">
        <f>IF($D985="","",IFERROR(VLOOKUP($D985,'SAMA Consumables Tracker'!$A:$D,4,FALSE()),""))</f>
        <v/>
      </c>
      <c r="H985" s="22"/>
    </row>
    <row r="986" spans="1:8">
      <c r="A986" s="21"/>
      <c r="B986" s="22"/>
      <c r="C986" s="22"/>
      <c r="D986" s="22"/>
      <c r="E986" s="23" t="str">
        <f>IF($D986="","",IFERROR(VLOOKUP($D986,'SAMA Consumables Tracker'!$A:$H,8,FALSE()),""))</f>
        <v/>
      </c>
      <c r="F986" s="24"/>
      <c r="G986" s="25" t="str">
        <f>IF($D986="","",IFERROR(VLOOKUP($D986,'SAMA Consumables Tracker'!$A:$D,4,FALSE()),""))</f>
        <v/>
      </c>
      <c r="H986" s="22"/>
    </row>
    <row r="987" spans="1:8">
      <c r="A987" s="21"/>
      <c r="B987" s="22"/>
      <c r="C987" s="22"/>
      <c r="D987" s="22"/>
      <c r="E987" s="23" t="str">
        <f>IF($D987="","",IFERROR(VLOOKUP($D987,'SAMA Consumables Tracker'!$A:$H,8,FALSE()),""))</f>
        <v/>
      </c>
      <c r="F987" s="24"/>
      <c r="G987" s="25" t="str">
        <f>IF($D987="","",IFERROR(VLOOKUP($D987,'SAMA Consumables Tracker'!$A:$D,4,FALSE()),""))</f>
        <v/>
      </c>
      <c r="H987" s="22"/>
    </row>
    <row r="988" spans="1:8">
      <c r="A988" s="21"/>
      <c r="B988" s="22"/>
      <c r="C988" s="22"/>
      <c r="D988" s="22"/>
      <c r="E988" s="23" t="str">
        <f>IF($D988="","",IFERROR(VLOOKUP($D988,'SAMA Consumables Tracker'!$A:$H,8,FALSE()),""))</f>
        <v/>
      </c>
      <c r="F988" s="24"/>
      <c r="G988" s="25" t="str">
        <f>IF($D988="","",IFERROR(VLOOKUP($D988,'SAMA Consumables Tracker'!$A:$D,4,FALSE()),""))</f>
        <v/>
      </c>
      <c r="H988" s="22"/>
    </row>
    <row r="989" spans="1:8">
      <c r="A989" s="21"/>
      <c r="B989" s="22"/>
      <c r="C989" s="22"/>
      <c r="D989" s="22"/>
      <c r="E989" s="23" t="str">
        <f>IF($D989="","",IFERROR(VLOOKUP($D989,'SAMA Consumables Tracker'!$A:$H,8,FALSE()),""))</f>
        <v/>
      </c>
      <c r="F989" s="24"/>
      <c r="G989" s="25" t="str">
        <f>IF($D989="","",IFERROR(VLOOKUP($D989,'SAMA Consumables Tracker'!$A:$D,4,FALSE()),""))</f>
        <v/>
      </c>
      <c r="H989" s="22"/>
    </row>
    <row r="990" spans="1:8">
      <c r="A990" s="21"/>
      <c r="B990" s="22"/>
      <c r="C990" s="22"/>
      <c r="D990" s="22"/>
      <c r="E990" s="23" t="str">
        <f>IF($D990="","",IFERROR(VLOOKUP($D990,'SAMA Consumables Tracker'!$A:$H,8,FALSE()),""))</f>
        <v/>
      </c>
      <c r="F990" s="24"/>
      <c r="G990" s="25" t="str">
        <f>IF($D990="","",IFERROR(VLOOKUP($D990,'SAMA Consumables Tracker'!$A:$D,4,FALSE()),""))</f>
        <v/>
      </c>
      <c r="H990" s="22"/>
    </row>
    <row r="991" spans="1:8">
      <c r="A991" s="21"/>
      <c r="B991" s="22"/>
      <c r="C991" s="22"/>
      <c r="D991" s="22"/>
      <c r="E991" s="23" t="str">
        <f>IF($D991="","",IFERROR(VLOOKUP($D991,'SAMA Consumables Tracker'!$A:$H,8,FALSE()),""))</f>
        <v/>
      </c>
      <c r="F991" s="24"/>
      <c r="G991" s="25" t="str">
        <f>IF($D991="","",IFERROR(VLOOKUP($D991,'SAMA Consumables Tracker'!$A:$D,4,FALSE()),""))</f>
        <v/>
      </c>
      <c r="H991" s="22"/>
    </row>
    <row r="992" spans="1:8">
      <c r="A992" s="21"/>
      <c r="B992" s="22"/>
      <c r="C992" s="22"/>
      <c r="D992" s="22"/>
      <c r="E992" s="23" t="str">
        <f>IF($D992="","",IFERROR(VLOOKUP($D992,'SAMA Consumables Tracker'!$A:$H,8,FALSE()),""))</f>
        <v/>
      </c>
      <c r="F992" s="24"/>
      <c r="G992" s="25" t="str">
        <f>IF($D992="","",IFERROR(VLOOKUP($D992,'SAMA Consumables Tracker'!$A:$D,4,FALSE()),""))</f>
        <v/>
      </c>
      <c r="H992" s="22"/>
    </row>
    <row r="993" spans="1:8">
      <c r="A993" s="21"/>
      <c r="B993" s="22"/>
      <c r="C993" s="22"/>
      <c r="D993" s="22"/>
      <c r="E993" s="23" t="str">
        <f>IF($D993="","",IFERROR(VLOOKUP($D993,'SAMA Consumables Tracker'!$A:$H,8,FALSE()),""))</f>
        <v/>
      </c>
      <c r="F993" s="24"/>
      <c r="G993" s="25" t="str">
        <f>IF($D993="","",IFERROR(VLOOKUP($D993,'SAMA Consumables Tracker'!$A:$D,4,FALSE()),""))</f>
        <v/>
      </c>
      <c r="H993" s="22"/>
    </row>
    <row r="994" spans="1:8">
      <c r="A994" s="21"/>
      <c r="B994" s="22"/>
      <c r="C994" s="22"/>
      <c r="D994" s="22"/>
      <c r="E994" s="23" t="str">
        <f>IF($D994="","",IFERROR(VLOOKUP($D994,'SAMA Consumables Tracker'!$A:$H,8,FALSE()),""))</f>
        <v/>
      </c>
      <c r="F994" s="24"/>
      <c r="G994" s="25" t="str">
        <f>IF($D994="","",IFERROR(VLOOKUP($D994,'SAMA Consumables Tracker'!$A:$D,4,FALSE()),""))</f>
        <v/>
      </c>
      <c r="H994" s="22"/>
    </row>
    <row r="995" spans="1:8">
      <c r="A995" s="21"/>
      <c r="B995" s="22"/>
      <c r="C995" s="22"/>
      <c r="D995" s="22"/>
      <c r="E995" s="23" t="str">
        <f>IF($D995="","",IFERROR(VLOOKUP($D995,'SAMA Consumables Tracker'!$A:$H,8,FALSE()),""))</f>
        <v/>
      </c>
      <c r="F995" s="24"/>
      <c r="G995" s="25" t="str">
        <f>IF($D995="","",IFERROR(VLOOKUP($D995,'SAMA Consumables Tracker'!$A:$D,4,FALSE()),""))</f>
        <v/>
      </c>
      <c r="H995" s="22"/>
    </row>
    <row r="996" spans="1:8">
      <c r="A996" s="21"/>
      <c r="B996" s="22"/>
      <c r="C996" s="22"/>
      <c r="D996" s="22"/>
      <c r="E996" s="23" t="str">
        <f>IF($D996="","",IFERROR(VLOOKUP($D996,'SAMA Consumables Tracker'!$A:$H,8,FALSE()),""))</f>
        <v/>
      </c>
      <c r="F996" s="24"/>
      <c r="G996" s="25" t="str">
        <f>IF($D996="","",IFERROR(VLOOKUP($D996,'SAMA Consumables Tracker'!$A:$D,4,FALSE()),""))</f>
        <v/>
      </c>
      <c r="H996" s="22"/>
    </row>
    <row r="997" spans="1:8">
      <c r="A997" s="21"/>
      <c r="B997" s="22"/>
      <c r="C997" s="22"/>
      <c r="D997" s="22"/>
      <c r="E997" s="23" t="str">
        <f>IF($D997="","",IFERROR(VLOOKUP($D997,'SAMA Consumables Tracker'!$A:$H,8,FALSE()),""))</f>
        <v/>
      </c>
      <c r="F997" s="24"/>
      <c r="G997" s="25" t="str">
        <f>IF($D997="","",IFERROR(VLOOKUP($D997,'SAMA Consumables Tracker'!$A:$D,4,FALSE()),""))</f>
        <v/>
      </c>
      <c r="H997" s="22"/>
    </row>
    <row r="998" spans="1:8">
      <c r="A998" s="21"/>
      <c r="B998" s="22"/>
      <c r="C998" s="22"/>
      <c r="D998" s="22"/>
      <c r="E998" s="23" t="str">
        <f>IF($D998="","",IFERROR(VLOOKUP($D998,'SAMA Consumables Tracker'!$A:$H,8,FALSE()),""))</f>
        <v/>
      </c>
      <c r="F998" s="24"/>
      <c r="G998" s="25" t="str">
        <f>IF($D998="","",IFERROR(VLOOKUP($D998,'SAMA Consumables Tracker'!$A:$D,4,FALSE()),""))</f>
        <v/>
      </c>
      <c r="H998" s="22"/>
    </row>
    <row r="999" spans="1:8">
      <c r="A999" s="21"/>
      <c r="B999" s="22"/>
      <c r="C999" s="22"/>
      <c r="D999" s="22"/>
      <c r="E999" s="23" t="str">
        <f>IF($D999="","",IFERROR(VLOOKUP($D999,'SAMA Consumables Tracker'!$A:$H,8,FALSE()),""))</f>
        <v/>
      </c>
      <c r="F999" s="24"/>
      <c r="G999" s="25" t="str">
        <f>IF($D999="","",IFERROR(VLOOKUP($D999,'SAMA Consumables Tracker'!$A:$D,4,FALSE()),""))</f>
        <v/>
      </c>
      <c r="H999" s="22"/>
    </row>
    <row r="1000" spans="1:8">
      <c r="A1000" s="21"/>
      <c r="B1000" s="22"/>
      <c r="C1000" s="22"/>
      <c r="D1000" s="22"/>
      <c r="E1000" s="23" t="str">
        <f>IF($D1000="","",IFERROR(VLOOKUP($D1000,'SAMA Consumables Tracker'!$A:$H,8,FALSE()),""))</f>
        <v/>
      </c>
      <c r="F1000" s="24"/>
      <c r="G1000" s="25" t="str">
        <f>IF($D1000="","",IFERROR(VLOOKUP($D1000,'SAMA Consumables Tracker'!$A:$D,4,FALSE()),""))</f>
        <v/>
      </c>
      <c r="H1000" s="22"/>
    </row>
    <row r="1001" spans="1:8">
      <c r="A1001" s="21"/>
      <c r="B1001" s="22"/>
      <c r="C1001" s="22"/>
      <c r="D1001" s="22"/>
      <c r="E1001" s="23" t="str">
        <f>IF($D1001="","",IFERROR(VLOOKUP($D1001,'SAMA Consumables Tracker'!$A:$H,8,FALSE()),""))</f>
        <v/>
      </c>
      <c r="F1001" s="24"/>
      <c r="G1001" s="25" t="str">
        <f>IF($D1001="","",IFERROR(VLOOKUP($D1001,'SAMA Consumables Tracker'!$A:$D,4,FALSE()),""))</f>
        <v/>
      </c>
      <c r="H1001" s="22"/>
    </row>
    <row r="1002" spans="1:8">
      <c r="A1002" s="21"/>
      <c r="B1002" s="22"/>
      <c r="C1002" s="22"/>
      <c r="D1002" s="22"/>
      <c r="E1002" s="23" t="str">
        <f>IF($D1002="","",IFERROR(VLOOKUP($D1002,'SAMA Consumables Tracker'!$A:$H,8,FALSE()),""))</f>
        <v/>
      </c>
      <c r="F1002" s="24"/>
      <c r="G1002" s="25" t="str">
        <f>IF($D1002="","",IFERROR(VLOOKUP($D1002,'SAMA Consumables Tracker'!$A:$D,4,FALSE()),""))</f>
        <v/>
      </c>
      <c r="H1002" s="22"/>
    </row>
    <row r="1003" spans="1:8">
      <c r="A1003" s="21"/>
      <c r="B1003" s="22"/>
      <c r="C1003" s="22"/>
      <c r="D1003" s="22"/>
      <c r="E1003" s="23" t="str">
        <f>IF($D1003="","",IFERROR(VLOOKUP($D1003,'SAMA Consumables Tracker'!$A:$H,8,FALSE()),""))</f>
        <v/>
      </c>
      <c r="F1003" s="24"/>
      <c r="G1003" s="25" t="str">
        <f>IF($D1003="","",IFERROR(VLOOKUP($D1003,'SAMA Consumables Tracker'!$A:$D,4,FALSE()),""))</f>
        <v/>
      </c>
      <c r="H1003" s="22"/>
    </row>
    <row r="1004" spans="1:8">
      <c r="A1004" s="21"/>
      <c r="B1004" s="22"/>
      <c r="C1004" s="22"/>
      <c r="D1004" s="22"/>
      <c r="E1004" s="23" t="str">
        <f>IF($D1004="","",IFERROR(VLOOKUP($D1004,'SAMA Consumables Tracker'!$A:$H,8,FALSE()),""))</f>
        <v/>
      </c>
      <c r="F1004" s="24"/>
      <c r="G1004" s="25" t="str">
        <f>IF($D1004="","",IFERROR(VLOOKUP($D1004,'SAMA Consumables Tracker'!$A:$D,4,FALSE()),""))</f>
        <v/>
      </c>
      <c r="H1004" s="22"/>
    </row>
    <row r="1005" spans="1:8">
      <c r="A1005" s="21"/>
      <c r="B1005" s="22"/>
      <c r="C1005" s="22"/>
      <c r="D1005" s="22"/>
      <c r="E1005" s="23" t="str">
        <f>IF($D1005="","",IFERROR(VLOOKUP($D1005,'SAMA Consumables Tracker'!$A:$H,8,FALSE()),""))</f>
        <v/>
      </c>
      <c r="F1005" s="24"/>
      <c r="G1005" s="25" t="str">
        <f>IF($D1005="","",IFERROR(VLOOKUP($D1005,'SAMA Consumables Tracker'!$A:$D,4,FALSE()),""))</f>
        <v/>
      </c>
      <c r="H1005" s="22"/>
    </row>
    <row r="1006" spans="1:8">
      <c r="A1006" s="21"/>
      <c r="B1006" s="22"/>
      <c r="C1006" s="22"/>
      <c r="D1006" s="22"/>
      <c r="E1006" s="23" t="str">
        <f>IF($D1006="","",IFERROR(VLOOKUP($D1006,'SAMA Consumables Tracker'!$A:$H,8,FALSE()),""))</f>
        <v/>
      </c>
      <c r="F1006" s="24"/>
      <c r="G1006" s="25" t="str">
        <f>IF($D1006="","",IFERROR(VLOOKUP($D1006,'SAMA Consumables Tracker'!$A:$D,4,FALSE()),""))</f>
        <v/>
      </c>
      <c r="H1006" s="22"/>
    </row>
    <row r="1007" spans="1:8">
      <c r="A1007" s="21"/>
      <c r="B1007" s="22"/>
      <c r="C1007" s="22"/>
      <c r="D1007" s="22"/>
      <c r="E1007" s="23" t="str">
        <f>IF($D1007="","",IFERROR(VLOOKUP($D1007,'SAMA Consumables Tracker'!$A:$H,8,FALSE()),""))</f>
        <v/>
      </c>
      <c r="F1007" s="24"/>
      <c r="G1007" s="25" t="str">
        <f>IF($D1007="","",IFERROR(VLOOKUP($D1007,'SAMA Consumables Tracker'!$A:$D,4,FALSE()),""))</f>
        <v/>
      </c>
      <c r="H1007" s="22"/>
    </row>
    <row r="1008" spans="1:8">
      <c r="A1008" s="21"/>
      <c r="B1008" s="22"/>
      <c r="C1008" s="22"/>
      <c r="D1008" s="22"/>
      <c r="E1008" s="23" t="str">
        <f>IF($D1008="","",IFERROR(VLOOKUP($D1008,'SAMA Consumables Tracker'!$A:$H,8,FALSE()),""))</f>
        <v/>
      </c>
      <c r="F1008" s="24"/>
      <c r="G1008" s="25" t="str">
        <f>IF($D1008="","",IFERROR(VLOOKUP($D1008,'SAMA Consumables Tracker'!$A:$D,4,FALSE()),""))</f>
        <v/>
      </c>
      <c r="H1008" s="22"/>
    </row>
    <row r="1009" spans="1:8">
      <c r="A1009" s="21"/>
      <c r="B1009" s="22"/>
      <c r="C1009" s="22"/>
      <c r="D1009" s="22"/>
      <c r="E1009" s="23" t="str">
        <f>IF($D1009="","",IFERROR(VLOOKUP($D1009,'SAMA Consumables Tracker'!$A:$H,8,FALSE()),""))</f>
        <v/>
      </c>
      <c r="F1009" s="24"/>
      <c r="G1009" s="25" t="str">
        <f>IF($D1009="","",IFERROR(VLOOKUP($D1009,'SAMA Consumables Tracker'!$A:$D,4,FALSE()),""))</f>
        <v/>
      </c>
      <c r="H1009" s="22"/>
    </row>
    <row r="1010" spans="1:8">
      <c r="A1010" s="21"/>
      <c r="B1010" s="22"/>
      <c r="C1010" s="22"/>
      <c r="D1010" s="22"/>
      <c r="E1010" s="23" t="str">
        <f>IF($D1010="","",IFERROR(VLOOKUP($D1010,'SAMA Consumables Tracker'!$A:$H,8,FALSE()),""))</f>
        <v/>
      </c>
      <c r="F1010" s="24"/>
      <c r="G1010" s="25" t="str">
        <f>IF($D1010="","",IFERROR(VLOOKUP($D1010,'SAMA Consumables Tracker'!$A:$D,4,FALSE()),""))</f>
        <v/>
      </c>
      <c r="H1010" s="22"/>
    </row>
    <row r="1011" spans="1:8">
      <c r="A1011" s="21"/>
      <c r="B1011" s="22"/>
      <c r="C1011" s="22"/>
      <c r="D1011" s="22"/>
      <c r="E1011" s="23" t="str">
        <f>IF($D1011="","",IFERROR(VLOOKUP($D1011,'SAMA Consumables Tracker'!$A:$H,8,FALSE()),""))</f>
        <v/>
      </c>
      <c r="F1011" s="24"/>
      <c r="G1011" s="25" t="str">
        <f>IF($D1011="","",IFERROR(VLOOKUP($D1011,'SAMA Consumables Tracker'!$A:$D,4,FALSE()),""))</f>
        <v/>
      </c>
      <c r="H1011" s="22"/>
    </row>
    <row r="1012" spans="1:8">
      <c r="A1012" s="21"/>
      <c r="B1012" s="22"/>
      <c r="C1012" s="22"/>
      <c r="D1012" s="22"/>
      <c r="E1012" s="23" t="str">
        <f>IF($D1012="","",IFERROR(VLOOKUP($D1012,'SAMA Consumables Tracker'!$A:$H,8,FALSE()),""))</f>
        <v/>
      </c>
      <c r="F1012" s="24"/>
      <c r="G1012" s="25" t="str">
        <f>IF($D1012="","",IFERROR(VLOOKUP($D1012,'SAMA Consumables Tracker'!$A:$D,4,FALSE()),""))</f>
        <v/>
      </c>
      <c r="H1012" s="22"/>
    </row>
    <row r="1013" spans="1:8">
      <c r="A1013" s="21"/>
      <c r="B1013" s="22"/>
      <c r="C1013" s="22"/>
      <c r="D1013" s="22"/>
      <c r="E1013" s="23" t="str">
        <f>IF($D1013="","",IFERROR(VLOOKUP($D1013,'SAMA Consumables Tracker'!$A:$H,8,FALSE()),""))</f>
        <v/>
      </c>
      <c r="F1013" s="24"/>
      <c r="G1013" s="25" t="str">
        <f>IF($D1013="","",IFERROR(VLOOKUP($D1013,'SAMA Consumables Tracker'!$A:$D,4,FALSE()),""))</f>
        <v/>
      </c>
      <c r="H1013" s="22"/>
    </row>
    <row r="1014" spans="1:8">
      <c r="A1014" s="21"/>
      <c r="B1014" s="22"/>
      <c r="C1014" s="22"/>
      <c r="D1014" s="22"/>
      <c r="E1014" s="23" t="str">
        <f>IF($D1014="","",IFERROR(VLOOKUP($D1014,'SAMA Consumables Tracker'!$A:$H,8,FALSE()),""))</f>
        <v/>
      </c>
      <c r="F1014" s="24"/>
      <c r="G1014" s="25" t="str">
        <f>IF($D1014="","",IFERROR(VLOOKUP($D1014,'SAMA Consumables Tracker'!$A:$D,4,FALSE()),""))</f>
        <v/>
      </c>
      <c r="H1014" s="22"/>
    </row>
    <row r="1015" spans="1:8">
      <c r="A1015" s="21"/>
      <c r="B1015" s="22"/>
      <c r="C1015" s="22"/>
      <c r="D1015" s="22"/>
      <c r="E1015" s="23" t="str">
        <f>IF($D1015="","",IFERROR(VLOOKUP($D1015,'SAMA Consumables Tracker'!$A:$H,8,FALSE()),""))</f>
        <v/>
      </c>
      <c r="F1015" s="24"/>
      <c r="G1015" s="25" t="str">
        <f>IF($D1015="","",IFERROR(VLOOKUP($D1015,'SAMA Consumables Tracker'!$A:$D,4,FALSE()),""))</f>
        <v/>
      </c>
      <c r="H1015" s="22"/>
    </row>
    <row r="1016" spans="1:8">
      <c r="A1016" s="21"/>
      <c r="B1016" s="22"/>
      <c r="C1016" s="22"/>
      <c r="D1016" s="22"/>
      <c r="E1016" s="23" t="str">
        <f>IF($D1016="","",IFERROR(VLOOKUP($D1016,'SAMA Consumables Tracker'!$A:$H,8,FALSE()),""))</f>
        <v/>
      </c>
      <c r="F1016" s="24"/>
      <c r="G1016" s="25" t="str">
        <f>IF($D1016="","",IFERROR(VLOOKUP($D1016,'SAMA Consumables Tracker'!$A:$D,4,FALSE()),""))</f>
        <v/>
      </c>
      <c r="H1016" s="22"/>
    </row>
    <row r="1017" spans="1:8">
      <c r="A1017" s="21"/>
      <c r="B1017" s="22"/>
      <c r="C1017" s="22"/>
      <c r="D1017" s="22"/>
      <c r="E1017" s="23" t="str">
        <f>IF($D1017="","",IFERROR(VLOOKUP($D1017,'SAMA Consumables Tracker'!$A:$H,8,FALSE()),""))</f>
        <v/>
      </c>
      <c r="F1017" s="24"/>
      <c r="G1017" s="25" t="str">
        <f>IF($D1017="","",IFERROR(VLOOKUP($D1017,'SAMA Consumables Tracker'!$A:$D,4,FALSE()),""))</f>
        <v/>
      </c>
      <c r="H1017" s="22"/>
    </row>
    <row r="1018" spans="1:8">
      <c r="A1018" s="21"/>
      <c r="B1018" s="22"/>
      <c r="C1018" s="22"/>
      <c r="D1018" s="22"/>
      <c r="E1018" s="23" t="str">
        <f>IF($D1018="","",IFERROR(VLOOKUP($D1018,'SAMA Consumables Tracker'!$A:$H,8,FALSE()),""))</f>
        <v/>
      </c>
      <c r="F1018" s="24"/>
      <c r="G1018" s="25" t="str">
        <f>IF($D1018="","",IFERROR(VLOOKUP($D1018,'SAMA Consumables Tracker'!$A:$D,4,FALSE()),""))</f>
        <v/>
      </c>
      <c r="H1018" s="22"/>
    </row>
    <row r="1019" spans="1:8">
      <c r="A1019" s="21"/>
      <c r="B1019" s="22"/>
      <c r="C1019" s="22"/>
      <c r="D1019" s="22"/>
      <c r="E1019" s="23" t="str">
        <f>IF($D1019="","",IFERROR(VLOOKUP($D1019,'SAMA Consumables Tracker'!$A:$H,8,FALSE()),""))</f>
        <v/>
      </c>
      <c r="F1019" s="24"/>
      <c r="G1019" s="25" t="str">
        <f>IF($D1019="","",IFERROR(VLOOKUP($D1019,'SAMA Consumables Tracker'!$A:$D,4,FALSE()),""))</f>
        <v/>
      </c>
      <c r="H1019" s="22"/>
    </row>
    <row r="1020" spans="1:8">
      <c r="A1020" s="21"/>
      <c r="B1020" s="22"/>
      <c r="C1020" s="22"/>
      <c r="D1020" s="22"/>
      <c r="E1020" s="23" t="str">
        <f>IF($D1020="","",IFERROR(VLOOKUP($D1020,'SAMA Consumables Tracker'!$A:$H,8,FALSE()),""))</f>
        <v/>
      </c>
      <c r="F1020" s="24"/>
      <c r="G1020" s="25" t="str">
        <f>IF($D1020="","",IFERROR(VLOOKUP($D1020,'SAMA Consumables Tracker'!$A:$D,4,FALSE()),""))</f>
        <v/>
      </c>
      <c r="H1020" s="22"/>
    </row>
    <row r="1021" spans="1:8">
      <c r="A1021" s="21"/>
      <c r="B1021" s="22"/>
      <c r="C1021" s="22"/>
      <c r="D1021" s="22"/>
      <c r="E1021" s="23" t="str">
        <f>IF($D1021="","",IFERROR(VLOOKUP($D1021,'SAMA Consumables Tracker'!$A:$H,8,FALSE()),""))</f>
        <v/>
      </c>
      <c r="F1021" s="24"/>
      <c r="G1021" s="25" t="str">
        <f>IF($D1021="","",IFERROR(VLOOKUP($D1021,'SAMA Consumables Tracker'!$A:$D,4,FALSE()),""))</f>
        <v/>
      </c>
      <c r="H1021" s="22"/>
    </row>
    <row r="1022" spans="1:8">
      <c r="A1022" s="21"/>
      <c r="B1022" s="22"/>
      <c r="C1022" s="22"/>
      <c r="D1022" s="22"/>
      <c r="E1022" s="23" t="str">
        <f>IF($D1022="","",IFERROR(VLOOKUP($D1022,'SAMA Consumables Tracker'!$A:$H,8,FALSE()),""))</f>
        <v/>
      </c>
      <c r="F1022" s="24"/>
      <c r="G1022" s="25" t="str">
        <f>IF($D1022="","",IFERROR(VLOOKUP($D1022,'SAMA Consumables Tracker'!$A:$D,4,FALSE()),""))</f>
        <v/>
      </c>
      <c r="H1022" s="22"/>
    </row>
    <row r="1023" spans="1:8">
      <c r="A1023" s="21"/>
      <c r="B1023" s="22"/>
      <c r="C1023" s="22"/>
      <c r="D1023" s="22"/>
      <c r="E1023" s="23" t="str">
        <f>IF($D1023="","",IFERROR(VLOOKUP($D1023,'SAMA Consumables Tracker'!$A:$H,8,FALSE()),""))</f>
        <v/>
      </c>
      <c r="F1023" s="24"/>
      <c r="G1023" s="25" t="str">
        <f>IF($D1023="","",IFERROR(VLOOKUP($D1023,'SAMA Consumables Tracker'!$A:$D,4,FALSE()),""))</f>
        <v/>
      </c>
      <c r="H1023" s="22"/>
    </row>
    <row r="1024" spans="1:8">
      <c r="A1024" s="21"/>
      <c r="B1024" s="22"/>
      <c r="C1024" s="22"/>
      <c r="D1024" s="22"/>
      <c r="E1024" s="23" t="str">
        <f>IF($D1024="","",IFERROR(VLOOKUP($D1024,'SAMA Consumables Tracker'!$A:$H,8,FALSE()),""))</f>
        <v/>
      </c>
      <c r="F1024" s="24"/>
      <c r="G1024" s="25" t="str">
        <f>IF($D1024="","",IFERROR(VLOOKUP($D1024,'SAMA Consumables Tracker'!$A:$D,4,FALSE()),""))</f>
        <v/>
      </c>
      <c r="H1024" s="22"/>
    </row>
    <row r="1025" spans="1:8">
      <c r="A1025" s="21"/>
      <c r="B1025" s="22"/>
      <c r="C1025" s="22"/>
      <c r="D1025" s="22"/>
      <c r="E1025" s="23" t="str">
        <f>IF($D1025="","",IFERROR(VLOOKUP($D1025,'SAMA Consumables Tracker'!$A:$H,8,FALSE()),""))</f>
        <v/>
      </c>
      <c r="F1025" s="24"/>
      <c r="G1025" s="25" t="str">
        <f>IF($D1025="","",IFERROR(VLOOKUP($D1025,'SAMA Consumables Tracker'!$A:$D,4,FALSE()),""))</f>
        <v/>
      </c>
      <c r="H1025" s="22"/>
    </row>
    <row r="1026" spans="1:8">
      <c r="A1026" s="21"/>
      <c r="B1026" s="22"/>
      <c r="C1026" s="22"/>
      <c r="D1026" s="22"/>
      <c r="E1026" s="23" t="str">
        <f>IF($D1026="","",IFERROR(VLOOKUP($D1026,'SAMA Consumables Tracker'!$A:$H,8,FALSE()),""))</f>
        <v/>
      </c>
      <c r="F1026" s="24"/>
      <c r="G1026" s="25" t="str">
        <f>IF($D1026="","",IFERROR(VLOOKUP($D1026,'SAMA Consumables Tracker'!$A:$D,4,FALSE()),""))</f>
        <v/>
      </c>
      <c r="H1026" s="22"/>
    </row>
    <row r="1027" spans="1:8">
      <c r="A1027" s="21"/>
      <c r="B1027" s="22"/>
      <c r="C1027" s="22"/>
      <c r="D1027" s="22"/>
      <c r="E1027" s="23" t="str">
        <f>IF($D1027="","",IFERROR(VLOOKUP($D1027,'SAMA Consumables Tracker'!$A:$H,8,FALSE()),""))</f>
        <v/>
      </c>
      <c r="F1027" s="24"/>
      <c r="G1027" s="25" t="str">
        <f>IF($D1027="","",IFERROR(VLOOKUP($D1027,'SAMA Consumables Tracker'!$A:$D,4,FALSE()),""))</f>
        <v/>
      </c>
      <c r="H1027" s="22"/>
    </row>
    <row r="1028" spans="1:8">
      <c r="A1028" s="21"/>
      <c r="B1028" s="22"/>
      <c r="C1028" s="22"/>
      <c r="D1028" s="22"/>
      <c r="E1028" s="23" t="str">
        <f>IF($D1028="","",IFERROR(VLOOKUP($D1028,'SAMA Consumables Tracker'!$A:$H,8,FALSE()),""))</f>
        <v/>
      </c>
      <c r="F1028" s="24"/>
      <c r="G1028" s="25" t="str">
        <f>IF($D1028="","",IFERROR(VLOOKUP($D1028,'SAMA Consumables Tracker'!$A:$D,4,FALSE()),""))</f>
        <v/>
      </c>
      <c r="H1028" s="22"/>
    </row>
    <row r="1029" spans="1:8">
      <c r="A1029" s="21"/>
      <c r="B1029" s="22"/>
      <c r="C1029" s="22"/>
      <c r="D1029" s="22"/>
      <c r="E1029" s="23" t="str">
        <f>IF($D1029="","",IFERROR(VLOOKUP($D1029,'SAMA Consumables Tracker'!$A:$H,8,FALSE()),""))</f>
        <v/>
      </c>
      <c r="F1029" s="24"/>
      <c r="G1029" s="25" t="str">
        <f>IF($D1029="","",IFERROR(VLOOKUP($D1029,'SAMA Consumables Tracker'!$A:$D,4,FALSE()),""))</f>
        <v/>
      </c>
      <c r="H1029" s="22"/>
    </row>
    <row r="1030" spans="1:8">
      <c r="A1030" s="21"/>
      <c r="B1030" s="22"/>
      <c r="C1030" s="22"/>
      <c r="D1030" s="22"/>
      <c r="E1030" s="23" t="str">
        <f>IF($D1030="","",IFERROR(VLOOKUP($D1030,'SAMA Consumables Tracker'!$A:$H,8,FALSE()),""))</f>
        <v/>
      </c>
      <c r="F1030" s="24"/>
      <c r="G1030" s="25" t="str">
        <f>IF($D1030="","",IFERROR(VLOOKUP($D1030,'SAMA Consumables Tracker'!$A:$D,4,FALSE()),""))</f>
        <v/>
      </c>
      <c r="H1030" s="22"/>
    </row>
    <row r="1031" spans="1:8">
      <c r="A1031" s="21"/>
      <c r="B1031" s="22"/>
      <c r="C1031" s="22"/>
      <c r="D1031" s="22"/>
      <c r="E1031" s="23" t="str">
        <f>IF($D1031="","",IFERROR(VLOOKUP($D1031,'SAMA Consumables Tracker'!$A:$H,8,FALSE()),""))</f>
        <v/>
      </c>
      <c r="F1031" s="24"/>
      <c r="G1031" s="25" t="str">
        <f>IF($D1031="","",IFERROR(VLOOKUP($D1031,'SAMA Consumables Tracker'!$A:$D,4,FALSE()),""))</f>
        <v/>
      </c>
      <c r="H1031" s="22"/>
    </row>
    <row r="1032" spans="1:8">
      <c r="A1032" s="21"/>
      <c r="B1032" s="22"/>
      <c r="C1032" s="22"/>
      <c r="D1032" s="22"/>
      <c r="E1032" s="23" t="str">
        <f>IF($D1032="","",IFERROR(VLOOKUP($D1032,'SAMA Consumables Tracker'!$A:$H,8,FALSE()),""))</f>
        <v/>
      </c>
      <c r="F1032" s="24"/>
      <c r="G1032" s="25" t="str">
        <f>IF($D1032="","",IFERROR(VLOOKUP($D1032,'SAMA Consumables Tracker'!$A:$D,4,FALSE()),""))</f>
        <v/>
      </c>
      <c r="H1032" s="22"/>
    </row>
    <row r="1033" spans="1:8">
      <c r="A1033" s="21"/>
      <c r="B1033" s="22"/>
      <c r="C1033" s="22"/>
      <c r="D1033" s="22"/>
      <c r="E1033" s="23" t="str">
        <f>IF($D1033="","",IFERROR(VLOOKUP($D1033,'SAMA Consumables Tracker'!$A:$H,8,FALSE()),""))</f>
        <v/>
      </c>
      <c r="F1033" s="24"/>
      <c r="G1033" s="25" t="str">
        <f>IF($D1033="","",IFERROR(VLOOKUP($D1033,'SAMA Consumables Tracker'!$A:$D,4,FALSE()),""))</f>
        <v/>
      </c>
      <c r="H1033" s="22"/>
    </row>
    <row r="1034" spans="1:8">
      <c r="A1034" s="21"/>
      <c r="B1034" s="22"/>
      <c r="C1034" s="22"/>
      <c r="D1034" s="22"/>
      <c r="E1034" s="23" t="str">
        <f>IF($D1034="","",IFERROR(VLOOKUP($D1034,'SAMA Consumables Tracker'!$A:$H,8,FALSE()),""))</f>
        <v/>
      </c>
      <c r="F1034" s="24"/>
      <c r="G1034" s="25" t="str">
        <f>IF($D1034="","",IFERROR(VLOOKUP($D1034,'SAMA Consumables Tracker'!$A:$D,4,FALSE()),""))</f>
        <v/>
      </c>
      <c r="H1034" s="22"/>
    </row>
    <row r="1035" spans="1:8">
      <c r="A1035" s="21"/>
      <c r="B1035" s="22"/>
      <c r="C1035" s="22"/>
      <c r="D1035" s="22"/>
      <c r="E1035" s="23" t="str">
        <f>IF($D1035="","",IFERROR(VLOOKUP($D1035,'SAMA Consumables Tracker'!$A:$H,8,FALSE()),""))</f>
        <v/>
      </c>
      <c r="F1035" s="24"/>
      <c r="G1035" s="25" t="str">
        <f>IF($D1035="","",IFERROR(VLOOKUP($D1035,'SAMA Consumables Tracker'!$A:$D,4,FALSE()),""))</f>
        <v/>
      </c>
      <c r="H1035" s="22"/>
    </row>
    <row r="1036" spans="1:8">
      <c r="A1036" s="21"/>
      <c r="B1036" s="22"/>
      <c r="C1036" s="22"/>
      <c r="D1036" s="22"/>
      <c r="E1036" s="23" t="str">
        <f>IF($D1036="","",IFERROR(VLOOKUP($D1036,'SAMA Consumables Tracker'!$A:$H,8,FALSE()),""))</f>
        <v/>
      </c>
      <c r="F1036" s="24"/>
      <c r="G1036" s="25" t="str">
        <f>IF($D1036="","",IFERROR(VLOOKUP($D1036,'SAMA Consumables Tracker'!$A:$D,4,FALSE()),""))</f>
        <v/>
      </c>
      <c r="H1036" s="22"/>
    </row>
    <row r="1037" spans="1:8">
      <c r="A1037" s="21"/>
      <c r="B1037" s="22"/>
      <c r="C1037" s="22"/>
      <c r="D1037" s="22"/>
      <c r="E1037" s="23" t="str">
        <f>IF($D1037="","",IFERROR(VLOOKUP($D1037,'SAMA Consumables Tracker'!$A:$H,8,FALSE()),""))</f>
        <v/>
      </c>
      <c r="F1037" s="24"/>
      <c r="G1037" s="25" t="str">
        <f>IF($D1037="","",IFERROR(VLOOKUP($D1037,'SAMA Consumables Tracker'!$A:$D,4,FALSE()),""))</f>
        <v/>
      </c>
      <c r="H1037" s="22"/>
    </row>
    <row r="1038" spans="1:8">
      <c r="A1038" s="21"/>
      <c r="B1038" s="22"/>
      <c r="C1038" s="22"/>
      <c r="D1038" s="22"/>
      <c r="E1038" s="23" t="str">
        <f>IF($D1038="","",IFERROR(VLOOKUP($D1038,'SAMA Consumables Tracker'!$A:$H,8,FALSE()),""))</f>
        <v/>
      </c>
      <c r="F1038" s="24"/>
      <c r="G1038" s="25" t="str">
        <f>IF($D1038="","",IFERROR(VLOOKUP($D1038,'SAMA Consumables Tracker'!$A:$D,4,FALSE()),""))</f>
        <v/>
      </c>
      <c r="H1038" s="22"/>
    </row>
    <row r="1039" spans="1:8">
      <c r="A1039" s="21"/>
      <c r="B1039" s="22"/>
      <c r="C1039" s="22"/>
      <c r="D1039" s="22"/>
      <c r="E1039" s="23" t="str">
        <f>IF($D1039="","",IFERROR(VLOOKUP($D1039,'SAMA Consumables Tracker'!$A:$H,8,FALSE()),""))</f>
        <v/>
      </c>
      <c r="F1039" s="24"/>
      <c r="G1039" s="25" t="str">
        <f>IF($D1039="","",IFERROR(VLOOKUP($D1039,'SAMA Consumables Tracker'!$A:$D,4,FALSE()),""))</f>
        <v/>
      </c>
      <c r="H1039" s="22"/>
    </row>
    <row r="1040" spans="1:8">
      <c r="A1040" s="21"/>
      <c r="B1040" s="22"/>
      <c r="C1040" s="22"/>
      <c r="D1040" s="22"/>
      <c r="E1040" s="23" t="str">
        <f>IF($D1040="","",IFERROR(VLOOKUP($D1040,'SAMA Consumables Tracker'!$A:$H,8,FALSE()),""))</f>
        <v/>
      </c>
      <c r="F1040" s="24"/>
      <c r="G1040" s="25" t="str">
        <f>IF($D1040="","",IFERROR(VLOOKUP($D1040,'SAMA Consumables Tracker'!$A:$D,4,FALSE()),""))</f>
        <v/>
      </c>
      <c r="H1040" s="22"/>
    </row>
    <row r="1041" spans="1:8">
      <c r="A1041" s="21"/>
      <c r="B1041" s="22"/>
      <c r="C1041" s="22"/>
      <c r="D1041" s="22"/>
      <c r="E1041" s="23" t="str">
        <f>IF($D1041="","",IFERROR(VLOOKUP($D1041,'SAMA Consumables Tracker'!$A:$H,8,FALSE()),""))</f>
        <v/>
      </c>
      <c r="F1041" s="24"/>
      <c r="G1041" s="25" t="str">
        <f>IF($D1041="","",IFERROR(VLOOKUP($D1041,'SAMA Consumables Tracker'!$A:$D,4,FALSE()),""))</f>
        <v/>
      </c>
      <c r="H1041" s="22"/>
    </row>
    <row r="1042" spans="1:8">
      <c r="A1042" s="21"/>
      <c r="B1042" s="22"/>
      <c r="C1042" s="22"/>
      <c r="D1042" s="22"/>
      <c r="E1042" s="23" t="str">
        <f>IF($D1042="","",IFERROR(VLOOKUP($D1042,'SAMA Consumables Tracker'!$A:$H,8,FALSE()),""))</f>
        <v/>
      </c>
      <c r="F1042" s="24"/>
      <c r="G1042" s="25" t="str">
        <f>IF($D1042="","",IFERROR(VLOOKUP($D1042,'SAMA Consumables Tracker'!$A:$D,4,FALSE()),""))</f>
        <v/>
      </c>
      <c r="H1042" s="22"/>
    </row>
    <row r="1043" spans="1:8">
      <c r="A1043" s="21"/>
      <c r="B1043" s="22"/>
      <c r="C1043" s="22"/>
      <c r="D1043" s="22"/>
      <c r="E1043" s="23" t="str">
        <f>IF($D1043="","",IFERROR(VLOOKUP($D1043,'SAMA Consumables Tracker'!$A:$H,8,FALSE()),""))</f>
        <v/>
      </c>
      <c r="F1043" s="24"/>
      <c r="G1043" s="25" t="str">
        <f>IF($D1043="","",IFERROR(VLOOKUP($D1043,'SAMA Consumables Tracker'!$A:$D,4,FALSE()),""))</f>
        <v/>
      </c>
      <c r="H1043" s="22"/>
    </row>
    <row r="1044" spans="1:8">
      <c r="A1044" s="21"/>
      <c r="B1044" s="22"/>
      <c r="C1044" s="22"/>
      <c r="D1044" s="22"/>
      <c r="E1044" s="23" t="str">
        <f>IF($D1044="","",IFERROR(VLOOKUP($D1044,'SAMA Consumables Tracker'!$A:$H,8,FALSE()),""))</f>
        <v/>
      </c>
      <c r="F1044" s="24"/>
      <c r="G1044" s="25" t="str">
        <f>IF($D1044="","",IFERROR(VLOOKUP($D1044,'SAMA Consumables Tracker'!$A:$D,4,FALSE()),""))</f>
        <v/>
      </c>
      <c r="H1044" s="22"/>
    </row>
    <row r="1045" spans="1:8">
      <c r="A1045" s="21"/>
      <c r="B1045" s="22"/>
      <c r="C1045" s="22"/>
      <c r="D1045" s="22"/>
      <c r="E1045" s="23" t="str">
        <f>IF($D1045="","",IFERROR(VLOOKUP($D1045,'SAMA Consumables Tracker'!$A:$H,8,FALSE()),""))</f>
        <v/>
      </c>
      <c r="F1045" s="24"/>
      <c r="G1045" s="25" t="str">
        <f>IF($D1045="","",IFERROR(VLOOKUP($D1045,'SAMA Consumables Tracker'!$A:$D,4,FALSE()),""))</f>
        <v/>
      </c>
      <c r="H1045" s="22"/>
    </row>
    <row r="1046" spans="1:8">
      <c r="A1046" s="21"/>
      <c r="B1046" s="22"/>
      <c r="C1046" s="22"/>
      <c r="D1046" s="22"/>
      <c r="E1046" s="23" t="str">
        <f>IF($D1046="","",IFERROR(VLOOKUP($D1046,'SAMA Consumables Tracker'!$A:$H,8,FALSE()),""))</f>
        <v/>
      </c>
      <c r="F1046" s="24"/>
      <c r="G1046" s="25" t="str">
        <f>IF($D1046="","",IFERROR(VLOOKUP($D1046,'SAMA Consumables Tracker'!$A:$D,4,FALSE()),""))</f>
        <v/>
      </c>
      <c r="H1046" s="22"/>
    </row>
    <row r="1047" spans="1:8">
      <c r="A1047" s="21"/>
      <c r="B1047" s="22"/>
      <c r="C1047" s="22"/>
      <c r="D1047" s="22"/>
      <c r="E1047" s="23" t="str">
        <f>IF($D1047="","",IFERROR(VLOOKUP($D1047,'SAMA Consumables Tracker'!$A:$H,8,FALSE()),""))</f>
        <v/>
      </c>
      <c r="F1047" s="24"/>
      <c r="G1047" s="25" t="str">
        <f>IF($D1047="","",IFERROR(VLOOKUP($D1047,'SAMA Consumables Tracker'!$A:$D,4,FALSE()),""))</f>
        <v/>
      </c>
      <c r="H1047" s="22"/>
    </row>
    <row r="1048" spans="1:8">
      <c r="A1048" s="21"/>
      <c r="B1048" s="22"/>
      <c r="C1048" s="22"/>
      <c r="D1048" s="22"/>
      <c r="E1048" s="23" t="str">
        <f>IF($D1048="","",IFERROR(VLOOKUP($D1048,'SAMA Consumables Tracker'!$A:$H,8,FALSE()),""))</f>
        <v/>
      </c>
      <c r="F1048" s="24"/>
      <c r="G1048" s="25" t="str">
        <f>IF($D1048="","",IFERROR(VLOOKUP($D1048,'SAMA Consumables Tracker'!$A:$D,4,FALSE()),""))</f>
        <v/>
      </c>
      <c r="H1048" s="22"/>
    </row>
    <row r="1049" spans="1:8">
      <c r="A1049" s="21"/>
      <c r="B1049" s="22"/>
      <c r="C1049" s="22"/>
      <c r="D1049" s="22"/>
      <c r="E1049" s="23" t="str">
        <f>IF($D1049="","",IFERROR(VLOOKUP($D1049,'SAMA Consumables Tracker'!$A:$H,8,FALSE()),""))</f>
        <v/>
      </c>
      <c r="F1049" s="24"/>
      <c r="G1049" s="25" t="str">
        <f>IF($D1049="","",IFERROR(VLOOKUP($D1049,'SAMA Consumables Tracker'!$A:$D,4,FALSE()),""))</f>
        <v/>
      </c>
      <c r="H1049" s="22"/>
    </row>
    <row r="1050" spans="1:8">
      <c r="A1050" s="21"/>
      <c r="B1050" s="22"/>
      <c r="C1050" s="22"/>
      <c r="D1050" s="22"/>
      <c r="E1050" s="23" t="str">
        <f>IF($D1050="","",IFERROR(VLOOKUP($D1050,'SAMA Consumables Tracker'!$A:$H,8,FALSE()),""))</f>
        <v/>
      </c>
      <c r="F1050" s="24"/>
      <c r="G1050" s="25" t="str">
        <f>IF($D1050="","",IFERROR(VLOOKUP($D1050,'SAMA Consumables Tracker'!$A:$D,4,FALSE()),""))</f>
        <v/>
      </c>
      <c r="H1050" s="22"/>
    </row>
    <row r="1051" spans="1:8">
      <c r="A1051" s="21"/>
      <c r="B1051" s="22"/>
      <c r="C1051" s="22"/>
      <c r="D1051" s="22"/>
      <c r="E1051" s="23" t="str">
        <f>IF($D1051="","",IFERROR(VLOOKUP($D1051,'SAMA Consumables Tracker'!$A:$H,8,FALSE()),""))</f>
        <v/>
      </c>
      <c r="F1051" s="24"/>
      <c r="G1051" s="25" t="str">
        <f>IF($D1051="","",IFERROR(VLOOKUP($D1051,'SAMA Consumables Tracker'!$A:$D,4,FALSE()),""))</f>
        <v/>
      </c>
      <c r="H1051" s="22"/>
    </row>
    <row r="1052" spans="1:8">
      <c r="A1052" s="21"/>
      <c r="B1052" s="22"/>
      <c r="C1052" s="22"/>
      <c r="D1052" s="22"/>
      <c r="E1052" s="23" t="str">
        <f>IF($D1052="","",IFERROR(VLOOKUP($D1052,'SAMA Consumables Tracker'!$A:$H,8,FALSE()),""))</f>
        <v/>
      </c>
      <c r="F1052" s="24"/>
      <c r="G1052" s="25" t="str">
        <f>IF($D1052="","",IFERROR(VLOOKUP($D1052,'SAMA Consumables Tracker'!$A:$D,4,FALSE()),""))</f>
        <v/>
      </c>
      <c r="H1052" s="22"/>
    </row>
    <row r="1053" spans="1:8">
      <c r="A1053" s="21"/>
      <c r="B1053" s="22"/>
      <c r="C1053" s="22"/>
      <c r="D1053" s="22"/>
      <c r="E1053" s="23" t="str">
        <f>IF($D1053="","",IFERROR(VLOOKUP($D1053,'SAMA Consumables Tracker'!$A:$H,8,FALSE()),""))</f>
        <v/>
      </c>
      <c r="F1053" s="24"/>
      <c r="G1053" s="25" t="str">
        <f>IF($D1053="","",IFERROR(VLOOKUP($D1053,'SAMA Consumables Tracker'!$A:$D,4,FALSE()),""))</f>
        <v/>
      </c>
      <c r="H1053" s="22"/>
    </row>
    <row r="1054" spans="1:8">
      <c r="A1054" s="21"/>
      <c r="B1054" s="22"/>
      <c r="C1054" s="22"/>
      <c r="D1054" s="22"/>
      <c r="E1054" s="23" t="str">
        <f>IF($D1054="","",IFERROR(VLOOKUP($D1054,'SAMA Consumables Tracker'!$A:$H,8,FALSE()),""))</f>
        <v/>
      </c>
      <c r="F1054" s="24"/>
      <c r="G1054" s="25" t="str">
        <f>IF($D1054="","",IFERROR(VLOOKUP($D1054,'SAMA Consumables Tracker'!$A:$D,4,FALSE()),""))</f>
        <v/>
      </c>
      <c r="H1054" s="22"/>
    </row>
    <row r="1055" spans="1:8">
      <c r="A1055" s="21"/>
      <c r="B1055" s="22"/>
      <c r="C1055" s="22"/>
      <c r="D1055" s="22"/>
      <c r="E1055" s="23" t="str">
        <f>IF($D1055="","",IFERROR(VLOOKUP($D1055,'SAMA Consumables Tracker'!$A:$H,8,FALSE()),""))</f>
        <v/>
      </c>
      <c r="F1055" s="24"/>
      <c r="G1055" s="25" t="str">
        <f>IF($D1055="","",IFERROR(VLOOKUP($D1055,'SAMA Consumables Tracker'!$A:$D,4,FALSE()),""))</f>
        <v/>
      </c>
      <c r="H1055" s="22"/>
    </row>
    <row r="1056" spans="1:8">
      <c r="A1056" s="21"/>
      <c r="B1056" s="22"/>
      <c r="C1056" s="22"/>
      <c r="D1056" s="22"/>
      <c r="E1056" s="23" t="str">
        <f>IF($D1056="","",IFERROR(VLOOKUP($D1056,'SAMA Consumables Tracker'!$A:$H,8,FALSE()),""))</f>
        <v/>
      </c>
      <c r="F1056" s="24"/>
      <c r="G1056" s="25" t="str">
        <f>IF($D1056="","",IFERROR(VLOOKUP($D1056,'SAMA Consumables Tracker'!$A:$D,4,FALSE()),""))</f>
        <v/>
      </c>
      <c r="H1056" s="22"/>
    </row>
    <row r="1057" spans="1:8">
      <c r="A1057" s="21"/>
      <c r="B1057" s="22"/>
      <c r="C1057" s="22"/>
      <c r="D1057" s="22"/>
      <c r="E1057" s="23" t="str">
        <f>IF($D1057="","",IFERROR(VLOOKUP($D1057,'SAMA Consumables Tracker'!$A:$H,8,FALSE()),""))</f>
        <v/>
      </c>
      <c r="F1057" s="24"/>
      <c r="G1057" s="25" t="str">
        <f>IF($D1057="","",IFERROR(VLOOKUP($D1057,'SAMA Consumables Tracker'!$A:$D,4,FALSE()),""))</f>
        <v/>
      </c>
      <c r="H1057" s="22"/>
    </row>
    <row r="1058" spans="1:8">
      <c r="A1058" s="21"/>
      <c r="B1058" s="22"/>
      <c r="C1058" s="22"/>
      <c r="D1058" s="22"/>
      <c r="E1058" s="23" t="str">
        <f>IF($D1058="","",IFERROR(VLOOKUP($D1058,'SAMA Consumables Tracker'!$A:$H,8,FALSE()),""))</f>
        <v/>
      </c>
      <c r="F1058" s="24"/>
      <c r="G1058" s="25" t="str">
        <f>IF($D1058="","",IFERROR(VLOOKUP($D1058,'SAMA Consumables Tracker'!$A:$D,4,FALSE()),""))</f>
        <v/>
      </c>
      <c r="H1058" s="22"/>
    </row>
    <row r="1059" spans="1:8">
      <c r="A1059" s="21"/>
      <c r="B1059" s="22"/>
      <c r="C1059" s="22"/>
      <c r="D1059" s="22"/>
      <c r="E1059" s="23" t="str">
        <f>IF($D1059="","",IFERROR(VLOOKUP($D1059,'SAMA Consumables Tracker'!$A:$H,8,FALSE()),""))</f>
        <v/>
      </c>
      <c r="F1059" s="24"/>
      <c r="G1059" s="25" t="str">
        <f>IF($D1059="","",IFERROR(VLOOKUP($D1059,'SAMA Consumables Tracker'!$A:$D,4,FALSE()),""))</f>
        <v/>
      </c>
      <c r="H1059" s="22"/>
    </row>
    <row r="1060" spans="1:8">
      <c r="A1060" s="21"/>
      <c r="B1060" s="22"/>
      <c r="C1060" s="22"/>
      <c r="D1060" s="22"/>
      <c r="E1060" s="23" t="str">
        <f>IF($D1060="","",IFERROR(VLOOKUP($D1060,'SAMA Consumables Tracker'!$A:$H,8,FALSE()),""))</f>
        <v/>
      </c>
      <c r="F1060" s="24"/>
      <c r="G1060" s="25" t="str">
        <f>IF($D1060="","",IFERROR(VLOOKUP($D1060,'SAMA Consumables Tracker'!$A:$D,4,FALSE()),""))</f>
        <v/>
      </c>
      <c r="H1060" s="22"/>
    </row>
    <row r="1061" spans="1:8">
      <c r="A1061" s="21"/>
      <c r="B1061" s="22"/>
      <c r="C1061" s="22"/>
      <c r="D1061" s="22"/>
      <c r="E1061" s="23" t="str">
        <f>IF($D1061="","",IFERROR(VLOOKUP($D1061,'SAMA Consumables Tracker'!$A:$H,8,FALSE()),""))</f>
        <v/>
      </c>
      <c r="F1061" s="24"/>
      <c r="G1061" s="25" t="str">
        <f>IF($D1061="","",IFERROR(VLOOKUP($D1061,'SAMA Consumables Tracker'!$A:$D,4,FALSE()),""))</f>
        <v/>
      </c>
      <c r="H1061" s="22"/>
    </row>
    <row r="1062" spans="1:8">
      <c r="A1062" s="21"/>
      <c r="B1062" s="22"/>
      <c r="C1062" s="22"/>
      <c r="D1062" s="22"/>
      <c r="E1062" s="23" t="str">
        <f>IF($D1062="","",IFERROR(VLOOKUP($D1062,'SAMA Consumables Tracker'!$A:$H,8,FALSE()),""))</f>
        <v/>
      </c>
      <c r="F1062" s="24"/>
      <c r="G1062" s="25" t="str">
        <f>IF($D1062="","",IFERROR(VLOOKUP($D1062,'SAMA Consumables Tracker'!$A:$D,4,FALSE()),""))</f>
        <v/>
      </c>
      <c r="H1062" s="22"/>
    </row>
    <row r="1063" spans="1:8">
      <c r="A1063" s="21"/>
      <c r="B1063" s="22"/>
      <c r="C1063" s="22"/>
      <c r="D1063" s="22"/>
      <c r="E1063" s="23" t="str">
        <f>IF($D1063="","",IFERROR(VLOOKUP($D1063,'SAMA Consumables Tracker'!$A:$H,8,FALSE()),""))</f>
        <v/>
      </c>
      <c r="F1063" s="24"/>
      <c r="G1063" s="25" t="str">
        <f>IF($D1063="","",IFERROR(VLOOKUP($D1063,'SAMA Consumables Tracker'!$A:$D,4,FALSE()),""))</f>
        <v/>
      </c>
      <c r="H1063" s="22"/>
    </row>
    <row r="1064" spans="1:8">
      <c r="A1064" s="21"/>
      <c r="B1064" s="22"/>
      <c r="C1064" s="22"/>
      <c r="D1064" s="22"/>
      <c r="E1064" s="23" t="str">
        <f>IF($D1064="","",IFERROR(VLOOKUP($D1064,'SAMA Consumables Tracker'!$A:$H,8,FALSE()),""))</f>
        <v/>
      </c>
      <c r="F1064" s="24"/>
      <c r="G1064" s="25" t="str">
        <f>IF($D1064="","",IFERROR(VLOOKUP($D1064,'SAMA Consumables Tracker'!$A:$D,4,FALSE()),""))</f>
        <v/>
      </c>
      <c r="H1064" s="22"/>
    </row>
    <row r="1065" spans="1:8">
      <c r="A1065" s="21"/>
      <c r="B1065" s="22"/>
      <c r="C1065" s="22"/>
      <c r="D1065" s="22"/>
      <c r="E1065" s="23" t="str">
        <f>IF($D1065="","",IFERROR(VLOOKUP($D1065,'SAMA Consumables Tracker'!$A:$H,8,FALSE()),""))</f>
        <v/>
      </c>
      <c r="F1065" s="24"/>
      <c r="G1065" s="25" t="str">
        <f>IF($D1065="","",IFERROR(VLOOKUP($D1065,'SAMA Consumables Tracker'!$A:$D,4,FALSE()),""))</f>
        <v/>
      </c>
      <c r="H1065" s="22"/>
    </row>
    <row r="1066" spans="1:8">
      <c r="A1066" s="21"/>
      <c r="B1066" s="22"/>
      <c r="C1066" s="22"/>
      <c r="D1066" s="22"/>
      <c r="E1066" s="23" t="str">
        <f>IF($D1066="","",IFERROR(VLOOKUP($D1066,'SAMA Consumables Tracker'!$A:$H,8,FALSE()),""))</f>
        <v/>
      </c>
      <c r="F1066" s="24"/>
      <c r="G1066" s="25" t="str">
        <f>IF($D1066="","",IFERROR(VLOOKUP($D1066,'SAMA Consumables Tracker'!$A:$D,4,FALSE()),""))</f>
        <v/>
      </c>
      <c r="H1066" s="22"/>
    </row>
    <row r="1067" spans="1:8">
      <c r="A1067" s="21"/>
      <c r="B1067" s="22"/>
      <c r="C1067" s="22"/>
      <c r="D1067" s="22"/>
      <c r="E1067" s="23" t="str">
        <f>IF($D1067="","",IFERROR(VLOOKUP($D1067,'SAMA Consumables Tracker'!$A:$H,8,FALSE()),""))</f>
        <v/>
      </c>
      <c r="F1067" s="24"/>
      <c r="G1067" s="25" t="str">
        <f>IF($D1067="","",IFERROR(VLOOKUP($D1067,'SAMA Consumables Tracker'!$A:$D,4,FALSE()),""))</f>
        <v/>
      </c>
      <c r="H1067" s="22"/>
    </row>
    <row r="1068" spans="1:8">
      <c r="A1068" s="21"/>
      <c r="B1068" s="22"/>
      <c r="C1068" s="22"/>
      <c r="D1068" s="22"/>
      <c r="E1068" s="23" t="str">
        <f>IF($D1068="","",IFERROR(VLOOKUP($D1068,'SAMA Consumables Tracker'!$A:$H,8,FALSE()),""))</f>
        <v/>
      </c>
      <c r="F1068" s="24"/>
      <c r="G1068" s="25" t="str">
        <f>IF($D1068="","",IFERROR(VLOOKUP($D1068,'SAMA Consumables Tracker'!$A:$D,4,FALSE()),""))</f>
        <v/>
      </c>
      <c r="H1068" s="22"/>
    </row>
    <row r="1069" spans="1:8">
      <c r="A1069" s="21"/>
      <c r="B1069" s="22"/>
      <c r="C1069" s="22"/>
      <c r="D1069" s="22"/>
      <c r="E1069" s="23" t="str">
        <f>IF($D1069="","",IFERROR(VLOOKUP($D1069,'SAMA Consumables Tracker'!$A:$H,8,FALSE()),""))</f>
        <v/>
      </c>
      <c r="F1069" s="24"/>
      <c r="G1069" s="25" t="str">
        <f>IF($D1069="","",IFERROR(VLOOKUP($D1069,'SAMA Consumables Tracker'!$A:$D,4,FALSE()),""))</f>
        <v/>
      </c>
      <c r="H1069" s="22"/>
    </row>
    <row r="1070" spans="1:8">
      <c r="A1070" s="21"/>
      <c r="B1070" s="22"/>
      <c r="C1070" s="22"/>
      <c r="D1070" s="22"/>
      <c r="E1070" s="23" t="str">
        <f>IF($D1070="","",IFERROR(VLOOKUP($D1070,'SAMA Consumables Tracker'!$A:$H,8,FALSE()),""))</f>
        <v/>
      </c>
      <c r="F1070" s="24"/>
      <c r="G1070" s="25" t="str">
        <f>IF($D1070="","",IFERROR(VLOOKUP($D1070,'SAMA Consumables Tracker'!$A:$D,4,FALSE()),""))</f>
        <v/>
      </c>
      <c r="H1070" s="22"/>
    </row>
    <row r="1071" spans="1:8">
      <c r="A1071" s="21"/>
      <c r="B1071" s="22"/>
      <c r="C1071" s="22"/>
      <c r="D1071" s="22"/>
      <c r="E1071" s="23" t="str">
        <f>IF($D1071="","",IFERROR(VLOOKUP($D1071,'SAMA Consumables Tracker'!$A:$H,8,FALSE()),""))</f>
        <v/>
      </c>
      <c r="F1071" s="24"/>
      <c r="G1071" s="25" t="str">
        <f>IF($D1071="","",IFERROR(VLOOKUP($D1071,'SAMA Consumables Tracker'!$A:$D,4,FALSE()),""))</f>
        <v/>
      </c>
      <c r="H1071" s="22"/>
    </row>
    <row r="1072" spans="1:8">
      <c r="A1072" s="21"/>
      <c r="B1072" s="22"/>
      <c r="C1072" s="22"/>
      <c r="D1072" s="22"/>
      <c r="E1072" s="23" t="str">
        <f>IF($D1072="","",IFERROR(VLOOKUP($D1072,'SAMA Consumables Tracker'!$A:$H,8,FALSE()),""))</f>
        <v/>
      </c>
      <c r="F1072" s="24"/>
      <c r="G1072" s="25" t="str">
        <f>IF($D1072="","",IFERROR(VLOOKUP($D1072,'SAMA Consumables Tracker'!$A:$D,4,FALSE()),""))</f>
        <v/>
      </c>
      <c r="H1072" s="22"/>
    </row>
    <row r="1073" spans="1:8">
      <c r="A1073" s="21"/>
      <c r="B1073" s="22"/>
      <c r="C1073" s="22"/>
      <c r="D1073" s="22"/>
      <c r="E1073" s="23" t="str">
        <f>IF($D1073="","",IFERROR(VLOOKUP($D1073,'SAMA Consumables Tracker'!$A:$H,8,FALSE()),""))</f>
        <v/>
      </c>
      <c r="F1073" s="24"/>
      <c r="G1073" s="25" t="str">
        <f>IF($D1073="","",IFERROR(VLOOKUP($D1073,'SAMA Consumables Tracker'!$A:$D,4,FALSE()),""))</f>
        <v/>
      </c>
      <c r="H1073" s="22"/>
    </row>
    <row r="1074" spans="1:8">
      <c r="A1074" s="21"/>
      <c r="B1074" s="22"/>
      <c r="C1074" s="22"/>
      <c r="D1074" s="22"/>
      <c r="E1074" s="23" t="str">
        <f>IF($D1074="","",IFERROR(VLOOKUP($D1074,'SAMA Consumables Tracker'!$A:$H,8,FALSE()),""))</f>
        <v/>
      </c>
      <c r="F1074" s="24"/>
      <c r="G1074" s="25" t="str">
        <f>IF($D1074="","",IFERROR(VLOOKUP($D1074,'SAMA Consumables Tracker'!$A:$D,4,FALSE()),""))</f>
        <v/>
      </c>
      <c r="H1074" s="22"/>
    </row>
    <row r="1075" spans="1:8">
      <c r="A1075" s="21"/>
      <c r="B1075" s="22"/>
      <c r="C1075" s="22"/>
      <c r="D1075" s="22"/>
      <c r="E1075" s="23" t="str">
        <f>IF($D1075="","",IFERROR(VLOOKUP($D1075,'SAMA Consumables Tracker'!$A:$H,8,FALSE()),""))</f>
        <v/>
      </c>
      <c r="F1075" s="24"/>
      <c r="G1075" s="25" t="str">
        <f>IF($D1075="","",IFERROR(VLOOKUP($D1075,'SAMA Consumables Tracker'!$A:$D,4,FALSE()),""))</f>
        <v/>
      </c>
      <c r="H1075" s="22"/>
    </row>
    <row r="1076" spans="1:8">
      <c r="A1076" s="21"/>
      <c r="B1076" s="22"/>
      <c r="C1076" s="22"/>
      <c r="D1076" s="22"/>
      <c r="E1076" s="23" t="str">
        <f>IF($D1076="","",IFERROR(VLOOKUP($D1076,'SAMA Consumables Tracker'!$A:$H,8,FALSE()),""))</f>
        <v/>
      </c>
      <c r="F1076" s="24"/>
      <c r="G1076" s="25" t="str">
        <f>IF($D1076="","",IFERROR(VLOOKUP($D1076,'SAMA Consumables Tracker'!$A:$D,4,FALSE()),""))</f>
        <v/>
      </c>
      <c r="H1076" s="22"/>
    </row>
    <row r="1077" spans="1:8">
      <c r="A1077" s="21"/>
      <c r="B1077" s="22"/>
      <c r="C1077" s="22"/>
      <c r="D1077" s="22"/>
      <c r="E1077" s="23" t="str">
        <f>IF($D1077="","",IFERROR(VLOOKUP($D1077,'SAMA Consumables Tracker'!$A:$H,8,FALSE()),""))</f>
        <v/>
      </c>
      <c r="F1077" s="24"/>
      <c r="G1077" s="25" t="str">
        <f>IF($D1077="","",IFERROR(VLOOKUP($D1077,'SAMA Consumables Tracker'!$A:$D,4,FALSE()),""))</f>
        <v/>
      </c>
      <c r="H1077" s="22"/>
    </row>
    <row r="1078" spans="1:8">
      <c r="A1078" s="21"/>
      <c r="B1078" s="22"/>
      <c r="C1078" s="22"/>
      <c r="D1078" s="22"/>
      <c r="E1078" s="23" t="str">
        <f>IF($D1078="","",IFERROR(VLOOKUP($D1078,'SAMA Consumables Tracker'!$A:$H,8,FALSE()),""))</f>
        <v/>
      </c>
      <c r="F1078" s="24"/>
      <c r="G1078" s="25" t="str">
        <f>IF($D1078="","",IFERROR(VLOOKUP($D1078,'SAMA Consumables Tracker'!$A:$D,4,FALSE()),""))</f>
        <v/>
      </c>
      <c r="H1078" s="22"/>
    </row>
    <row r="1079" spans="1:8">
      <c r="A1079" s="21"/>
      <c r="B1079" s="22"/>
      <c r="C1079" s="22"/>
      <c r="D1079" s="22"/>
      <c r="E1079" s="23" t="str">
        <f>IF($D1079="","",IFERROR(VLOOKUP($D1079,'SAMA Consumables Tracker'!$A:$H,8,FALSE()),""))</f>
        <v/>
      </c>
      <c r="F1079" s="24"/>
      <c r="G1079" s="25" t="str">
        <f>IF($D1079="","",IFERROR(VLOOKUP($D1079,'SAMA Consumables Tracker'!$A:$D,4,FALSE()),""))</f>
        <v/>
      </c>
      <c r="H1079" s="22"/>
    </row>
    <row r="1080" spans="1:8">
      <c r="A1080" s="21"/>
      <c r="B1080" s="22"/>
      <c r="C1080" s="22"/>
      <c r="D1080" s="22"/>
      <c r="E1080" s="23" t="str">
        <f>IF($D1080="","",IFERROR(VLOOKUP($D1080,'SAMA Consumables Tracker'!$A:$H,8,FALSE()),""))</f>
        <v/>
      </c>
      <c r="F1080" s="24"/>
      <c r="G1080" s="25" t="str">
        <f>IF($D1080="","",IFERROR(VLOOKUP($D1080,'SAMA Consumables Tracker'!$A:$D,4,FALSE()),""))</f>
        <v/>
      </c>
      <c r="H1080" s="22"/>
    </row>
    <row r="1081" spans="1:8">
      <c r="A1081" s="21"/>
      <c r="B1081" s="22"/>
      <c r="C1081" s="22"/>
      <c r="D1081" s="22"/>
      <c r="E1081" s="23" t="str">
        <f>IF($D1081="","",IFERROR(VLOOKUP($D1081,'SAMA Consumables Tracker'!$A:$H,8,FALSE()),""))</f>
        <v/>
      </c>
      <c r="F1081" s="24"/>
      <c r="G1081" s="25" t="str">
        <f>IF($D1081="","",IFERROR(VLOOKUP($D1081,'SAMA Consumables Tracker'!$A:$D,4,FALSE()),""))</f>
        <v/>
      </c>
      <c r="H1081" s="22"/>
    </row>
    <row r="1082" spans="1:8">
      <c r="A1082" s="21"/>
      <c r="B1082" s="22"/>
      <c r="C1082" s="22"/>
      <c r="D1082" s="22"/>
      <c r="E1082" s="23" t="str">
        <f>IF($D1082="","",IFERROR(VLOOKUP($D1082,'SAMA Consumables Tracker'!$A:$H,8,FALSE()),""))</f>
        <v/>
      </c>
      <c r="F1082" s="24"/>
      <c r="G1082" s="25" t="str">
        <f>IF($D1082="","",IFERROR(VLOOKUP($D1082,'SAMA Consumables Tracker'!$A:$D,4,FALSE()),""))</f>
        <v/>
      </c>
      <c r="H1082" s="22"/>
    </row>
    <row r="1083" spans="1:8">
      <c r="A1083" s="21"/>
      <c r="B1083" s="22"/>
      <c r="C1083" s="22"/>
      <c r="D1083" s="22"/>
      <c r="E1083" s="23" t="str">
        <f>IF($D1083="","",IFERROR(VLOOKUP($D1083,'SAMA Consumables Tracker'!$A:$H,8,FALSE()),""))</f>
        <v/>
      </c>
      <c r="F1083" s="24"/>
      <c r="G1083" s="25" t="str">
        <f>IF($D1083="","",IFERROR(VLOOKUP($D1083,'SAMA Consumables Tracker'!$A:$D,4,FALSE()),""))</f>
        <v/>
      </c>
      <c r="H1083" s="22"/>
    </row>
    <row r="1084" spans="1:8">
      <c r="A1084" s="21"/>
      <c r="B1084" s="22"/>
      <c r="C1084" s="22"/>
      <c r="D1084" s="22"/>
      <c r="E1084" s="23" t="str">
        <f>IF($D1084="","",IFERROR(VLOOKUP($D1084,'SAMA Consumables Tracker'!$A:$H,8,FALSE()),""))</f>
        <v/>
      </c>
      <c r="F1084" s="24"/>
      <c r="G1084" s="25" t="str">
        <f>IF($D1084="","",IFERROR(VLOOKUP($D1084,'SAMA Consumables Tracker'!$A:$D,4,FALSE()),""))</f>
        <v/>
      </c>
      <c r="H1084" s="22"/>
    </row>
    <row r="1085" spans="1:8">
      <c r="A1085" s="21"/>
      <c r="B1085" s="22"/>
      <c r="C1085" s="22"/>
      <c r="D1085" s="22"/>
      <c r="E1085" s="23" t="str">
        <f>IF($D1085="","",IFERROR(VLOOKUP($D1085,'SAMA Consumables Tracker'!$A:$H,8,FALSE()),""))</f>
        <v/>
      </c>
      <c r="F1085" s="24"/>
      <c r="G1085" s="25" t="str">
        <f>IF($D1085="","",IFERROR(VLOOKUP($D1085,'SAMA Consumables Tracker'!$A:$D,4,FALSE()),""))</f>
        <v/>
      </c>
      <c r="H1085" s="22"/>
    </row>
    <row r="1086" spans="1:8">
      <c r="A1086" s="21"/>
      <c r="B1086" s="22"/>
      <c r="C1086" s="22"/>
      <c r="D1086" s="22"/>
      <c r="E1086" s="23" t="str">
        <f>IF($D1086="","",IFERROR(VLOOKUP($D1086,'SAMA Consumables Tracker'!$A:$H,8,FALSE()),""))</f>
        <v/>
      </c>
      <c r="F1086" s="24"/>
      <c r="G1086" s="25" t="str">
        <f>IF($D1086="","",IFERROR(VLOOKUP($D1086,'SAMA Consumables Tracker'!$A:$D,4,FALSE()),""))</f>
        <v/>
      </c>
      <c r="H1086" s="22"/>
    </row>
    <row r="1087" spans="1:8">
      <c r="A1087" s="21"/>
      <c r="B1087" s="22"/>
      <c r="C1087" s="22"/>
      <c r="D1087" s="22"/>
      <c r="E1087" s="23" t="str">
        <f>IF($D1087="","",IFERROR(VLOOKUP($D1087,'SAMA Consumables Tracker'!$A:$H,8,FALSE()),""))</f>
        <v/>
      </c>
      <c r="F1087" s="24"/>
      <c r="G1087" s="25" t="str">
        <f>IF($D1087="","",IFERROR(VLOOKUP($D1087,'SAMA Consumables Tracker'!$A:$D,4,FALSE()),""))</f>
        <v/>
      </c>
      <c r="H1087" s="22"/>
    </row>
    <row r="1088" spans="1:8">
      <c r="A1088" s="21"/>
      <c r="B1088" s="22"/>
      <c r="C1088" s="22"/>
      <c r="D1088" s="22"/>
      <c r="E1088" s="23" t="str">
        <f>IF($D1088="","",IFERROR(VLOOKUP($D1088,'SAMA Consumables Tracker'!$A:$H,8,FALSE()),""))</f>
        <v/>
      </c>
      <c r="F1088" s="24"/>
      <c r="G1088" s="25" t="str">
        <f>IF($D1088="","",IFERROR(VLOOKUP($D1088,'SAMA Consumables Tracker'!$A:$D,4,FALSE()),""))</f>
        <v/>
      </c>
      <c r="H1088" s="22"/>
    </row>
    <row r="1089" spans="1:8">
      <c r="A1089" s="21"/>
      <c r="B1089" s="22"/>
      <c r="C1089" s="22"/>
      <c r="D1089" s="22"/>
      <c r="E1089" s="23" t="str">
        <f>IF($D1089="","",IFERROR(VLOOKUP($D1089,'SAMA Consumables Tracker'!$A:$H,8,FALSE()),""))</f>
        <v/>
      </c>
      <c r="F1089" s="24"/>
      <c r="G1089" s="25" t="str">
        <f>IF($D1089="","",IFERROR(VLOOKUP($D1089,'SAMA Consumables Tracker'!$A:$D,4,FALSE()),""))</f>
        <v/>
      </c>
      <c r="H1089" s="22"/>
    </row>
    <row r="1090" spans="1:8">
      <c r="A1090" s="21"/>
      <c r="B1090" s="22"/>
      <c r="C1090" s="22"/>
      <c r="D1090" s="22"/>
      <c r="E1090" s="23" t="str">
        <f>IF($D1090="","",IFERROR(VLOOKUP($D1090,'SAMA Consumables Tracker'!$A:$H,8,FALSE()),""))</f>
        <v/>
      </c>
      <c r="F1090" s="24"/>
      <c r="G1090" s="25" t="str">
        <f>IF($D1090="","",IFERROR(VLOOKUP($D1090,'SAMA Consumables Tracker'!$A:$D,4,FALSE()),""))</f>
        <v/>
      </c>
      <c r="H1090" s="22"/>
    </row>
    <row r="1091" spans="1:8">
      <c r="A1091" s="21"/>
      <c r="B1091" s="22"/>
      <c r="C1091" s="22"/>
      <c r="D1091" s="22"/>
      <c r="E1091" s="23" t="str">
        <f>IF($D1091="","",IFERROR(VLOOKUP($D1091,'SAMA Consumables Tracker'!$A:$H,8,FALSE()),""))</f>
        <v/>
      </c>
      <c r="F1091" s="24"/>
      <c r="G1091" s="25" t="str">
        <f>IF($D1091="","",IFERROR(VLOOKUP($D1091,'SAMA Consumables Tracker'!$A:$D,4,FALSE()),""))</f>
        <v/>
      </c>
      <c r="H1091" s="22"/>
    </row>
    <row r="1092" spans="1:8">
      <c r="A1092" s="21"/>
      <c r="B1092" s="22"/>
      <c r="C1092" s="22"/>
      <c r="D1092" s="22"/>
      <c r="E1092" s="23" t="str">
        <f>IF($D1092="","",IFERROR(VLOOKUP($D1092,'SAMA Consumables Tracker'!$A:$H,8,FALSE()),""))</f>
        <v/>
      </c>
      <c r="F1092" s="24"/>
      <c r="G1092" s="25" t="str">
        <f>IF($D1092="","",IFERROR(VLOOKUP($D1092,'SAMA Consumables Tracker'!$A:$D,4,FALSE()),""))</f>
        <v/>
      </c>
      <c r="H1092" s="22"/>
    </row>
    <row r="1093" spans="1:8">
      <c r="A1093" s="21"/>
      <c r="B1093" s="22"/>
      <c r="C1093" s="22"/>
      <c r="D1093" s="22"/>
      <c r="E1093" s="23" t="str">
        <f>IF($D1093="","",IFERROR(VLOOKUP($D1093,'SAMA Consumables Tracker'!$A:$H,8,FALSE()),""))</f>
        <v/>
      </c>
      <c r="F1093" s="24"/>
      <c r="G1093" s="25" t="str">
        <f>IF($D1093="","",IFERROR(VLOOKUP($D1093,'SAMA Consumables Tracker'!$A:$D,4,FALSE()),""))</f>
        <v/>
      </c>
      <c r="H1093" s="22"/>
    </row>
    <row r="1094" spans="1:8">
      <c r="A1094" s="21"/>
      <c r="B1094" s="22"/>
      <c r="C1094" s="22"/>
      <c r="D1094" s="22"/>
      <c r="E1094" s="23" t="str">
        <f>IF($D1094="","",IFERROR(VLOOKUP($D1094,'SAMA Consumables Tracker'!$A:$H,8,FALSE()),""))</f>
        <v/>
      </c>
      <c r="F1094" s="24"/>
      <c r="G1094" s="25" t="str">
        <f>IF($D1094="","",IFERROR(VLOOKUP($D1094,'SAMA Consumables Tracker'!$A:$D,4,FALSE()),""))</f>
        <v/>
      </c>
      <c r="H1094" s="22"/>
    </row>
    <row r="1095" spans="1:8">
      <c r="A1095" s="21"/>
      <c r="B1095" s="22"/>
      <c r="C1095" s="22"/>
      <c r="D1095" s="22"/>
      <c r="E1095" s="23" t="str">
        <f>IF($D1095="","",IFERROR(VLOOKUP($D1095,'SAMA Consumables Tracker'!$A:$H,8,FALSE()),""))</f>
        <v/>
      </c>
      <c r="F1095" s="24"/>
      <c r="G1095" s="25" t="str">
        <f>IF($D1095="","",IFERROR(VLOOKUP($D1095,'SAMA Consumables Tracker'!$A:$D,4,FALSE()),""))</f>
        <v/>
      </c>
      <c r="H1095" s="22"/>
    </row>
    <row r="1096" spans="1:8">
      <c r="A1096" s="21"/>
      <c r="B1096" s="22"/>
      <c r="C1096" s="22"/>
      <c r="D1096" s="22"/>
      <c r="E1096" s="23" t="str">
        <f>IF($D1096="","",IFERROR(VLOOKUP($D1096,'SAMA Consumables Tracker'!$A:$H,8,FALSE()),""))</f>
        <v/>
      </c>
      <c r="F1096" s="24"/>
      <c r="G1096" s="25" t="str">
        <f>IF($D1096="","",IFERROR(VLOOKUP($D1096,'SAMA Consumables Tracker'!$A:$D,4,FALSE()),""))</f>
        <v/>
      </c>
      <c r="H1096" s="22"/>
    </row>
    <row r="1097" spans="1:8">
      <c r="A1097" s="21"/>
      <c r="B1097" s="22"/>
      <c r="C1097" s="22"/>
      <c r="D1097" s="22"/>
      <c r="E1097" s="23" t="str">
        <f>IF($D1097="","",IFERROR(VLOOKUP($D1097,'SAMA Consumables Tracker'!$A:$H,8,FALSE()),""))</f>
        <v/>
      </c>
      <c r="F1097" s="24"/>
      <c r="G1097" s="25" t="str">
        <f>IF($D1097="","",IFERROR(VLOOKUP($D1097,'SAMA Consumables Tracker'!$A:$D,4,FALSE()),""))</f>
        <v/>
      </c>
      <c r="H1097" s="22"/>
    </row>
    <row r="1098" spans="1:8">
      <c r="A1098" s="21"/>
      <c r="B1098" s="22"/>
      <c r="C1098" s="22"/>
      <c r="D1098" s="22"/>
      <c r="E1098" s="23" t="str">
        <f>IF($D1098="","",IFERROR(VLOOKUP($D1098,'SAMA Consumables Tracker'!$A:$H,8,FALSE()),""))</f>
        <v/>
      </c>
      <c r="F1098" s="24"/>
      <c r="G1098" s="25" t="str">
        <f>IF($D1098="","",IFERROR(VLOOKUP($D1098,'SAMA Consumables Tracker'!$A:$D,4,FALSE()),""))</f>
        <v/>
      </c>
      <c r="H1098" s="22"/>
    </row>
    <row r="1099" spans="1:8">
      <c r="A1099" s="21"/>
      <c r="B1099" s="22"/>
      <c r="C1099" s="22"/>
      <c r="D1099" s="22"/>
      <c r="E1099" s="23" t="str">
        <f>IF($D1099="","",IFERROR(VLOOKUP($D1099,'SAMA Consumables Tracker'!$A:$H,8,FALSE()),""))</f>
        <v/>
      </c>
      <c r="F1099" s="24"/>
      <c r="G1099" s="25" t="str">
        <f>IF($D1099="","",IFERROR(VLOOKUP($D1099,'SAMA Consumables Tracker'!$A:$D,4,FALSE()),""))</f>
        <v/>
      </c>
      <c r="H1099" s="22"/>
    </row>
    <row r="1100" spans="1:8">
      <c r="A1100" s="21"/>
      <c r="B1100" s="22"/>
      <c r="C1100" s="22"/>
      <c r="D1100" s="22"/>
      <c r="E1100" s="23" t="str">
        <f>IF($D1100="","",IFERROR(VLOOKUP($D1100,'SAMA Consumables Tracker'!$A:$H,8,FALSE()),""))</f>
        <v/>
      </c>
      <c r="F1100" s="24"/>
      <c r="G1100" s="25" t="str">
        <f>IF($D1100="","",IFERROR(VLOOKUP($D1100,'SAMA Consumables Tracker'!$A:$D,4,FALSE()),""))</f>
        <v/>
      </c>
      <c r="H1100" s="22"/>
    </row>
    <row r="1101" spans="1:8">
      <c r="A1101" s="21"/>
      <c r="B1101" s="22"/>
      <c r="C1101" s="22"/>
      <c r="D1101" s="22"/>
      <c r="E1101" s="23" t="str">
        <f>IF($D1101="","",IFERROR(VLOOKUP($D1101,'SAMA Consumables Tracker'!$A:$H,8,FALSE()),""))</f>
        <v/>
      </c>
      <c r="F1101" s="24"/>
      <c r="G1101" s="25" t="str">
        <f>IF($D1101="","",IFERROR(VLOOKUP($D1101,'SAMA Consumables Tracker'!$A:$D,4,FALSE()),""))</f>
        <v/>
      </c>
      <c r="H1101" s="22"/>
    </row>
    <row r="1102" spans="1:8">
      <c r="A1102" s="21"/>
      <c r="B1102" s="22"/>
      <c r="C1102" s="22"/>
      <c r="D1102" s="22"/>
      <c r="E1102" s="23" t="str">
        <f>IF($D1102="","",IFERROR(VLOOKUP($D1102,'SAMA Consumables Tracker'!$A:$H,8,FALSE()),""))</f>
        <v/>
      </c>
      <c r="F1102" s="24"/>
      <c r="G1102" s="25" t="str">
        <f>IF($D1102="","",IFERROR(VLOOKUP($D1102,'SAMA Consumables Tracker'!$A:$D,4,FALSE()),""))</f>
        <v/>
      </c>
      <c r="H1102" s="22"/>
    </row>
    <row r="1103" spans="1:8">
      <c r="A1103" s="21"/>
      <c r="B1103" s="22"/>
      <c r="C1103" s="22"/>
      <c r="D1103" s="22"/>
      <c r="E1103" s="23" t="str">
        <f>IF($D1103="","",IFERROR(VLOOKUP($D1103,'SAMA Consumables Tracker'!$A:$H,8,FALSE()),""))</f>
        <v/>
      </c>
      <c r="F1103" s="24"/>
      <c r="G1103" s="25" t="str">
        <f>IF($D1103="","",IFERROR(VLOOKUP($D1103,'SAMA Consumables Tracker'!$A:$D,4,FALSE()),""))</f>
        <v/>
      </c>
      <c r="H1103" s="22"/>
    </row>
    <row r="1104" spans="1:8">
      <c r="A1104" s="21"/>
      <c r="B1104" s="22"/>
      <c r="C1104" s="22"/>
      <c r="D1104" s="22"/>
      <c r="E1104" s="23" t="str">
        <f>IF($D1104="","",IFERROR(VLOOKUP($D1104,'SAMA Consumables Tracker'!$A:$H,8,FALSE()),""))</f>
        <v/>
      </c>
      <c r="F1104" s="24"/>
      <c r="G1104" s="25" t="str">
        <f>IF($D1104="","",IFERROR(VLOOKUP($D1104,'SAMA Consumables Tracker'!$A:$D,4,FALSE()),""))</f>
        <v/>
      </c>
      <c r="H1104" s="22"/>
    </row>
    <row r="1105" spans="1:8">
      <c r="A1105" s="21"/>
      <c r="B1105" s="22"/>
      <c r="C1105" s="22"/>
      <c r="D1105" s="22"/>
      <c r="E1105" s="23" t="str">
        <f>IF($D1105="","",IFERROR(VLOOKUP($D1105,'SAMA Consumables Tracker'!$A:$H,8,FALSE()),""))</f>
        <v/>
      </c>
      <c r="F1105" s="24"/>
      <c r="G1105" s="25" t="str">
        <f>IF($D1105="","",IFERROR(VLOOKUP($D1105,'SAMA Consumables Tracker'!$A:$D,4,FALSE()),""))</f>
        <v/>
      </c>
      <c r="H1105" s="22"/>
    </row>
    <row r="1106" spans="1:8">
      <c r="A1106" s="21"/>
      <c r="B1106" s="22"/>
      <c r="C1106" s="22"/>
      <c r="D1106" s="22"/>
      <c r="E1106" s="23" t="str">
        <f>IF($D1106="","",IFERROR(VLOOKUP($D1106,'SAMA Consumables Tracker'!$A:$H,8,FALSE()),""))</f>
        <v/>
      </c>
      <c r="F1106" s="24"/>
      <c r="G1106" s="25" t="str">
        <f>IF($D1106="","",IFERROR(VLOOKUP($D1106,'SAMA Consumables Tracker'!$A:$D,4,FALSE()),""))</f>
        <v/>
      </c>
      <c r="H1106" s="22"/>
    </row>
    <row r="1107" spans="1:8">
      <c r="A1107" s="21"/>
      <c r="B1107" s="22"/>
      <c r="C1107" s="22"/>
      <c r="D1107" s="22"/>
      <c r="E1107" s="23" t="str">
        <f>IF($D1107="","",IFERROR(VLOOKUP($D1107,'SAMA Consumables Tracker'!$A:$H,8,FALSE()),""))</f>
        <v/>
      </c>
      <c r="F1107" s="24"/>
      <c r="G1107" s="25" t="str">
        <f>IF($D1107="","",IFERROR(VLOOKUP($D1107,'SAMA Consumables Tracker'!$A:$D,4,FALSE()),""))</f>
        <v/>
      </c>
      <c r="H1107" s="22"/>
    </row>
    <row r="1108" spans="1:8">
      <c r="A1108" s="21"/>
      <c r="B1108" s="22"/>
      <c r="C1108" s="22"/>
      <c r="D1108" s="22"/>
      <c r="E1108" s="23" t="str">
        <f>IF($D1108="","",IFERROR(VLOOKUP($D1108,'SAMA Consumables Tracker'!$A:$H,8,FALSE()),""))</f>
        <v/>
      </c>
      <c r="F1108" s="24"/>
      <c r="G1108" s="25" t="str">
        <f>IF($D1108="","",IFERROR(VLOOKUP($D1108,'SAMA Consumables Tracker'!$A:$D,4,FALSE()),""))</f>
        <v/>
      </c>
      <c r="H1108" s="22"/>
    </row>
    <row r="1109" spans="1:8">
      <c r="A1109" s="21"/>
      <c r="B1109" s="22"/>
      <c r="C1109" s="22"/>
      <c r="D1109" s="22"/>
      <c r="E1109" s="23" t="str">
        <f>IF($D1109="","",IFERROR(VLOOKUP($D1109,'SAMA Consumables Tracker'!$A:$H,8,FALSE()),""))</f>
        <v/>
      </c>
      <c r="F1109" s="24"/>
      <c r="G1109" s="25" t="str">
        <f>IF($D1109="","",IFERROR(VLOOKUP($D1109,'SAMA Consumables Tracker'!$A:$D,4,FALSE()),""))</f>
        <v/>
      </c>
      <c r="H1109" s="22"/>
    </row>
    <row r="1110" spans="1:8">
      <c r="A1110" s="21"/>
      <c r="B1110" s="22"/>
      <c r="C1110" s="22"/>
      <c r="D1110" s="22"/>
      <c r="E1110" s="23" t="str">
        <f>IF($D1110="","",IFERROR(VLOOKUP($D1110,'SAMA Consumables Tracker'!$A:$H,8,FALSE()),""))</f>
        <v/>
      </c>
      <c r="F1110" s="24"/>
      <c r="G1110" s="25" t="str">
        <f>IF($D1110="","",IFERROR(VLOOKUP($D1110,'SAMA Consumables Tracker'!$A:$D,4,FALSE()),""))</f>
        <v/>
      </c>
      <c r="H1110" s="22"/>
    </row>
    <row r="1111" spans="1:8">
      <c r="A1111" s="21"/>
      <c r="B1111" s="22"/>
      <c r="C1111" s="22"/>
      <c r="D1111" s="22"/>
      <c r="E1111" s="23" t="str">
        <f>IF($D1111="","",IFERROR(VLOOKUP($D1111,'SAMA Consumables Tracker'!$A:$H,8,FALSE()),""))</f>
        <v/>
      </c>
      <c r="F1111" s="24"/>
      <c r="G1111" s="25" t="str">
        <f>IF($D1111="","",IFERROR(VLOOKUP($D1111,'SAMA Consumables Tracker'!$A:$D,4,FALSE()),""))</f>
        <v/>
      </c>
      <c r="H1111" s="22"/>
    </row>
    <row r="1112" spans="1:8">
      <c r="A1112" s="21"/>
      <c r="B1112" s="22"/>
      <c r="C1112" s="22"/>
      <c r="D1112" s="22"/>
      <c r="E1112" s="23" t="str">
        <f>IF($D1112="","",IFERROR(VLOOKUP($D1112,'SAMA Consumables Tracker'!$A:$H,8,FALSE()),""))</f>
        <v/>
      </c>
      <c r="F1112" s="24"/>
      <c r="G1112" s="25" t="str">
        <f>IF($D1112="","",IFERROR(VLOOKUP($D1112,'SAMA Consumables Tracker'!$A:$D,4,FALSE()),""))</f>
        <v/>
      </c>
      <c r="H1112" s="22"/>
    </row>
    <row r="1113" spans="1:8">
      <c r="A1113" s="21"/>
      <c r="B1113" s="22"/>
      <c r="C1113" s="22"/>
      <c r="D1113" s="22"/>
      <c r="E1113" s="23" t="str">
        <f>IF($D1113="","",IFERROR(VLOOKUP($D1113,'SAMA Consumables Tracker'!$A:$H,8,FALSE()),""))</f>
        <v/>
      </c>
      <c r="F1113" s="24"/>
      <c r="G1113" s="25" t="str">
        <f>IF($D1113="","",IFERROR(VLOOKUP($D1113,'SAMA Consumables Tracker'!$A:$D,4,FALSE()),""))</f>
        <v/>
      </c>
      <c r="H1113" s="22"/>
    </row>
    <row r="1114" spans="1:8">
      <c r="A1114" s="21"/>
      <c r="B1114" s="22"/>
      <c r="C1114" s="22"/>
      <c r="D1114" s="22"/>
      <c r="E1114" s="23" t="str">
        <f>IF($D1114="","",IFERROR(VLOOKUP($D1114,'SAMA Consumables Tracker'!$A:$H,8,FALSE()),""))</f>
        <v/>
      </c>
      <c r="F1114" s="24"/>
      <c r="G1114" s="25" t="str">
        <f>IF($D1114="","",IFERROR(VLOOKUP($D1114,'SAMA Consumables Tracker'!$A:$D,4,FALSE()),""))</f>
        <v/>
      </c>
      <c r="H1114" s="22"/>
    </row>
    <row r="1115" spans="1:8">
      <c r="A1115" s="21"/>
      <c r="B1115" s="22"/>
      <c r="C1115" s="22"/>
      <c r="D1115" s="22"/>
      <c r="E1115" s="23" t="str">
        <f>IF($D1115="","",IFERROR(VLOOKUP($D1115,'SAMA Consumables Tracker'!$A:$H,8,FALSE()),""))</f>
        <v/>
      </c>
      <c r="F1115" s="24"/>
      <c r="G1115" s="25" t="str">
        <f>IF($D1115="","",IFERROR(VLOOKUP($D1115,'SAMA Consumables Tracker'!$A:$D,4,FALSE()),""))</f>
        <v/>
      </c>
      <c r="H1115" s="22"/>
    </row>
    <row r="1116" spans="1:8">
      <c r="A1116" s="21"/>
      <c r="B1116" s="22"/>
      <c r="C1116" s="22"/>
      <c r="D1116" s="22"/>
      <c r="E1116" s="23" t="str">
        <f>IF($D1116="","",IFERROR(VLOOKUP($D1116,'SAMA Consumables Tracker'!$A:$H,8,FALSE()),""))</f>
        <v/>
      </c>
      <c r="F1116" s="24"/>
      <c r="G1116" s="25" t="str">
        <f>IF($D1116="","",IFERROR(VLOOKUP($D1116,'SAMA Consumables Tracker'!$A:$D,4,FALSE()),""))</f>
        <v/>
      </c>
      <c r="H1116" s="22"/>
    </row>
    <row r="1117" spans="1:8">
      <c r="A1117" s="21"/>
      <c r="B1117" s="22"/>
      <c r="C1117" s="22"/>
      <c r="D1117" s="22"/>
      <c r="E1117" s="23" t="str">
        <f>IF($D1117="","",IFERROR(VLOOKUP($D1117,'SAMA Consumables Tracker'!$A:$H,8,FALSE()),""))</f>
        <v/>
      </c>
      <c r="F1117" s="24"/>
      <c r="G1117" s="25" t="str">
        <f>IF($D1117="","",IFERROR(VLOOKUP($D1117,'SAMA Consumables Tracker'!$A:$D,4,FALSE()),""))</f>
        <v/>
      </c>
      <c r="H1117" s="22"/>
    </row>
    <row r="1118" spans="1:8">
      <c r="A1118" s="21"/>
      <c r="B1118" s="22"/>
      <c r="C1118" s="22"/>
      <c r="D1118" s="22"/>
      <c r="E1118" s="23" t="str">
        <f>IF($D1118="","",IFERROR(VLOOKUP($D1118,'SAMA Consumables Tracker'!$A:$H,8,FALSE()),""))</f>
        <v/>
      </c>
      <c r="F1118" s="24"/>
      <c r="G1118" s="25" t="str">
        <f>IF($D1118="","",IFERROR(VLOOKUP($D1118,'SAMA Consumables Tracker'!$A:$D,4,FALSE()),""))</f>
        <v/>
      </c>
      <c r="H1118" s="22"/>
    </row>
    <row r="1119" spans="1:8">
      <c r="A1119" s="21"/>
      <c r="B1119" s="22"/>
      <c r="C1119" s="22"/>
      <c r="D1119" s="22"/>
      <c r="E1119" s="23" t="str">
        <f>IF($D1119="","",IFERROR(VLOOKUP($D1119,'SAMA Consumables Tracker'!$A:$H,8,FALSE()),""))</f>
        <v/>
      </c>
      <c r="F1119" s="24"/>
      <c r="G1119" s="25" t="str">
        <f>IF($D1119="","",IFERROR(VLOOKUP($D1119,'SAMA Consumables Tracker'!$A:$D,4,FALSE()),""))</f>
        <v/>
      </c>
      <c r="H1119" s="22"/>
    </row>
    <row r="1120" spans="1:8">
      <c r="A1120" s="21"/>
      <c r="B1120" s="22"/>
      <c r="C1120" s="22"/>
      <c r="D1120" s="22"/>
      <c r="E1120" s="23" t="str">
        <f>IF($D1120="","",IFERROR(VLOOKUP($D1120,'SAMA Consumables Tracker'!$A:$H,8,FALSE()),""))</f>
        <v/>
      </c>
      <c r="F1120" s="24"/>
      <c r="G1120" s="25" t="str">
        <f>IF($D1120="","",IFERROR(VLOOKUP($D1120,'SAMA Consumables Tracker'!$A:$D,4,FALSE()),""))</f>
        <v/>
      </c>
      <c r="H1120" s="22"/>
    </row>
    <row r="1121" spans="1:8">
      <c r="A1121" s="21"/>
      <c r="B1121" s="22"/>
      <c r="C1121" s="22"/>
      <c r="D1121" s="22"/>
      <c r="E1121" s="23" t="str">
        <f>IF($D1121="","",IFERROR(VLOOKUP($D1121,'SAMA Consumables Tracker'!$A:$H,8,FALSE()),""))</f>
        <v/>
      </c>
      <c r="F1121" s="24"/>
      <c r="G1121" s="25" t="str">
        <f>IF($D1121="","",IFERROR(VLOOKUP($D1121,'SAMA Consumables Tracker'!$A:$D,4,FALSE()),""))</f>
        <v/>
      </c>
      <c r="H1121" s="22"/>
    </row>
    <row r="1122" spans="1:8">
      <c r="A1122" s="21"/>
      <c r="B1122" s="22"/>
      <c r="C1122" s="22"/>
      <c r="D1122" s="22"/>
      <c r="E1122" s="23" t="str">
        <f>IF($D1122="","",IFERROR(VLOOKUP($D1122,'SAMA Consumables Tracker'!$A:$H,8,FALSE()),""))</f>
        <v/>
      </c>
      <c r="F1122" s="24"/>
      <c r="G1122" s="25" t="str">
        <f>IF($D1122="","",IFERROR(VLOOKUP($D1122,'SAMA Consumables Tracker'!$A:$D,4,FALSE()),""))</f>
        <v/>
      </c>
      <c r="H1122" s="22"/>
    </row>
    <row r="1123" spans="1:8">
      <c r="A1123" s="21"/>
      <c r="B1123" s="22"/>
      <c r="C1123" s="22"/>
      <c r="D1123" s="22"/>
      <c r="E1123" s="23" t="str">
        <f>IF($D1123="","",IFERROR(VLOOKUP($D1123,'SAMA Consumables Tracker'!$A:$H,8,FALSE()),""))</f>
        <v/>
      </c>
      <c r="F1123" s="24"/>
      <c r="G1123" s="25" t="str">
        <f>IF($D1123="","",IFERROR(VLOOKUP($D1123,'SAMA Consumables Tracker'!$A:$D,4,FALSE()),""))</f>
        <v/>
      </c>
      <c r="H1123" s="22"/>
    </row>
    <row r="1124" spans="1:8">
      <c r="A1124" s="21"/>
      <c r="B1124" s="22"/>
      <c r="C1124" s="22"/>
      <c r="D1124" s="22"/>
      <c r="E1124" s="23" t="str">
        <f>IF($D1124="","",IFERROR(VLOOKUP($D1124,'SAMA Consumables Tracker'!$A:$H,8,FALSE()),""))</f>
        <v/>
      </c>
      <c r="F1124" s="24"/>
      <c r="G1124" s="25" t="str">
        <f>IF($D1124="","",IFERROR(VLOOKUP($D1124,'SAMA Consumables Tracker'!$A:$D,4,FALSE()),""))</f>
        <v/>
      </c>
      <c r="H1124" s="22"/>
    </row>
    <row r="1125" spans="1:8">
      <c r="A1125" s="21"/>
      <c r="B1125" s="22"/>
      <c r="C1125" s="22"/>
      <c r="D1125" s="22"/>
      <c r="E1125" s="23" t="str">
        <f>IF($D1125="","",IFERROR(VLOOKUP($D1125,'SAMA Consumables Tracker'!$A:$H,8,FALSE()),""))</f>
        <v/>
      </c>
      <c r="F1125" s="24"/>
      <c r="G1125" s="25" t="str">
        <f>IF($D1125="","",IFERROR(VLOOKUP($D1125,'SAMA Consumables Tracker'!$A:$D,4,FALSE()),""))</f>
        <v/>
      </c>
      <c r="H1125" s="22"/>
    </row>
    <row r="1126" spans="1:8">
      <c r="A1126" s="21"/>
      <c r="B1126" s="22"/>
      <c r="C1126" s="22"/>
      <c r="D1126" s="22"/>
      <c r="E1126" s="23" t="str">
        <f>IF($D1126="","",IFERROR(VLOOKUP($D1126,'SAMA Consumables Tracker'!$A:$H,8,FALSE()),""))</f>
        <v/>
      </c>
      <c r="F1126" s="24"/>
      <c r="G1126" s="25" t="str">
        <f>IF($D1126="","",IFERROR(VLOOKUP($D1126,'SAMA Consumables Tracker'!$A:$D,4,FALSE()),""))</f>
        <v/>
      </c>
      <c r="H1126" s="22"/>
    </row>
    <row r="1127" spans="1:8">
      <c r="A1127" s="21"/>
      <c r="B1127" s="22"/>
      <c r="C1127" s="22"/>
      <c r="D1127" s="22"/>
      <c r="E1127" s="23" t="str">
        <f>IF($D1127="","",IFERROR(VLOOKUP($D1127,'SAMA Consumables Tracker'!$A:$H,8,FALSE()),""))</f>
        <v/>
      </c>
      <c r="F1127" s="24"/>
      <c r="G1127" s="25" t="str">
        <f>IF($D1127="","",IFERROR(VLOOKUP($D1127,'SAMA Consumables Tracker'!$A:$D,4,FALSE()),""))</f>
        <v/>
      </c>
      <c r="H1127" s="22"/>
    </row>
    <row r="1128" spans="1:8">
      <c r="A1128" s="21"/>
      <c r="B1128" s="22"/>
      <c r="C1128" s="22"/>
      <c r="D1128" s="22"/>
      <c r="E1128" s="23" t="str">
        <f>IF($D1128="","",IFERROR(VLOOKUP($D1128,'SAMA Consumables Tracker'!$A:$H,8,FALSE()),""))</f>
        <v/>
      </c>
      <c r="F1128" s="24"/>
      <c r="G1128" s="25" t="str">
        <f>IF($D1128="","",IFERROR(VLOOKUP($D1128,'SAMA Consumables Tracker'!$A:$D,4,FALSE()),""))</f>
        <v/>
      </c>
      <c r="H1128" s="22"/>
    </row>
    <row r="1129" spans="1:8">
      <c r="A1129" s="21"/>
      <c r="B1129" s="22"/>
      <c r="C1129" s="22"/>
      <c r="D1129" s="22"/>
      <c r="E1129" s="23" t="str">
        <f>IF($D1129="","",IFERROR(VLOOKUP($D1129,'SAMA Consumables Tracker'!$A:$H,8,FALSE()),""))</f>
        <v/>
      </c>
      <c r="F1129" s="24"/>
      <c r="G1129" s="25" t="str">
        <f>IF($D1129="","",IFERROR(VLOOKUP($D1129,'SAMA Consumables Tracker'!$A:$D,4,FALSE()),""))</f>
        <v/>
      </c>
      <c r="H1129" s="22"/>
    </row>
    <row r="1130" spans="1:8">
      <c r="A1130" s="21"/>
      <c r="B1130" s="22"/>
      <c r="C1130" s="22"/>
      <c r="D1130" s="22"/>
      <c r="E1130" s="23" t="str">
        <f>IF($D1130="","",IFERROR(VLOOKUP($D1130,'SAMA Consumables Tracker'!$A:$H,8,FALSE()),""))</f>
        <v/>
      </c>
      <c r="F1130" s="24"/>
      <c r="G1130" s="25" t="str">
        <f>IF($D1130="","",IFERROR(VLOOKUP($D1130,'SAMA Consumables Tracker'!$A:$D,4,FALSE()),""))</f>
        <v/>
      </c>
      <c r="H1130" s="22"/>
    </row>
    <row r="1131" spans="1:8">
      <c r="A1131" s="21"/>
      <c r="B1131" s="22"/>
      <c r="C1131" s="22"/>
      <c r="D1131" s="22"/>
      <c r="E1131" s="23" t="str">
        <f>IF($D1131="","",IFERROR(VLOOKUP($D1131,'SAMA Consumables Tracker'!$A:$H,8,FALSE()),""))</f>
        <v/>
      </c>
      <c r="F1131" s="24"/>
      <c r="G1131" s="25" t="str">
        <f>IF($D1131="","",IFERROR(VLOOKUP($D1131,'SAMA Consumables Tracker'!$A:$D,4,FALSE()),""))</f>
        <v/>
      </c>
      <c r="H1131" s="22"/>
    </row>
    <row r="1132" spans="1:8">
      <c r="A1132" s="21"/>
      <c r="B1132" s="22"/>
      <c r="C1132" s="22"/>
      <c r="D1132" s="22"/>
      <c r="E1132" s="23" t="str">
        <f>IF($D1132="","",IFERROR(VLOOKUP($D1132,'SAMA Consumables Tracker'!$A:$H,8,FALSE()),""))</f>
        <v/>
      </c>
      <c r="F1132" s="24"/>
      <c r="G1132" s="25" t="str">
        <f>IF($D1132="","",IFERROR(VLOOKUP($D1132,'SAMA Consumables Tracker'!$A:$D,4,FALSE()),""))</f>
        <v/>
      </c>
      <c r="H1132" s="22"/>
    </row>
    <row r="1133" spans="1:8">
      <c r="A1133" s="21"/>
      <c r="B1133" s="22"/>
      <c r="C1133" s="22"/>
      <c r="D1133" s="22"/>
      <c r="E1133" s="23" t="str">
        <f>IF($D1133="","",IFERROR(VLOOKUP($D1133,'SAMA Consumables Tracker'!$A:$H,8,FALSE()),""))</f>
        <v/>
      </c>
      <c r="F1133" s="24"/>
      <c r="G1133" s="25" t="str">
        <f>IF($D1133="","",IFERROR(VLOOKUP($D1133,'SAMA Consumables Tracker'!$A:$D,4,FALSE()),""))</f>
        <v/>
      </c>
      <c r="H1133" s="22"/>
    </row>
    <row r="1134" spans="1:8">
      <c r="A1134" s="21"/>
      <c r="B1134" s="22"/>
      <c r="C1134" s="22"/>
      <c r="D1134" s="22"/>
      <c r="E1134" s="23" t="str">
        <f>IF($D1134="","",IFERROR(VLOOKUP($D1134,'SAMA Consumables Tracker'!$A:$H,8,FALSE()),""))</f>
        <v/>
      </c>
      <c r="F1134" s="24"/>
      <c r="G1134" s="25" t="str">
        <f>IF($D1134="","",IFERROR(VLOOKUP($D1134,'SAMA Consumables Tracker'!$A:$D,4,FALSE()),""))</f>
        <v/>
      </c>
      <c r="H1134" s="22"/>
    </row>
    <row r="1135" spans="1:8">
      <c r="A1135" s="21"/>
      <c r="B1135" s="22"/>
      <c r="C1135" s="22"/>
      <c r="D1135" s="22"/>
      <c r="E1135" s="23" t="str">
        <f>IF($D1135="","",IFERROR(VLOOKUP($D1135,'SAMA Consumables Tracker'!$A:$H,8,FALSE()),""))</f>
        <v/>
      </c>
      <c r="F1135" s="24"/>
      <c r="G1135" s="25" t="str">
        <f>IF($D1135="","",IFERROR(VLOOKUP($D1135,'SAMA Consumables Tracker'!$A:$D,4,FALSE()),""))</f>
        <v/>
      </c>
      <c r="H1135" s="22"/>
    </row>
    <row r="1136" spans="1:8">
      <c r="A1136" s="21"/>
      <c r="B1136" s="22"/>
      <c r="C1136" s="22"/>
      <c r="D1136" s="22"/>
      <c r="E1136" s="23" t="str">
        <f>IF($D1136="","",IFERROR(VLOOKUP($D1136,'SAMA Consumables Tracker'!$A:$H,8,FALSE()),""))</f>
        <v/>
      </c>
      <c r="F1136" s="24"/>
      <c r="G1136" s="25" t="str">
        <f>IF($D1136="","",IFERROR(VLOOKUP($D1136,'SAMA Consumables Tracker'!$A:$D,4,FALSE()),""))</f>
        <v/>
      </c>
      <c r="H1136" s="22"/>
    </row>
    <row r="1137" spans="1:8">
      <c r="A1137" s="21"/>
      <c r="B1137" s="22"/>
      <c r="C1137" s="22"/>
      <c r="D1137" s="22"/>
      <c r="E1137" s="23" t="str">
        <f>IF($D1137="","",IFERROR(VLOOKUP($D1137,'SAMA Consumables Tracker'!$A:$H,8,FALSE()),""))</f>
        <v/>
      </c>
      <c r="F1137" s="24"/>
      <c r="G1137" s="25" t="str">
        <f>IF($D1137="","",IFERROR(VLOOKUP($D1137,'SAMA Consumables Tracker'!$A:$D,4,FALSE()),""))</f>
        <v/>
      </c>
      <c r="H1137" s="22"/>
    </row>
    <row r="1138" spans="1:8">
      <c r="A1138" s="21"/>
      <c r="B1138" s="22"/>
      <c r="C1138" s="22"/>
      <c r="D1138" s="22"/>
      <c r="E1138" s="23" t="str">
        <f>IF($D1138="","",IFERROR(VLOOKUP($D1138,'SAMA Consumables Tracker'!$A:$H,8,FALSE()),""))</f>
        <v/>
      </c>
      <c r="F1138" s="24"/>
      <c r="G1138" s="25" t="str">
        <f>IF($D1138="","",IFERROR(VLOOKUP($D1138,'SAMA Consumables Tracker'!$A:$D,4,FALSE()),""))</f>
        <v/>
      </c>
      <c r="H1138" s="22"/>
    </row>
    <row r="1139" spans="1:8">
      <c r="A1139" s="21"/>
      <c r="B1139" s="22"/>
      <c r="C1139" s="22"/>
      <c r="D1139" s="22"/>
      <c r="E1139" s="23" t="str">
        <f>IF($D1139="","",IFERROR(VLOOKUP($D1139,'SAMA Consumables Tracker'!$A:$H,8,FALSE()),""))</f>
        <v/>
      </c>
      <c r="F1139" s="24"/>
      <c r="G1139" s="25" t="str">
        <f>IF($D1139="","",IFERROR(VLOOKUP($D1139,'SAMA Consumables Tracker'!$A:$D,4,FALSE()),""))</f>
        <v/>
      </c>
      <c r="H1139" s="22"/>
    </row>
    <row r="1140" spans="1:8">
      <c r="A1140" s="21"/>
      <c r="B1140" s="22"/>
      <c r="C1140" s="22"/>
      <c r="D1140" s="22"/>
      <c r="E1140" s="23" t="str">
        <f>IF($D1140="","",IFERROR(VLOOKUP($D1140,'SAMA Consumables Tracker'!$A:$H,8,FALSE()),""))</f>
        <v/>
      </c>
      <c r="F1140" s="24"/>
      <c r="G1140" s="25" t="str">
        <f>IF($D1140="","",IFERROR(VLOOKUP($D1140,'SAMA Consumables Tracker'!$A:$D,4,FALSE()),""))</f>
        <v/>
      </c>
      <c r="H1140" s="22"/>
    </row>
    <row r="1141" spans="1:8">
      <c r="A1141" s="21"/>
      <c r="B1141" s="22"/>
      <c r="C1141" s="22"/>
      <c r="D1141" s="22"/>
      <c r="E1141" s="23" t="str">
        <f>IF($D1141="","",IFERROR(VLOOKUP($D1141,'SAMA Consumables Tracker'!$A:$H,8,FALSE()),""))</f>
        <v/>
      </c>
      <c r="F1141" s="24"/>
      <c r="G1141" s="25" t="str">
        <f>IF($D1141="","",IFERROR(VLOOKUP($D1141,'SAMA Consumables Tracker'!$A:$D,4,FALSE()),""))</f>
        <v/>
      </c>
      <c r="H1141" s="22"/>
    </row>
    <row r="1142" spans="1:8">
      <c r="A1142" s="21"/>
      <c r="B1142" s="22"/>
      <c r="C1142" s="22"/>
      <c r="D1142" s="22"/>
      <c r="E1142" s="23" t="str">
        <f>IF($D1142="","",IFERROR(VLOOKUP($D1142,'SAMA Consumables Tracker'!$A:$H,8,FALSE()),""))</f>
        <v/>
      </c>
      <c r="F1142" s="24"/>
      <c r="G1142" s="25" t="str">
        <f>IF($D1142="","",IFERROR(VLOOKUP($D1142,'SAMA Consumables Tracker'!$A:$D,4,FALSE()),""))</f>
        <v/>
      </c>
      <c r="H1142" s="22"/>
    </row>
    <row r="1143" spans="1:8">
      <c r="A1143" s="21"/>
      <c r="B1143" s="22"/>
      <c r="C1143" s="22"/>
      <c r="D1143" s="22"/>
      <c r="E1143" s="23" t="str">
        <f>IF($D1143="","",IFERROR(VLOOKUP($D1143,'SAMA Consumables Tracker'!$A:$H,8,FALSE()),""))</f>
        <v/>
      </c>
      <c r="F1143" s="24"/>
      <c r="G1143" s="25" t="str">
        <f>IF($D1143="","",IFERROR(VLOOKUP($D1143,'SAMA Consumables Tracker'!$A:$D,4,FALSE()),""))</f>
        <v/>
      </c>
      <c r="H1143" s="22"/>
    </row>
    <row r="1144" spans="1:8">
      <c r="A1144" s="21"/>
      <c r="B1144" s="22"/>
      <c r="C1144" s="22"/>
      <c r="D1144" s="22"/>
      <c r="E1144" s="23" t="str">
        <f>IF($D1144="","",IFERROR(VLOOKUP($D1144,'SAMA Consumables Tracker'!$A:$H,8,FALSE()),""))</f>
        <v/>
      </c>
      <c r="F1144" s="24"/>
      <c r="G1144" s="25" t="str">
        <f>IF($D1144="","",IFERROR(VLOOKUP($D1144,'SAMA Consumables Tracker'!$A:$D,4,FALSE()),""))</f>
        <v/>
      </c>
      <c r="H1144" s="22"/>
    </row>
    <row r="1145" spans="1:8">
      <c r="A1145" s="21"/>
      <c r="B1145" s="22"/>
      <c r="C1145" s="22"/>
      <c r="D1145" s="22"/>
      <c r="E1145" s="23" t="str">
        <f>IF($D1145="","",IFERROR(VLOOKUP($D1145,'SAMA Consumables Tracker'!$A:$H,8,FALSE()),""))</f>
        <v/>
      </c>
      <c r="F1145" s="24"/>
      <c r="G1145" s="25" t="str">
        <f>IF($D1145="","",IFERROR(VLOOKUP($D1145,'SAMA Consumables Tracker'!$A:$D,4,FALSE()),""))</f>
        <v/>
      </c>
      <c r="H1145" s="22"/>
    </row>
    <row r="1146" spans="1:8">
      <c r="A1146" s="21"/>
      <c r="B1146" s="22"/>
      <c r="C1146" s="22"/>
      <c r="D1146" s="22"/>
      <c r="E1146" s="23" t="str">
        <f>IF($D1146="","",IFERROR(VLOOKUP($D1146,'SAMA Consumables Tracker'!$A:$H,8,FALSE()),""))</f>
        <v/>
      </c>
      <c r="F1146" s="24"/>
      <c r="G1146" s="25" t="str">
        <f>IF($D1146="","",IFERROR(VLOOKUP($D1146,'SAMA Consumables Tracker'!$A:$D,4,FALSE()),""))</f>
        <v/>
      </c>
      <c r="H1146" s="22"/>
    </row>
    <row r="1147" spans="1:8">
      <c r="A1147" s="21"/>
      <c r="B1147" s="22"/>
      <c r="C1147" s="22"/>
      <c r="D1147" s="22"/>
      <c r="E1147" s="23" t="str">
        <f>IF($D1147="","",IFERROR(VLOOKUP($D1147,'SAMA Consumables Tracker'!$A:$H,8,FALSE()),""))</f>
        <v/>
      </c>
      <c r="F1147" s="24"/>
      <c r="G1147" s="25" t="str">
        <f>IF($D1147="","",IFERROR(VLOOKUP($D1147,'SAMA Consumables Tracker'!$A:$D,4,FALSE()),""))</f>
        <v/>
      </c>
      <c r="H1147" s="22"/>
    </row>
    <row r="1148" spans="1:8">
      <c r="A1148" s="21"/>
      <c r="B1148" s="22"/>
      <c r="C1148" s="22"/>
      <c r="D1148" s="22"/>
      <c r="E1148" s="23" t="str">
        <f>IF($D1148="","",IFERROR(VLOOKUP($D1148,'SAMA Consumables Tracker'!$A:$H,8,FALSE()),""))</f>
        <v/>
      </c>
      <c r="F1148" s="24"/>
      <c r="G1148" s="25" t="str">
        <f>IF($D1148="","",IFERROR(VLOOKUP($D1148,'SAMA Consumables Tracker'!$A:$D,4,FALSE()),""))</f>
        <v/>
      </c>
      <c r="H1148" s="22"/>
    </row>
    <row r="1149" spans="1:8">
      <c r="A1149" s="21"/>
      <c r="B1149" s="22"/>
      <c r="C1149" s="22"/>
      <c r="D1149" s="22"/>
      <c r="E1149" s="23" t="str">
        <f>IF($D1149="","",IFERROR(VLOOKUP($D1149,'SAMA Consumables Tracker'!$A:$H,8,FALSE()),""))</f>
        <v/>
      </c>
      <c r="F1149" s="24"/>
      <c r="G1149" s="25" t="str">
        <f>IF($D1149="","",IFERROR(VLOOKUP($D1149,'SAMA Consumables Tracker'!$A:$D,4,FALSE()),""))</f>
        <v/>
      </c>
      <c r="H1149" s="22"/>
    </row>
    <row r="1150" spans="1:8">
      <c r="A1150" s="21"/>
      <c r="B1150" s="22"/>
      <c r="C1150" s="22"/>
      <c r="D1150" s="22"/>
      <c r="E1150" s="23" t="str">
        <f>IF($D1150="","",IFERROR(VLOOKUP($D1150,'SAMA Consumables Tracker'!$A:$H,8,FALSE()),""))</f>
        <v/>
      </c>
      <c r="F1150" s="24"/>
      <c r="G1150" s="25" t="str">
        <f>IF($D1150="","",IFERROR(VLOOKUP($D1150,'SAMA Consumables Tracker'!$A:$D,4,FALSE()),""))</f>
        <v/>
      </c>
      <c r="H1150" s="22"/>
    </row>
    <row r="1151" spans="1:8">
      <c r="A1151" s="21"/>
      <c r="B1151" s="22"/>
      <c r="C1151" s="22"/>
      <c r="D1151" s="22"/>
      <c r="E1151" s="23" t="str">
        <f>IF($D1151="","",IFERROR(VLOOKUP($D1151,'SAMA Consumables Tracker'!$A:$H,8,FALSE()),""))</f>
        <v/>
      </c>
      <c r="F1151" s="24"/>
      <c r="G1151" s="25" t="str">
        <f>IF($D1151="","",IFERROR(VLOOKUP($D1151,'SAMA Consumables Tracker'!$A:$D,4,FALSE()),""))</f>
        <v/>
      </c>
      <c r="H1151" s="22"/>
    </row>
    <row r="1152" spans="1:8">
      <c r="A1152" s="21"/>
      <c r="B1152" s="22"/>
      <c r="C1152" s="22"/>
      <c r="D1152" s="22"/>
      <c r="E1152" s="23" t="str">
        <f>IF($D1152="","",IFERROR(VLOOKUP($D1152,'SAMA Consumables Tracker'!$A:$H,8,FALSE()),""))</f>
        <v/>
      </c>
      <c r="F1152" s="24"/>
      <c r="G1152" s="25" t="str">
        <f>IF($D1152="","",IFERROR(VLOOKUP($D1152,'SAMA Consumables Tracker'!$A:$D,4,FALSE()),""))</f>
        <v/>
      </c>
      <c r="H1152" s="22"/>
    </row>
    <row r="1153" spans="1:8">
      <c r="A1153" s="21"/>
      <c r="B1153" s="22"/>
      <c r="C1153" s="22"/>
      <c r="D1153" s="22"/>
      <c r="E1153" s="23" t="str">
        <f>IF($D1153="","",IFERROR(VLOOKUP($D1153,'SAMA Consumables Tracker'!$A:$H,8,FALSE()),""))</f>
        <v/>
      </c>
      <c r="F1153" s="24"/>
      <c r="G1153" s="25" t="str">
        <f>IF($D1153="","",IFERROR(VLOOKUP($D1153,'SAMA Consumables Tracker'!$A:$D,4,FALSE()),""))</f>
        <v/>
      </c>
      <c r="H1153" s="22"/>
    </row>
    <row r="1154" spans="1:8">
      <c r="A1154" s="21"/>
      <c r="B1154" s="22"/>
      <c r="C1154" s="22"/>
      <c r="D1154" s="22"/>
      <c r="E1154" s="23" t="str">
        <f>IF($D1154="","",IFERROR(VLOOKUP($D1154,'SAMA Consumables Tracker'!$A:$H,8,FALSE()),""))</f>
        <v/>
      </c>
      <c r="F1154" s="24"/>
      <c r="G1154" s="25" t="str">
        <f>IF($D1154="","",IFERROR(VLOOKUP($D1154,'SAMA Consumables Tracker'!$A:$D,4,FALSE()),""))</f>
        <v/>
      </c>
      <c r="H1154" s="22"/>
    </row>
    <row r="1155" spans="1:8">
      <c r="A1155" s="21"/>
      <c r="B1155" s="22"/>
      <c r="C1155" s="22"/>
      <c r="D1155" s="22"/>
      <c r="E1155" s="23" t="str">
        <f>IF($D1155="","",IFERROR(VLOOKUP($D1155,'SAMA Consumables Tracker'!$A:$H,8,FALSE()),""))</f>
        <v/>
      </c>
      <c r="F1155" s="24"/>
      <c r="G1155" s="25" t="str">
        <f>IF($D1155="","",IFERROR(VLOOKUP($D1155,'SAMA Consumables Tracker'!$A:$D,4,FALSE()),""))</f>
        <v/>
      </c>
      <c r="H1155" s="22"/>
    </row>
    <row r="1156" spans="1:8">
      <c r="A1156" s="21"/>
      <c r="B1156" s="22"/>
      <c r="C1156" s="22"/>
      <c r="D1156" s="22"/>
      <c r="E1156" s="23" t="str">
        <f>IF($D1156="","",IFERROR(VLOOKUP($D1156,'SAMA Consumables Tracker'!$A:$H,8,FALSE()),""))</f>
        <v/>
      </c>
      <c r="F1156" s="24"/>
      <c r="G1156" s="25" t="str">
        <f>IF($D1156="","",IFERROR(VLOOKUP($D1156,'SAMA Consumables Tracker'!$A:$D,4,FALSE()),""))</f>
        <v/>
      </c>
      <c r="H1156" s="22"/>
    </row>
    <row r="1157" spans="1:8">
      <c r="A1157" s="21"/>
      <c r="B1157" s="22"/>
      <c r="C1157" s="22"/>
      <c r="D1157" s="22"/>
      <c r="E1157" s="23" t="str">
        <f>IF($D1157="","",IFERROR(VLOOKUP($D1157,'SAMA Consumables Tracker'!$A:$H,8,FALSE()),""))</f>
        <v/>
      </c>
      <c r="F1157" s="24"/>
      <c r="G1157" s="25" t="str">
        <f>IF($D1157="","",IFERROR(VLOOKUP($D1157,'SAMA Consumables Tracker'!$A:$D,4,FALSE()),""))</f>
        <v/>
      </c>
      <c r="H1157" s="22"/>
    </row>
    <row r="1158" spans="1:8">
      <c r="A1158" s="21"/>
      <c r="B1158" s="22"/>
      <c r="C1158" s="22"/>
      <c r="D1158" s="22"/>
      <c r="E1158" s="23" t="str">
        <f>IF($D1158="","",IFERROR(VLOOKUP($D1158,'SAMA Consumables Tracker'!$A:$H,8,FALSE()),""))</f>
        <v/>
      </c>
      <c r="F1158" s="24"/>
      <c r="G1158" s="25" t="str">
        <f>IF($D1158="","",IFERROR(VLOOKUP($D1158,'SAMA Consumables Tracker'!$A:$D,4,FALSE()),""))</f>
        <v/>
      </c>
      <c r="H1158" s="22"/>
    </row>
    <row r="1159" spans="1:8">
      <c r="A1159" s="21"/>
      <c r="B1159" s="22"/>
      <c r="C1159" s="22"/>
      <c r="D1159" s="22"/>
      <c r="E1159" s="23" t="str">
        <f>IF($D1159="","",IFERROR(VLOOKUP($D1159,'SAMA Consumables Tracker'!$A:$H,8,FALSE()),""))</f>
        <v/>
      </c>
      <c r="F1159" s="24"/>
      <c r="G1159" s="25" t="str">
        <f>IF($D1159="","",IFERROR(VLOOKUP($D1159,'SAMA Consumables Tracker'!$A:$D,4,FALSE()),""))</f>
        <v/>
      </c>
      <c r="H1159" s="22"/>
    </row>
    <row r="1160" spans="1:8">
      <c r="A1160" s="21"/>
      <c r="B1160" s="22"/>
      <c r="C1160" s="22"/>
      <c r="D1160" s="22"/>
      <c r="E1160" s="23" t="str">
        <f>IF($D1160="","",IFERROR(VLOOKUP($D1160,'SAMA Consumables Tracker'!$A:$H,8,FALSE()),""))</f>
        <v/>
      </c>
      <c r="F1160" s="24"/>
      <c r="G1160" s="25" t="str">
        <f>IF($D1160="","",IFERROR(VLOOKUP($D1160,'SAMA Consumables Tracker'!$A:$D,4,FALSE()),""))</f>
        <v/>
      </c>
      <c r="H1160" s="22"/>
    </row>
    <row r="1161" spans="1:8">
      <c r="A1161" s="21"/>
      <c r="B1161" s="22"/>
      <c r="C1161" s="22"/>
      <c r="D1161" s="22"/>
      <c r="E1161" s="23" t="str">
        <f>IF($D1161="","",IFERROR(VLOOKUP($D1161,'SAMA Consumables Tracker'!$A:$H,8,FALSE()),""))</f>
        <v/>
      </c>
      <c r="F1161" s="24"/>
      <c r="G1161" s="25" t="str">
        <f>IF($D1161="","",IFERROR(VLOOKUP($D1161,'SAMA Consumables Tracker'!$A:$D,4,FALSE()),""))</f>
        <v/>
      </c>
      <c r="H1161" s="22"/>
    </row>
    <row r="1162" spans="1:8">
      <c r="A1162" s="21"/>
      <c r="B1162" s="22"/>
      <c r="C1162" s="22"/>
      <c r="D1162" s="22"/>
      <c r="E1162" s="23" t="str">
        <f>IF($D1162="","",IFERROR(VLOOKUP($D1162,'SAMA Consumables Tracker'!$A:$H,8,FALSE()),""))</f>
        <v/>
      </c>
      <c r="F1162" s="24"/>
      <c r="G1162" s="25" t="str">
        <f>IF($D1162="","",IFERROR(VLOOKUP($D1162,'SAMA Consumables Tracker'!$A:$D,4,FALSE()),""))</f>
        <v/>
      </c>
      <c r="H1162" s="22"/>
    </row>
    <row r="1163" spans="1:8">
      <c r="A1163" s="21"/>
      <c r="B1163" s="22"/>
      <c r="C1163" s="22"/>
      <c r="D1163" s="22"/>
      <c r="E1163" s="23" t="str">
        <f>IF($D1163="","",IFERROR(VLOOKUP($D1163,'SAMA Consumables Tracker'!$A:$H,8,FALSE()),""))</f>
        <v/>
      </c>
      <c r="F1163" s="24"/>
      <c r="G1163" s="25" t="str">
        <f>IF($D1163="","",IFERROR(VLOOKUP($D1163,'SAMA Consumables Tracker'!$A:$D,4,FALSE()),""))</f>
        <v/>
      </c>
      <c r="H1163" s="22"/>
    </row>
    <row r="1164" spans="1:8">
      <c r="A1164" s="21"/>
      <c r="B1164" s="22"/>
      <c r="C1164" s="22"/>
      <c r="D1164" s="22"/>
      <c r="E1164" s="23" t="str">
        <f>IF($D1164="","",IFERROR(VLOOKUP($D1164,'SAMA Consumables Tracker'!$A:$H,8,FALSE()),""))</f>
        <v/>
      </c>
      <c r="F1164" s="24"/>
      <c r="G1164" s="25" t="str">
        <f>IF($D1164="","",IFERROR(VLOOKUP($D1164,'SAMA Consumables Tracker'!$A:$D,4,FALSE()),""))</f>
        <v/>
      </c>
      <c r="H1164" s="22"/>
    </row>
    <row r="1165" spans="1:8">
      <c r="A1165" s="21"/>
      <c r="B1165" s="22"/>
      <c r="C1165" s="22"/>
      <c r="D1165" s="22"/>
      <c r="E1165" s="23" t="str">
        <f>IF($D1165="","",IFERROR(VLOOKUP($D1165,'SAMA Consumables Tracker'!$A:$H,8,FALSE()),""))</f>
        <v/>
      </c>
      <c r="F1165" s="24"/>
      <c r="G1165" s="25" t="str">
        <f>IF($D1165="","",IFERROR(VLOOKUP($D1165,'SAMA Consumables Tracker'!$A:$D,4,FALSE()),""))</f>
        <v/>
      </c>
      <c r="H1165" s="22"/>
    </row>
    <row r="1166" spans="1:8">
      <c r="A1166" s="21"/>
      <c r="B1166" s="22"/>
      <c r="C1166" s="22"/>
      <c r="D1166" s="22"/>
      <c r="E1166" s="23" t="str">
        <f>IF($D1166="","",IFERROR(VLOOKUP($D1166,'SAMA Consumables Tracker'!$A:$H,8,FALSE()),""))</f>
        <v/>
      </c>
      <c r="F1166" s="24"/>
      <c r="G1166" s="25" t="str">
        <f>IF($D1166="","",IFERROR(VLOOKUP($D1166,'SAMA Consumables Tracker'!$A:$D,4,FALSE()),""))</f>
        <v/>
      </c>
      <c r="H1166" s="22"/>
    </row>
    <row r="1167" spans="1:8">
      <c r="A1167" s="21"/>
      <c r="B1167" s="22"/>
      <c r="C1167" s="22"/>
      <c r="D1167" s="22"/>
      <c r="E1167" s="23" t="str">
        <f>IF($D1167="","",IFERROR(VLOOKUP($D1167,'SAMA Consumables Tracker'!$A:$H,8,FALSE()),""))</f>
        <v/>
      </c>
      <c r="F1167" s="24"/>
      <c r="G1167" s="25" t="str">
        <f>IF($D1167="","",IFERROR(VLOOKUP($D1167,'SAMA Consumables Tracker'!$A:$D,4,FALSE()),""))</f>
        <v/>
      </c>
      <c r="H1167" s="22"/>
    </row>
    <row r="1168" spans="1:8">
      <c r="A1168" s="21"/>
      <c r="B1168" s="22"/>
      <c r="C1168" s="22"/>
      <c r="D1168" s="22"/>
      <c r="E1168" s="23" t="str">
        <f>IF($D1168="","",IFERROR(VLOOKUP($D1168,'SAMA Consumables Tracker'!$A:$H,8,FALSE()),""))</f>
        <v/>
      </c>
      <c r="F1168" s="24"/>
      <c r="G1168" s="25" t="str">
        <f>IF($D1168="","",IFERROR(VLOOKUP($D1168,'SAMA Consumables Tracker'!$A:$D,4,FALSE()),""))</f>
        <v/>
      </c>
      <c r="H1168" s="22"/>
    </row>
    <row r="1169" spans="1:8">
      <c r="A1169" s="21"/>
      <c r="B1169" s="22"/>
      <c r="C1169" s="22"/>
      <c r="D1169" s="22"/>
      <c r="E1169" s="23" t="str">
        <f>IF($D1169="","",IFERROR(VLOOKUP($D1169,'SAMA Consumables Tracker'!$A:$H,8,FALSE()),""))</f>
        <v/>
      </c>
      <c r="F1169" s="24"/>
      <c r="G1169" s="25" t="str">
        <f>IF($D1169="","",IFERROR(VLOOKUP($D1169,'SAMA Consumables Tracker'!$A:$D,4,FALSE()),""))</f>
        <v/>
      </c>
      <c r="H1169" s="22"/>
    </row>
    <row r="1170" spans="1:8">
      <c r="A1170" s="21"/>
      <c r="B1170" s="22"/>
      <c r="C1170" s="22"/>
      <c r="D1170" s="22"/>
      <c r="E1170" s="23" t="str">
        <f>IF($D1170="","",IFERROR(VLOOKUP($D1170,'SAMA Consumables Tracker'!$A:$H,8,FALSE()),""))</f>
        <v/>
      </c>
      <c r="F1170" s="24"/>
      <c r="G1170" s="25" t="str">
        <f>IF($D1170="","",IFERROR(VLOOKUP($D1170,'SAMA Consumables Tracker'!$A:$D,4,FALSE()),""))</f>
        <v/>
      </c>
      <c r="H1170" s="22"/>
    </row>
    <row r="1171" spans="1:8">
      <c r="A1171" s="21"/>
      <c r="B1171" s="22"/>
      <c r="C1171" s="22"/>
      <c r="D1171" s="22"/>
      <c r="E1171" s="23" t="str">
        <f>IF($D1171="","",IFERROR(VLOOKUP($D1171,'SAMA Consumables Tracker'!$A:$H,8,FALSE()),""))</f>
        <v/>
      </c>
      <c r="F1171" s="24"/>
      <c r="G1171" s="25" t="str">
        <f>IF($D1171="","",IFERROR(VLOOKUP($D1171,'SAMA Consumables Tracker'!$A:$D,4,FALSE()),""))</f>
        <v/>
      </c>
      <c r="H1171" s="22"/>
    </row>
    <row r="1172" spans="1:8">
      <c r="A1172" s="21"/>
      <c r="B1172" s="22"/>
      <c r="C1172" s="22"/>
      <c r="D1172" s="22"/>
      <c r="E1172" s="23" t="str">
        <f>IF($D1172="","",IFERROR(VLOOKUP($D1172,'SAMA Consumables Tracker'!$A:$H,8,FALSE()),""))</f>
        <v/>
      </c>
      <c r="F1172" s="24"/>
      <c r="G1172" s="25" t="str">
        <f>IF($D1172="","",IFERROR(VLOOKUP($D1172,'SAMA Consumables Tracker'!$A:$D,4,FALSE()),""))</f>
        <v/>
      </c>
      <c r="H1172" s="22"/>
    </row>
    <row r="1173" spans="1:8">
      <c r="A1173" s="21"/>
      <c r="B1173" s="22"/>
      <c r="C1173" s="22"/>
      <c r="D1173" s="22"/>
      <c r="E1173" s="23" t="str">
        <f>IF($D1173="","",IFERROR(VLOOKUP($D1173,'SAMA Consumables Tracker'!$A:$H,8,FALSE()),""))</f>
        <v/>
      </c>
      <c r="F1173" s="24"/>
      <c r="G1173" s="25" t="str">
        <f>IF($D1173="","",IFERROR(VLOOKUP($D1173,'SAMA Consumables Tracker'!$A:$D,4,FALSE()),""))</f>
        <v/>
      </c>
      <c r="H1173" s="22"/>
    </row>
    <row r="1174" spans="1:8">
      <c r="A1174" s="21"/>
      <c r="B1174" s="22"/>
      <c r="C1174" s="22"/>
      <c r="D1174" s="22"/>
      <c r="E1174" s="23" t="str">
        <f>IF($D1174="","",IFERROR(VLOOKUP($D1174,'SAMA Consumables Tracker'!$A:$H,8,FALSE()),""))</f>
        <v/>
      </c>
      <c r="F1174" s="24"/>
      <c r="G1174" s="25" t="str">
        <f>IF($D1174="","",IFERROR(VLOOKUP($D1174,'SAMA Consumables Tracker'!$A:$D,4,FALSE()),""))</f>
        <v/>
      </c>
      <c r="H1174" s="22"/>
    </row>
    <row r="1175" spans="1:8">
      <c r="A1175" s="21"/>
      <c r="B1175" s="22"/>
      <c r="C1175" s="22"/>
      <c r="D1175" s="22"/>
      <c r="E1175" s="23" t="str">
        <f>IF($D1175="","",IFERROR(VLOOKUP($D1175,'SAMA Consumables Tracker'!$A:$H,8,FALSE()),""))</f>
        <v/>
      </c>
      <c r="F1175" s="24"/>
      <c r="G1175" s="25" t="str">
        <f>IF($D1175="","",IFERROR(VLOOKUP($D1175,'SAMA Consumables Tracker'!$A:$D,4,FALSE()),""))</f>
        <v/>
      </c>
      <c r="H1175" s="22"/>
    </row>
    <row r="1176" spans="1:8">
      <c r="A1176" s="21"/>
      <c r="B1176" s="22"/>
      <c r="C1176" s="22"/>
      <c r="D1176" s="22"/>
      <c r="E1176" s="23" t="str">
        <f>IF($D1176="","",IFERROR(VLOOKUP($D1176,'SAMA Consumables Tracker'!$A:$H,8,FALSE()),""))</f>
        <v/>
      </c>
      <c r="F1176" s="24"/>
      <c r="G1176" s="25" t="str">
        <f>IF($D1176="","",IFERROR(VLOOKUP($D1176,'SAMA Consumables Tracker'!$A:$D,4,FALSE()),""))</f>
        <v/>
      </c>
      <c r="H1176" s="22"/>
    </row>
    <row r="1177" spans="1:8">
      <c r="A1177" s="21"/>
      <c r="B1177" s="22"/>
      <c r="C1177" s="22"/>
      <c r="D1177" s="22"/>
      <c r="E1177" s="23" t="str">
        <f>IF($D1177="","",IFERROR(VLOOKUP($D1177,'SAMA Consumables Tracker'!$A:$H,8,FALSE()),""))</f>
        <v/>
      </c>
      <c r="F1177" s="24"/>
      <c r="G1177" s="25" t="str">
        <f>IF($D1177="","",IFERROR(VLOOKUP($D1177,'SAMA Consumables Tracker'!$A:$D,4,FALSE()),""))</f>
        <v/>
      </c>
      <c r="H1177" s="22"/>
    </row>
    <row r="1178" spans="1:8">
      <c r="A1178" s="21"/>
      <c r="B1178" s="22"/>
      <c r="C1178" s="22"/>
      <c r="D1178" s="22"/>
      <c r="E1178" s="23" t="str">
        <f>IF($D1178="","",IFERROR(VLOOKUP($D1178,'SAMA Consumables Tracker'!$A:$H,8,FALSE()),""))</f>
        <v/>
      </c>
      <c r="F1178" s="24"/>
      <c r="G1178" s="25" t="str">
        <f>IF($D1178="","",IFERROR(VLOOKUP($D1178,'SAMA Consumables Tracker'!$A:$D,4,FALSE()),""))</f>
        <v/>
      </c>
      <c r="H1178" s="22"/>
    </row>
    <row r="1179" spans="1:8">
      <c r="A1179" s="21"/>
      <c r="B1179" s="22"/>
      <c r="C1179" s="22"/>
      <c r="D1179" s="22"/>
      <c r="E1179" s="23" t="str">
        <f>IF($D1179="","",IFERROR(VLOOKUP($D1179,'SAMA Consumables Tracker'!$A:$H,8,FALSE()),""))</f>
        <v/>
      </c>
      <c r="F1179" s="24"/>
      <c r="G1179" s="25" t="str">
        <f>IF($D1179="","",IFERROR(VLOOKUP($D1179,'SAMA Consumables Tracker'!$A:$D,4,FALSE()),""))</f>
        <v/>
      </c>
      <c r="H1179" s="22"/>
    </row>
    <row r="1180" spans="1:8">
      <c r="A1180" s="21"/>
      <c r="B1180" s="22"/>
      <c r="C1180" s="22"/>
      <c r="D1180" s="22"/>
      <c r="E1180" s="23" t="str">
        <f>IF($D1180="","",IFERROR(VLOOKUP($D1180,'SAMA Consumables Tracker'!$A:$H,8,FALSE()),""))</f>
        <v/>
      </c>
      <c r="F1180" s="24"/>
      <c r="G1180" s="25" t="str">
        <f>IF($D1180="","",IFERROR(VLOOKUP($D1180,'SAMA Consumables Tracker'!$A:$D,4,FALSE()),""))</f>
        <v/>
      </c>
      <c r="H1180" s="22"/>
    </row>
    <row r="1181" spans="1:8">
      <c r="A1181" s="21"/>
      <c r="B1181" s="22"/>
      <c r="C1181" s="22"/>
      <c r="D1181" s="22"/>
      <c r="E1181" s="23" t="str">
        <f>IF($D1181="","",IFERROR(VLOOKUP($D1181,'SAMA Consumables Tracker'!$A:$H,8,FALSE()),""))</f>
        <v/>
      </c>
      <c r="F1181" s="24"/>
      <c r="G1181" s="25" t="str">
        <f>IF($D1181="","",IFERROR(VLOOKUP($D1181,'SAMA Consumables Tracker'!$A:$D,4,FALSE()),""))</f>
        <v/>
      </c>
      <c r="H1181" s="22"/>
    </row>
    <row r="1182" spans="1:8">
      <c r="A1182" s="21"/>
      <c r="B1182" s="22"/>
      <c r="C1182" s="22"/>
      <c r="D1182" s="22"/>
      <c r="E1182" s="23" t="str">
        <f>IF($D1182="","",IFERROR(VLOOKUP($D1182,'SAMA Consumables Tracker'!$A:$H,8,FALSE()),""))</f>
        <v/>
      </c>
      <c r="F1182" s="24"/>
      <c r="G1182" s="25" t="str">
        <f>IF($D1182="","",IFERROR(VLOOKUP($D1182,'SAMA Consumables Tracker'!$A:$D,4,FALSE()),""))</f>
        <v/>
      </c>
      <c r="H1182" s="22"/>
    </row>
    <row r="1183" spans="1:8">
      <c r="A1183" s="21"/>
      <c r="B1183" s="22"/>
      <c r="C1183" s="22"/>
      <c r="D1183" s="22"/>
      <c r="E1183" s="23" t="str">
        <f>IF($D1183="","",IFERROR(VLOOKUP($D1183,'SAMA Consumables Tracker'!$A:$H,8,FALSE()),""))</f>
        <v/>
      </c>
      <c r="F1183" s="24"/>
      <c r="G1183" s="25" t="str">
        <f>IF($D1183="","",IFERROR(VLOOKUP($D1183,'SAMA Consumables Tracker'!$A:$D,4,FALSE()),""))</f>
        <v/>
      </c>
      <c r="H1183" s="22"/>
    </row>
    <row r="1184" spans="1:8">
      <c r="A1184" s="21"/>
      <c r="B1184" s="22"/>
      <c r="C1184" s="22"/>
      <c r="D1184" s="22"/>
      <c r="E1184" s="23" t="str">
        <f>IF($D1184="","",IFERROR(VLOOKUP($D1184,'SAMA Consumables Tracker'!$A:$H,8,FALSE()),""))</f>
        <v/>
      </c>
      <c r="F1184" s="24"/>
      <c r="G1184" s="25" t="str">
        <f>IF($D1184="","",IFERROR(VLOOKUP($D1184,'SAMA Consumables Tracker'!$A:$D,4,FALSE()),""))</f>
        <v/>
      </c>
      <c r="H1184" s="22"/>
    </row>
    <row r="1185" spans="1:8">
      <c r="A1185" s="21"/>
      <c r="B1185" s="22"/>
      <c r="C1185" s="22"/>
      <c r="D1185" s="22"/>
      <c r="E1185" s="23" t="str">
        <f>IF($D1185="","",IFERROR(VLOOKUP($D1185,'SAMA Consumables Tracker'!$A:$H,8,FALSE()),""))</f>
        <v/>
      </c>
      <c r="F1185" s="24"/>
      <c r="G1185" s="25" t="str">
        <f>IF($D1185="","",IFERROR(VLOOKUP($D1185,'SAMA Consumables Tracker'!$A:$D,4,FALSE()),""))</f>
        <v/>
      </c>
      <c r="H1185" s="22"/>
    </row>
    <row r="1186" spans="1:8">
      <c r="A1186" s="21"/>
      <c r="B1186" s="22"/>
      <c r="C1186" s="22"/>
      <c r="D1186" s="22"/>
      <c r="E1186" s="23" t="str">
        <f>IF($D1186="","",IFERROR(VLOOKUP($D1186,'SAMA Consumables Tracker'!$A:$H,8,FALSE()),""))</f>
        <v/>
      </c>
      <c r="F1186" s="24"/>
      <c r="G1186" s="25" t="str">
        <f>IF($D1186="","",IFERROR(VLOOKUP($D1186,'SAMA Consumables Tracker'!$A:$D,4,FALSE()),""))</f>
        <v/>
      </c>
      <c r="H1186" s="22"/>
    </row>
    <row r="1187" spans="1:8">
      <c r="A1187" s="21"/>
      <c r="B1187" s="22"/>
      <c r="C1187" s="22"/>
      <c r="D1187" s="22"/>
      <c r="E1187" s="23" t="str">
        <f>IF($D1187="","",IFERROR(VLOOKUP($D1187,'SAMA Consumables Tracker'!$A:$H,8,FALSE()),""))</f>
        <v/>
      </c>
      <c r="F1187" s="24"/>
      <c r="G1187" s="25" t="str">
        <f>IF($D1187="","",IFERROR(VLOOKUP($D1187,'SAMA Consumables Tracker'!$A:$D,4,FALSE()),""))</f>
        <v/>
      </c>
      <c r="H1187" s="22"/>
    </row>
    <row r="1188" spans="1:8">
      <c r="A1188" s="21"/>
      <c r="B1188" s="22"/>
      <c r="C1188" s="22"/>
      <c r="D1188" s="22"/>
      <c r="E1188" s="23" t="str">
        <f>IF($D1188="","",IFERROR(VLOOKUP($D1188,'SAMA Consumables Tracker'!$A:$H,8,FALSE()),""))</f>
        <v/>
      </c>
      <c r="F1188" s="24"/>
      <c r="G1188" s="25" t="str">
        <f>IF($D1188="","",IFERROR(VLOOKUP($D1188,'SAMA Consumables Tracker'!$A:$D,4,FALSE()),""))</f>
        <v/>
      </c>
      <c r="H1188" s="22"/>
    </row>
    <row r="1189" spans="1:8">
      <c r="A1189" s="21"/>
      <c r="B1189" s="22"/>
      <c r="C1189" s="22"/>
      <c r="D1189" s="22"/>
      <c r="E1189" s="23" t="str">
        <f>IF($D1189="","",IFERROR(VLOOKUP($D1189,'SAMA Consumables Tracker'!$A:$H,8,FALSE()),""))</f>
        <v/>
      </c>
      <c r="F1189" s="24"/>
      <c r="G1189" s="25" t="str">
        <f>IF($D1189="","",IFERROR(VLOOKUP($D1189,'SAMA Consumables Tracker'!$A:$D,4,FALSE()),""))</f>
        <v/>
      </c>
      <c r="H1189" s="22"/>
    </row>
    <row r="1190" spans="1:8">
      <c r="A1190" s="21"/>
      <c r="B1190" s="22"/>
      <c r="C1190" s="22"/>
      <c r="D1190" s="22"/>
      <c r="E1190" s="23" t="str">
        <f>IF($D1190="","",IFERROR(VLOOKUP($D1190,'SAMA Consumables Tracker'!$A:$H,8,FALSE()),""))</f>
        <v/>
      </c>
      <c r="F1190" s="24"/>
      <c r="G1190" s="25" t="str">
        <f>IF($D1190="","",IFERROR(VLOOKUP($D1190,'SAMA Consumables Tracker'!$A:$D,4,FALSE()),""))</f>
        <v/>
      </c>
      <c r="H1190" s="22"/>
    </row>
    <row r="1191" spans="1:8">
      <c r="A1191" s="21"/>
      <c r="B1191" s="22"/>
      <c r="C1191" s="22"/>
      <c r="D1191" s="22"/>
      <c r="E1191" s="23" t="str">
        <f>IF($D1191="","",IFERROR(VLOOKUP($D1191,'SAMA Consumables Tracker'!$A:$H,8,FALSE()),""))</f>
        <v/>
      </c>
      <c r="F1191" s="24"/>
      <c r="G1191" s="25" t="str">
        <f>IF($D1191="","",IFERROR(VLOOKUP($D1191,'SAMA Consumables Tracker'!$A:$D,4,FALSE()),""))</f>
        <v/>
      </c>
      <c r="H1191" s="22"/>
    </row>
    <row r="1192" spans="1:8">
      <c r="A1192" s="21"/>
      <c r="B1192" s="22"/>
      <c r="C1192" s="22"/>
      <c r="D1192" s="22"/>
      <c r="E1192" s="23" t="str">
        <f>IF($D1192="","",IFERROR(VLOOKUP($D1192,'SAMA Consumables Tracker'!$A:$H,8,FALSE()),""))</f>
        <v/>
      </c>
      <c r="F1192" s="24"/>
      <c r="G1192" s="25" t="str">
        <f>IF($D1192="","",IFERROR(VLOOKUP($D1192,'SAMA Consumables Tracker'!$A:$D,4,FALSE()),""))</f>
        <v/>
      </c>
      <c r="H1192" s="22"/>
    </row>
    <row r="1193" spans="1:8">
      <c r="A1193" s="21"/>
      <c r="B1193" s="22"/>
      <c r="C1193" s="22"/>
      <c r="D1193" s="22"/>
      <c r="E1193" s="23" t="str">
        <f>IF($D1193="","",IFERROR(VLOOKUP($D1193,'SAMA Consumables Tracker'!$A:$H,8,FALSE()),""))</f>
        <v/>
      </c>
      <c r="F1193" s="24"/>
      <c r="G1193" s="25" t="str">
        <f>IF($D1193="","",IFERROR(VLOOKUP($D1193,'SAMA Consumables Tracker'!$A:$D,4,FALSE()),""))</f>
        <v/>
      </c>
      <c r="H1193" s="22"/>
    </row>
    <row r="1194" spans="1:8">
      <c r="A1194" s="21"/>
      <c r="B1194" s="22"/>
      <c r="C1194" s="22"/>
      <c r="D1194" s="22"/>
      <c r="E1194" s="23" t="str">
        <f>IF($D1194="","",IFERROR(VLOOKUP($D1194,'SAMA Consumables Tracker'!$A:$H,8,FALSE()),""))</f>
        <v/>
      </c>
      <c r="F1194" s="24"/>
      <c r="G1194" s="25" t="str">
        <f>IF($D1194="","",IFERROR(VLOOKUP($D1194,'SAMA Consumables Tracker'!$A:$D,4,FALSE()),""))</f>
        <v/>
      </c>
      <c r="H1194" s="22"/>
    </row>
    <row r="1195" spans="1:8">
      <c r="A1195" s="21"/>
      <c r="B1195" s="22"/>
      <c r="C1195" s="22"/>
      <c r="D1195" s="22"/>
      <c r="E1195" s="23" t="str">
        <f>IF($D1195="","",IFERROR(VLOOKUP($D1195,'SAMA Consumables Tracker'!$A:$H,8,FALSE()),""))</f>
        <v/>
      </c>
      <c r="F1195" s="24"/>
      <c r="G1195" s="25" t="str">
        <f>IF($D1195="","",IFERROR(VLOOKUP($D1195,'SAMA Consumables Tracker'!$A:$D,4,FALSE()),""))</f>
        <v/>
      </c>
      <c r="H1195" s="22"/>
    </row>
    <row r="1196" spans="1:8">
      <c r="A1196" s="21"/>
      <c r="B1196" s="22"/>
      <c r="C1196" s="22"/>
      <c r="D1196" s="22"/>
      <c r="E1196" s="23" t="str">
        <f>IF($D1196="","",IFERROR(VLOOKUP($D1196,'SAMA Consumables Tracker'!$A:$H,8,FALSE()),""))</f>
        <v/>
      </c>
      <c r="F1196" s="24"/>
      <c r="G1196" s="25" t="str">
        <f>IF($D1196="","",IFERROR(VLOOKUP($D1196,'SAMA Consumables Tracker'!$A:$D,4,FALSE()),""))</f>
        <v/>
      </c>
      <c r="H1196" s="22"/>
    </row>
    <row r="1197" spans="1:8">
      <c r="A1197" s="21"/>
      <c r="B1197" s="22"/>
      <c r="C1197" s="22"/>
      <c r="D1197" s="22"/>
      <c r="E1197" s="23" t="str">
        <f>IF($D1197="","",IFERROR(VLOOKUP($D1197,'SAMA Consumables Tracker'!$A:$H,8,FALSE()),""))</f>
        <v/>
      </c>
      <c r="F1197" s="24"/>
      <c r="G1197" s="25" t="str">
        <f>IF($D1197="","",IFERROR(VLOOKUP($D1197,'SAMA Consumables Tracker'!$A:$D,4,FALSE()),""))</f>
        <v/>
      </c>
      <c r="H1197" s="22"/>
    </row>
    <row r="1198" spans="1:8">
      <c r="A1198" s="21"/>
      <c r="B1198" s="22"/>
      <c r="C1198" s="22"/>
      <c r="D1198" s="22"/>
      <c r="E1198" s="23" t="str">
        <f>IF($D1198="","",IFERROR(VLOOKUP($D1198,'SAMA Consumables Tracker'!$A:$H,8,FALSE()),""))</f>
        <v/>
      </c>
      <c r="F1198" s="24"/>
      <c r="G1198" s="25" t="str">
        <f>IF($D1198="","",IFERROR(VLOOKUP($D1198,'SAMA Consumables Tracker'!$A:$D,4,FALSE()),""))</f>
        <v/>
      </c>
      <c r="H1198" s="22"/>
    </row>
    <row r="1199" spans="1:8">
      <c r="A1199" s="21"/>
      <c r="B1199" s="22"/>
      <c r="C1199" s="22"/>
      <c r="D1199" s="22"/>
      <c r="E1199" s="23" t="str">
        <f>IF($D1199="","",IFERROR(VLOOKUP($D1199,'SAMA Consumables Tracker'!$A:$H,8,FALSE()),""))</f>
        <v/>
      </c>
      <c r="F1199" s="24"/>
      <c r="G1199" s="25" t="str">
        <f>IF($D1199="","",IFERROR(VLOOKUP($D1199,'SAMA Consumables Tracker'!$A:$D,4,FALSE()),""))</f>
        <v/>
      </c>
      <c r="H1199" s="22"/>
    </row>
    <row r="1200" spans="1:8">
      <c r="A1200" s="21"/>
      <c r="B1200" s="22"/>
      <c r="C1200" s="22"/>
      <c r="D1200" s="22"/>
      <c r="E1200" s="23" t="str">
        <f>IF($D1200="","",IFERROR(VLOOKUP($D1200,'SAMA Consumables Tracker'!$A:$H,8,FALSE()),""))</f>
        <v/>
      </c>
      <c r="F1200" s="24"/>
      <c r="G1200" s="25" t="str">
        <f>IF($D1200="","",IFERROR(VLOOKUP($D1200,'SAMA Consumables Tracker'!$A:$D,4,FALSE()),""))</f>
        <v/>
      </c>
      <c r="H1200" s="22"/>
    </row>
    <row r="1201" spans="1:8">
      <c r="A1201" s="21"/>
      <c r="B1201" s="22"/>
      <c r="C1201" s="22"/>
      <c r="D1201" s="22"/>
      <c r="E1201" s="23" t="str">
        <f>IF($D1201="","",IFERROR(VLOOKUP($D1201,'SAMA Consumables Tracker'!$A:$H,8,FALSE()),""))</f>
        <v/>
      </c>
      <c r="F1201" s="24"/>
      <c r="G1201" s="25" t="str">
        <f>IF($D1201="","",IFERROR(VLOOKUP($D1201,'SAMA Consumables Tracker'!$A:$D,4,FALSE()),""))</f>
        <v/>
      </c>
      <c r="H1201" s="22"/>
    </row>
    <row r="1202" spans="1:8">
      <c r="A1202" s="21"/>
      <c r="B1202" s="22"/>
      <c r="C1202" s="22"/>
      <c r="D1202" s="22"/>
      <c r="E1202" s="23" t="str">
        <f>IF($D1202="","",IFERROR(VLOOKUP($D1202,'SAMA Consumables Tracker'!$A:$H,8,FALSE()),""))</f>
        <v/>
      </c>
      <c r="F1202" s="24"/>
      <c r="G1202" s="25" t="str">
        <f>IF($D1202="","",IFERROR(VLOOKUP($D1202,'SAMA Consumables Tracker'!$A:$D,4,FALSE()),""))</f>
        <v/>
      </c>
      <c r="H1202" s="22"/>
    </row>
    <row r="1203" spans="1:8">
      <c r="A1203" s="21"/>
      <c r="B1203" s="22"/>
      <c r="C1203" s="22"/>
      <c r="D1203" s="22"/>
      <c r="E1203" s="23" t="str">
        <f>IF($D1203="","",IFERROR(VLOOKUP($D1203,'SAMA Consumables Tracker'!$A:$H,8,FALSE()),""))</f>
        <v/>
      </c>
      <c r="F1203" s="24"/>
      <c r="G1203" s="25" t="str">
        <f>IF($D1203="","",IFERROR(VLOOKUP($D1203,'SAMA Consumables Tracker'!$A:$D,4,FALSE()),""))</f>
        <v/>
      </c>
      <c r="H1203" s="22"/>
    </row>
    <row r="1204" spans="1:8">
      <c r="A1204" s="21"/>
      <c r="B1204" s="22"/>
      <c r="C1204" s="22"/>
      <c r="D1204" s="22"/>
      <c r="E1204" s="23" t="str">
        <f>IF($D1204="","",IFERROR(VLOOKUP($D1204,'SAMA Consumables Tracker'!$A:$H,8,FALSE()),""))</f>
        <v/>
      </c>
      <c r="F1204" s="24"/>
      <c r="G1204" s="25" t="str">
        <f>IF($D1204="","",IFERROR(VLOOKUP($D1204,'SAMA Consumables Tracker'!$A:$D,4,FALSE()),""))</f>
        <v/>
      </c>
      <c r="H1204" s="22"/>
    </row>
    <row r="1205" spans="1:8">
      <c r="A1205" s="21"/>
      <c r="B1205" s="22"/>
      <c r="C1205" s="22"/>
      <c r="D1205" s="22"/>
      <c r="E1205" s="23" t="str">
        <f>IF($D1205="","",IFERROR(VLOOKUP($D1205,'SAMA Consumables Tracker'!$A:$H,8,FALSE()),""))</f>
        <v/>
      </c>
      <c r="F1205" s="24"/>
      <c r="G1205" s="25" t="str">
        <f>IF($D1205="","",IFERROR(VLOOKUP($D1205,'SAMA Consumables Tracker'!$A:$D,4,FALSE()),""))</f>
        <v/>
      </c>
      <c r="H1205" s="22"/>
    </row>
    <row r="1206" spans="1:8">
      <c r="A1206" s="21"/>
      <c r="B1206" s="22"/>
      <c r="C1206" s="22"/>
      <c r="D1206" s="22"/>
      <c r="E1206" s="23" t="str">
        <f>IF($D1206="","",IFERROR(VLOOKUP($D1206,'SAMA Consumables Tracker'!$A:$H,8,FALSE()),""))</f>
        <v/>
      </c>
      <c r="F1206" s="24"/>
      <c r="G1206" s="25" t="str">
        <f>IF($D1206="","",IFERROR(VLOOKUP($D1206,'SAMA Consumables Tracker'!$A:$D,4,FALSE()),""))</f>
        <v/>
      </c>
      <c r="H1206" s="22"/>
    </row>
    <row r="1207" spans="1:8">
      <c r="A1207" s="21"/>
      <c r="B1207" s="22"/>
      <c r="C1207" s="22"/>
      <c r="D1207" s="22"/>
      <c r="E1207" s="23" t="str">
        <f>IF($D1207="","",IFERROR(VLOOKUP($D1207,'SAMA Consumables Tracker'!$A:$H,8,FALSE()),""))</f>
        <v/>
      </c>
      <c r="F1207" s="24"/>
      <c r="G1207" s="25" t="str">
        <f>IF($D1207="","",IFERROR(VLOOKUP($D1207,'SAMA Consumables Tracker'!$A:$D,4,FALSE()),""))</f>
        <v/>
      </c>
      <c r="H1207" s="22"/>
    </row>
    <row r="1208" spans="1:8">
      <c r="A1208" s="21"/>
      <c r="B1208" s="22"/>
      <c r="C1208" s="22"/>
      <c r="D1208" s="22"/>
      <c r="E1208" s="23" t="str">
        <f>IF($D1208="","",IFERROR(VLOOKUP($D1208,'SAMA Consumables Tracker'!$A:$H,8,FALSE()),""))</f>
        <v/>
      </c>
      <c r="F1208" s="24"/>
      <c r="G1208" s="25" t="str">
        <f>IF($D1208="","",IFERROR(VLOOKUP($D1208,'SAMA Consumables Tracker'!$A:$D,4,FALSE()),""))</f>
        <v/>
      </c>
      <c r="H1208" s="22"/>
    </row>
    <row r="1209" spans="1:8">
      <c r="A1209" s="21"/>
      <c r="B1209" s="22"/>
      <c r="C1209" s="22"/>
      <c r="D1209" s="22"/>
      <c r="E1209" s="23" t="str">
        <f>IF($D1209="","",IFERROR(VLOOKUP($D1209,'SAMA Consumables Tracker'!$A:$H,8,FALSE()),""))</f>
        <v/>
      </c>
      <c r="F1209" s="24"/>
      <c r="G1209" s="25" t="str">
        <f>IF($D1209="","",IFERROR(VLOOKUP($D1209,'SAMA Consumables Tracker'!$A:$D,4,FALSE()),""))</f>
        <v/>
      </c>
      <c r="H1209" s="22"/>
    </row>
    <row r="1210" spans="1:8">
      <c r="A1210" s="21"/>
      <c r="B1210" s="22"/>
      <c r="C1210" s="22"/>
      <c r="D1210" s="22"/>
      <c r="E1210" s="23" t="str">
        <f>IF($D1210="","",IFERROR(VLOOKUP($D1210,'SAMA Consumables Tracker'!$A:$H,8,FALSE()),""))</f>
        <v/>
      </c>
      <c r="F1210" s="24"/>
      <c r="G1210" s="25" t="str">
        <f>IF($D1210="","",IFERROR(VLOOKUP($D1210,'SAMA Consumables Tracker'!$A:$D,4,FALSE()),""))</f>
        <v/>
      </c>
      <c r="H1210" s="22"/>
    </row>
    <row r="1211" spans="1:8">
      <c r="A1211" s="21"/>
      <c r="B1211" s="22"/>
      <c r="C1211" s="22"/>
      <c r="D1211" s="22"/>
      <c r="E1211" s="23" t="str">
        <f>IF($D1211="","",IFERROR(VLOOKUP($D1211,'SAMA Consumables Tracker'!$A:$H,8,FALSE()),""))</f>
        <v/>
      </c>
      <c r="F1211" s="24"/>
      <c r="G1211" s="25" t="str">
        <f>IF($D1211="","",IFERROR(VLOOKUP($D1211,'SAMA Consumables Tracker'!$A:$D,4,FALSE()),""))</f>
        <v/>
      </c>
      <c r="H1211" s="22"/>
    </row>
    <row r="1212" spans="1:8">
      <c r="A1212" s="21"/>
      <c r="B1212" s="22"/>
      <c r="C1212" s="22"/>
      <c r="D1212" s="22"/>
      <c r="E1212" s="23" t="str">
        <f>IF($D1212="","",IFERROR(VLOOKUP($D1212,'SAMA Consumables Tracker'!$A:$H,8,FALSE()),""))</f>
        <v/>
      </c>
      <c r="F1212" s="24"/>
      <c r="G1212" s="25" t="str">
        <f>IF($D1212="","",IFERROR(VLOOKUP($D1212,'SAMA Consumables Tracker'!$A:$D,4,FALSE()),""))</f>
        <v/>
      </c>
      <c r="H1212" s="22"/>
    </row>
    <row r="1213" spans="1:8">
      <c r="A1213" s="21"/>
      <c r="B1213" s="22"/>
      <c r="C1213" s="22"/>
      <c r="D1213" s="22"/>
      <c r="E1213" s="23" t="str">
        <f>IF($D1213="","",IFERROR(VLOOKUP($D1213,'SAMA Consumables Tracker'!$A:$H,8,FALSE()),""))</f>
        <v/>
      </c>
      <c r="F1213" s="24"/>
      <c r="G1213" s="25" t="str">
        <f>IF($D1213="","",IFERROR(VLOOKUP($D1213,'SAMA Consumables Tracker'!$A:$D,4,FALSE()),""))</f>
        <v/>
      </c>
      <c r="H1213" s="22"/>
    </row>
    <row r="1214" spans="1:8">
      <c r="A1214" s="21"/>
      <c r="B1214" s="22"/>
      <c r="C1214" s="22"/>
      <c r="D1214" s="22"/>
      <c r="E1214" s="23" t="str">
        <f>IF($D1214="","",IFERROR(VLOOKUP($D1214,'SAMA Consumables Tracker'!$A:$H,8,FALSE()),""))</f>
        <v/>
      </c>
      <c r="F1214" s="24"/>
      <c r="G1214" s="25" t="str">
        <f>IF($D1214="","",IFERROR(VLOOKUP($D1214,'SAMA Consumables Tracker'!$A:$D,4,FALSE()),""))</f>
        <v/>
      </c>
      <c r="H1214" s="22"/>
    </row>
    <row r="1215" spans="1:8">
      <c r="A1215" s="21"/>
      <c r="B1215" s="22"/>
      <c r="C1215" s="22"/>
      <c r="D1215" s="22"/>
      <c r="E1215" s="23" t="str">
        <f>IF($D1215="","",IFERROR(VLOOKUP($D1215,'SAMA Consumables Tracker'!$A:$H,8,FALSE()),""))</f>
        <v/>
      </c>
      <c r="F1215" s="24"/>
      <c r="G1215" s="25" t="str">
        <f>IF($D1215="","",IFERROR(VLOOKUP($D1215,'SAMA Consumables Tracker'!$A:$D,4,FALSE()),""))</f>
        <v/>
      </c>
      <c r="H1215" s="22"/>
    </row>
    <row r="1216" spans="1:8">
      <c r="A1216" s="21"/>
      <c r="B1216" s="22"/>
      <c r="C1216" s="22"/>
      <c r="D1216" s="22"/>
      <c r="E1216" s="23" t="str">
        <f>IF($D1216="","",IFERROR(VLOOKUP($D1216,'SAMA Consumables Tracker'!$A:$H,8,FALSE()),""))</f>
        <v/>
      </c>
      <c r="F1216" s="24"/>
      <c r="G1216" s="25" t="str">
        <f>IF($D1216="","",IFERROR(VLOOKUP($D1216,'SAMA Consumables Tracker'!$A:$D,4,FALSE()),""))</f>
        <v/>
      </c>
      <c r="H1216" s="22"/>
    </row>
    <row r="1217" spans="1:8">
      <c r="A1217" s="21"/>
      <c r="B1217" s="22"/>
      <c r="C1217" s="22"/>
      <c r="D1217" s="22"/>
      <c r="E1217" s="23" t="str">
        <f>IF($D1217="","",IFERROR(VLOOKUP($D1217,'SAMA Consumables Tracker'!$A:$H,8,FALSE()),""))</f>
        <v/>
      </c>
      <c r="F1217" s="24"/>
      <c r="G1217" s="25" t="str">
        <f>IF($D1217="","",IFERROR(VLOOKUP($D1217,'SAMA Consumables Tracker'!$A:$D,4,FALSE()),""))</f>
        <v/>
      </c>
      <c r="H1217" s="22"/>
    </row>
    <row r="1218" spans="1:8">
      <c r="A1218" s="21"/>
      <c r="B1218" s="22"/>
      <c r="C1218" s="22"/>
      <c r="D1218" s="22"/>
      <c r="E1218" s="23" t="str">
        <f>IF($D1218="","",IFERROR(VLOOKUP($D1218,'SAMA Consumables Tracker'!$A:$H,8,FALSE()),""))</f>
        <v/>
      </c>
      <c r="F1218" s="24"/>
      <c r="G1218" s="25" t="str">
        <f>IF($D1218="","",IFERROR(VLOOKUP($D1218,'SAMA Consumables Tracker'!$A:$D,4,FALSE()),""))</f>
        <v/>
      </c>
      <c r="H1218" s="22"/>
    </row>
    <row r="1219" spans="1:8">
      <c r="A1219" s="21"/>
      <c r="B1219" s="22"/>
      <c r="C1219" s="22"/>
      <c r="D1219" s="22"/>
      <c r="E1219" s="23" t="str">
        <f>IF($D1219="","",IFERROR(VLOOKUP($D1219,'SAMA Consumables Tracker'!$A:$H,8,FALSE()),""))</f>
        <v/>
      </c>
      <c r="F1219" s="24"/>
      <c r="G1219" s="25" t="str">
        <f>IF($D1219="","",IFERROR(VLOOKUP($D1219,'SAMA Consumables Tracker'!$A:$D,4,FALSE()),""))</f>
        <v/>
      </c>
      <c r="H1219" s="22"/>
    </row>
    <row r="1220" spans="1:8">
      <c r="A1220" s="21"/>
      <c r="B1220" s="22"/>
      <c r="C1220" s="22"/>
      <c r="D1220" s="22"/>
      <c r="E1220" s="23" t="str">
        <f>IF($D1220="","",IFERROR(VLOOKUP($D1220,'SAMA Consumables Tracker'!$A:$H,8,FALSE()),""))</f>
        <v/>
      </c>
      <c r="F1220" s="24"/>
      <c r="G1220" s="25" t="str">
        <f>IF($D1220="","",IFERROR(VLOOKUP($D1220,'SAMA Consumables Tracker'!$A:$D,4,FALSE()),""))</f>
        <v/>
      </c>
      <c r="H1220" s="22"/>
    </row>
    <row r="1221" spans="1:8">
      <c r="A1221" s="21"/>
      <c r="B1221" s="22"/>
      <c r="C1221" s="22"/>
      <c r="D1221" s="22"/>
      <c r="E1221" s="23" t="str">
        <f>IF($D1221="","",IFERROR(VLOOKUP($D1221,'SAMA Consumables Tracker'!$A:$H,8,FALSE()),""))</f>
        <v/>
      </c>
      <c r="F1221" s="24"/>
      <c r="G1221" s="25" t="str">
        <f>IF($D1221="","",IFERROR(VLOOKUP($D1221,'SAMA Consumables Tracker'!$A:$D,4,FALSE()),""))</f>
        <v/>
      </c>
      <c r="H1221" s="22"/>
    </row>
    <row r="1222" spans="1:8">
      <c r="A1222" s="21"/>
      <c r="B1222" s="22"/>
      <c r="C1222" s="22"/>
      <c r="D1222" s="22"/>
      <c r="E1222" s="23" t="str">
        <f>IF($D1222="","",IFERROR(VLOOKUP($D1222,'SAMA Consumables Tracker'!$A:$H,8,FALSE()),""))</f>
        <v/>
      </c>
      <c r="F1222" s="24"/>
      <c r="G1222" s="25" t="str">
        <f>IF($D1222="","",IFERROR(VLOOKUP($D1222,'SAMA Consumables Tracker'!$A:$D,4,FALSE()),""))</f>
        <v/>
      </c>
      <c r="H1222" s="22"/>
    </row>
    <row r="1223" spans="1:8">
      <c r="A1223" s="21"/>
      <c r="B1223" s="22"/>
      <c r="C1223" s="22"/>
      <c r="D1223" s="22"/>
      <c r="E1223" s="23" t="str">
        <f>IF($D1223="","",IFERROR(VLOOKUP($D1223,'SAMA Consumables Tracker'!$A:$H,8,FALSE()),""))</f>
        <v/>
      </c>
      <c r="F1223" s="24"/>
      <c r="G1223" s="25" t="str">
        <f>IF($D1223="","",IFERROR(VLOOKUP($D1223,'SAMA Consumables Tracker'!$A:$D,4,FALSE()),""))</f>
        <v/>
      </c>
      <c r="H1223" s="22"/>
    </row>
    <row r="1224" spans="1:8">
      <c r="A1224" s="21"/>
      <c r="B1224" s="22"/>
      <c r="C1224" s="22"/>
      <c r="D1224" s="22"/>
      <c r="E1224" s="23" t="str">
        <f>IF($D1224="","",IFERROR(VLOOKUP($D1224,'SAMA Consumables Tracker'!$A:$H,8,FALSE()),""))</f>
        <v/>
      </c>
      <c r="F1224" s="24"/>
      <c r="G1224" s="25" t="str">
        <f>IF($D1224="","",IFERROR(VLOOKUP($D1224,'SAMA Consumables Tracker'!$A:$D,4,FALSE()),""))</f>
        <v/>
      </c>
      <c r="H1224" s="22"/>
    </row>
    <row r="1225" spans="1:8">
      <c r="A1225" s="21"/>
      <c r="B1225" s="22"/>
      <c r="C1225" s="22"/>
      <c r="D1225" s="22"/>
      <c r="E1225" s="23" t="str">
        <f>IF($D1225="","",IFERROR(VLOOKUP($D1225,'SAMA Consumables Tracker'!$A:$H,8,FALSE()),""))</f>
        <v/>
      </c>
      <c r="F1225" s="24"/>
      <c r="G1225" s="25" t="str">
        <f>IF($D1225="","",IFERROR(VLOOKUP($D1225,'SAMA Consumables Tracker'!$A:$D,4,FALSE()),""))</f>
        <v/>
      </c>
      <c r="H1225" s="22"/>
    </row>
    <row r="1226" spans="1:8">
      <c r="A1226" s="21"/>
      <c r="B1226" s="22"/>
      <c r="C1226" s="22"/>
      <c r="D1226" s="22"/>
      <c r="E1226" s="23" t="str">
        <f>IF($D1226="","",IFERROR(VLOOKUP($D1226,'SAMA Consumables Tracker'!$A:$H,8,FALSE()),""))</f>
        <v/>
      </c>
      <c r="F1226" s="24"/>
      <c r="G1226" s="25" t="str">
        <f>IF($D1226="","",IFERROR(VLOOKUP($D1226,'SAMA Consumables Tracker'!$A:$D,4,FALSE()),""))</f>
        <v/>
      </c>
      <c r="H1226" s="22"/>
    </row>
    <row r="1227" spans="1:8">
      <c r="A1227" s="21"/>
      <c r="B1227" s="22"/>
      <c r="C1227" s="22"/>
      <c r="D1227" s="22"/>
      <c r="E1227" s="23" t="str">
        <f>IF($D1227="","",IFERROR(VLOOKUP($D1227,'SAMA Consumables Tracker'!$A:$H,8,FALSE()),""))</f>
        <v/>
      </c>
      <c r="F1227" s="24"/>
      <c r="G1227" s="25" t="str">
        <f>IF($D1227="","",IFERROR(VLOOKUP($D1227,'SAMA Consumables Tracker'!$A:$D,4,FALSE()),""))</f>
        <v/>
      </c>
      <c r="H1227" s="22"/>
    </row>
    <row r="1228" spans="1:8">
      <c r="A1228" s="21"/>
      <c r="B1228" s="22"/>
      <c r="C1228" s="22"/>
      <c r="D1228" s="22"/>
      <c r="E1228" s="23" t="str">
        <f>IF($D1228="","",IFERROR(VLOOKUP($D1228,'SAMA Consumables Tracker'!$A:$H,8,FALSE()),""))</f>
        <v/>
      </c>
      <c r="F1228" s="24"/>
      <c r="G1228" s="25" t="str">
        <f>IF($D1228="","",IFERROR(VLOOKUP($D1228,'SAMA Consumables Tracker'!$A:$D,4,FALSE()),""))</f>
        <v/>
      </c>
      <c r="H1228" s="22"/>
    </row>
    <row r="1229" spans="1:8">
      <c r="A1229" s="21"/>
      <c r="B1229" s="22"/>
      <c r="C1229" s="22"/>
      <c r="D1229" s="22"/>
      <c r="E1229" s="23" t="str">
        <f>IF($D1229="","",IFERROR(VLOOKUP($D1229,'SAMA Consumables Tracker'!$A:$H,8,FALSE()),""))</f>
        <v/>
      </c>
      <c r="F1229" s="24"/>
      <c r="G1229" s="25" t="str">
        <f>IF($D1229="","",IFERROR(VLOOKUP($D1229,'SAMA Consumables Tracker'!$A:$D,4,FALSE()),""))</f>
        <v/>
      </c>
      <c r="H1229" s="22"/>
    </row>
    <row r="1230" spans="1:8">
      <c r="A1230" s="21"/>
      <c r="B1230" s="22"/>
      <c r="C1230" s="22"/>
      <c r="D1230" s="22"/>
      <c r="E1230" s="23" t="str">
        <f>IF($D1230="","",IFERROR(VLOOKUP($D1230,'SAMA Consumables Tracker'!$A:$H,8,FALSE()),""))</f>
        <v/>
      </c>
      <c r="F1230" s="24"/>
      <c r="G1230" s="25" t="str">
        <f>IF($D1230="","",IFERROR(VLOOKUP($D1230,'SAMA Consumables Tracker'!$A:$D,4,FALSE()),""))</f>
        <v/>
      </c>
      <c r="H1230" s="22"/>
    </row>
    <row r="1231" spans="1:8">
      <c r="A1231" s="21"/>
      <c r="B1231" s="22"/>
      <c r="C1231" s="22"/>
      <c r="D1231" s="22"/>
      <c r="E1231" s="23" t="str">
        <f>IF($D1231="","",IFERROR(VLOOKUP($D1231,'SAMA Consumables Tracker'!$A:$H,8,FALSE()),""))</f>
        <v/>
      </c>
      <c r="F1231" s="24"/>
      <c r="G1231" s="25" t="str">
        <f>IF($D1231="","",IFERROR(VLOOKUP($D1231,'SAMA Consumables Tracker'!$A:$D,4,FALSE()),""))</f>
        <v/>
      </c>
      <c r="H1231" s="22"/>
    </row>
    <row r="1232" spans="1:8">
      <c r="A1232" s="21"/>
      <c r="B1232" s="22"/>
      <c r="C1232" s="22"/>
      <c r="D1232" s="22"/>
      <c r="E1232" s="23" t="str">
        <f>IF($D1232="","",IFERROR(VLOOKUP($D1232,'SAMA Consumables Tracker'!$A:$H,8,FALSE()),""))</f>
        <v/>
      </c>
      <c r="F1232" s="24"/>
      <c r="G1232" s="25" t="str">
        <f>IF($D1232="","",IFERROR(VLOOKUP($D1232,'SAMA Consumables Tracker'!$A:$D,4,FALSE()),""))</f>
        <v/>
      </c>
      <c r="H1232" s="22"/>
    </row>
    <row r="1233" spans="1:8">
      <c r="A1233" s="21"/>
      <c r="B1233" s="22"/>
      <c r="C1233" s="22"/>
      <c r="D1233" s="22"/>
      <c r="E1233" s="23" t="str">
        <f>IF($D1233="","",IFERROR(VLOOKUP($D1233,'SAMA Consumables Tracker'!$A:$H,8,FALSE()),""))</f>
        <v/>
      </c>
      <c r="F1233" s="24"/>
      <c r="G1233" s="25" t="str">
        <f>IF($D1233="","",IFERROR(VLOOKUP($D1233,'SAMA Consumables Tracker'!$A:$D,4,FALSE()),""))</f>
        <v/>
      </c>
      <c r="H1233" s="22"/>
    </row>
    <row r="1234" spans="1:8">
      <c r="A1234" s="21"/>
      <c r="B1234" s="22"/>
      <c r="C1234" s="22"/>
      <c r="D1234" s="22"/>
      <c r="E1234" s="23" t="str">
        <f>IF($D1234="","",IFERROR(VLOOKUP($D1234,'SAMA Consumables Tracker'!$A:$H,8,FALSE()),""))</f>
        <v/>
      </c>
      <c r="F1234" s="24"/>
      <c r="G1234" s="25" t="str">
        <f>IF($D1234="","",IFERROR(VLOOKUP($D1234,'SAMA Consumables Tracker'!$A:$D,4,FALSE()),""))</f>
        <v/>
      </c>
      <c r="H1234" s="22"/>
    </row>
    <row r="1235" spans="1:8">
      <c r="A1235" s="21"/>
      <c r="B1235" s="22"/>
      <c r="C1235" s="22"/>
      <c r="D1235" s="22"/>
      <c r="E1235" s="23" t="str">
        <f>IF($D1235="","",IFERROR(VLOOKUP($D1235,'SAMA Consumables Tracker'!$A:$H,8,FALSE()),""))</f>
        <v/>
      </c>
      <c r="F1235" s="24"/>
      <c r="G1235" s="25" t="str">
        <f>IF($D1235="","",IFERROR(VLOOKUP($D1235,'SAMA Consumables Tracker'!$A:$D,4,FALSE()),""))</f>
        <v/>
      </c>
      <c r="H1235" s="22"/>
    </row>
    <row r="1236" spans="1:8">
      <c r="A1236" s="21"/>
      <c r="B1236" s="22"/>
      <c r="C1236" s="22"/>
      <c r="D1236" s="22"/>
      <c r="E1236" s="23" t="str">
        <f>IF($D1236="","",IFERROR(VLOOKUP($D1236,'SAMA Consumables Tracker'!$A:$H,8,FALSE()),""))</f>
        <v/>
      </c>
      <c r="F1236" s="24"/>
      <c r="G1236" s="25" t="str">
        <f>IF($D1236="","",IFERROR(VLOOKUP($D1236,'SAMA Consumables Tracker'!$A:$D,4,FALSE()),""))</f>
        <v/>
      </c>
      <c r="H1236" s="22"/>
    </row>
    <row r="1237" spans="1:8">
      <c r="A1237" s="21"/>
      <c r="B1237" s="22"/>
      <c r="C1237" s="22"/>
      <c r="D1237" s="22"/>
      <c r="E1237" s="23" t="str">
        <f>IF($D1237="","",IFERROR(VLOOKUP($D1237,'SAMA Consumables Tracker'!$A:$H,8,FALSE()),""))</f>
        <v/>
      </c>
      <c r="F1237" s="24"/>
      <c r="G1237" s="25" t="str">
        <f>IF($D1237="","",IFERROR(VLOOKUP($D1237,'SAMA Consumables Tracker'!$A:$D,4,FALSE()),""))</f>
        <v/>
      </c>
      <c r="H1237" s="22"/>
    </row>
    <row r="1238" spans="1:8">
      <c r="A1238" s="21"/>
      <c r="B1238" s="22"/>
      <c r="C1238" s="22"/>
      <c r="D1238" s="22"/>
      <c r="E1238" s="23" t="str">
        <f>IF($D1238="","",IFERROR(VLOOKUP($D1238,'SAMA Consumables Tracker'!$A:$H,8,FALSE()),""))</f>
        <v/>
      </c>
      <c r="F1238" s="24"/>
      <c r="G1238" s="25" t="str">
        <f>IF($D1238="","",IFERROR(VLOOKUP($D1238,'SAMA Consumables Tracker'!$A:$D,4,FALSE()),""))</f>
        <v/>
      </c>
      <c r="H1238" s="22"/>
    </row>
    <row r="1239" spans="1:8">
      <c r="A1239" s="21"/>
      <c r="B1239" s="22"/>
      <c r="C1239" s="22"/>
      <c r="D1239" s="22"/>
      <c r="E1239" s="23" t="str">
        <f>IF($D1239="","",IFERROR(VLOOKUP($D1239,'SAMA Consumables Tracker'!$A:$H,8,FALSE()),""))</f>
        <v/>
      </c>
      <c r="F1239" s="24"/>
      <c r="G1239" s="25" t="str">
        <f>IF($D1239="","",IFERROR(VLOOKUP($D1239,'SAMA Consumables Tracker'!$A:$D,4,FALSE()),""))</f>
        <v/>
      </c>
      <c r="H1239" s="22"/>
    </row>
    <row r="1240" spans="1:8">
      <c r="A1240" s="21"/>
      <c r="B1240" s="22"/>
      <c r="C1240" s="22"/>
      <c r="D1240" s="22"/>
      <c r="E1240" s="23" t="str">
        <f>IF($D1240="","",IFERROR(VLOOKUP($D1240,'SAMA Consumables Tracker'!$A:$H,8,FALSE()),""))</f>
        <v/>
      </c>
      <c r="F1240" s="24"/>
      <c r="G1240" s="25" t="str">
        <f>IF($D1240="","",IFERROR(VLOOKUP($D1240,'SAMA Consumables Tracker'!$A:$D,4,FALSE()),""))</f>
        <v/>
      </c>
      <c r="H1240" s="22"/>
    </row>
    <row r="1241" spans="1:8">
      <c r="A1241" s="21"/>
      <c r="B1241" s="22"/>
      <c r="C1241" s="22"/>
      <c r="D1241" s="22"/>
      <c r="E1241" s="23" t="str">
        <f>IF($D1241="","",IFERROR(VLOOKUP($D1241,'SAMA Consumables Tracker'!$A:$H,8,FALSE()),""))</f>
        <v/>
      </c>
      <c r="F1241" s="24"/>
      <c r="G1241" s="25" t="str">
        <f>IF($D1241="","",IFERROR(VLOOKUP($D1241,'SAMA Consumables Tracker'!$A:$D,4,FALSE()),""))</f>
        <v/>
      </c>
      <c r="H1241" s="22"/>
    </row>
    <row r="1242" spans="1:8">
      <c r="A1242" s="21"/>
      <c r="B1242" s="22"/>
      <c r="C1242" s="22"/>
      <c r="D1242" s="22"/>
      <c r="E1242" s="23" t="str">
        <f>IF($D1242="","",IFERROR(VLOOKUP($D1242,'SAMA Consumables Tracker'!$A:$H,8,FALSE()),""))</f>
        <v/>
      </c>
      <c r="F1242" s="24"/>
      <c r="G1242" s="25" t="str">
        <f>IF($D1242="","",IFERROR(VLOOKUP($D1242,'SAMA Consumables Tracker'!$A:$D,4,FALSE()),""))</f>
        <v/>
      </c>
      <c r="H1242" s="22"/>
    </row>
    <row r="1243" spans="1:8">
      <c r="A1243" s="21"/>
      <c r="B1243" s="22"/>
      <c r="C1243" s="22"/>
      <c r="D1243" s="22"/>
      <c r="E1243" s="23" t="str">
        <f>IF($D1243="","",IFERROR(VLOOKUP($D1243,'SAMA Consumables Tracker'!$A:$H,8,FALSE()),""))</f>
        <v/>
      </c>
      <c r="F1243" s="24"/>
      <c r="G1243" s="25" t="str">
        <f>IF($D1243="","",IFERROR(VLOOKUP($D1243,'SAMA Consumables Tracker'!$A:$D,4,FALSE()),""))</f>
        <v/>
      </c>
      <c r="H1243" s="22"/>
    </row>
    <row r="1244" spans="1:8">
      <c r="A1244" s="21"/>
      <c r="B1244" s="22"/>
      <c r="C1244" s="22"/>
      <c r="D1244" s="22"/>
      <c r="E1244" s="23" t="str">
        <f>IF($D1244="","",IFERROR(VLOOKUP($D1244,'SAMA Consumables Tracker'!$A:$H,8,FALSE()),""))</f>
        <v/>
      </c>
      <c r="F1244" s="24"/>
      <c r="G1244" s="25" t="str">
        <f>IF($D1244="","",IFERROR(VLOOKUP($D1244,'SAMA Consumables Tracker'!$A:$D,4,FALSE()),""))</f>
        <v/>
      </c>
      <c r="H1244" s="22"/>
    </row>
    <row r="1245" spans="1:8">
      <c r="A1245" s="21"/>
      <c r="B1245" s="22"/>
      <c r="C1245" s="22"/>
      <c r="D1245" s="22"/>
      <c r="E1245" s="23" t="str">
        <f>IF($D1245="","",IFERROR(VLOOKUP($D1245,'SAMA Consumables Tracker'!$A:$H,8,FALSE()),""))</f>
        <v/>
      </c>
      <c r="F1245" s="24"/>
      <c r="G1245" s="25" t="str">
        <f>IF($D1245="","",IFERROR(VLOOKUP($D1245,'SAMA Consumables Tracker'!$A:$D,4,FALSE()),""))</f>
        <v/>
      </c>
      <c r="H1245" s="22"/>
    </row>
    <row r="1246" spans="1:8">
      <c r="A1246" s="21"/>
      <c r="B1246" s="22"/>
      <c r="C1246" s="22"/>
      <c r="D1246" s="22"/>
      <c r="E1246" s="23" t="str">
        <f>IF($D1246="","",IFERROR(VLOOKUP($D1246,'SAMA Consumables Tracker'!$A:$H,8,FALSE()),""))</f>
        <v/>
      </c>
      <c r="F1246" s="24"/>
      <c r="G1246" s="25" t="str">
        <f>IF($D1246="","",IFERROR(VLOOKUP($D1246,'SAMA Consumables Tracker'!$A:$D,4,FALSE()),""))</f>
        <v/>
      </c>
      <c r="H1246" s="22"/>
    </row>
    <row r="1247" spans="1:8">
      <c r="A1247" s="21"/>
      <c r="B1247" s="22"/>
      <c r="C1247" s="22"/>
      <c r="D1247" s="22"/>
      <c r="E1247" s="23" t="str">
        <f>IF($D1247="","",IFERROR(VLOOKUP($D1247,'SAMA Consumables Tracker'!$A:$H,8,FALSE()),""))</f>
        <v/>
      </c>
      <c r="F1247" s="24"/>
      <c r="G1247" s="25" t="str">
        <f>IF($D1247="","",IFERROR(VLOOKUP($D1247,'SAMA Consumables Tracker'!$A:$D,4,FALSE()),""))</f>
        <v/>
      </c>
      <c r="H1247" s="22"/>
    </row>
    <row r="1248" spans="1:8">
      <c r="A1248" s="21"/>
      <c r="B1248" s="22"/>
      <c r="C1248" s="22"/>
      <c r="D1248" s="22"/>
      <c r="E1248" s="23" t="str">
        <f>IF($D1248="","",IFERROR(VLOOKUP($D1248,'SAMA Consumables Tracker'!$A:$H,8,FALSE()),""))</f>
        <v/>
      </c>
      <c r="F1248" s="24"/>
      <c r="G1248" s="25" t="str">
        <f>IF($D1248="","",IFERROR(VLOOKUP($D1248,'SAMA Consumables Tracker'!$A:$D,4,FALSE()),""))</f>
        <v/>
      </c>
      <c r="H1248" s="22"/>
    </row>
    <row r="1249" spans="1:8">
      <c r="A1249" s="21"/>
      <c r="B1249" s="22"/>
      <c r="C1249" s="22"/>
      <c r="D1249" s="22"/>
      <c r="E1249" s="23" t="str">
        <f>IF($D1249="","",IFERROR(VLOOKUP($D1249,'SAMA Consumables Tracker'!$A:$H,8,FALSE()),""))</f>
        <v/>
      </c>
      <c r="F1249" s="24"/>
      <c r="G1249" s="25" t="str">
        <f>IF($D1249="","",IFERROR(VLOOKUP($D1249,'SAMA Consumables Tracker'!$A:$D,4,FALSE()),""))</f>
        <v/>
      </c>
      <c r="H1249" s="22"/>
    </row>
    <row r="1250" spans="1:8">
      <c r="A1250" s="21"/>
      <c r="B1250" s="22"/>
      <c r="C1250" s="22"/>
      <c r="D1250" s="22"/>
      <c r="E1250" s="23" t="str">
        <f>IF($D1250="","",IFERROR(VLOOKUP($D1250,'SAMA Consumables Tracker'!$A:$H,8,FALSE()),""))</f>
        <v/>
      </c>
      <c r="F1250" s="24"/>
      <c r="G1250" s="25" t="str">
        <f>IF($D1250="","",IFERROR(VLOOKUP($D1250,'SAMA Consumables Tracker'!$A:$D,4,FALSE()),""))</f>
        <v/>
      </c>
      <c r="H1250" s="22"/>
    </row>
    <row r="1251" spans="1:8">
      <c r="A1251" s="21"/>
      <c r="B1251" s="22"/>
      <c r="C1251" s="22"/>
      <c r="D1251" s="22"/>
      <c r="E1251" s="23" t="str">
        <f>IF($D1251="","",IFERROR(VLOOKUP($D1251,'SAMA Consumables Tracker'!$A:$H,8,FALSE()),""))</f>
        <v/>
      </c>
      <c r="F1251" s="24"/>
      <c r="G1251" s="25" t="str">
        <f>IF($D1251="","",IFERROR(VLOOKUP($D1251,'SAMA Consumables Tracker'!$A:$D,4,FALSE()),""))</f>
        <v/>
      </c>
      <c r="H1251" s="22"/>
    </row>
    <row r="1252" spans="1:8">
      <c r="A1252" s="21"/>
      <c r="B1252" s="22"/>
      <c r="C1252" s="22"/>
      <c r="D1252" s="22"/>
      <c r="E1252" s="23" t="str">
        <f>IF($D1252="","",IFERROR(VLOOKUP($D1252,'SAMA Consumables Tracker'!$A:$H,8,FALSE()),""))</f>
        <v/>
      </c>
      <c r="F1252" s="24"/>
      <c r="G1252" s="25" t="str">
        <f>IF($D1252="","",IFERROR(VLOOKUP($D1252,'SAMA Consumables Tracker'!$A:$D,4,FALSE()),""))</f>
        <v/>
      </c>
      <c r="H1252" s="22"/>
    </row>
    <row r="1253" spans="1:8">
      <c r="A1253" s="21"/>
      <c r="B1253" s="22"/>
      <c r="C1253" s="22"/>
      <c r="D1253" s="22"/>
      <c r="E1253" s="23" t="str">
        <f>IF($D1253="","",IFERROR(VLOOKUP($D1253,'SAMA Consumables Tracker'!$A:$H,8,FALSE()),""))</f>
        <v/>
      </c>
      <c r="F1253" s="24"/>
      <c r="G1253" s="25" t="str">
        <f>IF($D1253="","",IFERROR(VLOOKUP($D1253,'SAMA Consumables Tracker'!$A:$D,4,FALSE()),""))</f>
        <v/>
      </c>
      <c r="H1253" s="22"/>
    </row>
    <row r="1254" spans="1:8">
      <c r="A1254" s="21"/>
      <c r="B1254" s="22"/>
      <c r="C1254" s="22"/>
      <c r="D1254" s="22"/>
      <c r="E1254" s="23" t="str">
        <f>IF($D1254="","",IFERROR(VLOOKUP($D1254,'SAMA Consumables Tracker'!$A:$H,8,FALSE()),""))</f>
        <v/>
      </c>
      <c r="F1254" s="24"/>
      <c r="G1254" s="25" t="str">
        <f>IF($D1254="","",IFERROR(VLOOKUP($D1254,'SAMA Consumables Tracker'!$A:$D,4,FALSE()),""))</f>
        <v/>
      </c>
      <c r="H1254" s="22"/>
    </row>
    <row r="1255" spans="1:8">
      <c r="A1255" s="21"/>
      <c r="B1255" s="22"/>
      <c r="C1255" s="22"/>
      <c r="D1255" s="22"/>
      <c r="E1255" s="23" t="str">
        <f>IF($D1255="","",IFERROR(VLOOKUP($D1255,'SAMA Consumables Tracker'!$A:$H,8,FALSE()),""))</f>
        <v/>
      </c>
      <c r="F1255" s="24"/>
      <c r="G1255" s="25" t="str">
        <f>IF($D1255="","",IFERROR(VLOOKUP($D1255,'SAMA Consumables Tracker'!$A:$D,4,FALSE()),""))</f>
        <v/>
      </c>
      <c r="H1255" s="22"/>
    </row>
    <row r="1256" spans="1:8">
      <c r="A1256" s="21"/>
      <c r="B1256" s="22"/>
      <c r="C1256" s="22"/>
      <c r="D1256" s="22"/>
      <c r="E1256" s="23" t="str">
        <f>IF($D1256="","",IFERROR(VLOOKUP($D1256,'SAMA Consumables Tracker'!$A:$H,8,FALSE()),""))</f>
        <v/>
      </c>
      <c r="F1256" s="24"/>
      <c r="G1256" s="25" t="str">
        <f>IF($D1256="","",IFERROR(VLOOKUP($D1256,'SAMA Consumables Tracker'!$A:$D,4,FALSE()),""))</f>
        <v/>
      </c>
      <c r="H1256" s="22"/>
    </row>
    <row r="1257" spans="1:8">
      <c r="A1257" s="21"/>
      <c r="B1257" s="22"/>
      <c r="C1257" s="22"/>
      <c r="D1257" s="22"/>
      <c r="E1257" s="23" t="str">
        <f>IF($D1257="","",IFERROR(VLOOKUP($D1257,'SAMA Consumables Tracker'!$A:$H,8,FALSE()),""))</f>
        <v/>
      </c>
      <c r="F1257" s="24"/>
      <c r="G1257" s="25" t="str">
        <f>IF($D1257="","",IFERROR(VLOOKUP($D1257,'SAMA Consumables Tracker'!$A:$D,4,FALSE()),""))</f>
        <v/>
      </c>
      <c r="H1257" s="22"/>
    </row>
    <row r="1258" spans="1:8">
      <c r="A1258" s="21"/>
      <c r="B1258" s="22"/>
      <c r="C1258" s="22"/>
      <c r="D1258" s="22"/>
      <c r="E1258" s="23" t="str">
        <f>IF($D1258="","",IFERROR(VLOOKUP($D1258,'SAMA Consumables Tracker'!$A:$H,8,FALSE()),""))</f>
        <v/>
      </c>
      <c r="F1258" s="24"/>
      <c r="G1258" s="25" t="str">
        <f>IF($D1258="","",IFERROR(VLOOKUP($D1258,'SAMA Consumables Tracker'!$A:$D,4,FALSE()),""))</f>
        <v/>
      </c>
      <c r="H1258" s="22"/>
    </row>
    <row r="1259" spans="1:8">
      <c r="A1259" s="21"/>
      <c r="B1259" s="22"/>
      <c r="C1259" s="22"/>
      <c r="D1259" s="22"/>
      <c r="E1259" s="23" t="str">
        <f>IF($D1259="","",IFERROR(VLOOKUP($D1259,'SAMA Consumables Tracker'!$A:$H,8,FALSE()),""))</f>
        <v/>
      </c>
      <c r="F1259" s="24"/>
      <c r="G1259" s="25" t="str">
        <f>IF($D1259="","",IFERROR(VLOOKUP($D1259,'SAMA Consumables Tracker'!$A:$D,4,FALSE()),""))</f>
        <v/>
      </c>
      <c r="H1259" s="22"/>
    </row>
    <row r="1260" spans="1:8">
      <c r="A1260" s="21"/>
      <c r="B1260" s="22"/>
      <c r="C1260" s="22"/>
      <c r="D1260" s="22"/>
      <c r="E1260" s="23" t="str">
        <f>IF($D1260="","",IFERROR(VLOOKUP($D1260,'SAMA Consumables Tracker'!$A:$H,8,FALSE()),""))</f>
        <v/>
      </c>
      <c r="F1260" s="24"/>
      <c r="G1260" s="25" t="str">
        <f>IF($D1260="","",IFERROR(VLOOKUP($D1260,'SAMA Consumables Tracker'!$A:$D,4,FALSE()),""))</f>
        <v/>
      </c>
      <c r="H1260" s="22"/>
    </row>
    <row r="1261" spans="1:8">
      <c r="A1261" s="21"/>
      <c r="B1261" s="22"/>
      <c r="C1261" s="22"/>
      <c r="D1261" s="22"/>
      <c r="E1261" s="23" t="str">
        <f>IF($D1261="","",IFERROR(VLOOKUP($D1261,'SAMA Consumables Tracker'!$A:$H,8,FALSE()),""))</f>
        <v/>
      </c>
      <c r="F1261" s="24"/>
      <c r="G1261" s="25" t="str">
        <f>IF($D1261="","",IFERROR(VLOOKUP($D1261,'SAMA Consumables Tracker'!$A:$D,4,FALSE()),""))</f>
        <v/>
      </c>
      <c r="H1261" s="22"/>
    </row>
    <row r="1262" spans="1:8">
      <c r="A1262" s="21"/>
      <c r="B1262" s="22"/>
      <c r="C1262" s="22"/>
      <c r="D1262" s="22"/>
      <c r="E1262" s="23" t="str">
        <f>IF($D1262="","",IFERROR(VLOOKUP($D1262,'SAMA Consumables Tracker'!$A:$H,8,FALSE()),""))</f>
        <v/>
      </c>
      <c r="F1262" s="24"/>
      <c r="G1262" s="25" t="str">
        <f>IF($D1262="","",IFERROR(VLOOKUP($D1262,'SAMA Consumables Tracker'!$A:$D,4,FALSE()),""))</f>
        <v/>
      </c>
      <c r="H1262" s="22"/>
    </row>
    <row r="1263" spans="1:8">
      <c r="A1263" s="21"/>
      <c r="B1263" s="22"/>
      <c r="C1263" s="22"/>
      <c r="D1263" s="22"/>
      <c r="E1263" s="23" t="str">
        <f>IF($D1263="","",IFERROR(VLOOKUP($D1263,'SAMA Consumables Tracker'!$A:$H,8,FALSE()),""))</f>
        <v/>
      </c>
      <c r="F1263" s="24"/>
      <c r="G1263" s="25" t="str">
        <f>IF($D1263="","",IFERROR(VLOOKUP($D1263,'SAMA Consumables Tracker'!$A:$D,4,FALSE()),""))</f>
        <v/>
      </c>
      <c r="H1263" s="22"/>
    </row>
    <row r="1264" spans="1:8">
      <c r="A1264" s="21"/>
      <c r="B1264" s="22"/>
      <c r="C1264" s="22"/>
      <c r="D1264" s="22"/>
      <c r="E1264" s="23" t="str">
        <f>IF($D1264="","",IFERROR(VLOOKUP($D1264,'SAMA Consumables Tracker'!$A:$H,8,FALSE()),""))</f>
        <v/>
      </c>
      <c r="F1264" s="24"/>
      <c r="G1264" s="25" t="str">
        <f>IF($D1264="","",IFERROR(VLOOKUP($D1264,'SAMA Consumables Tracker'!$A:$D,4,FALSE()),""))</f>
        <v/>
      </c>
      <c r="H1264" s="22"/>
    </row>
    <row r="1265" spans="1:8">
      <c r="A1265" s="21"/>
      <c r="B1265" s="22"/>
      <c r="C1265" s="22"/>
      <c r="D1265" s="22"/>
      <c r="E1265" s="23" t="str">
        <f>IF($D1265="","",IFERROR(VLOOKUP($D1265,'SAMA Consumables Tracker'!$A:$H,8,FALSE()),""))</f>
        <v/>
      </c>
      <c r="F1265" s="24"/>
      <c r="G1265" s="25" t="str">
        <f>IF($D1265="","",IFERROR(VLOOKUP($D1265,'SAMA Consumables Tracker'!$A:$D,4,FALSE()),""))</f>
        <v/>
      </c>
      <c r="H1265" s="22"/>
    </row>
    <row r="1266" spans="1:8">
      <c r="A1266" s="21"/>
      <c r="B1266" s="22"/>
      <c r="C1266" s="22"/>
      <c r="D1266" s="22"/>
      <c r="E1266" s="23" t="str">
        <f>IF($D1266="","",IFERROR(VLOOKUP($D1266,'SAMA Consumables Tracker'!$A:$H,8,FALSE()),""))</f>
        <v/>
      </c>
      <c r="F1266" s="24"/>
      <c r="G1266" s="25" t="str">
        <f>IF($D1266="","",IFERROR(VLOOKUP($D1266,'SAMA Consumables Tracker'!$A:$D,4,FALSE()),""))</f>
        <v/>
      </c>
      <c r="H1266" s="22"/>
    </row>
    <row r="1267" spans="1:8">
      <c r="A1267" s="21"/>
      <c r="B1267" s="22"/>
      <c r="C1267" s="22"/>
      <c r="D1267" s="22"/>
      <c r="E1267" s="23" t="str">
        <f>IF($D1267="","",IFERROR(VLOOKUP($D1267,'SAMA Consumables Tracker'!$A:$H,8,FALSE()),""))</f>
        <v/>
      </c>
      <c r="F1267" s="24"/>
      <c r="G1267" s="25" t="str">
        <f>IF($D1267="","",IFERROR(VLOOKUP($D1267,'SAMA Consumables Tracker'!$A:$D,4,FALSE()),""))</f>
        <v/>
      </c>
      <c r="H1267" s="22"/>
    </row>
    <row r="1268" spans="1:8">
      <c r="A1268" s="21"/>
      <c r="B1268" s="22"/>
      <c r="C1268" s="22"/>
      <c r="D1268" s="22"/>
      <c r="E1268" s="23" t="str">
        <f>IF($D1268="","",IFERROR(VLOOKUP($D1268,'SAMA Consumables Tracker'!$A:$H,8,FALSE()),""))</f>
        <v/>
      </c>
      <c r="F1268" s="24"/>
      <c r="G1268" s="25" t="str">
        <f>IF($D1268="","",IFERROR(VLOOKUP($D1268,'SAMA Consumables Tracker'!$A:$D,4,FALSE()),""))</f>
        <v/>
      </c>
      <c r="H1268" s="22"/>
    </row>
    <row r="1269" spans="1:8">
      <c r="A1269" s="21"/>
      <c r="B1269" s="22"/>
      <c r="C1269" s="22"/>
      <c r="D1269" s="22"/>
      <c r="E1269" s="23" t="str">
        <f>IF($D1269="","",IFERROR(VLOOKUP($D1269,'SAMA Consumables Tracker'!$A:$H,8,FALSE()),""))</f>
        <v/>
      </c>
      <c r="F1269" s="24"/>
      <c r="G1269" s="25" t="str">
        <f>IF($D1269="","",IFERROR(VLOOKUP($D1269,'SAMA Consumables Tracker'!$A:$D,4,FALSE()),""))</f>
        <v/>
      </c>
      <c r="H1269" s="22"/>
    </row>
    <row r="1270" spans="1:8">
      <c r="A1270" s="21"/>
      <c r="B1270" s="22"/>
      <c r="C1270" s="22"/>
      <c r="D1270" s="22"/>
      <c r="E1270" s="23" t="str">
        <f>IF($D1270="","",IFERROR(VLOOKUP($D1270,'SAMA Consumables Tracker'!$A:$H,8,FALSE()),""))</f>
        <v/>
      </c>
      <c r="F1270" s="24"/>
      <c r="G1270" s="25" t="str">
        <f>IF($D1270="","",IFERROR(VLOOKUP($D1270,'SAMA Consumables Tracker'!$A:$D,4,FALSE()),""))</f>
        <v/>
      </c>
      <c r="H1270" s="22"/>
    </row>
    <row r="1271" spans="1:8">
      <c r="A1271" s="21"/>
      <c r="B1271" s="22"/>
      <c r="C1271" s="22"/>
      <c r="D1271" s="22"/>
      <c r="E1271" s="23" t="str">
        <f>IF($D1271="","",IFERROR(VLOOKUP($D1271,'SAMA Consumables Tracker'!$A:$H,8,FALSE()),""))</f>
        <v/>
      </c>
      <c r="F1271" s="24"/>
      <c r="G1271" s="25" t="str">
        <f>IF($D1271="","",IFERROR(VLOOKUP($D1271,'SAMA Consumables Tracker'!$A:$D,4,FALSE()),""))</f>
        <v/>
      </c>
      <c r="H1271" s="22"/>
    </row>
    <row r="1272" spans="1:8">
      <c r="A1272" s="21"/>
      <c r="B1272" s="22"/>
      <c r="C1272" s="22"/>
      <c r="D1272" s="22"/>
      <c r="E1272" s="23" t="str">
        <f>IF($D1272="","",IFERROR(VLOOKUP($D1272,'SAMA Consumables Tracker'!$A:$H,8,FALSE()),""))</f>
        <v/>
      </c>
      <c r="F1272" s="24"/>
      <c r="G1272" s="25" t="str">
        <f>IF($D1272="","",IFERROR(VLOOKUP($D1272,'SAMA Consumables Tracker'!$A:$D,4,FALSE()),""))</f>
        <v/>
      </c>
      <c r="H1272" s="22"/>
    </row>
    <row r="1273" spans="1:8">
      <c r="A1273" s="21"/>
      <c r="B1273" s="22"/>
      <c r="C1273" s="22"/>
      <c r="D1273" s="22"/>
      <c r="E1273" s="23" t="str">
        <f>IF($D1273="","",IFERROR(VLOOKUP($D1273,'SAMA Consumables Tracker'!$A:$H,8,FALSE()),""))</f>
        <v/>
      </c>
      <c r="F1273" s="24"/>
      <c r="G1273" s="25" t="str">
        <f>IF($D1273="","",IFERROR(VLOOKUP($D1273,'SAMA Consumables Tracker'!$A:$D,4,FALSE()),""))</f>
        <v/>
      </c>
      <c r="H1273" s="22"/>
    </row>
    <row r="1274" spans="1:8">
      <c r="A1274" s="21"/>
      <c r="B1274" s="22"/>
      <c r="C1274" s="22"/>
      <c r="D1274" s="22"/>
      <c r="E1274" s="23" t="str">
        <f>IF($D1274="","",IFERROR(VLOOKUP($D1274,'SAMA Consumables Tracker'!$A:$H,8,FALSE()),""))</f>
        <v/>
      </c>
      <c r="F1274" s="24"/>
      <c r="G1274" s="25" t="str">
        <f>IF($D1274="","",IFERROR(VLOOKUP($D1274,'SAMA Consumables Tracker'!$A:$D,4,FALSE()),""))</f>
        <v/>
      </c>
      <c r="H1274" s="22"/>
    </row>
    <row r="1275" spans="1:8">
      <c r="A1275" s="21"/>
      <c r="B1275" s="22"/>
      <c r="C1275" s="22"/>
      <c r="D1275" s="22"/>
      <c r="E1275" s="23" t="str">
        <f>IF($D1275="","",IFERROR(VLOOKUP($D1275,'SAMA Consumables Tracker'!$A:$H,8,FALSE()),""))</f>
        <v/>
      </c>
      <c r="F1275" s="24"/>
      <c r="G1275" s="25" t="str">
        <f>IF($D1275="","",IFERROR(VLOOKUP($D1275,'SAMA Consumables Tracker'!$A:$D,4,FALSE()),""))</f>
        <v/>
      </c>
      <c r="H1275" s="22"/>
    </row>
    <row r="1276" spans="1:8">
      <c r="A1276" s="21"/>
      <c r="B1276" s="22"/>
      <c r="C1276" s="22"/>
      <c r="D1276" s="22"/>
      <c r="E1276" s="23" t="str">
        <f>IF($D1276="","",IFERROR(VLOOKUP($D1276,'SAMA Consumables Tracker'!$A:$H,8,FALSE()),""))</f>
        <v/>
      </c>
      <c r="F1276" s="24"/>
      <c r="G1276" s="25" t="str">
        <f>IF($D1276="","",IFERROR(VLOOKUP($D1276,'SAMA Consumables Tracker'!$A:$D,4,FALSE()),""))</f>
        <v/>
      </c>
      <c r="H1276" s="22"/>
    </row>
    <row r="1277" spans="1:8">
      <c r="A1277" s="21"/>
      <c r="B1277" s="22"/>
      <c r="C1277" s="22"/>
      <c r="D1277" s="22"/>
      <c r="E1277" s="23" t="str">
        <f>IF($D1277="","",IFERROR(VLOOKUP($D1277,'SAMA Consumables Tracker'!$A:$H,8,FALSE()),""))</f>
        <v/>
      </c>
      <c r="F1277" s="24"/>
      <c r="G1277" s="25" t="str">
        <f>IF($D1277="","",IFERROR(VLOOKUP($D1277,'SAMA Consumables Tracker'!$A:$D,4,FALSE()),""))</f>
        <v/>
      </c>
      <c r="H1277" s="22"/>
    </row>
    <row r="1278" spans="1:8">
      <c r="A1278" s="21"/>
      <c r="B1278" s="22"/>
      <c r="C1278" s="22"/>
      <c r="D1278" s="22"/>
      <c r="E1278" s="23" t="str">
        <f>IF($D1278="","",IFERROR(VLOOKUP($D1278,'SAMA Consumables Tracker'!$A:$H,8,FALSE()),""))</f>
        <v/>
      </c>
      <c r="F1278" s="24"/>
      <c r="G1278" s="25" t="str">
        <f>IF($D1278="","",IFERROR(VLOOKUP($D1278,'SAMA Consumables Tracker'!$A:$D,4,FALSE()),""))</f>
        <v/>
      </c>
      <c r="H1278" s="22"/>
    </row>
    <row r="1279" spans="1:8">
      <c r="A1279" s="21"/>
      <c r="B1279" s="22"/>
      <c r="C1279" s="22"/>
      <c r="D1279" s="22"/>
      <c r="E1279" s="23" t="str">
        <f>IF($D1279="","",IFERROR(VLOOKUP($D1279,'SAMA Consumables Tracker'!$A:$H,8,FALSE()),""))</f>
        <v/>
      </c>
      <c r="F1279" s="24"/>
      <c r="G1279" s="25" t="str">
        <f>IF($D1279="","",IFERROR(VLOOKUP($D1279,'SAMA Consumables Tracker'!$A:$D,4,FALSE()),""))</f>
        <v/>
      </c>
      <c r="H1279" s="22"/>
    </row>
    <row r="1280" spans="1:8">
      <c r="A1280" s="21"/>
      <c r="B1280" s="22"/>
      <c r="C1280" s="22"/>
      <c r="D1280" s="22"/>
      <c r="E1280" s="23" t="str">
        <f>IF($D1280="","",IFERROR(VLOOKUP($D1280,'SAMA Consumables Tracker'!$A:$H,8,FALSE()),""))</f>
        <v/>
      </c>
      <c r="F1280" s="24"/>
      <c r="G1280" s="25" t="str">
        <f>IF($D1280="","",IFERROR(VLOOKUP($D1280,'SAMA Consumables Tracker'!$A:$D,4,FALSE()),""))</f>
        <v/>
      </c>
      <c r="H1280" s="22"/>
    </row>
    <row r="1281" spans="1:8">
      <c r="A1281" s="21"/>
      <c r="B1281" s="22"/>
      <c r="C1281" s="22"/>
      <c r="D1281" s="22"/>
      <c r="E1281" s="23" t="str">
        <f>IF($D1281="","",IFERROR(VLOOKUP($D1281,'SAMA Consumables Tracker'!$A:$H,8,FALSE()),""))</f>
        <v/>
      </c>
      <c r="F1281" s="24"/>
      <c r="G1281" s="25" t="str">
        <f>IF($D1281="","",IFERROR(VLOOKUP($D1281,'SAMA Consumables Tracker'!$A:$D,4,FALSE()),""))</f>
        <v/>
      </c>
      <c r="H1281" s="22"/>
    </row>
    <row r="1282" spans="1:8">
      <c r="A1282" s="21"/>
      <c r="B1282" s="22"/>
      <c r="C1282" s="22"/>
      <c r="D1282" s="22"/>
      <c r="E1282" s="23" t="str">
        <f>IF($D1282="","",IFERROR(VLOOKUP($D1282,'SAMA Consumables Tracker'!$A:$H,8,FALSE()),""))</f>
        <v/>
      </c>
      <c r="F1282" s="24"/>
      <c r="G1282" s="25" t="str">
        <f>IF($D1282="","",IFERROR(VLOOKUP($D1282,'SAMA Consumables Tracker'!$A:$D,4,FALSE()),""))</f>
        <v/>
      </c>
      <c r="H1282" s="22"/>
    </row>
    <row r="1283" spans="1:8">
      <c r="A1283" s="21"/>
      <c r="B1283" s="22"/>
      <c r="C1283" s="22"/>
      <c r="D1283" s="22"/>
      <c r="E1283" s="23" t="str">
        <f>IF($D1283="","",IFERROR(VLOOKUP($D1283,'SAMA Consumables Tracker'!$A:$H,8,FALSE()),""))</f>
        <v/>
      </c>
      <c r="F1283" s="24"/>
      <c r="G1283" s="25" t="str">
        <f>IF($D1283="","",IFERROR(VLOOKUP($D1283,'SAMA Consumables Tracker'!$A:$D,4,FALSE()),""))</f>
        <v/>
      </c>
      <c r="H1283" s="22"/>
    </row>
    <row r="1284" spans="1:8">
      <c r="A1284" s="21"/>
      <c r="B1284" s="22"/>
      <c r="C1284" s="22"/>
      <c r="D1284" s="22"/>
      <c r="E1284" s="23" t="str">
        <f>IF($D1284="","",IFERROR(VLOOKUP($D1284,'SAMA Consumables Tracker'!$A:$H,8,FALSE()),""))</f>
        <v/>
      </c>
      <c r="F1284" s="24"/>
      <c r="G1284" s="25" t="str">
        <f>IF($D1284="","",IFERROR(VLOOKUP($D1284,'SAMA Consumables Tracker'!$A:$D,4,FALSE()),""))</f>
        <v/>
      </c>
      <c r="H1284" s="22"/>
    </row>
    <row r="1285" spans="1:8">
      <c r="A1285" s="21"/>
      <c r="B1285" s="22"/>
      <c r="C1285" s="22"/>
      <c r="D1285" s="22"/>
      <c r="E1285" s="23" t="str">
        <f>IF($D1285="","",IFERROR(VLOOKUP($D1285,'SAMA Consumables Tracker'!$A:$H,8,FALSE()),""))</f>
        <v/>
      </c>
      <c r="F1285" s="24"/>
      <c r="G1285" s="25" t="str">
        <f>IF($D1285="","",IFERROR(VLOOKUP($D1285,'SAMA Consumables Tracker'!$A:$D,4,FALSE()),""))</f>
        <v/>
      </c>
      <c r="H1285" s="22"/>
    </row>
    <row r="1286" spans="1:8">
      <c r="A1286" s="21"/>
      <c r="B1286" s="22"/>
      <c r="C1286" s="22"/>
      <c r="D1286" s="22"/>
      <c r="E1286" s="23" t="str">
        <f>IF($D1286="","",IFERROR(VLOOKUP($D1286,'SAMA Consumables Tracker'!$A:$H,8,FALSE()),""))</f>
        <v/>
      </c>
      <c r="F1286" s="24"/>
      <c r="G1286" s="25" t="str">
        <f>IF($D1286="","",IFERROR(VLOOKUP($D1286,'SAMA Consumables Tracker'!$A:$D,4,FALSE()),""))</f>
        <v/>
      </c>
      <c r="H1286" s="22"/>
    </row>
    <row r="1287" spans="1:8">
      <c r="A1287" s="21"/>
      <c r="B1287" s="22"/>
      <c r="C1287" s="22"/>
      <c r="D1287" s="22"/>
      <c r="E1287" s="23" t="str">
        <f>IF($D1287="","",IFERROR(VLOOKUP($D1287,'SAMA Consumables Tracker'!$A:$H,8,FALSE()),""))</f>
        <v/>
      </c>
      <c r="F1287" s="24"/>
      <c r="G1287" s="25" t="str">
        <f>IF($D1287="","",IFERROR(VLOOKUP($D1287,'SAMA Consumables Tracker'!$A:$D,4,FALSE()),""))</f>
        <v/>
      </c>
      <c r="H1287" s="22"/>
    </row>
    <row r="1288" spans="1:8">
      <c r="A1288" s="21"/>
      <c r="B1288" s="22"/>
      <c r="C1288" s="22"/>
      <c r="D1288" s="22"/>
      <c r="E1288" s="23" t="str">
        <f>IF($D1288="","",IFERROR(VLOOKUP($D1288,'SAMA Consumables Tracker'!$A:$H,8,FALSE()),""))</f>
        <v/>
      </c>
      <c r="F1288" s="24"/>
      <c r="G1288" s="25" t="str">
        <f>IF($D1288="","",IFERROR(VLOOKUP($D1288,'SAMA Consumables Tracker'!$A:$D,4,FALSE()),""))</f>
        <v/>
      </c>
      <c r="H1288" s="22"/>
    </row>
    <row r="1289" spans="1:8">
      <c r="A1289" s="21"/>
      <c r="B1289" s="22"/>
      <c r="C1289" s="22"/>
      <c r="D1289" s="22"/>
      <c r="E1289" s="23" t="str">
        <f>IF($D1289="","",IFERROR(VLOOKUP($D1289,'SAMA Consumables Tracker'!$A:$H,8,FALSE()),""))</f>
        <v/>
      </c>
      <c r="F1289" s="24"/>
      <c r="G1289" s="25" t="str">
        <f>IF($D1289="","",IFERROR(VLOOKUP($D1289,'SAMA Consumables Tracker'!$A:$D,4,FALSE()),""))</f>
        <v/>
      </c>
      <c r="H1289" s="22"/>
    </row>
    <row r="1290" spans="1:8">
      <c r="A1290" s="21"/>
      <c r="B1290" s="22"/>
      <c r="C1290" s="22"/>
      <c r="D1290" s="22"/>
      <c r="E1290" s="23" t="str">
        <f>IF($D1290="","",IFERROR(VLOOKUP($D1290,'SAMA Consumables Tracker'!$A:$H,8,FALSE()),""))</f>
        <v/>
      </c>
      <c r="F1290" s="24"/>
      <c r="G1290" s="25" t="str">
        <f>IF($D1290="","",IFERROR(VLOOKUP($D1290,'SAMA Consumables Tracker'!$A:$D,4,FALSE()),""))</f>
        <v/>
      </c>
      <c r="H1290" s="22"/>
    </row>
    <row r="1291" spans="1:8">
      <c r="A1291" s="21"/>
      <c r="B1291" s="22"/>
      <c r="C1291" s="22"/>
      <c r="D1291" s="22"/>
      <c r="E1291" s="23" t="str">
        <f>IF($D1291="","",IFERROR(VLOOKUP($D1291,'SAMA Consumables Tracker'!$A:$H,8,FALSE()),""))</f>
        <v/>
      </c>
      <c r="F1291" s="24"/>
      <c r="G1291" s="25" t="str">
        <f>IF($D1291="","",IFERROR(VLOOKUP($D1291,'SAMA Consumables Tracker'!$A:$D,4,FALSE()),""))</f>
        <v/>
      </c>
      <c r="H1291" s="22"/>
    </row>
    <row r="1292" spans="1:8">
      <c r="A1292" s="21"/>
      <c r="B1292" s="22"/>
      <c r="C1292" s="22"/>
      <c r="D1292" s="22"/>
      <c r="E1292" s="23" t="str">
        <f>IF($D1292="","",IFERROR(VLOOKUP($D1292,'SAMA Consumables Tracker'!$A:$H,8,FALSE()),""))</f>
        <v/>
      </c>
      <c r="F1292" s="24"/>
      <c r="G1292" s="25" t="str">
        <f>IF($D1292="","",IFERROR(VLOOKUP($D1292,'SAMA Consumables Tracker'!$A:$D,4,FALSE()),""))</f>
        <v/>
      </c>
      <c r="H1292" s="22"/>
    </row>
    <row r="1293" spans="1:8">
      <c r="A1293" s="21"/>
      <c r="B1293" s="22"/>
      <c r="C1293" s="22"/>
      <c r="D1293" s="22"/>
      <c r="E1293" s="23" t="str">
        <f>IF($D1293="","",IFERROR(VLOOKUP($D1293,'SAMA Consumables Tracker'!$A:$H,8,FALSE()),""))</f>
        <v/>
      </c>
      <c r="F1293" s="24"/>
      <c r="G1293" s="25" t="str">
        <f>IF($D1293="","",IFERROR(VLOOKUP($D1293,'SAMA Consumables Tracker'!$A:$D,4,FALSE()),""))</f>
        <v/>
      </c>
      <c r="H1293" s="22"/>
    </row>
    <row r="1294" spans="1:8">
      <c r="A1294" s="21"/>
      <c r="B1294" s="22"/>
      <c r="C1294" s="22"/>
      <c r="D1294" s="22"/>
      <c r="E1294" s="23" t="str">
        <f>IF($D1294="","",IFERROR(VLOOKUP($D1294,'SAMA Consumables Tracker'!$A:$H,8,FALSE()),""))</f>
        <v/>
      </c>
      <c r="F1294" s="24"/>
      <c r="G1294" s="25" t="str">
        <f>IF($D1294="","",IFERROR(VLOOKUP($D1294,'SAMA Consumables Tracker'!$A:$D,4,FALSE()),""))</f>
        <v/>
      </c>
      <c r="H1294" s="22"/>
    </row>
    <row r="1295" spans="1:8">
      <c r="A1295" s="21"/>
      <c r="B1295" s="22"/>
      <c r="C1295" s="22"/>
      <c r="D1295" s="22"/>
      <c r="E1295" s="23" t="str">
        <f>IF($D1295="","",IFERROR(VLOOKUP($D1295,'SAMA Consumables Tracker'!$A:$H,8,FALSE()),""))</f>
        <v/>
      </c>
      <c r="F1295" s="24"/>
      <c r="G1295" s="25" t="str">
        <f>IF($D1295="","",IFERROR(VLOOKUP($D1295,'SAMA Consumables Tracker'!$A:$D,4,FALSE()),""))</f>
        <v/>
      </c>
      <c r="H1295" s="22"/>
    </row>
    <row r="1296" spans="1:8">
      <c r="A1296" s="21"/>
      <c r="B1296" s="22"/>
      <c r="C1296" s="22"/>
      <c r="D1296" s="22"/>
      <c r="E1296" s="23" t="str">
        <f>IF($D1296="","",IFERROR(VLOOKUP($D1296,'SAMA Consumables Tracker'!$A:$H,8,FALSE()),""))</f>
        <v/>
      </c>
      <c r="F1296" s="24"/>
      <c r="G1296" s="25" t="str">
        <f>IF($D1296="","",IFERROR(VLOOKUP($D1296,'SAMA Consumables Tracker'!$A:$D,4,FALSE()),""))</f>
        <v/>
      </c>
      <c r="H1296" s="22"/>
    </row>
    <row r="1297" spans="1:8">
      <c r="A1297" s="21"/>
      <c r="B1297" s="22"/>
      <c r="C1297" s="22"/>
      <c r="D1297" s="22"/>
      <c r="E1297" s="23" t="str">
        <f>IF($D1297="","",IFERROR(VLOOKUP($D1297,'SAMA Consumables Tracker'!$A:$H,8,FALSE()),""))</f>
        <v/>
      </c>
      <c r="F1297" s="24"/>
      <c r="G1297" s="25" t="str">
        <f>IF($D1297="","",IFERROR(VLOOKUP($D1297,'SAMA Consumables Tracker'!$A:$D,4,FALSE()),""))</f>
        <v/>
      </c>
      <c r="H1297" s="22"/>
    </row>
    <row r="1298" spans="1:8">
      <c r="A1298" s="21"/>
      <c r="B1298" s="22"/>
      <c r="C1298" s="22"/>
      <c r="D1298" s="22"/>
      <c r="E1298" s="23" t="str">
        <f>IF($D1298="","",IFERROR(VLOOKUP($D1298,'SAMA Consumables Tracker'!$A:$H,8,FALSE()),""))</f>
        <v/>
      </c>
      <c r="F1298" s="24"/>
      <c r="G1298" s="25" t="str">
        <f>IF($D1298="","",IFERROR(VLOOKUP($D1298,'SAMA Consumables Tracker'!$A:$D,4,FALSE()),""))</f>
        <v/>
      </c>
      <c r="H1298" s="22"/>
    </row>
    <row r="1299" spans="1:8">
      <c r="A1299" s="21"/>
      <c r="B1299" s="22"/>
      <c r="C1299" s="22"/>
      <c r="D1299" s="22"/>
      <c r="E1299" s="23" t="str">
        <f>IF($D1299="","",IFERROR(VLOOKUP($D1299,'SAMA Consumables Tracker'!$A:$H,8,FALSE()),""))</f>
        <v/>
      </c>
      <c r="F1299" s="24"/>
      <c r="G1299" s="25" t="str">
        <f>IF($D1299="","",IFERROR(VLOOKUP($D1299,'SAMA Consumables Tracker'!$A:$D,4,FALSE()),""))</f>
        <v/>
      </c>
      <c r="H1299" s="22"/>
    </row>
    <row r="1300" spans="1:8">
      <c r="A1300" s="21"/>
      <c r="B1300" s="22"/>
      <c r="C1300" s="22"/>
      <c r="D1300" s="22"/>
      <c r="E1300" s="23" t="str">
        <f>IF($D1300="","",IFERROR(VLOOKUP($D1300,'SAMA Consumables Tracker'!$A:$H,8,FALSE()),""))</f>
        <v/>
      </c>
      <c r="F1300" s="24"/>
      <c r="G1300" s="25" t="str">
        <f>IF($D1300="","",IFERROR(VLOOKUP($D1300,'SAMA Consumables Tracker'!$A:$D,4,FALSE()),""))</f>
        <v/>
      </c>
      <c r="H1300" s="22"/>
    </row>
    <row r="1301" spans="1:8">
      <c r="A1301" s="21"/>
      <c r="B1301" s="22"/>
      <c r="C1301" s="22"/>
      <c r="D1301" s="22"/>
      <c r="E1301" s="23" t="str">
        <f>IF($D1301="","",IFERROR(VLOOKUP($D1301,'SAMA Consumables Tracker'!$A:$H,8,FALSE()),""))</f>
        <v/>
      </c>
      <c r="F1301" s="24"/>
      <c r="G1301" s="25" t="str">
        <f>IF($D1301="","",IFERROR(VLOOKUP($D1301,'SAMA Consumables Tracker'!$A:$D,4,FALSE()),""))</f>
        <v/>
      </c>
      <c r="H1301" s="22"/>
    </row>
    <row r="1302" spans="1:8">
      <c r="A1302" s="21"/>
      <c r="B1302" s="22"/>
      <c r="C1302" s="22"/>
      <c r="D1302" s="22"/>
      <c r="E1302" s="23" t="str">
        <f>IF($D1302="","",IFERROR(VLOOKUP($D1302,'SAMA Consumables Tracker'!$A:$H,8,FALSE()),""))</f>
        <v/>
      </c>
      <c r="F1302" s="24"/>
      <c r="G1302" s="25" t="str">
        <f>IF($D1302="","",IFERROR(VLOOKUP($D1302,'SAMA Consumables Tracker'!$A:$D,4,FALSE()),""))</f>
        <v/>
      </c>
      <c r="H1302" s="22"/>
    </row>
    <row r="1303" spans="1:8">
      <c r="A1303" s="21"/>
      <c r="B1303" s="22"/>
      <c r="C1303" s="22"/>
      <c r="D1303" s="22"/>
      <c r="E1303" s="23" t="str">
        <f>IF($D1303="","",IFERROR(VLOOKUP($D1303,'SAMA Consumables Tracker'!$A:$H,8,FALSE()),""))</f>
        <v/>
      </c>
      <c r="F1303" s="24"/>
      <c r="G1303" s="25" t="str">
        <f>IF($D1303="","",IFERROR(VLOOKUP($D1303,'SAMA Consumables Tracker'!$A:$D,4,FALSE()),""))</f>
        <v/>
      </c>
      <c r="H1303" s="22"/>
    </row>
    <row r="1304" spans="1:8">
      <c r="A1304" s="21"/>
      <c r="B1304" s="22"/>
      <c r="C1304" s="22"/>
      <c r="D1304" s="22"/>
      <c r="E1304" s="23" t="str">
        <f>IF($D1304="","",IFERROR(VLOOKUP($D1304,'SAMA Consumables Tracker'!$A:$H,8,FALSE()),""))</f>
        <v/>
      </c>
      <c r="F1304" s="24"/>
      <c r="G1304" s="25" t="str">
        <f>IF($D1304="","",IFERROR(VLOOKUP($D1304,'SAMA Consumables Tracker'!$A:$D,4,FALSE()),""))</f>
        <v/>
      </c>
      <c r="H1304" s="22"/>
    </row>
    <row r="1305" spans="1:8">
      <c r="A1305" s="21"/>
      <c r="B1305" s="22"/>
      <c r="C1305" s="22"/>
      <c r="D1305" s="22"/>
      <c r="E1305" s="23" t="str">
        <f>IF($D1305="","",IFERROR(VLOOKUP($D1305,'SAMA Consumables Tracker'!$A:$H,8,FALSE()),""))</f>
        <v/>
      </c>
      <c r="F1305" s="24"/>
      <c r="G1305" s="25" t="str">
        <f>IF($D1305="","",IFERROR(VLOOKUP($D1305,'SAMA Consumables Tracker'!$A:$D,4,FALSE()),""))</f>
        <v/>
      </c>
      <c r="H1305" s="22"/>
    </row>
    <row r="1306" spans="1:8">
      <c r="A1306" s="21"/>
      <c r="B1306" s="22"/>
      <c r="C1306" s="22"/>
      <c r="D1306" s="22"/>
      <c r="E1306" s="23" t="str">
        <f>IF($D1306="","",IFERROR(VLOOKUP($D1306,'SAMA Consumables Tracker'!$A:$H,8,FALSE()),""))</f>
        <v/>
      </c>
      <c r="F1306" s="24"/>
      <c r="G1306" s="25" t="str">
        <f>IF($D1306="","",IFERROR(VLOOKUP($D1306,'SAMA Consumables Tracker'!$A:$D,4,FALSE()),""))</f>
        <v/>
      </c>
      <c r="H1306" s="22"/>
    </row>
    <row r="1307" spans="1:8">
      <c r="A1307" s="21"/>
      <c r="B1307" s="22"/>
      <c r="C1307" s="22"/>
      <c r="D1307" s="22"/>
      <c r="E1307" s="23" t="str">
        <f>IF($D1307="","",IFERROR(VLOOKUP($D1307,'SAMA Consumables Tracker'!$A:$H,8,FALSE()),""))</f>
        <v/>
      </c>
      <c r="F1307" s="24"/>
      <c r="G1307" s="25" t="str">
        <f>IF($D1307="","",IFERROR(VLOOKUP($D1307,'SAMA Consumables Tracker'!$A:$D,4,FALSE()),""))</f>
        <v/>
      </c>
      <c r="H1307" s="22"/>
    </row>
    <row r="1308" spans="1:8">
      <c r="A1308" s="21"/>
      <c r="B1308" s="22"/>
      <c r="C1308" s="22"/>
      <c r="D1308" s="22"/>
      <c r="E1308" s="23" t="str">
        <f>IF($D1308="","",IFERROR(VLOOKUP($D1308,'SAMA Consumables Tracker'!$A:$H,8,FALSE()),""))</f>
        <v/>
      </c>
      <c r="F1308" s="24"/>
      <c r="G1308" s="25" t="str">
        <f>IF($D1308="","",IFERROR(VLOOKUP($D1308,'SAMA Consumables Tracker'!$A:$D,4,FALSE()),""))</f>
        <v/>
      </c>
      <c r="H1308" s="22"/>
    </row>
    <row r="1309" spans="1:8">
      <c r="A1309" s="21"/>
      <c r="B1309" s="22"/>
      <c r="C1309" s="22"/>
      <c r="D1309" s="22"/>
      <c r="E1309" s="23" t="str">
        <f>IF($D1309="","",IFERROR(VLOOKUP($D1309,'SAMA Consumables Tracker'!$A:$H,8,FALSE()),""))</f>
        <v/>
      </c>
      <c r="F1309" s="24"/>
      <c r="G1309" s="25" t="str">
        <f>IF($D1309="","",IFERROR(VLOOKUP($D1309,'SAMA Consumables Tracker'!$A:$D,4,FALSE()),""))</f>
        <v/>
      </c>
      <c r="H1309" s="22"/>
    </row>
    <row r="1310" spans="1:8">
      <c r="A1310" s="21"/>
      <c r="B1310" s="22"/>
      <c r="C1310" s="22"/>
      <c r="D1310" s="22"/>
      <c r="E1310" s="23" t="str">
        <f>IF($D1310="","",IFERROR(VLOOKUP($D1310,'SAMA Consumables Tracker'!$A:$H,8,FALSE()),""))</f>
        <v/>
      </c>
      <c r="F1310" s="24"/>
      <c r="G1310" s="25" t="str">
        <f>IF($D1310="","",IFERROR(VLOOKUP($D1310,'SAMA Consumables Tracker'!$A:$D,4,FALSE()),""))</f>
        <v/>
      </c>
      <c r="H1310" s="22"/>
    </row>
    <row r="1311" spans="1:8">
      <c r="A1311" s="21"/>
      <c r="B1311" s="22"/>
      <c r="C1311" s="22"/>
      <c r="D1311" s="22"/>
      <c r="E1311" s="23" t="str">
        <f>IF($D1311="","",IFERROR(VLOOKUP($D1311,'SAMA Consumables Tracker'!$A:$H,8,FALSE()),""))</f>
        <v/>
      </c>
      <c r="F1311" s="24"/>
      <c r="G1311" s="25" t="str">
        <f>IF($D1311="","",IFERROR(VLOOKUP($D1311,'SAMA Consumables Tracker'!$A:$D,4,FALSE()),""))</f>
        <v/>
      </c>
      <c r="H1311" s="22"/>
    </row>
    <row r="1312" spans="1:8">
      <c r="A1312" s="21"/>
      <c r="B1312" s="22"/>
      <c r="C1312" s="22"/>
      <c r="D1312" s="22"/>
      <c r="E1312" s="23" t="str">
        <f>IF($D1312="","",IFERROR(VLOOKUP($D1312,'SAMA Consumables Tracker'!$A:$H,8,FALSE()),""))</f>
        <v/>
      </c>
      <c r="F1312" s="24"/>
      <c r="G1312" s="25" t="str">
        <f>IF($D1312="","",IFERROR(VLOOKUP($D1312,'SAMA Consumables Tracker'!$A:$D,4,FALSE()),""))</f>
        <v/>
      </c>
      <c r="H1312" s="22"/>
    </row>
    <row r="1313" spans="1:8">
      <c r="A1313" s="21"/>
      <c r="B1313" s="22"/>
      <c r="C1313" s="22"/>
      <c r="D1313" s="22"/>
      <c r="E1313" s="23" t="str">
        <f>IF($D1313="","",IFERROR(VLOOKUP($D1313,'SAMA Consumables Tracker'!$A:$H,8,FALSE()),""))</f>
        <v/>
      </c>
      <c r="F1313" s="24"/>
      <c r="G1313" s="25" t="str">
        <f>IF($D1313="","",IFERROR(VLOOKUP($D1313,'SAMA Consumables Tracker'!$A:$D,4,FALSE()),""))</f>
        <v/>
      </c>
      <c r="H1313" s="22"/>
    </row>
    <row r="1314" spans="1:8">
      <c r="A1314" s="21"/>
      <c r="B1314" s="22"/>
      <c r="C1314" s="22"/>
      <c r="D1314" s="22"/>
      <c r="E1314" s="23" t="str">
        <f>IF($D1314="","",IFERROR(VLOOKUP($D1314,'SAMA Consumables Tracker'!$A:$H,8,FALSE()),""))</f>
        <v/>
      </c>
      <c r="F1314" s="24"/>
      <c r="G1314" s="25" t="str">
        <f>IF($D1314="","",IFERROR(VLOOKUP($D1314,'SAMA Consumables Tracker'!$A:$D,4,FALSE()),""))</f>
        <v/>
      </c>
      <c r="H1314" s="22"/>
    </row>
    <row r="1315" spans="1:8">
      <c r="A1315" s="21"/>
      <c r="B1315" s="22"/>
      <c r="C1315" s="22"/>
      <c r="D1315" s="22"/>
      <c r="E1315" s="23" t="str">
        <f>IF($D1315="","",IFERROR(VLOOKUP($D1315,'SAMA Consumables Tracker'!$A:$H,8,FALSE()),""))</f>
        <v/>
      </c>
      <c r="F1315" s="24"/>
      <c r="G1315" s="25" t="str">
        <f>IF($D1315="","",IFERROR(VLOOKUP($D1315,'SAMA Consumables Tracker'!$A:$D,4,FALSE()),""))</f>
        <v/>
      </c>
      <c r="H1315" s="22"/>
    </row>
    <row r="1316" spans="1:8">
      <c r="A1316" s="21"/>
      <c r="B1316" s="22"/>
      <c r="C1316" s="22"/>
      <c r="D1316" s="22"/>
      <c r="E1316" s="23" t="str">
        <f>IF($D1316="","",IFERROR(VLOOKUP($D1316,'SAMA Consumables Tracker'!$A:$H,8,FALSE()),""))</f>
        <v/>
      </c>
      <c r="F1316" s="24"/>
      <c r="G1316" s="25" t="str">
        <f>IF($D1316="","",IFERROR(VLOOKUP($D1316,'SAMA Consumables Tracker'!$A:$D,4,FALSE()),""))</f>
        <v/>
      </c>
      <c r="H1316" s="22"/>
    </row>
    <row r="1317" spans="1:8">
      <c r="A1317" s="21"/>
      <c r="B1317" s="22"/>
      <c r="C1317" s="22"/>
      <c r="D1317" s="22"/>
      <c r="E1317" s="23" t="str">
        <f>IF($D1317="","",IFERROR(VLOOKUP($D1317,'SAMA Consumables Tracker'!$A:$H,8,FALSE()),""))</f>
        <v/>
      </c>
      <c r="F1317" s="24"/>
      <c r="G1317" s="25" t="str">
        <f>IF($D1317="","",IFERROR(VLOOKUP($D1317,'SAMA Consumables Tracker'!$A:$D,4,FALSE()),""))</f>
        <v/>
      </c>
      <c r="H1317" s="22"/>
    </row>
    <row r="1318" spans="1:8">
      <c r="A1318" s="21"/>
      <c r="B1318" s="22"/>
      <c r="C1318" s="22"/>
      <c r="D1318" s="22"/>
      <c r="E1318" s="23" t="str">
        <f>IF($D1318="","",IFERROR(VLOOKUP($D1318,'SAMA Consumables Tracker'!$A:$H,8,FALSE()),""))</f>
        <v/>
      </c>
      <c r="F1318" s="24"/>
      <c r="G1318" s="25" t="str">
        <f>IF($D1318="","",IFERROR(VLOOKUP($D1318,'SAMA Consumables Tracker'!$A:$D,4,FALSE()),""))</f>
        <v/>
      </c>
      <c r="H1318" s="22"/>
    </row>
    <row r="1319" spans="1:8">
      <c r="A1319" s="21"/>
      <c r="B1319" s="22"/>
      <c r="C1319" s="22"/>
      <c r="D1319" s="22"/>
      <c r="E1319" s="23" t="str">
        <f>IF($D1319="","",IFERROR(VLOOKUP($D1319,'SAMA Consumables Tracker'!$A:$H,8,FALSE()),""))</f>
        <v/>
      </c>
      <c r="F1319" s="24"/>
      <c r="G1319" s="25" t="str">
        <f>IF($D1319="","",IFERROR(VLOOKUP($D1319,'SAMA Consumables Tracker'!$A:$D,4,FALSE()),""))</f>
        <v/>
      </c>
      <c r="H1319" s="22"/>
    </row>
    <row r="1320" spans="1:8">
      <c r="A1320" s="21"/>
      <c r="B1320" s="22"/>
      <c r="C1320" s="22"/>
      <c r="D1320" s="22"/>
      <c r="E1320" s="23" t="str">
        <f>IF($D1320="","",IFERROR(VLOOKUP($D1320,'SAMA Consumables Tracker'!$A:$H,8,FALSE()),""))</f>
        <v/>
      </c>
      <c r="F1320" s="24"/>
      <c r="G1320" s="25" t="str">
        <f>IF($D1320="","",IFERROR(VLOOKUP($D1320,'SAMA Consumables Tracker'!$A:$D,4,FALSE()),""))</f>
        <v/>
      </c>
      <c r="H1320" s="22"/>
    </row>
    <row r="1321" spans="1:8">
      <c r="A1321" s="21"/>
      <c r="B1321" s="22"/>
      <c r="C1321" s="22"/>
      <c r="D1321" s="22"/>
      <c r="E1321" s="23" t="str">
        <f>IF($D1321="","",IFERROR(VLOOKUP($D1321,'SAMA Consumables Tracker'!$A:$H,8,FALSE()),""))</f>
        <v/>
      </c>
      <c r="F1321" s="24"/>
      <c r="G1321" s="25" t="str">
        <f>IF($D1321="","",IFERROR(VLOOKUP($D1321,'SAMA Consumables Tracker'!$A:$D,4,FALSE()),""))</f>
        <v/>
      </c>
      <c r="H1321" s="22"/>
    </row>
    <row r="1322" spans="1:8">
      <c r="A1322" s="21"/>
      <c r="B1322" s="22"/>
      <c r="C1322" s="22"/>
      <c r="D1322" s="22"/>
      <c r="E1322" s="23" t="str">
        <f>IF($D1322="","",IFERROR(VLOOKUP($D1322,'SAMA Consumables Tracker'!$A:$H,8,FALSE()),""))</f>
        <v/>
      </c>
      <c r="F1322" s="24"/>
      <c r="G1322" s="25" t="str">
        <f>IF($D1322="","",IFERROR(VLOOKUP($D1322,'SAMA Consumables Tracker'!$A:$D,4,FALSE()),""))</f>
        <v/>
      </c>
      <c r="H1322" s="22"/>
    </row>
    <row r="1323" spans="1:8">
      <c r="A1323" s="21"/>
      <c r="B1323" s="22"/>
      <c r="C1323" s="22"/>
      <c r="D1323" s="22"/>
      <c r="E1323" s="23" t="str">
        <f>IF($D1323="","",IFERROR(VLOOKUP($D1323,'SAMA Consumables Tracker'!$A:$H,8,FALSE()),""))</f>
        <v/>
      </c>
      <c r="F1323" s="24"/>
      <c r="G1323" s="25" t="str">
        <f>IF($D1323="","",IFERROR(VLOOKUP($D1323,'SAMA Consumables Tracker'!$A:$D,4,FALSE()),""))</f>
        <v/>
      </c>
      <c r="H1323" s="22"/>
    </row>
    <row r="1324" spans="1:8">
      <c r="A1324" s="21"/>
      <c r="B1324" s="22"/>
      <c r="C1324" s="22"/>
      <c r="D1324" s="22"/>
      <c r="E1324" s="23" t="str">
        <f>IF($D1324="","",IFERROR(VLOOKUP($D1324,'SAMA Consumables Tracker'!$A:$H,8,FALSE()),""))</f>
        <v/>
      </c>
      <c r="F1324" s="24"/>
      <c r="G1324" s="25" t="str">
        <f>IF($D1324="","",IFERROR(VLOOKUP($D1324,'SAMA Consumables Tracker'!$A:$D,4,FALSE()),""))</f>
        <v/>
      </c>
      <c r="H1324" s="22"/>
    </row>
    <row r="1325" spans="1:8">
      <c r="A1325" s="21"/>
      <c r="B1325" s="22"/>
      <c r="C1325" s="22"/>
      <c r="D1325" s="22"/>
      <c r="E1325" s="23" t="str">
        <f>IF($D1325="","",IFERROR(VLOOKUP($D1325,'SAMA Consumables Tracker'!$A:$H,8,FALSE()),""))</f>
        <v/>
      </c>
      <c r="F1325" s="24"/>
      <c r="G1325" s="25" t="str">
        <f>IF($D1325="","",IFERROR(VLOOKUP($D1325,'SAMA Consumables Tracker'!$A:$D,4,FALSE()),""))</f>
        <v/>
      </c>
      <c r="H1325" s="22"/>
    </row>
    <row r="1326" spans="1:8">
      <c r="A1326" s="21"/>
      <c r="B1326" s="22"/>
      <c r="C1326" s="22"/>
      <c r="D1326" s="22"/>
      <c r="E1326" s="23" t="str">
        <f>IF($D1326="","",IFERROR(VLOOKUP($D1326,'SAMA Consumables Tracker'!$A:$H,8,FALSE()),""))</f>
        <v/>
      </c>
      <c r="F1326" s="24"/>
      <c r="G1326" s="25" t="str">
        <f>IF($D1326="","",IFERROR(VLOOKUP($D1326,'SAMA Consumables Tracker'!$A:$D,4,FALSE()),""))</f>
        <v/>
      </c>
      <c r="H1326" s="22"/>
    </row>
    <row r="1327" spans="1:8">
      <c r="A1327" s="21"/>
      <c r="B1327" s="22"/>
      <c r="C1327" s="22"/>
      <c r="D1327" s="22"/>
      <c r="E1327" s="23" t="str">
        <f>IF($D1327="","",IFERROR(VLOOKUP($D1327,'SAMA Consumables Tracker'!$A:$H,8,FALSE()),""))</f>
        <v/>
      </c>
      <c r="F1327" s="24"/>
      <c r="G1327" s="25" t="str">
        <f>IF($D1327="","",IFERROR(VLOOKUP($D1327,'SAMA Consumables Tracker'!$A:$D,4,FALSE()),""))</f>
        <v/>
      </c>
      <c r="H1327" s="22"/>
    </row>
    <row r="1328" spans="1:8">
      <c r="A1328" s="21"/>
      <c r="B1328" s="22"/>
      <c r="C1328" s="22"/>
      <c r="D1328" s="22"/>
      <c r="E1328" s="23" t="str">
        <f>IF($D1328="","",IFERROR(VLOOKUP($D1328,'SAMA Consumables Tracker'!$A:$H,8,FALSE()),""))</f>
        <v/>
      </c>
      <c r="F1328" s="24"/>
      <c r="G1328" s="25" t="str">
        <f>IF($D1328="","",IFERROR(VLOOKUP($D1328,'SAMA Consumables Tracker'!$A:$D,4,FALSE()),""))</f>
        <v/>
      </c>
      <c r="H1328" s="22"/>
    </row>
    <row r="1329" spans="1:8">
      <c r="A1329" s="21"/>
      <c r="B1329" s="22"/>
      <c r="C1329" s="22"/>
      <c r="D1329" s="22"/>
      <c r="E1329" s="23" t="str">
        <f>IF($D1329="","",IFERROR(VLOOKUP($D1329,'SAMA Consumables Tracker'!$A:$H,8,FALSE()),""))</f>
        <v/>
      </c>
      <c r="F1329" s="24"/>
      <c r="G1329" s="25" t="str">
        <f>IF($D1329="","",IFERROR(VLOOKUP($D1329,'SAMA Consumables Tracker'!$A:$D,4,FALSE()),""))</f>
        <v/>
      </c>
      <c r="H1329" s="22"/>
    </row>
    <row r="1330" spans="1:8">
      <c r="A1330" s="21"/>
      <c r="B1330" s="22"/>
      <c r="C1330" s="22"/>
      <c r="D1330" s="22"/>
      <c r="E1330" s="23" t="str">
        <f>IF($D1330="","",IFERROR(VLOOKUP($D1330,'SAMA Consumables Tracker'!$A:$H,8,FALSE()),""))</f>
        <v/>
      </c>
      <c r="F1330" s="24"/>
      <c r="G1330" s="25" t="str">
        <f>IF($D1330="","",IFERROR(VLOOKUP($D1330,'SAMA Consumables Tracker'!$A:$D,4,FALSE()),""))</f>
        <v/>
      </c>
      <c r="H1330" s="22"/>
    </row>
    <row r="1331" spans="1:8">
      <c r="A1331" s="21"/>
      <c r="B1331" s="22"/>
      <c r="C1331" s="22"/>
      <c r="D1331" s="22"/>
      <c r="E1331" s="23" t="str">
        <f>IF($D1331="","",IFERROR(VLOOKUP($D1331,'SAMA Consumables Tracker'!$A:$H,8,FALSE()),""))</f>
        <v/>
      </c>
      <c r="F1331" s="24"/>
      <c r="G1331" s="25" t="str">
        <f>IF($D1331="","",IFERROR(VLOOKUP($D1331,'SAMA Consumables Tracker'!$A:$D,4,FALSE()),""))</f>
        <v/>
      </c>
      <c r="H1331" s="22"/>
    </row>
    <row r="1332" spans="1:8">
      <c r="A1332" s="21"/>
      <c r="B1332" s="22"/>
      <c r="C1332" s="22"/>
      <c r="D1332" s="22"/>
      <c r="E1332" s="23" t="str">
        <f>IF($D1332="","",IFERROR(VLOOKUP($D1332,'SAMA Consumables Tracker'!$A:$H,8,FALSE()),""))</f>
        <v/>
      </c>
      <c r="F1332" s="24"/>
      <c r="G1332" s="25" t="str">
        <f>IF($D1332="","",IFERROR(VLOOKUP($D1332,'SAMA Consumables Tracker'!$A:$D,4,FALSE()),""))</f>
        <v/>
      </c>
      <c r="H1332" s="22"/>
    </row>
    <row r="1333" spans="1:8">
      <c r="A1333" s="21"/>
      <c r="B1333" s="22"/>
      <c r="C1333" s="22"/>
      <c r="D1333" s="22"/>
      <c r="E1333" s="23" t="str">
        <f>IF($D1333="","",IFERROR(VLOOKUP($D1333,'SAMA Consumables Tracker'!$A:$H,8,FALSE()),""))</f>
        <v/>
      </c>
      <c r="F1333" s="24"/>
      <c r="G1333" s="25" t="str">
        <f>IF($D1333="","",IFERROR(VLOOKUP($D1333,'SAMA Consumables Tracker'!$A:$D,4,FALSE()),""))</f>
        <v/>
      </c>
      <c r="H1333" s="22"/>
    </row>
    <row r="1334" spans="1:8">
      <c r="A1334" s="21"/>
      <c r="B1334" s="22"/>
      <c r="C1334" s="22"/>
      <c r="D1334" s="22"/>
      <c r="E1334" s="23" t="str">
        <f>IF($D1334="","",IFERROR(VLOOKUP($D1334,'SAMA Consumables Tracker'!$A:$H,8,FALSE()),""))</f>
        <v/>
      </c>
      <c r="F1334" s="24"/>
      <c r="G1334" s="25" t="str">
        <f>IF($D1334="","",IFERROR(VLOOKUP($D1334,'SAMA Consumables Tracker'!$A:$D,4,FALSE()),""))</f>
        <v/>
      </c>
      <c r="H1334" s="22"/>
    </row>
    <row r="1335" spans="1:8">
      <c r="A1335" s="21"/>
      <c r="B1335" s="22"/>
      <c r="C1335" s="22"/>
      <c r="D1335" s="22"/>
      <c r="E1335" s="23" t="str">
        <f>IF($D1335="","",IFERROR(VLOOKUP($D1335,'SAMA Consumables Tracker'!$A:$H,8,FALSE()),""))</f>
        <v/>
      </c>
      <c r="F1335" s="24"/>
      <c r="G1335" s="25" t="str">
        <f>IF($D1335="","",IFERROR(VLOOKUP($D1335,'SAMA Consumables Tracker'!$A:$D,4,FALSE()),""))</f>
        <v/>
      </c>
      <c r="H1335" s="22"/>
    </row>
    <row r="1336" spans="1:8">
      <c r="A1336" s="21"/>
      <c r="B1336" s="22"/>
      <c r="C1336" s="22"/>
      <c r="D1336" s="22"/>
      <c r="E1336" s="23" t="str">
        <f>IF($D1336="","",IFERROR(VLOOKUP($D1336,'SAMA Consumables Tracker'!$A:$H,8,FALSE()),""))</f>
        <v/>
      </c>
      <c r="F1336" s="24"/>
      <c r="G1336" s="25" t="str">
        <f>IF($D1336="","",IFERROR(VLOOKUP($D1336,'SAMA Consumables Tracker'!$A:$D,4,FALSE()),""))</f>
        <v/>
      </c>
      <c r="H1336" s="22"/>
    </row>
    <row r="1337" spans="1:8">
      <c r="A1337" s="21"/>
      <c r="B1337" s="22"/>
      <c r="C1337" s="22"/>
      <c r="D1337" s="22"/>
      <c r="E1337" s="23" t="str">
        <f>IF($D1337="","",IFERROR(VLOOKUP($D1337,'SAMA Consumables Tracker'!$A:$H,8,FALSE()),""))</f>
        <v/>
      </c>
      <c r="F1337" s="24"/>
      <c r="G1337" s="25" t="str">
        <f>IF($D1337="","",IFERROR(VLOOKUP($D1337,'SAMA Consumables Tracker'!$A:$D,4,FALSE()),""))</f>
        <v/>
      </c>
      <c r="H1337" s="22"/>
    </row>
    <row r="1338" spans="1:8">
      <c r="A1338" s="21"/>
      <c r="B1338" s="22"/>
      <c r="C1338" s="22"/>
      <c r="D1338" s="22"/>
      <c r="E1338" s="23" t="str">
        <f>IF($D1338="","",IFERROR(VLOOKUP($D1338,'SAMA Consumables Tracker'!$A:$H,8,FALSE()),""))</f>
        <v/>
      </c>
      <c r="F1338" s="24"/>
      <c r="G1338" s="25" t="str">
        <f>IF($D1338="","",IFERROR(VLOOKUP($D1338,'SAMA Consumables Tracker'!$A:$D,4,FALSE()),""))</f>
        <v/>
      </c>
      <c r="H1338" s="22"/>
    </row>
    <row r="1339" spans="1:8">
      <c r="A1339" s="21"/>
      <c r="B1339" s="22"/>
      <c r="C1339" s="22"/>
      <c r="D1339" s="22"/>
      <c r="E1339" s="23" t="str">
        <f>IF($D1339="","",IFERROR(VLOOKUP($D1339,'SAMA Consumables Tracker'!$A:$H,8,FALSE()),""))</f>
        <v/>
      </c>
      <c r="F1339" s="24"/>
      <c r="G1339" s="25" t="str">
        <f>IF($D1339="","",IFERROR(VLOOKUP($D1339,'SAMA Consumables Tracker'!$A:$D,4,FALSE()),""))</f>
        <v/>
      </c>
      <c r="H1339" s="22"/>
    </row>
    <row r="1340" spans="1:8">
      <c r="A1340" s="21"/>
      <c r="B1340" s="22"/>
      <c r="C1340" s="22"/>
      <c r="D1340" s="22"/>
      <c r="E1340" s="23" t="str">
        <f>IF($D1340="","",IFERROR(VLOOKUP($D1340,'SAMA Consumables Tracker'!$A:$H,8,FALSE()),""))</f>
        <v/>
      </c>
      <c r="F1340" s="24"/>
      <c r="G1340" s="25" t="str">
        <f>IF($D1340="","",IFERROR(VLOOKUP($D1340,'SAMA Consumables Tracker'!$A:$D,4,FALSE()),""))</f>
        <v/>
      </c>
      <c r="H1340" s="22"/>
    </row>
    <row r="1341" spans="1:8">
      <c r="A1341" s="21"/>
      <c r="B1341" s="22"/>
      <c r="C1341" s="22"/>
      <c r="D1341" s="22"/>
      <c r="E1341" s="23" t="str">
        <f>IF($D1341="","",IFERROR(VLOOKUP($D1341,'SAMA Consumables Tracker'!$A:$H,8,FALSE()),""))</f>
        <v/>
      </c>
      <c r="F1341" s="24"/>
      <c r="G1341" s="25" t="str">
        <f>IF($D1341="","",IFERROR(VLOOKUP($D1341,'SAMA Consumables Tracker'!$A:$D,4,FALSE()),""))</f>
        <v/>
      </c>
      <c r="H1341" s="22"/>
    </row>
    <row r="1342" spans="1:8">
      <c r="A1342" s="21"/>
      <c r="B1342" s="22"/>
      <c r="C1342" s="22"/>
      <c r="D1342" s="22"/>
      <c r="E1342" s="23" t="str">
        <f>IF($D1342="","",IFERROR(VLOOKUP($D1342,'SAMA Consumables Tracker'!$A:$H,8,FALSE()),""))</f>
        <v/>
      </c>
      <c r="F1342" s="24"/>
      <c r="G1342" s="25" t="str">
        <f>IF($D1342="","",IFERROR(VLOOKUP($D1342,'SAMA Consumables Tracker'!$A:$D,4,FALSE()),""))</f>
        <v/>
      </c>
      <c r="H1342" s="22"/>
    </row>
    <row r="1343" spans="1:8">
      <c r="A1343" s="21"/>
      <c r="B1343" s="22"/>
      <c r="C1343" s="22"/>
      <c r="D1343" s="22"/>
      <c r="E1343" s="23" t="str">
        <f>IF($D1343="","",IFERROR(VLOOKUP($D1343,'SAMA Consumables Tracker'!$A:$H,8,FALSE()),""))</f>
        <v/>
      </c>
      <c r="F1343" s="24"/>
      <c r="G1343" s="25" t="str">
        <f>IF($D1343="","",IFERROR(VLOOKUP($D1343,'SAMA Consumables Tracker'!$A:$D,4,FALSE()),""))</f>
        <v/>
      </c>
      <c r="H1343" s="22"/>
    </row>
    <row r="1344" spans="1:8">
      <c r="A1344" s="21"/>
      <c r="B1344" s="22"/>
      <c r="C1344" s="22"/>
      <c r="D1344" s="22"/>
      <c r="E1344" s="23" t="str">
        <f>IF($D1344="","",IFERROR(VLOOKUP($D1344,'SAMA Consumables Tracker'!$A:$H,8,FALSE()),""))</f>
        <v/>
      </c>
      <c r="F1344" s="24"/>
      <c r="G1344" s="25" t="str">
        <f>IF($D1344="","",IFERROR(VLOOKUP($D1344,'SAMA Consumables Tracker'!$A:$D,4,FALSE()),""))</f>
        <v/>
      </c>
      <c r="H1344" s="22"/>
    </row>
    <row r="1345" spans="1:8">
      <c r="A1345" s="21"/>
      <c r="B1345" s="22"/>
      <c r="C1345" s="22"/>
      <c r="D1345" s="22"/>
      <c r="E1345" s="23" t="str">
        <f>IF($D1345="","",IFERROR(VLOOKUP($D1345,'SAMA Consumables Tracker'!$A:$H,8,FALSE()),""))</f>
        <v/>
      </c>
      <c r="F1345" s="24"/>
      <c r="G1345" s="25" t="str">
        <f>IF($D1345="","",IFERROR(VLOOKUP($D1345,'SAMA Consumables Tracker'!$A:$D,4,FALSE()),""))</f>
        <v/>
      </c>
      <c r="H1345" s="22"/>
    </row>
    <row r="1346" spans="1:8">
      <c r="A1346" s="21"/>
      <c r="B1346" s="22"/>
      <c r="C1346" s="22"/>
      <c r="D1346" s="22"/>
      <c r="E1346" s="23" t="str">
        <f>IF($D1346="","",IFERROR(VLOOKUP($D1346,'SAMA Consumables Tracker'!$A:$H,8,FALSE()),""))</f>
        <v/>
      </c>
      <c r="F1346" s="24"/>
      <c r="G1346" s="25" t="str">
        <f>IF($D1346="","",IFERROR(VLOOKUP($D1346,'SAMA Consumables Tracker'!$A:$D,4,FALSE()),""))</f>
        <v/>
      </c>
      <c r="H1346" s="22"/>
    </row>
    <row r="1347" spans="1:8">
      <c r="A1347" s="21"/>
      <c r="B1347" s="22"/>
      <c r="C1347" s="22"/>
      <c r="D1347" s="22"/>
      <c r="E1347" s="23" t="str">
        <f>IF($D1347="","",IFERROR(VLOOKUP($D1347,'SAMA Consumables Tracker'!$A:$H,8,FALSE()),""))</f>
        <v/>
      </c>
      <c r="F1347" s="24"/>
      <c r="G1347" s="25" t="str">
        <f>IF($D1347="","",IFERROR(VLOOKUP($D1347,'SAMA Consumables Tracker'!$A:$D,4,FALSE()),""))</f>
        <v/>
      </c>
      <c r="H1347" s="22"/>
    </row>
    <row r="1348" spans="1:8">
      <c r="A1348" s="21"/>
      <c r="B1348" s="22"/>
      <c r="C1348" s="22"/>
      <c r="D1348" s="22"/>
      <c r="E1348" s="23" t="str">
        <f>IF($D1348="","",IFERROR(VLOOKUP($D1348,'SAMA Consumables Tracker'!$A:$H,8,FALSE()),""))</f>
        <v/>
      </c>
      <c r="F1348" s="24"/>
      <c r="G1348" s="25" t="str">
        <f>IF($D1348="","",IFERROR(VLOOKUP($D1348,'SAMA Consumables Tracker'!$A:$D,4,FALSE()),""))</f>
        <v/>
      </c>
      <c r="H1348" s="22"/>
    </row>
    <row r="1349" spans="1:8">
      <c r="A1349" s="21"/>
      <c r="B1349" s="22"/>
      <c r="C1349" s="22"/>
      <c r="D1349" s="22"/>
      <c r="E1349" s="23" t="str">
        <f>IF($D1349="","",IFERROR(VLOOKUP($D1349,'SAMA Consumables Tracker'!$A:$H,8,FALSE()),""))</f>
        <v/>
      </c>
      <c r="F1349" s="24"/>
      <c r="G1349" s="25" t="str">
        <f>IF($D1349="","",IFERROR(VLOOKUP($D1349,'SAMA Consumables Tracker'!$A:$D,4,FALSE()),""))</f>
        <v/>
      </c>
      <c r="H1349" s="22"/>
    </row>
    <row r="1350" spans="1:8">
      <c r="A1350" s="21"/>
      <c r="B1350" s="22"/>
      <c r="C1350" s="22"/>
      <c r="D1350" s="22"/>
      <c r="E1350" s="23" t="str">
        <f>IF($D1350="","",IFERROR(VLOOKUP($D1350,'SAMA Consumables Tracker'!$A:$H,8,FALSE()),""))</f>
        <v/>
      </c>
      <c r="F1350" s="24"/>
      <c r="G1350" s="25" t="str">
        <f>IF($D1350="","",IFERROR(VLOOKUP($D1350,'SAMA Consumables Tracker'!$A:$D,4,FALSE()),""))</f>
        <v/>
      </c>
      <c r="H1350" s="22"/>
    </row>
    <row r="1351" spans="1:8">
      <c r="A1351" s="21"/>
      <c r="B1351" s="22"/>
      <c r="C1351" s="22"/>
      <c r="D1351" s="22"/>
      <c r="E1351" s="23" t="str">
        <f>IF($D1351="","",IFERROR(VLOOKUP($D1351,'SAMA Consumables Tracker'!$A:$H,8,FALSE()),""))</f>
        <v/>
      </c>
      <c r="F1351" s="24"/>
      <c r="G1351" s="25" t="str">
        <f>IF($D1351="","",IFERROR(VLOOKUP($D1351,'SAMA Consumables Tracker'!$A:$D,4,FALSE()),""))</f>
        <v/>
      </c>
      <c r="H1351" s="22"/>
    </row>
    <row r="1352" spans="1:8">
      <c r="A1352" s="21"/>
      <c r="B1352" s="22"/>
      <c r="C1352" s="22"/>
      <c r="D1352" s="22"/>
      <c r="E1352" s="23" t="str">
        <f>IF($D1352="","",IFERROR(VLOOKUP($D1352,'SAMA Consumables Tracker'!$A:$H,8,FALSE()),""))</f>
        <v/>
      </c>
      <c r="F1352" s="24"/>
      <c r="G1352" s="25" t="str">
        <f>IF($D1352="","",IFERROR(VLOOKUP($D1352,'SAMA Consumables Tracker'!$A:$D,4,FALSE()),""))</f>
        <v/>
      </c>
      <c r="H1352" s="22"/>
    </row>
    <row r="1353" spans="1:8">
      <c r="A1353" s="21"/>
      <c r="B1353" s="22"/>
      <c r="C1353" s="22"/>
      <c r="D1353" s="22"/>
      <c r="E1353" s="23" t="str">
        <f>IF($D1353="","",IFERROR(VLOOKUP($D1353,'SAMA Consumables Tracker'!$A:$H,8,FALSE()),""))</f>
        <v/>
      </c>
      <c r="F1353" s="24"/>
      <c r="G1353" s="25" t="str">
        <f>IF($D1353="","",IFERROR(VLOOKUP($D1353,'SAMA Consumables Tracker'!$A:$D,4,FALSE()),""))</f>
        <v/>
      </c>
      <c r="H1353" s="22"/>
    </row>
    <row r="1354" spans="1:8">
      <c r="A1354" s="21"/>
      <c r="B1354" s="22"/>
      <c r="C1354" s="22"/>
      <c r="D1354" s="22"/>
      <c r="E1354" s="23" t="str">
        <f>IF($D1354="","",IFERROR(VLOOKUP($D1354,'SAMA Consumables Tracker'!$A:$H,8,FALSE()),""))</f>
        <v/>
      </c>
      <c r="F1354" s="24"/>
      <c r="G1354" s="25" t="str">
        <f>IF($D1354="","",IFERROR(VLOOKUP($D1354,'SAMA Consumables Tracker'!$A:$D,4,FALSE()),""))</f>
        <v/>
      </c>
      <c r="H1354" s="22"/>
    </row>
    <row r="1355" spans="1:8">
      <c r="A1355" s="21"/>
      <c r="B1355" s="22"/>
      <c r="C1355" s="22"/>
      <c r="D1355" s="22"/>
      <c r="E1355" s="23" t="str">
        <f>IF($D1355="","",IFERROR(VLOOKUP($D1355,'SAMA Consumables Tracker'!$A:$H,8,FALSE()),""))</f>
        <v/>
      </c>
      <c r="F1355" s="24"/>
      <c r="G1355" s="25" t="str">
        <f>IF($D1355="","",IFERROR(VLOOKUP($D1355,'SAMA Consumables Tracker'!$A:$D,4,FALSE()),""))</f>
        <v/>
      </c>
      <c r="H1355" s="22"/>
    </row>
    <row r="1356" spans="1:8">
      <c r="A1356" s="21"/>
      <c r="B1356" s="22"/>
      <c r="C1356" s="22"/>
      <c r="D1356" s="22"/>
      <c r="E1356" s="23" t="str">
        <f>IF($D1356="","",IFERROR(VLOOKUP($D1356,'SAMA Consumables Tracker'!$A:$H,8,FALSE()),""))</f>
        <v/>
      </c>
      <c r="F1356" s="24"/>
      <c r="G1356" s="25" t="str">
        <f>IF($D1356="","",IFERROR(VLOOKUP($D1356,'SAMA Consumables Tracker'!$A:$D,4,FALSE()),""))</f>
        <v/>
      </c>
      <c r="H1356" s="22"/>
    </row>
    <row r="1357" spans="1:8">
      <c r="A1357" s="21"/>
      <c r="B1357" s="22"/>
      <c r="C1357" s="22"/>
      <c r="D1357" s="22"/>
      <c r="E1357" s="23" t="str">
        <f>IF($D1357="","",IFERROR(VLOOKUP($D1357,'SAMA Consumables Tracker'!$A:$H,8,FALSE()),""))</f>
        <v/>
      </c>
      <c r="F1357" s="24"/>
      <c r="G1357" s="25" t="str">
        <f>IF($D1357="","",IFERROR(VLOOKUP($D1357,'SAMA Consumables Tracker'!$A:$D,4,FALSE()),""))</f>
        <v/>
      </c>
      <c r="H1357" s="22"/>
    </row>
    <row r="1358" spans="1:8">
      <c r="A1358" s="21"/>
      <c r="B1358" s="22"/>
      <c r="C1358" s="22"/>
      <c r="D1358" s="22"/>
      <c r="E1358" s="23" t="str">
        <f>IF($D1358="","",IFERROR(VLOOKUP($D1358,'SAMA Consumables Tracker'!$A:$H,8,FALSE()),""))</f>
        <v/>
      </c>
      <c r="F1358" s="24"/>
      <c r="G1358" s="25" t="str">
        <f>IF($D1358="","",IFERROR(VLOOKUP($D1358,'SAMA Consumables Tracker'!$A:$D,4,FALSE()),""))</f>
        <v/>
      </c>
      <c r="H1358" s="22"/>
    </row>
    <row r="1359" spans="1:8">
      <c r="A1359" s="21"/>
      <c r="B1359" s="22"/>
      <c r="C1359" s="22"/>
      <c r="D1359" s="22"/>
      <c r="E1359" s="23" t="str">
        <f>IF($D1359="","",IFERROR(VLOOKUP($D1359,'SAMA Consumables Tracker'!$A:$H,8,FALSE()),""))</f>
        <v/>
      </c>
      <c r="F1359" s="24"/>
      <c r="G1359" s="25" t="str">
        <f>IF($D1359="","",IFERROR(VLOOKUP($D1359,'SAMA Consumables Tracker'!$A:$D,4,FALSE()),""))</f>
        <v/>
      </c>
      <c r="H1359" s="22"/>
    </row>
    <row r="1360" spans="1:8">
      <c r="A1360" s="21"/>
      <c r="B1360" s="22"/>
      <c r="C1360" s="22"/>
      <c r="D1360" s="22"/>
      <c r="E1360" s="23" t="str">
        <f>IF($D1360="","",IFERROR(VLOOKUP($D1360,'SAMA Consumables Tracker'!$A:$H,8,FALSE()),""))</f>
        <v/>
      </c>
      <c r="F1360" s="24"/>
      <c r="G1360" s="25" t="str">
        <f>IF($D1360="","",IFERROR(VLOOKUP($D1360,'SAMA Consumables Tracker'!$A:$D,4,FALSE()),""))</f>
        <v/>
      </c>
      <c r="H1360" s="22"/>
    </row>
    <row r="1361" spans="1:8">
      <c r="A1361" s="21"/>
      <c r="B1361" s="22"/>
      <c r="C1361" s="22"/>
      <c r="D1361" s="22"/>
      <c r="E1361" s="23" t="str">
        <f>IF($D1361="","",IFERROR(VLOOKUP($D1361,'SAMA Consumables Tracker'!$A:$H,8,FALSE()),""))</f>
        <v/>
      </c>
      <c r="F1361" s="24"/>
      <c r="G1361" s="25" t="str">
        <f>IF($D1361="","",IFERROR(VLOOKUP($D1361,'SAMA Consumables Tracker'!$A:$D,4,FALSE()),""))</f>
        <v/>
      </c>
      <c r="H1361" s="22"/>
    </row>
    <row r="1362" spans="1:8">
      <c r="A1362" s="21"/>
      <c r="B1362" s="22"/>
      <c r="C1362" s="22"/>
      <c r="D1362" s="22"/>
      <c r="E1362" s="23" t="str">
        <f>IF($D1362="","",IFERROR(VLOOKUP($D1362,'SAMA Consumables Tracker'!$A:$H,8,FALSE()),""))</f>
        <v/>
      </c>
      <c r="F1362" s="24"/>
      <c r="G1362" s="25" t="str">
        <f>IF($D1362="","",IFERROR(VLOOKUP($D1362,'SAMA Consumables Tracker'!$A:$D,4,FALSE()),""))</f>
        <v/>
      </c>
      <c r="H1362" s="22"/>
    </row>
    <row r="1363" spans="1:8">
      <c r="A1363" s="21"/>
      <c r="B1363" s="22"/>
      <c r="C1363" s="22"/>
      <c r="D1363" s="22"/>
      <c r="E1363" s="23" t="str">
        <f>IF($D1363="","",IFERROR(VLOOKUP($D1363,'SAMA Consumables Tracker'!$A:$H,8,FALSE()),""))</f>
        <v/>
      </c>
      <c r="F1363" s="24"/>
      <c r="G1363" s="25" t="str">
        <f>IF($D1363="","",IFERROR(VLOOKUP($D1363,'SAMA Consumables Tracker'!$A:$D,4,FALSE()),""))</f>
        <v/>
      </c>
      <c r="H1363" s="22"/>
    </row>
    <row r="1364" spans="1:8">
      <c r="A1364" s="21"/>
      <c r="B1364" s="22"/>
      <c r="C1364" s="22"/>
      <c r="D1364" s="22"/>
      <c r="E1364" s="23" t="str">
        <f>IF($D1364="","",IFERROR(VLOOKUP($D1364,'SAMA Consumables Tracker'!$A:$H,8,FALSE()),""))</f>
        <v/>
      </c>
      <c r="F1364" s="24"/>
      <c r="G1364" s="25" t="str">
        <f>IF($D1364="","",IFERROR(VLOOKUP($D1364,'SAMA Consumables Tracker'!$A:$D,4,FALSE()),""))</f>
        <v/>
      </c>
      <c r="H1364" s="22"/>
    </row>
    <row r="1365" spans="1:8">
      <c r="A1365" s="21"/>
      <c r="B1365" s="22"/>
      <c r="C1365" s="22"/>
      <c r="D1365" s="22"/>
      <c r="E1365" s="23" t="str">
        <f>IF($D1365="","",IFERROR(VLOOKUP($D1365,'SAMA Consumables Tracker'!$A:$H,8,FALSE()),""))</f>
        <v/>
      </c>
      <c r="F1365" s="24"/>
      <c r="G1365" s="25" t="str">
        <f>IF($D1365="","",IFERROR(VLOOKUP($D1365,'SAMA Consumables Tracker'!$A:$D,4,FALSE()),""))</f>
        <v/>
      </c>
      <c r="H1365" s="22"/>
    </row>
    <row r="1366" spans="1:8">
      <c r="A1366" s="21"/>
      <c r="B1366" s="22"/>
      <c r="C1366" s="22"/>
      <c r="D1366" s="22"/>
      <c r="E1366" s="23" t="str">
        <f>IF($D1366="","",IFERROR(VLOOKUP($D1366,'SAMA Consumables Tracker'!$A:$H,8,FALSE()),""))</f>
        <v/>
      </c>
      <c r="F1366" s="24"/>
      <c r="G1366" s="25" t="str">
        <f>IF($D1366="","",IFERROR(VLOOKUP($D1366,'SAMA Consumables Tracker'!$A:$D,4,FALSE()),""))</f>
        <v/>
      </c>
      <c r="H1366" s="22"/>
    </row>
    <row r="1367" spans="1:8">
      <c r="A1367" s="21"/>
      <c r="B1367" s="22"/>
      <c r="C1367" s="22"/>
      <c r="D1367" s="22"/>
      <c r="E1367" s="23" t="str">
        <f>IF($D1367="","",IFERROR(VLOOKUP($D1367,'SAMA Consumables Tracker'!$A:$H,8,FALSE()),""))</f>
        <v/>
      </c>
      <c r="F1367" s="24"/>
      <c r="G1367" s="25" t="str">
        <f>IF($D1367="","",IFERROR(VLOOKUP($D1367,'SAMA Consumables Tracker'!$A:$D,4,FALSE()),""))</f>
        <v/>
      </c>
      <c r="H1367" s="22"/>
    </row>
    <row r="1368" spans="1:8">
      <c r="A1368" s="21"/>
      <c r="B1368" s="22"/>
      <c r="C1368" s="22"/>
      <c r="D1368" s="22"/>
      <c r="E1368" s="23" t="str">
        <f>IF($D1368="","",IFERROR(VLOOKUP($D1368,'SAMA Consumables Tracker'!$A:$H,8,FALSE()),""))</f>
        <v/>
      </c>
      <c r="F1368" s="24"/>
      <c r="G1368" s="25" t="str">
        <f>IF($D1368="","",IFERROR(VLOOKUP($D1368,'SAMA Consumables Tracker'!$A:$D,4,FALSE()),""))</f>
        <v/>
      </c>
      <c r="H1368" s="22"/>
    </row>
    <row r="1369" spans="1:8">
      <c r="A1369" s="21"/>
      <c r="B1369" s="22"/>
      <c r="C1369" s="22"/>
      <c r="D1369" s="22"/>
      <c r="E1369" s="23" t="str">
        <f>IF($D1369="","",IFERROR(VLOOKUP($D1369,'SAMA Consumables Tracker'!$A:$H,8,FALSE()),""))</f>
        <v/>
      </c>
      <c r="F1369" s="24"/>
      <c r="G1369" s="25" t="str">
        <f>IF($D1369="","",IFERROR(VLOOKUP($D1369,'SAMA Consumables Tracker'!$A:$D,4,FALSE()),""))</f>
        <v/>
      </c>
      <c r="H1369" s="22"/>
    </row>
    <row r="1370" spans="1:8">
      <c r="A1370" s="21"/>
      <c r="B1370" s="22"/>
      <c r="C1370" s="22"/>
      <c r="D1370" s="22"/>
      <c r="E1370" s="23" t="str">
        <f>IF($D1370="","",IFERROR(VLOOKUP($D1370,'SAMA Consumables Tracker'!$A:$H,8,FALSE()),""))</f>
        <v/>
      </c>
      <c r="F1370" s="24"/>
      <c r="G1370" s="25" t="str">
        <f>IF($D1370="","",IFERROR(VLOOKUP($D1370,'SAMA Consumables Tracker'!$A:$D,4,FALSE()),""))</f>
        <v/>
      </c>
      <c r="H1370" s="22"/>
    </row>
    <row r="1371" spans="1:8">
      <c r="A1371" s="21"/>
      <c r="B1371" s="22"/>
      <c r="C1371" s="22"/>
      <c r="D1371" s="22"/>
      <c r="E1371" s="23" t="str">
        <f>IF($D1371="","",IFERROR(VLOOKUP($D1371,'SAMA Consumables Tracker'!$A:$H,8,FALSE()),""))</f>
        <v/>
      </c>
      <c r="F1371" s="24"/>
      <c r="G1371" s="25" t="str">
        <f>IF($D1371="","",IFERROR(VLOOKUP($D1371,'SAMA Consumables Tracker'!$A:$D,4,FALSE()),""))</f>
        <v/>
      </c>
      <c r="H1371" s="22"/>
    </row>
    <row r="1372" spans="1:8">
      <c r="A1372" s="21"/>
      <c r="B1372" s="22"/>
      <c r="C1372" s="22"/>
      <c r="D1372" s="22"/>
      <c r="E1372" s="23" t="str">
        <f>IF($D1372="","",IFERROR(VLOOKUP($D1372,'SAMA Consumables Tracker'!$A:$H,8,FALSE()),""))</f>
        <v/>
      </c>
      <c r="F1372" s="24"/>
      <c r="G1372" s="25" t="str">
        <f>IF($D1372="","",IFERROR(VLOOKUP($D1372,'SAMA Consumables Tracker'!$A:$D,4,FALSE()),""))</f>
        <v/>
      </c>
      <c r="H1372" s="22"/>
    </row>
    <row r="1373" spans="1:8">
      <c r="A1373" s="21"/>
      <c r="B1373" s="22"/>
      <c r="C1373" s="22"/>
      <c r="D1373" s="22"/>
      <c r="E1373" s="23" t="str">
        <f>IF($D1373="","",IFERROR(VLOOKUP($D1373,'SAMA Consumables Tracker'!$A:$H,8,FALSE()),""))</f>
        <v/>
      </c>
      <c r="F1373" s="24"/>
      <c r="G1373" s="25" t="str">
        <f>IF($D1373="","",IFERROR(VLOOKUP($D1373,'SAMA Consumables Tracker'!$A:$D,4,FALSE()),""))</f>
        <v/>
      </c>
      <c r="H1373" s="22"/>
    </row>
    <row r="1374" spans="1:8">
      <c r="A1374" s="21"/>
      <c r="B1374" s="22"/>
      <c r="C1374" s="22"/>
      <c r="D1374" s="22"/>
      <c r="E1374" s="23" t="str">
        <f>IF($D1374="","",IFERROR(VLOOKUP($D1374,'SAMA Consumables Tracker'!$A:$H,8,FALSE()),""))</f>
        <v/>
      </c>
      <c r="F1374" s="24"/>
      <c r="G1374" s="25" t="str">
        <f>IF($D1374="","",IFERROR(VLOOKUP($D1374,'SAMA Consumables Tracker'!$A:$D,4,FALSE()),""))</f>
        <v/>
      </c>
      <c r="H1374" s="22"/>
    </row>
    <row r="1375" spans="1:8">
      <c r="A1375" s="21"/>
      <c r="B1375" s="22"/>
      <c r="C1375" s="22"/>
      <c r="D1375" s="22"/>
      <c r="E1375" s="23" t="str">
        <f>IF($D1375="","",IFERROR(VLOOKUP($D1375,'SAMA Consumables Tracker'!$A:$H,8,FALSE()),""))</f>
        <v/>
      </c>
      <c r="F1375" s="24"/>
      <c r="G1375" s="25" t="str">
        <f>IF($D1375="","",IFERROR(VLOOKUP($D1375,'SAMA Consumables Tracker'!$A:$D,4,FALSE()),""))</f>
        <v/>
      </c>
      <c r="H1375" s="22"/>
    </row>
    <row r="1376" spans="1:8">
      <c r="A1376" s="21"/>
      <c r="B1376" s="22"/>
      <c r="C1376" s="22"/>
      <c r="D1376" s="22"/>
      <c r="E1376" s="23" t="str">
        <f>IF($D1376="","",IFERROR(VLOOKUP($D1376,'SAMA Consumables Tracker'!$A:$H,8,FALSE()),""))</f>
        <v/>
      </c>
      <c r="F1376" s="24"/>
      <c r="G1376" s="25" t="str">
        <f>IF($D1376="","",IFERROR(VLOOKUP($D1376,'SAMA Consumables Tracker'!$A:$D,4,FALSE()),""))</f>
        <v/>
      </c>
      <c r="H1376" s="22"/>
    </row>
    <row r="1377" spans="1:8">
      <c r="A1377" s="21"/>
      <c r="B1377" s="22"/>
      <c r="C1377" s="22"/>
      <c r="D1377" s="22"/>
      <c r="E1377" s="23" t="str">
        <f>IF($D1377="","",IFERROR(VLOOKUP($D1377,'SAMA Consumables Tracker'!$A:$H,8,FALSE()),""))</f>
        <v/>
      </c>
      <c r="F1377" s="24"/>
      <c r="G1377" s="25" t="str">
        <f>IF($D1377="","",IFERROR(VLOOKUP($D1377,'SAMA Consumables Tracker'!$A:$D,4,FALSE()),""))</f>
        <v/>
      </c>
      <c r="H1377" s="22"/>
    </row>
    <row r="1378" spans="1:8">
      <c r="A1378" s="21"/>
      <c r="B1378" s="22"/>
      <c r="C1378" s="22"/>
      <c r="D1378" s="22"/>
      <c r="E1378" s="23" t="str">
        <f>IF($D1378="","",IFERROR(VLOOKUP($D1378,'SAMA Consumables Tracker'!$A:$H,8,FALSE()),""))</f>
        <v/>
      </c>
      <c r="F1378" s="24"/>
      <c r="G1378" s="25" t="str">
        <f>IF($D1378="","",IFERROR(VLOOKUP($D1378,'SAMA Consumables Tracker'!$A:$D,4,FALSE()),""))</f>
        <v/>
      </c>
      <c r="H1378" s="22"/>
    </row>
    <row r="1379" spans="1:8">
      <c r="A1379" s="21"/>
      <c r="B1379" s="22"/>
      <c r="C1379" s="22"/>
      <c r="D1379" s="22"/>
      <c r="E1379" s="23" t="str">
        <f>IF($D1379="","",IFERROR(VLOOKUP($D1379,'SAMA Consumables Tracker'!$A:$H,8,FALSE()),""))</f>
        <v/>
      </c>
      <c r="F1379" s="24"/>
      <c r="G1379" s="25" t="str">
        <f>IF($D1379="","",IFERROR(VLOOKUP($D1379,'SAMA Consumables Tracker'!$A:$D,4,FALSE()),""))</f>
        <v/>
      </c>
      <c r="H1379" s="22"/>
    </row>
    <row r="1380" spans="1:8">
      <c r="A1380" s="21"/>
      <c r="B1380" s="22"/>
      <c r="C1380" s="22"/>
      <c r="D1380" s="22"/>
      <c r="E1380" s="23" t="str">
        <f>IF($D1380="","",IFERROR(VLOOKUP($D1380,'SAMA Consumables Tracker'!$A:$H,8,FALSE()),""))</f>
        <v/>
      </c>
      <c r="F1380" s="24"/>
      <c r="G1380" s="25" t="str">
        <f>IF($D1380="","",IFERROR(VLOOKUP($D1380,'SAMA Consumables Tracker'!$A:$D,4,FALSE()),""))</f>
        <v/>
      </c>
      <c r="H1380" s="22"/>
    </row>
    <row r="1381" spans="1:8">
      <c r="A1381" s="21"/>
      <c r="B1381" s="22"/>
      <c r="C1381" s="22"/>
      <c r="D1381" s="22"/>
      <c r="E1381" s="23" t="str">
        <f>IF($D1381="","",IFERROR(VLOOKUP($D1381,'SAMA Consumables Tracker'!$A:$H,8,FALSE()),""))</f>
        <v/>
      </c>
      <c r="F1381" s="24"/>
      <c r="G1381" s="25" t="str">
        <f>IF($D1381="","",IFERROR(VLOOKUP($D1381,'SAMA Consumables Tracker'!$A:$D,4,FALSE()),""))</f>
        <v/>
      </c>
      <c r="H1381" s="22"/>
    </row>
    <row r="1382" spans="1:8">
      <c r="A1382" s="21"/>
      <c r="B1382" s="22"/>
      <c r="C1382" s="22"/>
      <c r="D1382" s="22"/>
      <c r="E1382" s="23" t="str">
        <f>IF($D1382="","",IFERROR(VLOOKUP($D1382,'SAMA Consumables Tracker'!$A:$H,8,FALSE()),""))</f>
        <v/>
      </c>
      <c r="F1382" s="24"/>
      <c r="G1382" s="25" t="str">
        <f>IF($D1382="","",IFERROR(VLOOKUP($D1382,'SAMA Consumables Tracker'!$A:$D,4,FALSE()),""))</f>
        <v/>
      </c>
      <c r="H1382" s="22"/>
    </row>
    <row r="1383" spans="1:8">
      <c r="A1383" s="21"/>
      <c r="B1383" s="22"/>
      <c r="C1383" s="22"/>
      <c r="D1383" s="22"/>
      <c r="E1383" s="23" t="str">
        <f>IF($D1383="","",IFERROR(VLOOKUP($D1383,'SAMA Consumables Tracker'!$A:$H,8,FALSE()),""))</f>
        <v/>
      </c>
      <c r="F1383" s="24"/>
      <c r="G1383" s="25" t="str">
        <f>IF($D1383="","",IFERROR(VLOOKUP($D1383,'SAMA Consumables Tracker'!$A:$D,4,FALSE()),""))</f>
        <v/>
      </c>
      <c r="H1383" s="22"/>
    </row>
    <row r="1384" spans="1:8">
      <c r="A1384" s="21"/>
      <c r="B1384" s="22"/>
      <c r="C1384" s="22"/>
      <c r="D1384" s="22"/>
      <c r="E1384" s="23" t="str">
        <f>IF($D1384="","",IFERROR(VLOOKUP($D1384,'SAMA Consumables Tracker'!$A:$H,8,FALSE()),""))</f>
        <v/>
      </c>
      <c r="F1384" s="24"/>
      <c r="G1384" s="25" t="str">
        <f>IF($D1384="","",IFERROR(VLOOKUP($D1384,'SAMA Consumables Tracker'!$A:$D,4,FALSE()),""))</f>
        <v/>
      </c>
      <c r="H1384" s="22"/>
    </row>
    <row r="1385" spans="1:8">
      <c r="A1385" s="21"/>
      <c r="B1385" s="22"/>
      <c r="C1385" s="22"/>
      <c r="D1385" s="22"/>
      <c r="E1385" s="23" t="str">
        <f>IF($D1385="","",IFERROR(VLOOKUP($D1385,'SAMA Consumables Tracker'!$A:$H,8,FALSE()),""))</f>
        <v/>
      </c>
      <c r="F1385" s="24"/>
      <c r="G1385" s="25" t="str">
        <f>IF($D1385="","",IFERROR(VLOOKUP($D1385,'SAMA Consumables Tracker'!$A:$D,4,FALSE()),""))</f>
        <v/>
      </c>
      <c r="H1385" s="22"/>
    </row>
    <row r="1386" spans="1:8">
      <c r="A1386" s="21"/>
      <c r="B1386" s="22"/>
      <c r="C1386" s="22"/>
      <c r="D1386" s="22"/>
      <c r="E1386" s="23" t="str">
        <f>IF($D1386="","",IFERROR(VLOOKUP($D1386,'SAMA Consumables Tracker'!$A:$H,8,FALSE()),""))</f>
        <v/>
      </c>
      <c r="F1386" s="24"/>
      <c r="G1386" s="25" t="str">
        <f>IF($D1386="","",IFERROR(VLOOKUP($D1386,'SAMA Consumables Tracker'!$A:$D,4,FALSE()),""))</f>
        <v/>
      </c>
      <c r="H1386" s="22"/>
    </row>
    <row r="1387" spans="1:8">
      <c r="A1387" s="21"/>
      <c r="B1387" s="22"/>
      <c r="C1387" s="22"/>
      <c r="D1387" s="22"/>
      <c r="E1387" s="23" t="str">
        <f>IF($D1387="","",IFERROR(VLOOKUP($D1387,'SAMA Consumables Tracker'!$A:$H,8,FALSE()),""))</f>
        <v/>
      </c>
      <c r="F1387" s="24"/>
      <c r="G1387" s="25" t="str">
        <f>IF($D1387="","",IFERROR(VLOOKUP($D1387,'SAMA Consumables Tracker'!$A:$D,4,FALSE()),""))</f>
        <v/>
      </c>
      <c r="H1387" s="22"/>
    </row>
    <row r="1388" spans="1:8">
      <c r="A1388" s="21"/>
      <c r="B1388" s="22"/>
      <c r="C1388" s="22"/>
      <c r="D1388" s="22"/>
      <c r="E1388" s="23" t="str">
        <f>IF($D1388="","",IFERROR(VLOOKUP($D1388,'SAMA Consumables Tracker'!$A:$H,8,FALSE()),""))</f>
        <v/>
      </c>
      <c r="F1388" s="24"/>
      <c r="G1388" s="25" t="str">
        <f>IF($D1388="","",IFERROR(VLOOKUP($D1388,'SAMA Consumables Tracker'!$A:$D,4,FALSE()),""))</f>
        <v/>
      </c>
      <c r="H1388" s="22"/>
    </row>
    <row r="1389" spans="1:8">
      <c r="A1389" s="21"/>
      <c r="B1389" s="22"/>
      <c r="C1389" s="22"/>
      <c r="D1389" s="22"/>
      <c r="E1389" s="23" t="str">
        <f>IF($D1389="","",IFERROR(VLOOKUP($D1389,'SAMA Consumables Tracker'!$A:$H,8,FALSE()),""))</f>
        <v/>
      </c>
      <c r="F1389" s="24"/>
      <c r="G1389" s="25" t="str">
        <f>IF($D1389="","",IFERROR(VLOOKUP($D1389,'SAMA Consumables Tracker'!$A:$D,4,FALSE()),""))</f>
        <v/>
      </c>
      <c r="H1389" s="22"/>
    </row>
    <row r="1390" spans="1:8">
      <c r="A1390" s="21"/>
      <c r="B1390" s="22"/>
      <c r="C1390" s="22"/>
      <c r="D1390" s="22"/>
      <c r="E1390" s="23" t="str">
        <f>IF($D1390="","",IFERROR(VLOOKUP($D1390,'SAMA Consumables Tracker'!$A:$H,8,FALSE()),""))</f>
        <v/>
      </c>
      <c r="F1390" s="24"/>
      <c r="G1390" s="25" t="str">
        <f>IF($D1390="","",IFERROR(VLOOKUP($D1390,'SAMA Consumables Tracker'!$A:$D,4,FALSE()),""))</f>
        <v/>
      </c>
      <c r="H1390" s="22"/>
    </row>
    <row r="1391" spans="1:8">
      <c r="A1391" s="21"/>
      <c r="B1391" s="22"/>
      <c r="C1391" s="22"/>
      <c r="D1391" s="22"/>
      <c r="E1391" s="23" t="str">
        <f>IF($D1391="","",IFERROR(VLOOKUP($D1391,'SAMA Consumables Tracker'!$A:$H,8,FALSE()),""))</f>
        <v/>
      </c>
      <c r="F1391" s="24"/>
      <c r="G1391" s="25" t="str">
        <f>IF($D1391="","",IFERROR(VLOOKUP($D1391,'SAMA Consumables Tracker'!$A:$D,4,FALSE()),""))</f>
        <v/>
      </c>
      <c r="H1391" s="22"/>
    </row>
    <row r="1392" spans="1:8">
      <c r="A1392" s="21"/>
      <c r="B1392" s="22"/>
      <c r="C1392" s="22"/>
      <c r="D1392" s="22"/>
      <c r="E1392" s="23" t="str">
        <f>IF($D1392="","",IFERROR(VLOOKUP($D1392,'SAMA Consumables Tracker'!$A:$H,8,FALSE()),""))</f>
        <v/>
      </c>
      <c r="F1392" s="24"/>
      <c r="G1392" s="25" t="str">
        <f>IF($D1392="","",IFERROR(VLOOKUP($D1392,'SAMA Consumables Tracker'!$A:$D,4,FALSE()),""))</f>
        <v/>
      </c>
      <c r="H1392" s="22"/>
    </row>
    <row r="1393" spans="1:8">
      <c r="A1393" s="21"/>
      <c r="B1393" s="22"/>
      <c r="C1393" s="22"/>
      <c r="D1393" s="22"/>
      <c r="E1393" s="23" t="str">
        <f>IF($D1393="","",IFERROR(VLOOKUP($D1393,'SAMA Consumables Tracker'!$A:$H,8,FALSE()),""))</f>
        <v/>
      </c>
      <c r="F1393" s="24"/>
      <c r="G1393" s="25" t="str">
        <f>IF($D1393="","",IFERROR(VLOOKUP($D1393,'SAMA Consumables Tracker'!$A:$D,4,FALSE()),""))</f>
        <v/>
      </c>
      <c r="H1393" s="22"/>
    </row>
    <row r="1394" spans="1:8">
      <c r="A1394" s="21"/>
      <c r="B1394" s="22"/>
      <c r="C1394" s="22"/>
      <c r="D1394" s="22"/>
      <c r="E1394" s="23" t="str">
        <f>IF($D1394="","",IFERROR(VLOOKUP($D1394,'SAMA Consumables Tracker'!$A:$H,8,FALSE()),""))</f>
        <v/>
      </c>
      <c r="F1394" s="24"/>
      <c r="G1394" s="25" t="str">
        <f>IF($D1394="","",IFERROR(VLOOKUP($D1394,'SAMA Consumables Tracker'!$A:$D,4,FALSE()),""))</f>
        <v/>
      </c>
      <c r="H1394" s="22"/>
    </row>
    <row r="1395" spans="1:8">
      <c r="A1395" s="21"/>
      <c r="B1395" s="22"/>
      <c r="C1395" s="22"/>
      <c r="D1395" s="22"/>
      <c r="E1395" s="23" t="str">
        <f>IF($D1395="","",IFERROR(VLOOKUP($D1395,'SAMA Consumables Tracker'!$A:$H,8,FALSE()),""))</f>
        <v/>
      </c>
      <c r="F1395" s="24"/>
      <c r="G1395" s="25" t="str">
        <f>IF($D1395="","",IFERROR(VLOOKUP($D1395,'SAMA Consumables Tracker'!$A:$D,4,FALSE()),""))</f>
        <v/>
      </c>
      <c r="H1395" s="22"/>
    </row>
    <row r="1396" spans="1:8">
      <c r="A1396" s="21"/>
      <c r="B1396" s="22"/>
      <c r="C1396" s="22"/>
      <c r="D1396" s="22"/>
      <c r="E1396" s="23" t="str">
        <f>IF($D1396="","",IFERROR(VLOOKUP($D1396,'SAMA Consumables Tracker'!$A:$H,8,FALSE()),""))</f>
        <v/>
      </c>
      <c r="F1396" s="24"/>
      <c r="G1396" s="25" t="str">
        <f>IF($D1396="","",IFERROR(VLOOKUP($D1396,'SAMA Consumables Tracker'!$A:$D,4,FALSE()),""))</f>
        <v/>
      </c>
      <c r="H1396" s="22"/>
    </row>
    <row r="1397" spans="1:8">
      <c r="A1397" s="21"/>
      <c r="B1397" s="22"/>
      <c r="C1397" s="22"/>
      <c r="D1397" s="22"/>
      <c r="E1397" s="23" t="str">
        <f>IF($D1397="","",IFERROR(VLOOKUP($D1397,'SAMA Consumables Tracker'!$A:$H,8,FALSE()),""))</f>
        <v/>
      </c>
      <c r="F1397" s="24"/>
      <c r="G1397" s="25" t="str">
        <f>IF($D1397="","",IFERROR(VLOOKUP($D1397,'SAMA Consumables Tracker'!$A:$D,4,FALSE()),""))</f>
        <v/>
      </c>
      <c r="H1397" s="22"/>
    </row>
    <row r="1398" spans="1:8">
      <c r="A1398" s="21"/>
      <c r="B1398" s="22"/>
      <c r="C1398" s="22"/>
      <c r="D1398" s="22"/>
      <c r="E1398" s="23" t="str">
        <f>IF($D1398="","",IFERROR(VLOOKUP($D1398,'SAMA Consumables Tracker'!$A:$H,8,FALSE()),""))</f>
        <v/>
      </c>
      <c r="F1398" s="24"/>
      <c r="G1398" s="25" t="str">
        <f>IF($D1398="","",IFERROR(VLOOKUP($D1398,'SAMA Consumables Tracker'!$A:$D,4,FALSE()),""))</f>
        <v/>
      </c>
      <c r="H1398" s="22"/>
    </row>
    <row r="1399" spans="1:8">
      <c r="A1399" s="21"/>
      <c r="B1399" s="22"/>
      <c r="C1399" s="22"/>
      <c r="D1399" s="22"/>
      <c r="E1399" s="23" t="str">
        <f>IF($D1399="","",IFERROR(VLOOKUP($D1399,'SAMA Consumables Tracker'!$A:$H,8,FALSE()),""))</f>
        <v/>
      </c>
      <c r="F1399" s="24"/>
      <c r="G1399" s="25" t="str">
        <f>IF($D1399="","",IFERROR(VLOOKUP($D1399,'SAMA Consumables Tracker'!$A:$D,4,FALSE()),""))</f>
        <v/>
      </c>
      <c r="H1399" s="22"/>
    </row>
    <row r="1400" spans="1:8">
      <c r="A1400" s="21"/>
      <c r="B1400" s="22"/>
      <c r="C1400" s="22"/>
      <c r="D1400" s="22"/>
      <c r="E1400" s="23" t="str">
        <f>IF($D1400="","",IFERROR(VLOOKUP($D1400,'SAMA Consumables Tracker'!$A:$H,8,FALSE()),""))</f>
        <v/>
      </c>
      <c r="F1400" s="24"/>
      <c r="G1400" s="25" t="str">
        <f>IF($D1400="","",IFERROR(VLOOKUP($D1400,'SAMA Consumables Tracker'!$A:$D,4,FALSE()),""))</f>
        <v/>
      </c>
      <c r="H1400" s="22"/>
    </row>
    <row r="1401" spans="1:8">
      <c r="A1401" s="21"/>
      <c r="B1401" s="22"/>
      <c r="C1401" s="22"/>
      <c r="D1401" s="22"/>
      <c r="E1401" s="23" t="str">
        <f>IF($D1401="","",IFERROR(VLOOKUP($D1401,'SAMA Consumables Tracker'!$A:$H,8,FALSE()),""))</f>
        <v/>
      </c>
      <c r="F1401" s="24"/>
      <c r="G1401" s="25" t="str">
        <f>IF($D1401="","",IFERROR(VLOOKUP($D1401,'SAMA Consumables Tracker'!$A:$D,4,FALSE()),""))</f>
        <v/>
      </c>
      <c r="H1401" s="22"/>
    </row>
    <row r="1402" spans="1:8">
      <c r="A1402" s="21"/>
      <c r="B1402" s="22"/>
      <c r="C1402" s="22"/>
      <c r="D1402" s="22"/>
      <c r="E1402" s="23" t="str">
        <f>IF($D1402="","",IFERROR(VLOOKUP($D1402,'SAMA Consumables Tracker'!$A:$H,8,FALSE()),""))</f>
        <v/>
      </c>
      <c r="F1402" s="24"/>
      <c r="G1402" s="25" t="str">
        <f>IF($D1402="","",IFERROR(VLOOKUP($D1402,'SAMA Consumables Tracker'!$A:$D,4,FALSE()),""))</f>
        <v/>
      </c>
      <c r="H1402" s="22"/>
    </row>
    <row r="1403" spans="1:8">
      <c r="A1403" s="21"/>
      <c r="B1403" s="22"/>
      <c r="C1403" s="22"/>
      <c r="D1403" s="22"/>
      <c r="E1403" s="23" t="str">
        <f>IF($D1403="","",IFERROR(VLOOKUP($D1403,'SAMA Consumables Tracker'!$A:$H,8,FALSE()),""))</f>
        <v/>
      </c>
      <c r="F1403" s="24"/>
      <c r="G1403" s="25" t="str">
        <f>IF($D1403="","",IFERROR(VLOOKUP($D1403,'SAMA Consumables Tracker'!$A:$D,4,FALSE()),""))</f>
        <v/>
      </c>
      <c r="H1403" s="22"/>
    </row>
    <row r="1404" spans="1:8">
      <c r="A1404" s="21"/>
      <c r="B1404" s="22"/>
      <c r="C1404" s="22"/>
      <c r="D1404" s="22"/>
      <c r="E1404" s="23" t="str">
        <f>IF($D1404="","",IFERROR(VLOOKUP($D1404,'SAMA Consumables Tracker'!$A:$H,8,FALSE()),""))</f>
        <v/>
      </c>
      <c r="F1404" s="24"/>
      <c r="G1404" s="25" t="str">
        <f>IF($D1404="","",IFERROR(VLOOKUP($D1404,'SAMA Consumables Tracker'!$A:$D,4,FALSE()),""))</f>
        <v/>
      </c>
      <c r="H1404" s="22"/>
    </row>
    <row r="1405" spans="1:8">
      <c r="A1405" s="21"/>
      <c r="B1405" s="22"/>
      <c r="C1405" s="22"/>
      <c r="D1405" s="22"/>
      <c r="E1405" s="23" t="str">
        <f>IF($D1405="","",IFERROR(VLOOKUP($D1405,'SAMA Consumables Tracker'!$A:$H,8,FALSE()),""))</f>
        <v/>
      </c>
      <c r="F1405" s="24"/>
      <c r="G1405" s="25" t="str">
        <f>IF($D1405="","",IFERROR(VLOOKUP($D1405,'SAMA Consumables Tracker'!$A:$D,4,FALSE()),""))</f>
        <v/>
      </c>
      <c r="H1405" s="22"/>
    </row>
    <row r="1406" spans="1:8">
      <c r="A1406" s="21"/>
      <c r="B1406" s="22"/>
      <c r="C1406" s="22"/>
      <c r="D1406" s="22"/>
      <c r="E1406" s="23" t="str">
        <f>IF($D1406="","",IFERROR(VLOOKUP($D1406,'SAMA Consumables Tracker'!$A:$H,8,FALSE()),""))</f>
        <v/>
      </c>
      <c r="F1406" s="24"/>
      <c r="G1406" s="25" t="str">
        <f>IF($D1406="","",IFERROR(VLOOKUP($D1406,'SAMA Consumables Tracker'!$A:$D,4,FALSE()),""))</f>
        <v/>
      </c>
      <c r="H1406" s="22"/>
    </row>
    <row r="1407" spans="1:8">
      <c r="A1407" s="21"/>
      <c r="B1407" s="22"/>
      <c r="C1407" s="22"/>
      <c r="D1407" s="22"/>
      <c r="E1407" s="23" t="str">
        <f>IF($D1407="","",IFERROR(VLOOKUP($D1407,'SAMA Consumables Tracker'!$A:$H,8,FALSE()),""))</f>
        <v/>
      </c>
      <c r="F1407" s="24"/>
      <c r="G1407" s="25" t="str">
        <f>IF($D1407="","",IFERROR(VLOOKUP($D1407,'SAMA Consumables Tracker'!$A:$D,4,FALSE()),""))</f>
        <v/>
      </c>
      <c r="H1407" s="22"/>
    </row>
    <row r="1408" spans="1:8">
      <c r="A1408" s="21"/>
      <c r="B1408" s="22"/>
      <c r="C1408" s="22"/>
      <c r="D1408" s="22"/>
      <c r="E1408" s="23" t="str">
        <f>IF($D1408="","",IFERROR(VLOOKUP($D1408,'SAMA Consumables Tracker'!$A:$H,8,FALSE()),""))</f>
        <v/>
      </c>
      <c r="F1408" s="24"/>
      <c r="G1408" s="25" t="str">
        <f>IF($D1408="","",IFERROR(VLOOKUP($D1408,'SAMA Consumables Tracker'!$A:$D,4,FALSE()),""))</f>
        <v/>
      </c>
      <c r="H1408" s="22"/>
    </row>
    <row r="1409" spans="1:8">
      <c r="A1409" s="21"/>
      <c r="B1409" s="22"/>
      <c r="C1409" s="22"/>
      <c r="D1409" s="22"/>
      <c r="E1409" s="23" t="str">
        <f>IF($D1409="","",IFERROR(VLOOKUP($D1409,'SAMA Consumables Tracker'!$A:$H,8,FALSE()),""))</f>
        <v/>
      </c>
      <c r="F1409" s="24"/>
      <c r="G1409" s="25" t="str">
        <f>IF($D1409="","",IFERROR(VLOOKUP($D1409,'SAMA Consumables Tracker'!$A:$D,4,FALSE()),""))</f>
        <v/>
      </c>
      <c r="H1409" s="22"/>
    </row>
    <row r="1410" spans="1:8">
      <c r="A1410" s="21"/>
      <c r="B1410" s="22"/>
      <c r="C1410" s="22"/>
      <c r="D1410" s="22"/>
      <c r="E1410" s="23" t="str">
        <f>IF($D1410="","",IFERROR(VLOOKUP($D1410,'SAMA Consumables Tracker'!$A:$H,8,FALSE()),""))</f>
        <v/>
      </c>
      <c r="F1410" s="24"/>
      <c r="G1410" s="25" t="str">
        <f>IF($D1410="","",IFERROR(VLOOKUP($D1410,'SAMA Consumables Tracker'!$A:$D,4,FALSE()),""))</f>
        <v/>
      </c>
      <c r="H1410" s="22"/>
    </row>
    <row r="1411" spans="1:8">
      <c r="A1411" s="21"/>
      <c r="B1411" s="22"/>
      <c r="C1411" s="22"/>
      <c r="D1411" s="22"/>
      <c r="E1411" s="23" t="str">
        <f>IF($D1411="","",IFERROR(VLOOKUP($D1411,'SAMA Consumables Tracker'!$A:$H,8,FALSE()),""))</f>
        <v/>
      </c>
      <c r="F1411" s="24"/>
      <c r="G1411" s="25" t="str">
        <f>IF($D1411="","",IFERROR(VLOOKUP($D1411,'SAMA Consumables Tracker'!$A:$D,4,FALSE()),""))</f>
        <v/>
      </c>
      <c r="H1411" s="22"/>
    </row>
    <row r="1412" spans="1:8">
      <c r="A1412" s="21"/>
      <c r="B1412" s="22"/>
      <c r="C1412" s="22"/>
      <c r="D1412" s="22"/>
      <c r="E1412" s="23" t="str">
        <f>IF($D1412="","",IFERROR(VLOOKUP($D1412,'SAMA Consumables Tracker'!$A:$H,8,FALSE()),""))</f>
        <v/>
      </c>
      <c r="F1412" s="24"/>
      <c r="G1412" s="25" t="str">
        <f>IF($D1412="","",IFERROR(VLOOKUP($D1412,'SAMA Consumables Tracker'!$A:$D,4,FALSE()),""))</f>
        <v/>
      </c>
      <c r="H1412" s="22"/>
    </row>
    <row r="1413" spans="1:8">
      <c r="A1413" s="21"/>
      <c r="B1413" s="22"/>
      <c r="C1413" s="22"/>
      <c r="D1413" s="22"/>
      <c r="E1413" s="23" t="str">
        <f>IF($D1413="","",IFERROR(VLOOKUP($D1413,'SAMA Consumables Tracker'!$A:$H,8,FALSE()),""))</f>
        <v/>
      </c>
      <c r="F1413" s="24"/>
      <c r="G1413" s="25" t="str">
        <f>IF($D1413="","",IFERROR(VLOOKUP($D1413,'SAMA Consumables Tracker'!$A:$D,4,FALSE()),""))</f>
        <v/>
      </c>
      <c r="H1413" s="22"/>
    </row>
    <row r="1414" spans="1:8">
      <c r="A1414" s="21"/>
      <c r="B1414" s="22"/>
      <c r="C1414" s="22"/>
      <c r="D1414" s="22"/>
      <c r="E1414" s="23" t="str">
        <f>IF($D1414="","",IFERROR(VLOOKUP($D1414,'SAMA Consumables Tracker'!$A:$H,8,FALSE()),""))</f>
        <v/>
      </c>
      <c r="F1414" s="24"/>
      <c r="G1414" s="25" t="str">
        <f>IF($D1414="","",IFERROR(VLOOKUP($D1414,'SAMA Consumables Tracker'!$A:$D,4,FALSE()),""))</f>
        <v/>
      </c>
      <c r="H1414" s="22"/>
    </row>
    <row r="1415" spans="1:8">
      <c r="A1415" s="21"/>
      <c r="B1415" s="22"/>
      <c r="C1415" s="22"/>
      <c r="D1415" s="22"/>
      <c r="E1415" s="23" t="str">
        <f>IF($D1415="","",IFERROR(VLOOKUP($D1415,'SAMA Consumables Tracker'!$A:$H,8,FALSE()),""))</f>
        <v/>
      </c>
      <c r="F1415" s="24"/>
      <c r="G1415" s="25" t="str">
        <f>IF($D1415="","",IFERROR(VLOOKUP($D1415,'SAMA Consumables Tracker'!$A:$D,4,FALSE()),""))</f>
        <v/>
      </c>
      <c r="H1415" s="22"/>
    </row>
    <row r="1416" spans="1:8">
      <c r="A1416" s="21"/>
      <c r="B1416" s="22"/>
      <c r="C1416" s="22"/>
      <c r="D1416" s="22"/>
      <c r="E1416" s="23" t="str">
        <f>IF($D1416="","",IFERROR(VLOOKUP($D1416,'SAMA Consumables Tracker'!$A:$H,8,FALSE()),""))</f>
        <v/>
      </c>
      <c r="F1416" s="24"/>
      <c r="G1416" s="25" t="str">
        <f>IF($D1416="","",IFERROR(VLOOKUP($D1416,'SAMA Consumables Tracker'!$A:$D,4,FALSE()),""))</f>
        <v/>
      </c>
      <c r="H1416" s="22"/>
    </row>
    <row r="1417" spans="1:8">
      <c r="A1417" s="21"/>
      <c r="B1417" s="22"/>
      <c r="C1417" s="22"/>
      <c r="D1417" s="22"/>
      <c r="E1417" s="23" t="str">
        <f>IF($D1417="","",IFERROR(VLOOKUP($D1417,'SAMA Consumables Tracker'!$A:$H,8,FALSE()),""))</f>
        <v/>
      </c>
      <c r="F1417" s="24"/>
      <c r="G1417" s="25" t="str">
        <f>IF($D1417="","",IFERROR(VLOOKUP($D1417,'SAMA Consumables Tracker'!$A:$D,4,FALSE()),""))</f>
        <v/>
      </c>
      <c r="H1417" s="22"/>
    </row>
    <row r="1418" spans="1:8">
      <c r="A1418" s="21"/>
      <c r="B1418" s="22"/>
      <c r="C1418" s="22"/>
      <c r="D1418" s="22"/>
      <c r="E1418" s="23" t="str">
        <f>IF($D1418="","",IFERROR(VLOOKUP($D1418,'SAMA Consumables Tracker'!$A:$H,8,FALSE()),""))</f>
        <v/>
      </c>
      <c r="F1418" s="24"/>
      <c r="G1418" s="25" t="str">
        <f>IF($D1418="","",IFERROR(VLOOKUP($D1418,'SAMA Consumables Tracker'!$A:$D,4,FALSE()),""))</f>
        <v/>
      </c>
      <c r="H1418" s="22"/>
    </row>
    <row r="1419" spans="1:8">
      <c r="A1419" s="21"/>
      <c r="B1419" s="22"/>
      <c r="C1419" s="22"/>
      <c r="D1419" s="22"/>
      <c r="E1419" s="23" t="str">
        <f>IF($D1419="","",IFERROR(VLOOKUP($D1419,'SAMA Consumables Tracker'!$A:$H,8,FALSE()),""))</f>
        <v/>
      </c>
      <c r="F1419" s="24"/>
      <c r="G1419" s="25" t="str">
        <f>IF($D1419="","",IFERROR(VLOOKUP($D1419,'SAMA Consumables Tracker'!$A:$D,4,FALSE()),""))</f>
        <v/>
      </c>
      <c r="H1419" s="22"/>
    </row>
    <row r="1420" spans="1:8">
      <c r="A1420" s="21"/>
      <c r="B1420" s="22"/>
      <c r="C1420" s="22"/>
      <c r="D1420" s="22"/>
      <c r="E1420" s="23" t="str">
        <f>IF($D1420="","",IFERROR(VLOOKUP($D1420,'SAMA Consumables Tracker'!$A:$H,8,FALSE()),""))</f>
        <v/>
      </c>
      <c r="F1420" s="24"/>
      <c r="G1420" s="25" t="str">
        <f>IF($D1420="","",IFERROR(VLOOKUP($D1420,'SAMA Consumables Tracker'!$A:$D,4,FALSE()),""))</f>
        <v/>
      </c>
      <c r="H1420" s="22"/>
    </row>
    <row r="1421" spans="1:8">
      <c r="A1421" s="21"/>
      <c r="B1421" s="22"/>
      <c r="C1421" s="22"/>
      <c r="D1421" s="22"/>
      <c r="E1421" s="23" t="str">
        <f>IF($D1421="","",IFERROR(VLOOKUP($D1421,'SAMA Consumables Tracker'!$A:$H,8,FALSE()),""))</f>
        <v/>
      </c>
      <c r="F1421" s="24"/>
      <c r="G1421" s="25" t="str">
        <f>IF($D1421="","",IFERROR(VLOOKUP($D1421,'SAMA Consumables Tracker'!$A:$D,4,FALSE()),""))</f>
        <v/>
      </c>
      <c r="H1421" s="22"/>
    </row>
    <row r="1422" spans="1:8">
      <c r="A1422" s="21"/>
      <c r="B1422" s="22"/>
      <c r="C1422" s="22"/>
      <c r="D1422" s="22"/>
      <c r="E1422" s="23" t="str">
        <f>IF($D1422="","",IFERROR(VLOOKUP($D1422,'SAMA Consumables Tracker'!$A:$H,8,FALSE()),""))</f>
        <v/>
      </c>
      <c r="F1422" s="24"/>
      <c r="G1422" s="25" t="str">
        <f>IF($D1422="","",IFERROR(VLOOKUP($D1422,'SAMA Consumables Tracker'!$A:$D,4,FALSE()),""))</f>
        <v/>
      </c>
      <c r="H1422" s="22"/>
    </row>
    <row r="1423" spans="1:8">
      <c r="A1423" s="21"/>
      <c r="B1423" s="22"/>
      <c r="C1423" s="22"/>
      <c r="D1423" s="22"/>
      <c r="E1423" s="23" t="str">
        <f>IF($D1423="","",IFERROR(VLOOKUP($D1423,'SAMA Consumables Tracker'!$A:$H,8,FALSE()),""))</f>
        <v/>
      </c>
      <c r="F1423" s="24"/>
      <c r="G1423" s="25" t="str">
        <f>IF($D1423="","",IFERROR(VLOOKUP($D1423,'SAMA Consumables Tracker'!$A:$D,4,FALSE()),""))</f>
        <v/>
      </c>
      <c r="H1423" s="22"/>
    </row>
    <row r="1424" spans="1:8">
      <c r="A1424" s="21"/>
      <c r="B1424" s="22"/>
      <c r="C1424" s="22"/>
      <c r="D1424" s="22"/>
      <c r="E1424" s="23" t="str">
        <f>IF($D1424="","",IFERROR(VLOOKUP($D1424,'SAMA Consumables Tracker'!$A:$H,8,FALSE()),""))</f>
        <v/>
      </c>
      <c r="F1424" s="24"/>
      <c r="G1424" s="25" t="str">
        <f>IF($D1424="","",IFERROR(VLOOKUP($D1424,'SAMA Consumables Tracker'!$A:$D,4,FALSE()),""))</f>
        <v/>
      </c>
      <c r="H1424" s="22"/>
    </row>
    <row r="1425" spans="1:8">
      <c r="A1425" s="21"/>
      <c r="B1425" s="22"/>
      <c r="C1425" s="22"/>
      <c r="D1425" s="22"/>
      <c r="E1425" s="23" t="str">
        <f>IF($D1425="","",IFERROR(VLOOKUP($D1425,'SAMA Consumables Tracker'!$A:$H,8,FALSE()),""))</f>
        <v/>
      </c>
      <c r="F1425" s="24"/>
      <c r="G1425" s="25" t="str">
        <f>IF($D1425="","",IFERROR(VLOOKUP($D1425,'SAMA Consumables Tracker'!$A:$D,4,FALSE()),""))</f>
        <v/>
      </c>
      <c r="H1425" s="22"/>
    </row>
    <row r="1426" spans="1:8">
      <c r="A1426" s="21"/>
      <c r="B1426" s="22"/>
      <c r="C1426" s="22"/>
      <c r="D1426" s="22"/>
      <c r="E1426" s="23" t="str">
        <f>IF($D1426="","",IFERROR(VLOOKUP($D1426,'SAMA Consumables Tracker'!$A:$H,8,FALSE()),""))</f>
        <v/>
      </c>
      <c r="F1426" s="24"/>
      <c r="G1426" s="25" t="str">
        <f>IF($D1426="","",IFERROR(VLOOKUP($D1426,'SAMA Consumables Tracker'!$A:$D,4,FALSE()),""))</f>
        <v/>
      </c>
      <c r="H1426" s="22"/>
    </row>
    <row r="1427" spans="1:8">
      <c r="A1427" s="21"/>
      <c r="B1427" s="22"/>
      <c r="C1427" s="22"/>
      <c r="D1427" s="22"/>
      <c r="E1427" s="23" t="str">
        <f>IF($D1427="","",IFERROR(VLOOKUP($D1427,'SAMA Consumables Tracker'!$A:$H,8,FALSE()),""))</f>
        <v/>
      </c>
      <c r="F1427" s="24"/>
      <c r="G1427" s="25" t="str">
        <f>IF($D1427="","",IFERROR(VLOOKUP($D1427,'SAMA Consumables Tracker'!$A:$D,4,FALSE()),""))</f>
        <v/>
      </c>
      <c r="H1427" s="22"/>
    </row>
    <row r="1428" spans="1:8">
      <c r="A1428" s="21"/>
      <c r="B1428" s="22"/>
      <c r="C1428" s="22"/>
      <c r="D1428" s="22"/>
      <c r="E1428" s="23" t="str">
        <f>IF($D1428="","",IFERROR(VLOOKUP($D1428,'SAMA Consumables Tracker'!$A:$H,8,FALSE()),""))</f>
        <v/>
      </c>
      <c r="F1428" s="24"/>
      <c r="G1428" s="25" t="str">
        <f>IF($D1428="","",IFERROR(VLOOKUP($D1428,'SAMA Consumables Tracker'!$A:$D,4,FALSE()),""))</f>
        <v/>
      </c>
      <c r="H1428" s="22"/>
    </row>
    <row r="1429" spans="1:8">
      <c r="A1429" s="21"/>
      <c r="B1429" s="22"/>
      <c r="C1429" s="22"/>
      <c r="D1429" s="22"/>
      <c r="E1429" s="23" t="str">
        <f>IF($D1429="","",IFERROR(VLOOKUP($D1429,'SAMA Consumables Tracker'!$A:$H,8,FALSE()),""))</f>
        <v/>
      </c>
      <c r="F1429" s="24"/>
      <c r="G1429" s="25" t="str">
        <f>IF($D1429="","",IFERROR(VLOOKUP($D1429,'SAMA Consumables Tracker'!$A:$D,4,FALSE()),""))</f>
        <v/>
      </c>
      <c r="H1429" s="22"/>
    </row>
    <row r="1430" spans="1:8">
      <c r="A1430" s="21"/>
      <c r="B1430" s="22"/>
      <c r="C1430" s="22"/>
      <c r="D1430" s="22"/>
      <c r="E1430" s="23" t="str">
        <f>IF($D1430="","",IFERROR(VLOOKUP($D1430,'SAMA Consumables Tracker'!$A:$H,8,FALSE()),""))</f>
        <v/>
      </c>
      <c r="F1430" s="24"/>
      <c r="G1430" s="25" t="str">
        <f>IF($D1430="","",IFERROR(VLOOKUP($D1430,'SAMA Consumables Tracker'!$A:$D,4,FALSE()),""))</f>
        <v/>
      </c>
      <c r="H1430" s="22"/>
    </row>
    <row r="1431" spans="1:8">
      <c r="A1431" s="21"/>
      <c r="B1431" s="22"/>
      <c r="C1431" s="22"/>
      <c r="D1431" s="22"/>
      <c r="E1431" s="23" t="str">
        <f>IF($D1431="","",IFERROR(VLOOKUP($D1431,'SAMA Consumables Tracker'!$A:$H,8,FALSE()),""))</f>
        <v/>
      </c>
      <c r="F1431" s="24"/>
      <c r="G1431" s="25" t="str">
        <f>IF($D1431="","",IFERROR(VLOOKUP($D1431,'SAMA Consumables Tracker'!$A:$D,4,FALSE()),""))</f>
        <v/>
      </c>
      <c r="H1431" s="22"/>
    </row>
    <row r="1432" spans="1:8">
      <c r="A1432" s="21"/>
      <c r="B1432" s="22"/>
      <c r="C1432" s="22"/>
      <c r="D1432" s="22"/>
      <c r="E1432" s="23" t="str">
        <f>IF($D1432="","",IFERROR(VLOOKUP($D1432,'SAMA Consumables Tracker'!$A:$H,8,FALSE()),""))</f>
        <v/>
      </c>
      <c r="F1432" s="24"/>
      <c r="G1432" s="25" t="str">
        <f>IF($D1432="","",IFERROR(VLOOKUP($D1432,'SAMA Consumables Tracker'!$A:$D,4,FALSE()),""))</f>
        <v/>
      </c>
      <c r="H1432" s="22"/>
    </row>
    <row r="1433" spans="1:8">
      <c r="A1433" s="21"/>
      <c r="B1433" s="22"/>
      <c r="C1433" s="22"/>
      <c r="D1433" s="22"/>
      <c r="E1433" s="23" t="str">
        <f>IF($D1433="","",IFERROR(VLOOKUP($D1433,'SAMA Consumables Tracker'!$A:$H,8,FALSE()),""))</f>
        <v/>
      </c>
      <c r="F1433" s="24"/>
      <c r="G1433" s="25" t="str">
        <f>IF($D1433="","",IFERROR(VLOOKUP($D1433,'SAMA Consumables Tracker'!$A:$D,4,FALSE()),""))</f>
        <v/>
      </c>
      <c r="H1433" s="22"/>
    </row>
    <row r="1434" spans="1:8">
      <c r="A1434" s="21"/>
      <c r="B1434" s="22"/>
      <c r="C1434" s="22"/>
      <c r="D1434" s="22"/>
      <c r="E1434" s="23" t="str">
        <f>IF($D1434="","",IFERROR(VLOOKUP($D1434,'SAMA Consumables Tracker'!$A:$H,8,FALSE()),""))</f>
        <v/>
      </c>
      <c r="F1434" s="24"/>
      <c r="G1434" s="25" t="str">
        <f>IF($D1434="","",IFERROR(VLOOKUP($D1434,'SAMA Consumables Tracker'!$A:$D,4,FALSE()),""))</f>
        <v/>
      </c>
      <c r="H1434" s="22"/>
    </row>
    <row r="1435" spans="1:8">
      <c r="A1435" s="21"/>
      <c r="B1435" s="22"/>
      <c r="C1435" s="22"/>
      <c r="D1435" s="22"/>
      <c r="E1435" s="23" t="str">
        <f>IF($D1435="","",IFERROR(VLOOKUP($D1435,'SAMA Consumables Tracker'!$A:$H,8,FALSE()),""))</f>
        <v/>
      </c>
      <c r="F1435" s="24"/>
      <c r="G1435" s="25" t="str">
        <f>IF($D1435="","",IFERROR(VLOOKUP($D1435,'SAMA Consumables Tracker'!$A:$D,4,FALSE()),""))</f>
        <v/>
      </c>
      <c r="H1435" s="22"/>
    </row>
    <row r="1436" spans="1:8">
      <c r="A1436" s="21"/>
      <c r="B1436" s="22"/>
      <c r="C1436" s="22"/>
      <c r="D1436" s="22"/>
      <c r="E1436" s="23" t="str">
        <f>IF($D1436="","",IFERROR(VLOOKUP($D1436,'SAMA Consumables Tracker'!$A:$H,8,FALSE()),""))</f>
        <v/>
      </c>
      <c r="F1436" s="24"/>
      <c r="G1436" s="25" t="str">
        <f>IF($D1436="","",IFERROR(VLOOKUP($D1436,'SAMA Consumables Tracker'!$A:$D,4,FALSE()),""))</f>
        <v/>
      </c>
      <c r="H1436" s="22"/>
    </row>
    <row r="1437" spans="1:8">
      <c r="A1437" s="21"/>
      <c r="B1437" s="22"/>
      <c r="C1437" s="22"/>
      <c r="D1437" s="22"/>
      <c r="E1437" s="23" t="str">
        <f>IF($D1437="","",IFERROR(VLOOKUP($D1437,'SAMA Consumables Tracker'!$A:$H,8,FALSE()),""))</f>
        <v/>
      </c>
      <c r="F1437" s="24"/>
      <c r="G1437" s="25" t="str">
        <f>IF($D1437="","",IFERROR(VLOOKUP($D1437,'SAMA Consumables Tracker'!$A:$D,4,FALSE()),""))</f>
        <v/>
      </c>
      <c r="H1437" s="22"/>
    </row>
    <row r="1438" spans="1:8">
      <c r="A1438" s="21"/>
      <c r="B1438" s="22"/>
      <c r="C1438" s="22"/>
      <c r="D1438" s="22"/>
      <c r="E1438" s="23" t="str">
        <f>IF($D1438="","",IFERROR(VLOOKUP($D1438,'SAMA Consumables Tracker'!$A:$H,8,FALSE()),""))</f>
        <v/>
      </c>
      <c r="F1438" s="24"/>
      <c r="G1438" s="25" t="str">
        <f>IF($D1438="","",IFERROR(VLOOKUP($D1438,'SAMA Consumables Tracker'!$A:$D,4,FALSE()),""))</f>
        <v/>
      </c>
      <c r="H1438" s="22"/>
    </row>
    <row r="1439" spans="1:8">
      <c r="A1439" s="21"/>
      <c r="B1439" s="22"/>
      <c r="C1439" s="22"/>
      <c r="D1439" s="22"/>
      <c r="E1439" s="23" t="str">
        <f>IF($D1439="","",IFERROR(VLOOKUP($D1439,'SAMA Consumables Tracker'!$A:$H,8,FALSE()),""))</f>
        <v/>
      </c>
      <c r="F1439" s="24"/>
      <c r="G1439" s="25" t="str">
        <f>IF($D1439="","",IFERROR(VLOOKUP($D1439,'SAMA Consumables Tracker'!$A:$D,4,FALSE()),""))</f>
        <v/>
      </c>
      <c r="H1439" s="22"/>
    </row>
    <row r="1440" spans="1:8">
      <c r="A1440" s="21"/>
      <c r="B1440" s="22"/>
      <c r="C1440" s="22"/>
      <c r="D1440" s="22"/>
      <c r="E1440" s="23" t="str">
        <f>IF($D1440="","",IFERROR(VLOOKUP($D1440,'SAMA Consumables Tracker'!$A:$H,8,FALSE()),""))</f>
        <v/>
      </c>
      <c r="F1440" s="24"/>
      <c r="G1440" s="25" t="str">
        <f>IF($D1440="","",IFERROR(VLOOKUP($D1440,'SAMA Consumables Tracker'!$A:$D,4,FALSE()),""))</f>
        <v/>
      </c>
      <c r="H1440" s="22"/>
    </row>
    <row r="1441" spans="1:8">
      <c r="A1441" s="21"/>
      <c r="B1441" s="22"/>
      <c r="C1441" s="22"/>
      <c r="D1441" s="22"/>
      <c r="E1441" s="23" t="str">
        <f>IF($D1441="","",IFERROR(VLOOKUP($D1441,'SAMA Consumables Tracker'!$A:$H,8,FALSE()),""))</f>
        <v/>
      </c>
      <c r="F1441" s="24"/>
      <c r="G1441" s="25" t="str">
        <f>IF($D1441="","",IFERROR(VLOOKUP($D1441,'SAMA Consumables Tracker'!$A:$D,4,FALSE()),""))</f>
        <v/>
      </c>
      <c r="H1441" s="22"/>
    </row>
    <row r="1442" spans="1:8">
      <c r="A1442" s="21"/>
      <c r="B1442" s="22"/>
      <c r="C1442" s="22"/>
      <c r="D1442" s="22"/>
      <c r="E1442" s="23" t="str">
        <f>IF($D1442="","",IFERROR(VLOOKUP($D1442,'SAMA Consumables Tracker'!$A:$H,8,FALSE()),""))</f>
        <v/>
      </c>
      <c r="F1442" s="24"/>
      <c r="G1442" s="25" t="str">
        <f>IF($D1442="","",IFERROR(VLOOKUP($D1442,'SAMA Consumables Tracker'!$A:$D,4,FALSE()),""))</f>
        <v/>
      </c>
      <c r="H1442" s="22"/>
    </row>
    <row r="1443" spans="1:8">
      <c r="A1443" s="21"/>
      <c r="B1443" s="22"/>
      <c r="C1443" s="22"/>
      <c r="D1443" s="22"/>
      <c r="E1443" s="23" t="str">
        <f>IF($D1443="","",IFERROR(VLOOKUP($D1443,'SAMA Consumables Tracker'!$A:$H,8,FALSE()),""))</f>
        <v/>
      </c>
      <c r="F1443" s="24"/>
      <c r="G1443" s="25" t="str">
        <f>IF($D1443="","",IFERROR(VLOOKUP($D1443,'SAMA Consumables Tracker'!$A:$D,4,FALSE()),""))</f>
        <v/>
      </c>
      <c r="H1443" s="22"/>
    </row>
    <row r="1444" spans="1:8">
      <c r="A1444" s="21"/>
      <c r="B1444" s="22"/>
      <c r="C1444" s="22"/>
      <c r="D1444" s="22"/>
      <c r="E1444" s="23" t="str">
        <f>IF($D1444="","",IFERROR(VLOOKUP($D1444,'SAMA Consumables Tracker'!$A:$H,8,FALSE()),""))</f>
        <v/>
      </c>
      <c r="F1444" s="24"/>
      <c r="G1444" s="25" t="str">
        <f>IF($D1444="","",IFERROR(VLOOKUP($D1444,'SAMA Consumables Tracker'!$A:$D,4,FALSE()),""))</f>
        <v/>
      </c>
      <c r="H1444" s="22"/>
    </row>
    <row r="1445" spans="1:8">
      <c r="A1445" s="21"/>
      <c r="B1445" s="22"/>
      <c r="C1445" s="22"/>
      <c r="D1445" s="22"/>
      <c r="E1445" s="23" t="str">
        <f>IF($D1445="","",IFERROR(VLOOKUP($D1445,'SAMA Consumables Tracker'!$A:$H,8,FALSE()),""))</f>
        <v/>
      </c>
      <c r="F1445" s="24"/>
      <c r="G1445" s="25" t="str">
        <f>IF($D1445="","",IFERROR(VLOOKUP($D1445,'SAMA Consumables Tracker'!$A:$D,4,FALSE()),""))</f>
        <v/>
      </c>
      <c r="H1445" s="22"/>
    </row>
    <row r="1446" spans="1:8">
      <c r="A1446" s="21"/>
      <c r="B1446" s="22"/>
      <c r="C1446" s="22"/>
      <c r="D1446" s="22"/>
      <c r="E1446" s="23" t="str">
        <f>IF($D1446="","",IFERROR(VLOOKUP($D1446,'SAMA Consumables Tracker'!$A:$H,8,FALSE()),""))</f>
        <v/>
      </c>
      <c r="F1446" s="24"/>
      <c r="G1446" s="25" t="str">
        <f>IF($D1446="","",IFERROR(VLOOKUP($D1446,'SAMA Consumables Tracker'!$A:$D,4,FALSE()),""))</f>
        <v/>
      </c>
      <c r="H1446" s="22"/>
    </row>
    <row r="1447" spans="1:8">
      <c r="A1447" s="21"/>
      <c r="B1447" s="22"/>
      <c r="C1447" s="22"/>
      <c r="D1447" s="22"/>
      <c r="E1447" s="23" t="str">
        <f>IF($D1447="","",IFERROR(VLOOKUP($D1447,'SAMA Consumables Tracker'!$A:$H,8,FALSE()),""))</f>
        <v/>
      </c>
      <c r="F1447" s="24"/>
      <c r="G1447" s="25" t="str">
        <f>IF($D1447="","",IFERROR(VLOOKUP($D1447,'SAMA Consumables Tracker'!$A:$D,4,FALSE()),""))</f>
        <v/>
      </c>
      <c r="H1447" s="22"/>
    </row>
    <row r="1448" spans="1:8">
      <c r="A1448" s="21"/>
      <c r="B1448" s="22"/>
      <c r="C1448" s="22"/>
      <c r="D1448" s="22"/>
      <c r="E1448" s="23" t="str">
        <f>IF($D1448="","",IFERROR(VLOOKUP($D1448,'SAMA Consumables Tracker'!$A:$H,8,FALSE()),""))</f>
        <v/>
      </c>
      <c r="F1448" s="24"/>
      <c r="G1448" s="25" t="str">
        <f>IF($D1448="","",IFERROR(VLOOKUP($D1448,'SAMA Consumables Tracker'!$A:$D,4,FALSE()),""))</f>
        <v/>
      </c>
      <c r="H1448" s="22"/>
    </row>
    <row r="1449" spans="1:8">
      <c r="A1449" s="21"/>
      <c r="B1449" s="22"/>
      <c r="C1449" s="22"/>
      <c r="D1449" s="22"/>
      <c r="E1449" s="23" t="str">
        <f>IF($D1449="","",IFERROR(VLOOKUP($D1449,'SAMA Consumables Tracker'!$A:$H,8,FALSE()),""))</f>
        <v/>
      </c>
      <c r="F1449" s="24"/>
      <c r="G1449" s="25" t="str">
        <f>IF($D1449="","",IFERROR(VLOOKUP($D1449,'SAMA Consumables Tracker'!$A:$D,4,FALSE()),""))</f>
        <v/>
      </c>
      <c r="H1449" s="22"/>
    </row>
    <row r="1450" spans="1:8">
      <c r="A1450" s="21"/>
      <c r="B1450" s="22"/>
      <c r="C1450" s="22"/>
      <c r="D1450" s="22"/>
      <c r="E1450" s="23" t="str">
        <f>IF($D1450="","",IFERROR(VLOOKUP($D1450,'SAMA Consumables Tracker'!$A:$H,8,FALSE()),""))</f>
        <v/>
      </c>
      <c r="F1450" s="24"/>
      <c r="G1450" s="25" t="str">
        <f>IF($D1450="","",IFERROR(VLOOKUP($D1450,'SAMA Consumables Tracker'!$A:$D,4,FALSE()),""))</f>
        <v/>
      </c>
      <c r="H1450" s="22"/>
    </row>
    <row r="1451" spans="1:8">
      <c r="A1451" s="21"/>
      <c r="B1451" s="22"/>
      <c r="C1451" s="22"/>
      <c r="D1451" s="22"/>
      <c r="E1451" s="23" t="str">
        <f>IF($D1451="","",IFERROR(VLOOKUP($D1451,'SAMA Consumables Tracker'!$A:$H,8,FALSE()),""))</f>
        <v/>
      </c>
      <c r="F1451" s="24"/>
      <c r="G1451" s="25" t="str">
        <f>IF($D1451="","",IFERROR(VLOOKUP($D1451,'SAMA Consumables Tracker'!$A:$D,4,FALSE()),""))</f>
        <v/>
      </c>
      <c r="H1451" s="22"/>
    </row>
    <row r="1452" spans="1:8">
      <c r="A1452" s="21"/>
      <c r="B1452" s="22"/>
      <c r="C1452" s="22"/>
      <c r="D1452" s="22"/>
      <c r="E1452" s="23" t="str">
        <f>IF($D1452="","",IFERROR(VLOOKUP($D1452,'SAMA Consumables Tracker'!$A:$H,8,FALSE()),""))</f>
        <v/>
      </c>
      <c r="F1452" s="24"/>
      <c r="G1452" s="25" t="str">
        <f>IF($D1452="","",IFERROR(VLOOKUP($D1452,'SAMA Consumables Tracker'!$A:$D,4,FALSE()),""))</f>
        <v/>
      </c>
      <c r="H1452" s="22"/>
    </row>
    <row r="1453" spans="1:8">
      <c r="A1453" s="21"/>
      <c r="B1453" s="22"/>
      <c r="C1453" s="22"/>
      <c r="D1453" s="22"/>
      <c r="E1453" s="23" t="str">
        <f>IF($D1453="","",IFERROR(VLOOKUP($D1453,'SAMA Consumables Tracker'!$A:$H,8,FALSE()),""))</f>
        <v/>
      </c>
      <c r="F1453" s="24"/>
      <c r="G1453" s="25" t="str">
        <f>IF($D1453="","",IFERROR(VLOOKUP($D1453,'SAMA Consumables Tracker'!$A:$D,4,FALSE()),""))</f>
        <v/>
      </c>
      <c r="H1453" s="22"/>
    </row>
    <row r="1454" spans="1:8">
      <c r="A1454" s="21"/>
      <c r="B1454" s="22"/>
      <c r="C1454" s="22"/>
      <c r="D1454" s="22"/>
      <c r="E1454" s="23" t="str">
        <f>IF($D1454="","",IFERROR(VLOOKUP($D1454,'SAMA Consumables Tracker'!$A:$H,8,FALSE()),""))</f>
        <v/>
      </c>
      <c r="F1454" s="24"/>
      <c r="G1454" s="25" t="str">
        <f>IF($D1454="","",IFERROR(VLOOKUP($D1454,'SAMA Consumables Tracker'!$A:$D,4,FALSE()),""))</f>
        <v/>
      </c>
      <c r="H1454" s="22"/>
    </row>
    <row r="1455" spans="1:8">
      <c r="A1455" s="21"/>
      <c r="B1455" s="22"/>
      <c r="C1455" s="22"/>
      <c r="D1455" s="22"/>
      <c r="E1455" s="23" t="str">
        <f>IF($D1455="","",IFERROR(VLOOKUP($D1455,'SAMA Consumables Tracker'!$A:$H,8,FALSE()),""))</f>
        <v/>
      </c>
      <c r="F1455" s="24"/>
      <c r="G1455" s="25" t="str">
        <f>IF($D1455="","",IFERROR(VLOOKUP($D1455,'SAMA Consumables Tracker'!$A:$D,4,FALSE()),""))</f>
        <v/>
      </c>
      <c r="H1455" s="22"/>
    </row>
    <row r="1456" spans="1:8">
      <c r="A1456" s="21"/>
      <c r="B1456" s="22"/>
      <c r="C1456" s="22"/>
      <c r="D1456" s="22"/>
      <c r="E1456" s="23" t="str">
        <f>IF($D1456="","",IFERROR(VLOOKUP($D1456,'SAMA Consumables Tracker'!$A:$H,8,FALSE()),""))</f>
        <v/>
      </c>
      <c r="F1456" s="24"/>
      <c r="G1456" s="25" t="str">
        <f>IF($D1456="","",IFERROR(VLOOKUP($D1456,'SAMA Consumables Tracker'!$A:$D,4,FALSE()),""))</f>
        <v/>
      </c>
      <c r="H1456" s="22"/>
    </row>
    <row r="1457" spans="1:8">
      <c r="A1457" s="21"/>
      <c r="B1457" s="22"/>
      <c r="C1457" s="22"/>
      <c r="D1457" s="22"/>
      <c r="E1457" s="23" t="str">
        <f>IF($D1457="","",IFERROR(VLOOKUP($D1457,'SAMA Consumables Tracker'!$A:$H,8,FALSE()),""))</f>
        <v/>
      </c>
      <c r="F1457" s="24"/>
      <c r="G1457" s="25" t="str">
        <f>IF($D1457="","",IFERROR(VLOOKUP($D1457,'SAMA Consumables Tracker'!$A:$D,4,FALSE()),""))</f>
        <v/>
      </c>
      <c r="H1457" s="22"/>
    </row>
    <row r="1458" spans="1:8">
      <c r="A1458" s="21"/>
      <c r="B1458" s="22"/>
      <c r="C1458" s="22"/>
      <c r="D1458" s="22"/>
      <c r="E1458" s="23" t="str">
        <f>IF($D1458="","",IFERROR(VLOOKUP($D1458,'SAMA Consumables Tracker'!$A:$H,8,FALSE()),""))</f>
        <v/>
      </c>
      <c r="F1458" s="24"/>
      <c r="G1458" s="25" t="str">
        <f>IF($D1458="","",IFERROR(VLOOKUP($D1458,'SAMA Consumables Tracker'!$A:$D,4,FALSE()),""))</f>
        <v/>
      </c>
      <c r="H1458" s="22"/>
    </row>
    <row r="1459" spans="1:8">
      <c r="A1459" s="21"/>
      <c r="B1459" s="22"/>
      <c r="C1459" s="22"/>
      <c r="D1459" s="22"/>
      <c r="E1459" s="23" t="str">
        <f>IF($D1459="","",IFERROR(VLOOKUP($D1459,'SAMA Consumables Tracker'!$A:$H,8,FALSE()),""))</f>
        <v/>
      </c>
      <c r="F1459" s="24"/>
      <c r="G1459" s="25" t="str">
        <f>IF($D1459="","",IFERROR(VLOOKUP($D1459,'SAMA Consumables Tracker'!$A:$D,4,FALSE()),""))</f>
        <v/>
      </c>
      <c r="H1459" s="22"/>
    </row>
    <row r="1460" spans="1:8">
      <c r="A1460" s="21"/>
      <c r="B1460" s="22"/>
      <c r="C1460" s="22"/>
      <c r="D1460" s="22"/>
      <c r="E1460" s="23" t="str">
        <f>IF($D1460="","",IFERROR(VLOOKUP($D1460,'SAMA Consumables Tracker'!$A:$H,8,FALSE()),""))</f>
        <v/>
      </c>
      <c r="F1460" s="24"/>
      <c r="G1460" s="25" t="str">
        <f>IF($D1460="","",IFERROR(VLOOKUP($D1460,'SAMA Consumables Tracker'!$A:$D,4,FALSE()),""))</f>
        <v/>
      </c>
      <c r="H1460" s="22"/>
    </row>
    <row r="1461" spans="1:8">
      <c r="A1461" s="21"/>
      <c r="B1461" s="22"/>
      <c r="C1461" s="22"/>
      <c r="D1461" s="22"/>
      <c r="E1461" s="23" t="str">
        <f>IF($D1461="","",IFERROR(VLOOKUP($D1461,'SAMA Consumables Tracker'!$A:$H,8,FALSE()),""))</f>
        <v/>
      </c>
      <c r="F1461" s="24"/>
      <c r="G1461" s="25" t="str">
        <f>IF($D1461="","",IFERROR(VLOOKUP($D1461,'SAMA Consumables Tracker'!$A:$D,4,FALSE()),""))</f>
        <v/>
      </c>
      <c r="H1461" s="22"/>
    </row>
    <row r="1462" spans="1:8">
      <c r="A1462" s="21"/>
      <c r="B1462" s="22"/>
      <c r="C1462" s="22"/>
      <c r="D1462" s="22"/>
      <c r="E1462" s="23" t="str">
        <f>IF($D1462="","",IFERROR(VLOOKUP($D1462,'SAMA Consumables Tracker'!$A:$H,8,FALSE()),""))</f>
        <v/>
      </c>
      <c r="F1462" s="24"/>
      <c r="G1462" s="25" t="str">
        <f>IF($D1462="","",IFERROR(VLOOKUP($D1462,'SAMA Consumables Tracker'!$A:$D,4,FALSE()),""))</f>
        <v/>
      </c>
      <c r="H1462" s="22"/>
    </row>
    <row r="1463" spans="1:8">
      <c r="A1463" s="21"/>
      <c r="B1463" s="22"/>
      <c r="C1463" s="22"/>
      <c r="D1463" s="22"/>
      <c r="E1463" s="23" t="str">
        <f>IF($D1463="","",IFERROR(VLOOKUP($D1463,'SAMA Consumables Tracker'!$A:$H,8,FALSE()),""))</f>
        <v/>
      </c>
      <c r="F1463" s="24"/>
      <c r="G1463" s="25" t="str">
        <f>IF($D1463="","",IFERROR(VLOOKUP($D1463,'SAMA Consumables Tracker'!$A:$D,4,FALSE()),""))</f>
        <v/>
      </c>
      <c r="H1463" s="22"/>
    </row>
    <row r="1464" spans="1:8">
      <c r="A1464" s="21"/>
      <c r="B1464" s="22"/>
      <c r="C1464" s="22"/>
      <c r="D1464" s="22"/>
      <c r="E1464" s="23" t="str">
        <f>IF($D1464="","",IFERROR(VLOOKUP($D1464,'SAMA Consumables Tracker'!$A:$H,8,FALSE()),""))</f>
        <v/>
      </c>
      <c r="F1464" s="24"/>
      <c r="G1464" s="25" t="str">
        <f>IF($D1464="","",IFERROR(VLOOKUP($D1464,'SAMA Consumables Tracker'!$A:$D,4,FALSE()),""))</f>
        <v/>
      </c>
      <c r="H1464" s="22"/>
    </row>
    <row r="1465" spans="1:8">
      <c r="A1465" s="21"/>
      <c r="B1465" s="22"/>
      <c r="C1465" s="22"/>
      <c r="D1465" s="22"/>
      <c r="E1465" s="23" t="str">
        <f>IF($D1465="","",IFERROR(VLOOKUP($D1465,'SAMA Consumables Tracker'!$A:$H,8,FALSE()),""))</f>
        <v/>
      </c>
      <c r="F1465" s="24"/>
      <c r="G1465" s="25" t="str">
        <f>IF($D1465="","",IFERROR(VLOOKUP($D1465,'SAMA Consumables Tracker'!$A:$D,4,FALSE()),""))</f>
        <v/>
      </c>
      <c r="H1465" s="22"/>
    </row>
    <row r="1466" spans="1:8">
      <c r="A1466" s="21"/>
      <c r="B1466" s="22"/>
      <c r="C1466" s="22"/>
      <c r="D1466" s="22"/>
      <c r="E1466" s="23" t="str">
        <f>IF($D1466="","",IFERROR(VLOOKUP($D1466,'SAMA Consumables Tracker'!$A:$H,8,FALSE()),""))</f>
        <v/>
      </c>
      <c r="F1466" s="24"/>
      <c r="G1466" s="25" t="str">
        <f>IF($D1466="","",IFERROR(VLOOKUP($D1466,'SAMA Consumables Tracker'!$A:$D,4,FALSE()),""))</f>
        <v/>
      </c>
      <c r="H1466" s="22"/>
    </row>
    <row r="1467" spans="1:8">
      <c r="A1467" s="21"/>
      <c r="B1467" s="22"/>
      <c r="C1467" s="22"/>
      <c r="D1467" s="22"/>
      <c r="E1467" s="23" t="str">
        <f>IF($D1467="","",IFERROR(VLOOKUP($D1467,'SAMA Consumables Tracker'!$A:$H,8,FALSE()),""))</f>
        <v/>
      </c>
      <c r="F1467" s="24"/>
      <c r="G1467" s="25" t="str">
        <f>IF($D1467="","",IFERROR(VLOOKUP($D1467,'SAMA Consumables Tracker'!$A:$D,4,FALSE()),""))</f>
        <v/>
      </c>
      <c r="H1467" s="22"/>
    </row>
    <row r="1468" spans="1:8">
      <c r="A1468" s="21"/>
      <c r="B1468" s="22"/>
      <c r="C1468" s="22"/>
      <c r="D1468" s="22"/>
      <c r="E1468" s="23" t="str">
        <f>IF($D1468="","",IFERROR(VLOOKUP($D1468,'SAMA Consumables Tracker'!$A:$H,8,FALSE()),""))</f>
        <v/>
      </c>
      <c r="F1468" s="24"/>
      <c r="G1468" s="25" t="str">
        <f>IF($D1468="","",IFERROR(VLOOKUP($D1468,'SAMA Consumables Tracker'!$A:$D,4,FALSE()),""))</f>
        <v/>
      </c>
      <c r="H1468" s="22"/>
    </row>
    <row r="1469" spans="1:8">
      <c r="A1469" s="21"/>
      <c r="B1469" s="22"/>
      <c r="C1469" s="22"/>
      <c r="D1469" s="22"/>
      <c r="E1469" s="23" t="str">
        <f>IF($D1469="","",IFERROR(VLOOKUP($D1469,'SAMA Consumables Tracker'!$A:$H,8,FALSE()),""))</f>
        <v/>
      </c>
      <c r="F1469" s="24"/>
      <c r="G1469" s="25" t="str">
        <f>IF($D1469="","",IFERROR(VLOOKUP($D1469,'SAMA Consumables Tracker'!$A:$D,4,FALSE()),""))</f>
        <v/>
      </c>
      <c r="H1469" s="22"/>
    </row>
    <row r="1470" spans="1:8">
      <c r="A1470" s="21"/>
      <c r="B1470" s="22"/>
      <c r="C1470" s="22"/>
      <c r="D1470" s="22"/>
      <c r="E1470" s="23" t="str">
        <f>IF($D1470="","",IFERROR(VLOOKUP($D1470,'SAMA Consumables Tracker'!$A:$H,8,FALSE()),""))</f>
        <v/>
      </c>
      <c r="F1470" s="24"/>
      <c r="G1470" s="25" t="str">
        <f>IF($D1470="","",IFERROR(VLOOKUP($D1470,'SAMA Consumables Tracker'!$A:$D,4,FALSE()),""))</f>
        <v/>
      </c>
      <c r="H1470" s="22"/>
    </row>
    <row r="1471" spans="1:8">
      <c r="A1471" s="21"/>
      <c r="B1471" s="22"/>
      <c r="C1471" s="22"/>
      <c r="D1471" s="22"/>
      <c r="E1471" s="23" t="str">
        <f>IF($D1471="","",IFERROR(VLOOKUP($D1471,'SAMA Consumables Tracker'!$A:$H,8,FALSE()),""))</f>
        <v/>
      </c>
      <c r="F1471" s="24"/>
      <c r="G1471" s="25" t="str">
        <f>IF($D1471="","",IFERROR(VLOOKUP($D1471,'SAMA Consumables Tracker'!$A:$D,4,FALSE()),""))</f>
        <v/>
      </c>
      <c r="H1471" s="22"/>
    </row>
    <row r="1472" spans="1:8">
      <c r="A1472" s="21"/>
      <c r="B1472" s="22"/>
      <c r="C1472" s="22"/>
      <c r="D1472" s="22"/>
      <c r="E1472" s="23" t="str">
        <f>IF($D1472="","",IFERROR(VLOOKUP($D1472,'SAMA Consumables Tracker'!$A:$H,8,FALSE()),""))</f>
        <v/>
      </c>
      <c r="F1472" s="24"/>
      <c r="G1472" s="25" t="str">
        <f>IF($D1472="","",IFERROR(VLOOKUP($D1472,'SAMA Consumables Tracker'!$A:$D,4,FALSE()),""))</f>
        <v/>
      </c>
      <c r="H1472" s="22"/>
    </row>
    <row r="1473" spans="1:8">
      <c r="A1473" s="21"/>
      <c r="B1473" s="22"/>
      <c r="C1473" s="22"/>
      <c r="D1473" s="22"/>
      <c r="E1473" s="23" t="str">
        <f>IF($D1473="","",IFERROR(VLOOKUP($D1473,'SAMA Consumables Tracker'!$A:$H,8,FALSE()),""))</f>
        <v/>
      </c>
      <c r="F1473" s="24"/>
      <c r="G1473" s="25" t="str">
        <f>IF($D1473="","",IFERROR(VLOOKUP($D1473,'SAMA Consumables Tracker'!$A:$D,4,FALSE()),""))</f>
        <v/>
      </c>
      <c r="H1473" s="22"/>
    </row>
    <row r="1474" spans="1:8">
      <c r="A1474" s="21"/>
      <c r="B1474" s="22"/>
      <c r="C1474" s="22"/>
      <c r="D1474" s="22"/>
      <c r="E1474" s="23" t="str">
        <f>IF($D1474="","",IFERROR(VLOOKUP($D1474,'SAMA Consumables Tracker'!$A:$H,8,FALSE()),""))</f>
        <v/>
      </c>
      <c r="F1474" s="24"/>
      <c r="G1474" s="25" t="str">
        <f>IF($D1474="","",IFERROR(VLOOKUP($D1474,'SAMA Consumables Tracker'!$A:$D,4,FALSE()),""))</f>
        <v/>
      </c>
      <c r="H1474" s="22"/>
    </row>
    <row r="1475" spans="1:8">
      <c r="A1475" s="21"/>
      <c r="B1475" s="22"/>
      <c r="C1475" s="22"/>
      <c r="D1475" s="22"/>
      <c r="E1475" s="23" t="str">
        <f>IF($D1475="","",IFERROR(VLOOKUP($D1475,'SAMA Consumables Tracker'!$A:$H,8,FALSE()),""))</f>
        <v/>
      </c>
      <c r="F1475" s="24"/>
      <c r="G1475" s="25" t="str">
        <f>IF($D1475="","",IFERROR(VLOOKUP($D1475,'SAMA Consumables Tracker'!$A:$D,4,FALSE()),""))</f>
        <v/>
      </c>
      <c r="H1475" s="22"/>
    </row>
    <row r="1476" spans="1:8">
      <c r="A1476" s="21"/>
      <c r="B1476" s="22"/>
      <c r="C1476" s="22"/>
      <c r="D1476" s="22"/>
      <c r="E1476" s="23" t="str">
        <f>IF($D1476="","",IFERROR(VLOOKUP($D1476,'SAMA Consumables Tracker'!$A:$H,8,FALSE()),""))</f>
        <v/>
      </c>
      <c r="F1476" s="24"/>
      <c r="G1476" s="25" t="str">
        <f>IF($D1476="","",IFERROR(VLOOKUP($D1476,'SAMA Consumables Tracker'!$A:$D,4,FALSE()),""))</f>
        <v/>
      </c>
      <c r="H1476" s="22"/>
    </row>
    <row r="1477" spans="1:8">
      <c r="A1477" s="21"/>
      <c r="B1477" s="22"/>
      <c r="C1477" s="22"/>
      <c r="D1477" s="22"/>
      <c r="E1477" s="23" t="str">
        <f>IF($D1477="","",IFERROR(VLOOKUP($D1477,'SAMA Consumables Tracker'!$A:$H,8,FALSE()),""))</f>
        <v/>
      </c>
      <c r="F1477" s="24"/>
      <c r="G1477" s="25" t="str">
        <f>IF($D1477="","",IFERROR(VLOOKUP($D1477,'SAMA Consumables Tracker'!$A:$D,4,FALSE()),""))</f>
        <v/>
      </c>
      <c r="H1477" s="22"/>
    </row>
    <row r="1478" spans="1:8">
      <c r="A1478" s="21"/>
      <c r="B1478" s="22"/>
      <c r="C1478" s="22"/>
      <c r="D1478" s="22"/>
      <c r="E1478" s="23" t="str">
        <f>IF($D1478="","",IFERROR(VLOOKUP($D1478,'SAMA Consumables Tracker'!$A:$H,8,FALSE()),""))</f>
        <v/>
      </c>
      <c r="F1478" s="24"/>
      <c r="G1478" s="25" t="str">
        <f>IF($D1478="","",IFERROR(VLOOKUP($D1478,'SAMA Consumables Tracker'!$A:$D,4,FALSE()),""))</f>
        <v/>
      </c>
      <c r="H1478" s="22"/>
    </row>
    <row r="1479" spans="1:8">
      <c r="A1479" s="21"/>
      <c r="B1479" s="22"/>
      <c r="C1479" s="22"/>
      <c r="D1479" s="22"/>
      <c r="E1479" s="23" t="str">
        <f>IF($D1479="","",IFERROR(VLOOKUP($D1479,'SAMA Consumables Tracker'!$A:$H,8,FALSE()),""))</f>
        <v/>
      </c>
      <c r="F1479" s="24"/>
      <c r="G1479" s="25" t="str">
        <f>IF($D1479="","",IFERROR(VLOOKUP($D1479,'SAMA Consumables Tracker'!$A:$D,4,FALSE()),""))</f>
        <v/>
      </c>
      <c r="H1479" s="22"/>
    </row>
    <row r="1480" spans="1:8">
      <c r="A1480" s="21"/>
      <c r="B1480" s="22"/>
      <c r="C1480" s="22"/>
      <c r="D1480" s="22"/>
      <c r="E1480" s="23" t="str">
        <f>IF($D1480="","",IFERROR(VLOOKUP($D1480,'SAMA Consumables Tracker'!$A:$H,8,FALSE()),""))</f>
        <v/>
      </c>
      <c r="F1480" s="24"/>
      <c r="G1480" s="25" t="str">
        <f>IF($D1480="","",IFERROR(VLOOKUP($D1480,'SAMA Consumables Tracker'!$A:$D,4,FALSE()),""))</f>
        <v/>
      </c>
      <c r="H1480" s="22"/>
    </row>
    <row r="1481" spans="1:8">
      <c r="A1481" s="21"/>
      <c r="B1481" s="22"/>
      <c r="C1481" s="22"/>
      <c r="D1481" s="22"/>
      <c r="E1481" s="23" t="str">
        <f>IF($D1481="","",IFERROR(VLOOKUP($D1481,'SAMA Consumables Tracker'!$A:$H,8,FALSE()),""))</f>
        <v/>
      </c>
      <c r="F1481" s="24"/>
      <c r="G1481" s="25" t="str">
        <f>IF($D1481="","",IFERROR(VLOOKUP($D1481,'SAMA Consumables Tracker'!$A:$D,4,FALSE()),""))</f>
        <v/>
      </c>
      <c r="H1481" s="22"/>
    </row>
    <row r="1482" spans="1:8">
      <c r="A1482" s="21"/>
      <c r="B1482" s="22"/>
      <c r="C1482" s="22"/>
      <c r="D1482" s="22"/>
      <c r="E1482" s="23" t="str">
        <f>IF($D1482="","",IFERROR(VLOOKUP($D1482,'SAMA Consumables Tracker'!$A:$H,8,FALSE()),""))</f>
        <v/>
      </c>
      <c r="F1482" s="24"/>
      <c r="G1482" s="25" t="str">
        <f>IF($D1482="","",IFERROR(VLOOKUP($D1482,'SAMA Consumables Tracker'!$A:$D,4,FALSE()),""))</f>
        <v/>
      </c>
      <c r="H1482" s="22"/>
    </row>
    <row r="1483" spans="1:8">
      <c r="A1483" s="21"/>
      <c r="B1483" s="22"/>
      <c r="C1483" s="22"/>
      <c r="D1483" s="22"/>
      <c r="E1483" s="23" t="str">
        <f>IF($D1483="","",IFERROR(VLOOKUP($D1483,'SAMA Consumables Tracker'!$A:$H,8,FALSE()),""))</f>
        <v/>
      </c>
      <c r="F1483" s="24"/>
      <c r="G1483" s="25" t="str">
        <f>IF($D1483="","",IFERROR(VLOOKUP($D1483,'SAMA Consumables Tracker'!$A:$D,4,FALSE()),""))</f>
        <v/>
      </c>
      <c r="H1483" s="22"/>
    </row>
    <row r="1484" spans="1:8">
      <c r="A1484" s="21"/>
      <c r="B1484" s="22"/>
      <c r="C1484" s="22"/>
      <c r="D1484" s="22"/>
      <c r="E1484" s="23" t="str">
        <f>IF($D1484="","",IFERROR(VLOOKUP($D1484,'SAMA Consumables Tracker'!$A:$H,8,FALSE()),""))</f>
        <v/>
      </c>
      <c r="F1484" s="24"/>
      <c r="G1484" s="25" t="str">
        <f>IF($D1484="","",IFERROR(VLOOKUP($D1484,'SAMA Consumables Tracker'!$A:$D,4,FALSE()),""))</f>
        <v/>
      </c>
      <c r="H1484" s="22"/>
    </row>
    <row r="1485" spans="1:8">
      <c r="A1485" s="21"/>
      <c r="B1485" s="22"/>
      <c r="C1485" s="22"/>
      <c r="D1485" s="22"/>
      <c r="E1485" s="23" t="str">
        <f>IF($D1485="","",IFERROR(VLOOKUP($D1485,'SAMA Consumables Tracker'!$A:$H,8,FALSE()),""))</f>
        <v/>
      </c>
      <c r="F1485" s="24"/>
      <c r="G1485" s="25" t="str">
        <f>IF($D1485="","",IFERROR(VLOOKUP($D1485,'SAMA Consumables Tracker'!$A:$D,4,FALSE()),""))</f>
        <v/>
      </c>
      <c r="H1485" s="22"/>
    </row>
    <row r="1486" spans="1:8">
      <c r="A1486" s="21"/>
      <c r="B1486" s="22"/>
      <c r="C1486" s="22"/>
      <c r="D1486" s="22"/>
      <c r="E1486" s="23" t="str">
        <f>IF($D1486="","",IFERROR(VLOOKUP($D1486,'SAMA Consumables Tracker'!$A:$H,8,FALSE()),""))</f>
        <v/>
      </c>
      <c r="F1486" s="24"/>
      <c r="G1486" s="25" t="str">
        <f>IF($D1486="","",IFERROR(VLOOKUP($D1486,'SAMA Consumables Tracker'!$A:$D,4,FALSE()),""))</f>
        <v/>
      </c>
      <c r="H1486" s="22"/>
    </row>
    <row r="1487" spans="1:8">
      <c r="A1487" s="21"/>
      <c r="B1487" s="22"/>
      <c r="C1487" s="22"/>
      <c r="D1487" s="22"/>
      <c r="E1487" s="23" t="str">
        <f>IF($D1487="","",IFERROR(VLOOKUP($D1487,'SAMA Consumables Tracker'!$A:$H,8,FALSE()),""))</f>
        <v/>
      </c>
      <c r="F1487" s="24"/>
      <c r="G1487" s="25" t="str">
        <f>IF($D1487="","",IFERROR(VLOOKUP($D1487,'SAMA Consumables Tracker'!$A:$D,4,FALSE()),""))</f>
        <v/>
      </c>
      <c r="H1487" s="22"/>
    </row>
    <row r="1488" spans="1:8">
      <c r="A1488" s="21"/>
      <c r="B1488" s="22"/>
      <c r="C1488" s="22"/>
      <c r="D1488" s="22"/>
      <c r="E1488" s="23" t="str">
        <f>IF($D1488="","",IFERROR(VLOOKUP($D1488,'SAMA Consumables Tracker'!$A:$H,8,FALSE()),""))</f>
        <v/>
      </c>
      <c r="F1488" s="24"/>
      <c r="G1488" s="25" t="str">
        <f>IF($D1488="","",IFERROR(VLOOKUP($D1488,'SAMA Consumables Tracker'!$A:$D,4,FALSE()),""))</f>
        <v/>
      </c>
      <c r="H1488" s="22"/>
    </row>
    <row r="1489" spans="1:8">
      <c r="A1489" s="21"/>
      <c r="B1489" s="22"/>
      <c r="C1489" s="22"/>
      <c r="D1489" s="22"/>
      <c r="E1489" s="23" t="str">
        <f>IF($D1489="","",IFERROR(VLOOKUP($D1489,'SAMA Consumables Tracker'!$A:$H,8,FALSE()),""))</f>
        <v/>
      </c>
      <c r="F1489" s="24"/>
      <c r="G1489" s="25" t="str">
        <f>IF($D1489="","",IFERROR(VLOOKUP($D1489,'SAMA Consumables Tracker'!$A:$D,4,FALSE()),""))</f>
        <v/>
      </c>
      <c r="H1489" s="22"/>
    </row>
    <row r="1490" spans="1:8">
      <c r="A1490" s="21"/>
      <c r="B1490" s="22"/>
      <c r="C1490" s="22"/>
      <c r="D1490" s="22"/>
      <c r="E1490" s="23" t="str">
        <f>IF($D1490="","",IFERROR(VLOOKUP($D1490,'SAMA Consumables Tracker'!$A:$H,8,FALSE()),""))</f>
        <v/>
      </c>
      <c r="F1490" s="24"/>
      <c r="G1490" s="25" t="str">
        <f>IF($D1490="","",IFERROR(VLOOKUP($D1490,'SAMA Consumables Tracker'!$A:$D,4,FALSE()),""))</f>
        <v/>
      </c>
      <c r="H1490" s="22"/>
    </row>
    <row r="1491" spans="1:8">
      <c r="A1491" s="21"/>
      <c r="B1491" s="22"/>
      <c r="C1491" s="22"/>
      <c r="D1491" s="22"/>
      <c r="E1491" s="23" t="str">
        <f>IF($D1491="","",IFERROR(VLOOKUP($D1491,'SAMA Consumables Tracker'!$A:$H,8,FALSE()),""))</f>
        <v/>
      </c>
      <c r="F1491" s="24"/>
      <c r="G1491" s="25" t="str">
        <f>IF($D1491="","",IFERROR(VLOOKUP($D1491,'SAMA Consumables Tracker'!$A:$D,4,FALSE()),""))</f>
        <v/>
      </c>
      <c r="H1491" s="22"/>
    </row>
    <row r="1492" spans="1:8">
      <c r="A1492" s="21"/>
      <c r="B1492" s="22"/>
      <c r="C1492" s="22"/>
      <c r="D1492" s="22"/>
      <c r="E1492" s="23" t="str">
        <f>IF($D1492="","",IFERROR(VLOOKUP($D1492,'SAMA Consumables Tracker'!$A:$H,8,FALSE()),""))</f>
        <v/>
      </c>
      <c r="F1492" s="24"/>
      <c r="G1492" s="25" t="str">
        <f>IF($D1492="","",IFERROR(VLOOKUP($D1492,'SAMA Consumables Tracker'!$A:$D,4,FALSE()),""))</f>
        <v/>
      </c>
      <c r="H1492" s="22"/>
    </row>
    <row r="1493" spans="1:8">
      <c r="A1493" s="21"/>
      <c r="B1493" s="22"/>
      <c r="C1493" s="22"/>
      <c r="D1493" s="22"/>
      <c r="E1493" s="23" t="str">
        <f>IF($D1493="","",IFERROR(VLOOKUP($D1493,'SAMA Consumables Tracker'!$A:$H,8,FALSE()),""))</f>
        <v/>
      </c>
      <c r="F1493" s="24"/>
      <c r="G1493" s="25" t="str">
        <f>IF($D1493="","",IFERROR(VLOOKUP($D1493,'SAMA Consumables Tracker'!$A:$D,4,FALSE()),""))</f>
        <v/>
      </c>
      <c r="H1493" s="22"/>
    </row>
    <row r="1494" spans="1:8">
      <c r="A1494" s="21"/>
      <c r="B1494" s="22"/>
      <c r="C1494" s="22"/>
      <c r="D1494" s="22"/>
      <c r="E1494" s="23" t="str">
        <f>IF($D1494="","",IFERROR(VLOOKUP($D1494,'SAMA Consumables Tracker'!$A:$H,8,FALSE()),""))</f>
        <v/>
      </c>
      <c r="F1494" s="24"/>
      <c r="G1494" s="25" t="str">
        <f>IF($D1494="","",IFERROR(VLOOKUP($D1494,'SAMA Consumables Tracker'!$A:$D,4,FALSE()),""))</f>
        <v/>
      </c>
      <c r="H1494" s="22"/>
    </row>
    <row r="1495" spans="1:8">
      <c r="A1495" s="21"/>
      <c r="B1495" s="22"/>
      <c r="C1495" s="22"/>
      <c r="D1495" s="22"/>
      <c r="E1495" s="23" t="str">
        <f>IF($D1495="","",IFERROR(VLOOKUP($D1495,'SAMA Consumables Tracker'!$A:$H,8,FALSE()),""))</f>
        <v/>
      </c>
      <c r="F1495" s="24"/>
      <c r="G1495" s="25" t="str">
        <f>IF($D1495="","",IFERROR(VLOOKUP($D1495,'SAMA Consumables Tracker'!$A:$D,4,FALSE()),""))</f>
        <v/>
      </c>
      <c r="H1495" s="22"/>
    </row>
    <row r="1496" spans="1:8">
      <c r="A1496" s="21"/>
      <c r="B1496" s="22"/>
      <c r="C1496" s="22"/>
      <c r="D1496" s="22"/>
      <c r="E1496" s="23" t="str">
        <f>IF($D1496="","",IFERROR(VLOOKUP($D1496,'SAMA Consumables Tracker'!$A:$H,8,FALSE()),""))</f>
        <v/>
      </c>
      <c r="F1496" s="24"/>
      <c r="G1496" s="25" t="str">
        <f>IF($D1496="","",IFERROR(VLOOKUP($D1496,'SAMA Consumables Tracker'!$A:$D,4,FALSE()),""))</f>
        <v/>
      </c>
      <c r="H1496" s="22"/>
    </row>
    <row r="1497" spans="1:8">
      <c r="A1497" s="21"/>
      <c r="B1497" s="22"/>
      <c r="C1497" s="22"/>
      <c r="D1497" s="22"/>
      <c r="E1497" s="23" t="str">
        <f>IF($D1497="","",IFERROR(VLOOKUP($D1497,'SAMA Consumables Tracker'!$A:$H,8,FALSE()),""))</f>
        <v/>
      </c>
      <c r="F1497" s="24"/>
      <c r="G1497" s="25" t="str">
        <f>IF($D1497="","",IFERROR(VLOOKUP($D1497,'SAMA Consumables Tracker'!$A:$D,4,FALSE()),""))</f>
        <v/>
      </c>
      <c r="H1497" s="22"/>
    </row>
    <row r="1498" spans="1:8">
      <c r="A1498" s="21"/>
      <c r="B1498" s="22"/>
      <c r="C1498" s="22"/>
      <c r="D1498" s="22"/>
      <c r="E1498" s="23" t="str">
        <f>IF($D1498="","",IFERROR(VLOOKUP($D1498,'SAMA Consumables Tracker'!$A:$H,8,FALSE()),""))</f>
        <v/>
      </c>
      <c r="F1498" s="24"/>
      <c r="G1498" s="25" t="str">
        <f>IF($D1498="","",IFERROR(VLOOKUP($D1498,'SAMA Consumables Tracker'!$A:$D,4,FALSE()),""))</f>
        <v/>
      </c>
      <c r="H1498" s="22"/>
    </row>
    <row r="1499" spans="1:8">
      <c r="A1499" s="21"/>
      <c r="B1499" s="22"/>
      <c r="C1499" s="22"/>
      <c r="D1499" s="22"/>
      <c r="E1499" s="23" t="str">
        <f>IF($D1499="","",IFERROR(VLOOKUP($D1499,'SAMA Consumables Tracker'!$A:$H,8,FALSE()),""))</f>
        <v/>
      </c>
      <c r="F1499" s="24"/>
      <c r="G1499" s="25" t="str">
        <f>IF($D1499="","",IFERROR(VLOOKUP($D1499,'SAMA Consumables Tracker'!$A:$D,4,FALSE()),""))</f>
        <v/>
      </c>
      <c r="H1499" s="22"/>
    </row>
    <row r="1500" spans="1:8">
      <c r="A1500" s="21"/>
      <c r="B1500" s="22"/>
      <c r="C1500" s="22"/>
      <c r="D1500" s="22"/>
      <c r="E1500" s="23" t="str">
        <f>IF($D1500="","",IFERROR(VLOOKUP($D1500,'SAMA Consumables Tracker'!$A:$H,8,FALSE()),""))</f>
        <v/>
      </c>
      <c r="F1500" s="24"/>
      <c r="G1500" s="25" t="str">
        <f>IF($D1500="","",IFERROR(VLOOKUP($D1500,'SAMA Consumables Tracker'!$A:$D,4,FALSE()),""))</f>
        <v/>
      </c>
      <c r="H1500" s="22"/>
    </row>
    <row r="1501" spans="1:8">
      <c r="A1501" s="21"/>
      <c r="B1501" s="22"/>
      <c r="C1501" s="22"/>
      <c r="D1501" s="22"/>
      <c r="E1501" s="23" t="str">
        <f>IF($D1501="","",IFERROR(VLOOKUP($D1501,'SAMA Consumables Tracker'!$A:$H,8,FALSE()),""))</f>
        <v/>
      </c>
      <c r="F1501" s="24"/>
      <c r="G1501" s="25" t="str">
        <f>IF($D1501="","",IFERROR(VLOOKUP($D1501,'SAMA Consumables Tracker'!$A:$D,4,FALSE()),""))</f>
        <v/>
      </c>
      <c r="H1501" s="22"/>
    </row>
    <row r="1502" spans="1:8">
      <c r="A1502" s="21"/>
      <c r="B1502" s="22"/>
      <c r="C1502" s="22"/>
      <c r="D1502" s="22"/>
      <c r="E1502" s="23" t="str">
        <f>IF($D1502="","",IFERROR(VLOOKUP($D1502,'SAMA Consumables Tracker'!$A:$H,8,FALSE()),""))</f>
        <v/>
      </c>
      <c r="F1502" s="24"/>
      <c r="G1502" s="25" t="str">
        <f>IF($D1502="","",IFERROR(VLOOKUP($D1502,'SAMA Consumables Tracker'!$A:$D,4,FALSE()),""))</f>
        <v/>
      </c>
      <c r="H1502" s="22"/>
    </row>
    <row r="1503" spans="1:8">
      <c r="A1503" s="21"/>
      <c r="B1503" s="22"/>
      <c r="C1503" s="22"/>
      <c r="D1503" s="22"/>
      <c r="E1503" s="23" t="str">
        <f>IF($D1503="","",IFERROR(VLOOKUP($D1503,'SAMA Consumables Tracker'!$A:$H,8,FALSE()),""))</f>
        <v/>
      </c>
      <c r="F1503" s="24"/>
      <c r="G1503" s="25" t="str">
        <f>IF($D1503="","",IFERROR(VLOOKUP($D1503,'SAMA Consumables Tracker'!$A:$D,4,FALSE()),""))</f>
        <v/>
      </c>
      <c r="H1503" s="22"/>
    </row>
    <row r="1504" spans="1:8">
      <c r="A1504" s="21"/>
      <c r="B1504" s="22"/>
      <c r="C1504" s="22"/>
      <c r="D1504" s="22"/>
      <c r="E1504" s="23" t="str">
        <f>IF($D1504="","",IFERROR(VLOOKUP($D1504,'SAMA Consumables Tracker'!$A:$H,8,FALSE()),""))</f>
        <v/>
      </c>
      <c r="F1504" s="24"/>
      <c r="G1504" s="25" t="str">
        <f>IF($D1504="","",IFERROR(VLOOKUP($D1504,'SAMA Consumables Tracker'!$A:$D,4,FALSE()),""))</f>
        <v/>
      </c>
      <c r="H1504" s="22"/>
    </row>
    <row r="1505" spans="1:8">
      <c r="A1505" s="21"/>
      <c r="B1505" s="22"/>
      <c r="C1505" s="22"/>
      <c r="D1505" s="22"/>
      <c r="E1505" s="23" t="str">
        <f>IF($D1505="","",IFERROR(VLOOKUP($D1505,'SAMA Consumables Tracker'!$A:$H,8,FALSE()),""))</f>
        <v/>
      </c>
      <c r="F1505" s="24"/>
      <c r="G1505" s="25" t="str">
        <f>IF($D1505="","",IFERROR(VLOOKUP($D1505,'SAMA Consumables Tracker'!$A:$D,4,FALSE()),""))</f>
        <v/>
      </c>
      <c r="H1505" s="22"/>
    </row>
    <row r="1506" spans="1:8">
      <c r="A1506" s="21"/>
      <c r="B1506" s="22"/>
      <c r="C1506" s="22"/>
      <c r="D1506" s="22"/>
      <c r="E1506" s="23" t="str">
        <f>IF($D1506="","",IFERROR(VLOOKUP($D1506,'SAMA Consumables Tracker'!$A:$H,8,FALSE()),""))</f>
        <v/>
      </c>
      <c r="F1506" s="24"/>
      <c r="G1506" s="25" t="str">
        <f>IF($D1506="","",IFERROR(VLOOKUP($D1506,'SAMA Consumables Tracker'!$A:$D,4,FALSE()),""))</f>
        <v/>
      </c>
      <c r="H1506" s="22"/>
    </row>
    <row r="1507" spans="1:8">
      <c r="A1507" s="21"/>
      <c r="B1507" s="22"/>
      <c r="C1507" s="22"/>
      <c r="D1507" s="22"/>
      <c r="E1507" s="23" t="str">
        <f>IF($D1507="","",IFERROR(VLOOKUP($D1507,'SAMA Consumables Tracker'!$A:$H,8,FALSE()),""))</f>
        <v/>
      </c>
      <c r="F1507" s="24"/>
      <c r="G1507" s="25" t="str">
        <f>IF($D1507="","",IFERROR(VLOOKUP($D1507,'SAMA Consumables Tracker'!$A:$D,4,FALSE()),""))</f>
        <v/>
      </c>
      <c r="H1507" s="22"/>
    </row>
    <row r="1508" spans="1:8">
      <c r="A1508" s="21"/>
      <c r="B1508" s="22"/>
      <c r="C1508" s="22"/>
      <c r="D1508" s="22"/>
      <c r="E1508" s="23" t="str">
        <f>IF($D1508="","",IFERROR(VLOOKUP($D1508,'SAMA Consumables Tracker'!$A:$H,8,FALSE()),""))</f>
        <v/>
      </c>
      <c r="F1508" s="24"/>
      <c r="G1508" s="25" t="str">
        <f>IF($D1508="","",IFERROR(VLOOKUP($D1508,'SAMA Consumables Tracker'!$A:$D,4,FALSE()),""))</f>
        <v/>
      </c>
      <c r="H1508" s="22"/>
    </row>
    <row r="1509" spans="1:8">
      <c r="A1509" s="21"/>
      <c r="B1509" s="22"/>
      <c r="C1509" s="22"/>
      <c r="D1509" s="22"/>
      <c r="E1509" s="23" t="str">
        <f>IF($D1509="","",IFERROR(VLOOKUP($D1509,'SAMA Consumables Tracker'!$A:$H,8,FALSE()),""))</f>
        <v/>
      </c>
      <c r="F1509" s="24"/>
      <c r="G1509" s="25" t="str">
        <f>IF($D1509="","",IFERROR(VLOOKUP($D1509,'SAMA Consumables Tracker'!$A:$D,4,FALSE()),""))</f>
        <v/>
      </c>
      <c r="H1509" s="22"/>
    </row>
    <row r="1510" spans="1:8">
      <c r="A1510" s="21"/>
      <c r="B1510" s="22"/>
      <c r="C1510" s="22"/>
      <c r="D1510" s="22"/>
      <c r="E1510" s="23" t="str">
        <f>IF($D1510="","",IFERROR(VLOOKUP($D1510,'SAMA Consumables Tracker'!$A:$H,8,FALSE()),""))</f>
        <v/>
      </c>
      <c r="F1510" s="24"/>
      <c r="G1510" s="25" t="str">
        <f>IF($D1510="","",IFERROR(VLOOKUP($D1510,'SAMA Consumables Tracker'!$A:$D,4,FALSE()),""))</f>
        <v/>
      </c>
      <c r="H1510" s="22"/>
    </row>
    <row r="1511" spans="1:8">
      <c r="A1511" s="21"/>
      <c r="B1511" s="22"/>
      <c r="C1511" s="22"/>
      <c r="D1511" s="22"/>
      <c r="E1511" s="23" t="str">
        <f>IF($D1511="","",IFERROR(VLOOKUP($D1511,'SAMA Consumables Tracker'!$A:$H,8,FALSE()),""))</f>
        <v/>
      </c>
      <c r="F1511" s="24"/>
      <c r="G1511" s="25" t="str">
        <f>IF($D1511="","",IFERROR(VLOOKUP($D1511,'SAMA Consumables Tracker'!$A:$D,4,FALSE()),""))</f>
        <v/>
      </c>
      <c r="H1511" s="22"/>
    </row>
    <row r="1512" spans="1:8">
      <c r="A1512" s="21"/>
      <c r="B1512" s="22"/>
      <c r="C1512" s="22"/>
      <c r="D1512" s="22"/>
      <c r="E1512" s="23" t="str">
        <f>IF($D1512="","",IFERROR(VLOOKUP($D1512,'SAMA Consumables Tracker'!$A:$H,8,FALSE()),""))</f>
        <v/>
      </c>
      <c r="F1512" s="24"/>
      <c r="G1512" s="25" t="str">
        <f>IF($D1512="","",IFERROR(VLOOKUP($D1512,'SAMA Consumables Tracker'!$A:$D,4,FALSE()),""))</f>
        <v/>
      </c>
      <c r="H1512" s="22"/>
    </row>
    <row r="1513" spans="1:8">
      <c r="A1513" s="21"/>
      <c r="B1513" s="22"/>
      <c r="C1513" s="22"/>
      <c r="D1513" s="22"/>
      <c r="E1513" s="23" t="str">
        <f>IF($D1513="","",IFERROR(VLOOKUP($D1513,'SAMA Consumables Tracker'!$A:$H,8,FALSE()),""))</f>
        <v/>
      </c>
      <c r="F1513" s="24"/>
      <c r="G1513" s="25" t="str">
        <f>IF($D1513="","",IFERROR(VLOOKUP($D1513,'SAMA Consumables Tracker'!$A:$D,4,FALSE()),""))</f>
        <v/>
      </c>
      <c r="H1513" s="22"/>
    </row>
    <row r="1514" spans="1:8">
      <c r="A1514" s="21"/>
      <c r="B1514" s="22"/>
      <c r="C1514" s="22"/>
      <c r="D1514" s="22"/>
      <c r="E1514" s="23" t="str">
        <f>IF($D1514="","",IFERROR(VLOOKUP($D1514,'SAMA Consumables Tracker'!$A:$H,8,FALSE()),""))</f>
        <v/>
      </c>
      <c r="F1514" s="24"/>
      <c r="G1514" s="25" t="str">
        <f>IF($D1514="","",IFERROR(VLOOKUP($D1514,'SAMA Consumables Tracker'!$A:$D,4,FALSE()),""))</f>
        <v/>
      </c>
      <c r="H1514" s="22"/>
    </row>
    <row r="1515" spans="1:8">
      <c r="A1515" s="21"/>
      <c r="B1515" s="22"/>
      <c r="C1515" s="22"/>
      <c r="D1515" s="22"/>
      <c r="E1515" s="23" t="str">
        <f>IF($D1515="","",IFERROR(VLOOKUP($D1515,'SAMA Consumables Tracker'!$A:$H,8,FALSE()),""))</f>
        <v/>
      </c>
      <c r="F1515" s="24"/>
      <c r="G1515" s="25" t="str">
        <f>IF($D1515="","",IFERROR(VLOOKUP($D1515,'SAMA Consumables Tracker'!$A:$D,4,FALSE()),""))</f>
        <v/>
      </c>
      <c r="H1515" s="22"/>
    </row>
    <row r="1516" spans="1:8">
      <c r="A1516" s="21"/>
      <c r="B1516" s="22"/>
      <c r="C1516" s="22"/>
      <c r="D1516" s="22"/>
      <c r="E1516" s="23" t="str">
        <f>IF($D1516="","",IFERROR(VLOOKUP($D1516,'SAMA Consumables Tracker'!$A:$H,8,FALSE()),""))</f>
        <v/>
      </c>
      <c r="F1516" s="24"/>
      <c r="G1516" s="25" t="str">
        <f>IF($D1516="","",IFERROR(VLOOKUP($D1516,'SAMA Consumables Tracker'!$A:$D,4,FALSE()),""))</f>
        <v/>
      </c>
      <c r="H1516" s="22"/>
    </row>
    <row r="1517" spans="1:8">
      <c r="A1517" s="21"/>
      <c r="B1517" s="22"/>
      <c r="C1517" s="22"/>
      <c r="D1517" s="22"/>
      <c r="E1517" s="23" t="str">
        <f>IF($D1517="","",IFERROR(VLOOKUP($D1517,'SAMA Consumables Tracker'!$A:$H,8,FALSE()),""))</f>
        <v/>
      </c>
      <c r="F1517" s="24"/>
      <c r="G1517" s="25" t="str">
        <f>IF($D1517="","",IFERROR(VLOOKUP($D1517,'SAMA Consumables Tracker'!$A:$D,4,FALSE()),""))</f>
        <v/>
      </c>
      <c r="H1517" s="22"/>
    </row>
    <row r="1518" spans="1:8">
      <c r="A1518" s="21"/>
      <c r="B1518" s="22"/>
      <c r="C1518" s="22"/>
      <c r="D1518" s="22"/>
      <c r="E1518" s="23" t="str">
        <f>IF($D1518="","",IFERROR(VLOOKUP($D1518,'SAMA Consumables Tracker'!$A:$H,8,FALSE()),""))</f>
        <v/>
      </c>
      <c r="F1518" s="24"/>
      <c r="G1518" s="25" t="str">
        <f>IF($D1518="","",IFERROR(VLOOKUP($D1518,'SAMA Consumables Tracker'!$A:$D,4,FALSE()),""))</f>
        <v/>
      </c>
      <c r="H1518" s="22"/>
    </row>
    <row r="1519" spans="1:8">
      <c r="A1519" s="21"/>
      <c r="B1519" s="22"/>
      <c r="C1519" s="22"/>
      <c r="D1519" s="22"/>
      <c r="E1519" s="23" t="str">
        <f>IF($D1519="","",IFERROR(VLOOKUP($D1519,'SAMA Consumables Tracker'!$A:$H,8,FALSE()),""))</f>
        <v/>
      </c>
      <c r="F1519" s="24"/>
      <c r="G1519" s="25" t="str">
        <f>IF($D1519="","",IFERROR(VLOOKUP($D1519,'SAMA Consumables Tracker'!$A:$D,4,FALSE()),""))</f>
        <v/>
      </c>
      <c r="H1519" s="22"/>
    </row>
    <row r="1520" spans="1:8">
      <c r="A1520" s="21"/>
      <c r="B1520" s="22"/>
      <c r="C1520" s="22"/>
      <c r="D1520" s="22"/>
      <c r="E1520" s="23" t="str">
        <f>IF($D1520="","",IFERROR(VLOOKUP($D1520,'SAMA Consumables Tracker'!$A:$H,8,FALSE()),""))</f>
        <v/>
      </c>
      <c r="F1520" s="24"/>
      <c r="G1520" s="25" t="str">
        <f>IF($D1520="","",IFERROR(VLOOKUP($D1520,'SAMA Consumables Tracker'!$A:$D,4,FALSE()),""))</f>
        <v/>
      </c>
      <c r="H1520" s="22"/>
    </row>
    <row r="1521" spans="1:8">
      <c r="A1521" s="21"/>
      <c r="B1521" s="22"/>
      <c r="C1521" s="22"/>
      <c r="D1521" s="22"/>
      <c r="E1521" s="23" t="str">
        <f>IF($D1521="","",IFERROR(VLOOKUP($D1521,'SAMA Consumables Tracker'!$A:$H,8,FALSE()),""))</f>
        <v/>
      </c>
      <c r="F1521" s="24"/>
      <c r="G1521" s="25" t="str">
        <f>IF($D1521="","",IFERROR(VLOOKUP($D1521,'SAMA Consumables Tracker'!$A:$D,4,FALSE()),""))</f>
        <v/>
      </c>
      <c r="H1521" s="22"/>
    </row>
    <row r="1522" spans="1:8">
      <c r="A1522" s="21"/>
      <c r="B1522" s="22"/>
      <c r="C1522" s="22"/>
      <c r="D1522" s="22"/>
      <c r="E1522" s="23" t="str">
        <f>IF($D1522="","",IFERROR(VLOOKUP($D1522,'SAMA Consumables Tracker'!$A:$H,8,FALSE()),""))</f>
        <v/>
      </c>
      <c r="F1522" s="24"/>
      <c r="G1522" s="25" t="str">
        <f>IF($D1522="","",IFERROR(VLOOKUP($D1522,'SAMA Consumables Tracker'!$A:$D,4,FALSE()),""))</f>
        <v/>
      </c>
      <c r="H1522" s="22"/>
    </row>
    <row r="1523" spans="1:8">
      <c r="A1523" s="21"/>
      <c r="B1523" s="22"/>
      <c r="C1523" s="22"/>
      <c r="D1523" s="22"/>
      <c r="E1523" s="23" t="str">
        <f>IF($D1523="","",IFERROR(VLOOKUP($D1523,'SAMA Consumables Tracker'!$A:$H,8,FALSE()),""))</f>
        <v/>
      </c>
      <c r="F1523" s="24"/>
      <c r="G1523" s="25" t="str">
        <f>IF($D1523="","",IFERROR(VLOOKUP($D1523,'SAMA Consumables Tracker'!$A:$D,4,FALSE()),""))</f>
        <v/>
      </c>
      <c r="H1523" s="22"/>
    </row>
    <row r="1524" spans="1:8">
      <c r="A1524" s="21"/>
      <c r="B1524" s="22"/>
      <c r="C1524" s="22"/>
      <c r="D1524" s="22"/>
      <c r="E1524" s="23" t="str">
        <f>IF($D1524="","",IFERROR(VLOOKUP($D1524,'SAMA Consumables Tracker'!$A:$H,8,FALSE()),""))</f>
        <v/>
      </c>
      <c r="F1524" s="24"/>
      <c r="G1524" s="25" t="str">
        <f>IF($D1524="","",IFERROR(VLOOKUP($D1524,'SAMA Consumables Tracker'!$A:$D,4,FALSE()),""))</f>
        <v/>
      </c>
      <c r="H1524" s="22"/>
    </row>
    <row r="1525" spans="1:8">
      <c r="A1525" s="21"/>
      <c r="B1525" s="22"/>
      <c r="C1525" s="22"/>
      <c r="D1525" s="22"/>
      <c r="E1525" s="23" t="str">
        <f>IF($D1525="","",IFERROR(VLOOKUP($D1525,'SAMA Consumables Tracker'!$A:$H,8,FALSE()),""))</f>
        <v/>
      </c>
      <c r="F1525" s="24"/>
      <c r="G1525" s="25" t="str">
        <f>IF($D1525="","",IFERROR(VLOOKUP($D1525,'SAMA Consumables Tracker'!$A:$D,4,FALSE()),""))</f>
        <v/>
      </c>
      <c r="H1525" s="22"/>
    </row>
    <row r="1526" spans="1:8">
      <c r="A1526" s="21"/>
      <c r="B1526" s="22"/>
      <c r="C1526" s="22"/>
      <c r="D1526" s="22"/>
      <c r="E1526" s="23" t="str">
        <f>IF($D1526="","",IFERROR(VLOOKUP($D1526,'SAMA Consumables Tracker'!$A:$H,8,FALSE()),""))</f>
        <v/>
      </c>
      <c r="F1526" s="24"/>
      <c r="G1526" s="25" t="str">
        <f>IF($D1526="","",IFERROR(VLOOKUP($D1526,'SAMA Consumables Tracker'!$A:$D,4,FALSE()),""))</f>
        <v/>
      </c>
      <c r="H1526" s="22"/>
    </row>
    <row r="1527" spans="1:8">
      <c r="A1527" s="21"/>
      <c r="B1527" s="22"/>
      <c r="C1527" s="22"/>
      <c r="D1527" s="22"/>
      <c r="E1527" s="23" t="str">
        <f>IF($D1527="","",IFERROR(VLOOKUP($D1527,'SAMA Consumables Tracker'!$A:$H,8,FALSE()),""))</f>
        <v/>
      </c>
      <c r="F1527" s="24"/>
      <c r="G1527" s="25" t="str">
        <f>IF($D1527="","",IFERROR(VLOOKUP($D1527,'SAMA Consumables Tracker'!$A:$D,4,FALSE()),""))</f>
        <v/>
      </c>
      <c r="H1527" s="22"/>
    </row>
    <row r="1528" spans="1:8">
      <c r="A1528" s="21"/>
      <c r="B1528" s="22"/>
      <c r="C1528" s="22"/>
      <c r="D1528" s="22"/>
      <c r="E1528" s="23" t="str">
        <f>IF($D1528="","",IFERROR(VLOOKUP($D1528,'SAMA Consumables Tracker'!$A:$H,8,FALSE()),""))</f>
        <v/>
      </c>
      <c r="F1528" s="24"/>
      <c r="G1528" s="25" t="str">
        <f>IF($D1528="","",IFERROR(VLOOKUP($D1528,'SAMA Consumables Tracker'!$A:$D,4,FALSE()),""))</f>
        <v/>
      </c>
      <c r="H1528" s="22"/>
    </row>
    <row r="1529" spans="1:8">
      <c r="A1529" s="21"/>
      <c r="B1529" s="22"/>
      <c r="C1529" s="22"/>
      <c r="D1529" s="22"/>
      <c r="E1529" s="23" t="str">
        <f>IF($D1529="","",IFERROR(VLOOKUP($D1529,'SAMA Consumables Tracker'!$A:$H,8,FALSE()),""))</f>
        <v/>
      </c>
      <c r="F1529" s="24"/>
      <c r="G1529" s="25" t="str">
        <f>IF($D1529="","",IFERROR(VLOOKUP($D1529,'SAMA Consumables Tracker'!$A:$D,4,FALSE()),""))</f>
        <v/>
      </c>
      <c r="H1529" s="22"/>
    </row>
    <row r="1530" spans="1:8">
      <c r="A1530" s="21"/>
      <c r="B1530" s="22"/>
      <c r="C1530" s="22"/>
      <c r="D1530" s="22"/>
      <c r="E1530" s="23" t="str">
        <f>IF($D1530="","",IFERROR(VLOOKUP($D1530,'SAMA Consumables Tracker'!$A:$H,8,FALSE()),""))</f>
        <v/>
      </c>
      <c r="F1530" s="24"/>
      <c r="G1530" s="25" t="str">
        <f>IF($D1530="","",IFERROR(VLOOKUP($D1530,'SAMA Consumables Tracker'!$A:$D,4,FALSE()),""))</f>
        <v/>
      </c>
      <c r="H1530" s="22"/>
    </row>
    <row r="1531" spans="1:8">
      <c r="A1531" s="21"/>
      <c r="B1531" s="22"/>
      <c r="C1531" s="22"/>
      <c r="D1531" s="22"/>
      <c r="E1531" s="23" t="str">
        <f>IF($D1531="","",IFERROR(VLOOKUP($D1531,'SAMA Consumables Tracker'!$A:$H,8,FALSE()),""))</f>
        <v/>
      </c>
      <c r="F1531" s="24"/>
      <c r="G1531" s="25" t="str">
        <f>IF($D1531="","",IFERROR(VLOOKUP($D1531,'SAMA Consumables Tracker'!$A:$D,4,FALSE()),""))</f>
        <v/>
      </c>
      <c r="H1531" s="22"/>
    </row>
    <row r="1532" spans="1:8">
      <c r="A1532" s="21"/>
      <c r="B1532" s="22"/>
      <c r="C1532" s="22"/>
      <c r="D1532" s="22"/>
      <c r="E1532" s="23" t="str">
        <f>IF($D1532="","",IFERROR(VLOOKUP($D1532,'SAMA Consumables Tracker'!$A:$H,8,FALSE()),""))</f>
        <v/>
      </c>
      <c r="F1532" s="24"/>
      <c r="G1532" s="25" t="str">
        <f>IF($D1532="","",IFERROR(VLOOKUP($D1532,'SAMA Consumables Tracker'!$A:$D,4,FALSE()),""))</f>
        <v/>
      </c>
      <c r="H1532" s="22"/>
    </row>
    <row r="1533" spans="1:8">
      <c r="A1533" s="21"/>
      <c r="B1533" s="22"/>
      <c r="C1533" s="22"/>
      <c r="D1533" s="22"/>
      <c r="E1533" s="23" t="str">
        <f>IF($D1533="","",IFERROR(VLOOKUP($D1533,'SAMA Consumables Tracker'!$A:$H,8,FALSE()),""))</f>
        <v/>
      </c>
      <c r="F1533" s="24"/>
      <c r="G1533" s="25" t="str">
        <f>IF($D1533="","",IFERROR(VLOOKUP($D1533,'SAMA Consumables Tracker'!$A:$D,4,FALSE()),""))</f>
        <v/>
      </c>
      <c r="H1533" s="22"/>
    </row>
    <row r="1534" spans="1:8">
      <c r="A1534" s="21"/>
      <c r="B1534" s="22"/>
      <c r="C1534" s="22"/>
      <c r="D1534" s="22"/>
      <c r="E1534" s="23" t="str">
        <f>IF($D1534="","",IFERROR(VLOOKUP($D1534,'SAMA Consumables Tracker'!$A:$H,8,FALSE()),""))</f>
        <v/>
      </c>
      <c r="F1534" s="24"/>
      <c r="G1534" s="25" t="str">
        <f>IF($D1534="","",IFERROR(VLOOKUP($D1534,'SAMA Consumables Tracker'!$A:$D,4,FALSE()),""))</f>
        <v/>
      </c>
      <c r="H1534" s="22"/>
    </row>
    <row r="1535" spans="1:8">
      <c r="A1535" s="21"/>
      <c r="B1535" s="22"/>
      <c r="C1535" s="22"/>
      <c r="D1535" s="22"/>
      <c r="E1535" s="23" t="str">
        <f>IF($D1535="","",IFERROR(VLOOKUP($D1535,'SAMA Consumables Tracker'!$A:$H,8,FALSE()),""))</f>
        <v/>
      </c>
      <c r="F1535" s="24"/>
      <c r="G1535" s="25" t="str">
        <f>IF($D1535="","",IFERROR(VLOOKUP($D1535,'SAMA Consumables Tracker'!$A:$D,4,FALSE()),""))</f>
        <v/>
      </c>
      <c r="H1535" s="22"/>
    </row>
    <row r="1536" spans="1:8">
      <c r="A1536" s="21"/>
      <c r="B1536" s="22"/>
      <c r="C1536" s="22"/>
      <c r="D1536" s="22"/>
      <c r="E1536" s="23" t="str">
        <f>IF($D1536="","",IFERROR(VLOOKUP($D1536,'SAMA Consumables Tracker'!$A:$H,8,FALSE()),""))</f>
        <v/>
      </c>
      <c r="F1536" s="24"/>
      <c r="G1536" s="25" t="str">
        <f>IF($D1536="","",IFERROR(VLOOKUP($D1536,'SAMA Consumables Tracker'!$A:$D,4,FALSE()),""))</f>
        <v/>
      </c>
      <c r="H1536" s="22"/>
    </row>
    <row r="1537" spans="1:8">
      <c r="A1537" s="21"/>
      <c r="B1537" s="22"/>
      <c r="C1537" s="22"/>
      <c r="D1537" s="22"/>
      <c r="E1537" s="23" t="str">
        <f>IF($D1537="","",IFERROR(VLOOKUP($D1537,'SAMA Consumables Tracker'!$A:$H,8,FALSE()),""))</f>
        <v/>
      </c>
      <c r="F1537" s="24"/>
      <c r="G1537" s="25" t="str">
        <f>IF($D1537="","",IFERROR(VLOOKUP($D1537,'SAMA Consumables Tracker'!$A:$D,4,FALSE()),""))</f>
        <v/>
      </c>
      <c r="H1537" s="22"/>
    </row>
    <row r="1538" spans="1:8">
      <c r="A1538" s="21"/>
      <c r="B1538" s="22"/>
      <c r="C1538" s="22"/>
      <c r="D1538" s="22"/>
      <c r="E1538" s="23" t="str">
        <f>IF($D1538="","",IFERROR(VLOOKUP($D1538,'SAMA Consumables Tracker'!$A:$H,8,FALSE()),""))</f>
        <v/>
      </c>
      <c r="F1538" s="24"/>
      <c r="G1538" s="25" t="str">
        <f>IF($D1538="","",IFERROR(VLOOKUP($D1538,'SAMA Consumables Tracker'!$A:$D,4,FALSE()),""))</f>
        <v/>
      </c>
      <c r="H1538" s="22"/>
    </row>
    <row r="1539" spans="1:8">
      <c r="A1539" s="21"/>
      <c r="B1539" s="22"/>
      <c r="C1539" s="22"/>
      <c r="D1539" s="22"/>
      <c r="E1539" s="23" t="str">
        <f>IF($D1539="","",IFERROR(VLOOKUP($D1539,'SAMA Consumables Tracker'!$A:$H,8,FALSE()),""))</f>
        <v/>
      </c>
      <c r="F1539" s="24"/>
      <c r="G1539" s="25" t="str">
        <f>IF($D1539="","",IFERROR(VLOOKUP($D1539,'SAMA Consumables Tracker'!$A:$D,4,FALSE()),""))</f>
        <v/>
      </c>
      <c r="H1539" s="22"/>
    </row>
    <row r="1540" spans="1:8">
      <c r="A1540" s="21"/>
      <c r="B1540" s="22"/>
      <c r="C1540" s="22"/>
      <c r="D1540" s="22"/>
      <c r="E1540" s="23" t="str">
        <f>IF($D1540="","",IFERROR(VLOOKUP($D1540,'SAMA Consumables Tracker'!$A:$H,8,FALSE()),""))</f>
        <v/>
      </c>
      <c r="F1540" s="24"/>
      <c r="G1540" s="25" t="str">
        <f>IF($D1540="","",IFERROR(VLOOKUP($D1540,'SAMA Consumables Tracker'!$A:$D,4,FALSE()),""))</f>
        <v/>
      </c>
      <c r="H1540" s="22"/>
    </row>
    <row r="1541" spans="1:8">
      <c r="A1541" s="21"/>
      <c r="B1541" s="22"/>
      <c r="C1541" s="22"/>
      <c r="D1541" s="22"/>
      <c r="E1541" s="23" t="str">
        <f>IF($D1541="","",IFERROR(VLOOKUP($D1541,'SAMA Consumables Tracker'!$A:$H,8,FALSE()),""))</f>
        <v/>
      </c>
      <c r="F1541" s="24"/>
      <c r="G1541" s="25" t="str">
        <f>IF($D1541="","",IFERROR(VLOOKUP($D1541,'SAMA Consumables Tracker'!$A:$D,4,FALSE()),""))</f>
        <v/>
      </c>
      <c r="H1541" s="22"/>
    </row>
    <row r="1542" spans="1:8">
      <c r="A1542" s="21"/>
      <c r="B1542" s="22"/>
      <c r="C1542" s="22"/>
      <c r="D1542" s="22"/>
      <c r="E1542" s="23" t="str">
        <f>IF($D1542="","",IFERROR(VLOOKUP($D1542,'SAMA Consumables Tracker'!$A:$H,8,FALSE()),""))</f>
        <v/>
      </c>
      <c r="F1542" s="24"/>
      <c r="G1542" s="25" t="str">
        <f>IF($D1542="","",IFERROR(VLOOKUP($D1542,'SAMA Consumables Tracker'!$A:$D,4,FALSE()),""))</f>
        <v/>
      </c>
      <c r="H1542" s="22"/>
    </row>
    <row r="1543" spans="1:8">
      <c r="A1543" s="21"/>
      <c r="B1543" s="22"/>
      <c r="C1543" s="22"/>
      <c r="D1543" s="22"/>
      <c r="E1543" s="23" t="str">
        <f>IF($D1543="","",IFERROR(VLOOKUP($D1543,'SAMA Consumables Tracker'!$A:$H,8,FALSE()),""))</f>
        <v/>
      </c>
      <c r="F1543" s="24"/>
      <c r="G1543" s="25" t="str">
        <f>IF($D1543="","",IFERROR(VLOOKUP($D1543,'SAMA Consumables Tracker'!$A:$D,4,FALSE()),""))</f>
        <v/>
      </c>
      <c r="H1543" s="22"/>
    </row>
    <row r="1544" spans="1:8">
      <c r="A1544" s="21"/>
      <c r="B1544" s="22"/>
      <c r="C1544" s="22"/>
      <c r="D1544" s="22"/>
      <c r="E1544" s="23" t="str">
        <f>IF($D1544="","",IFERROR(VLOOKUP($D1544,'SAMA Consumables Tracker'!$A:$H,8,FALSE()),""))</f>
        <v/>
      </c>
      <c r="F1544" s="24"/>
      <c r="G1544" s="25" t="str">
        <f>IF($D1544="","",IFERROR(VLOOKUP($D1544,'SAMA Consumables Tracker'!$A:$D,4,FALSE()),""))</f>
        <v/>
      </c>
      <c r="H1544" s="22"/>
    </row>
    <row r="1545" spans="1:8">
      <c r="A1545" s="21"/>
      <c r="B1545" s="22"/>
      <c r="C1545" s="22"/>
      <c r="D1545" s="22"/>
      <c r="E1545" s="23" t="str">
        <f>IF($D1545="","",IFERROR(VLOOKUP($D1545,'SAMA Consumables Tracker'!$A:$H,8,FALSE()),""))</f>
        <v/>
      </c>
      <c r="F1545" s="24"/>
      <c r="G1545" s="25" t="str">
        <f>IF($D1545="","",IFERROR(VLOOKUP($D1545,'SAMA Consumables Tracker'!$A:$D,4,FALSE()),""))</f>
        <v/>
      </c>
      <c r="H1545" s="22"/>
    </row>
    <row r="1546" spans="1:8">
      <c r="A1546" s="21"/>
      <c r="B1546" s="22"/>
      <c r="C1546" s="22"/>
      <c r="D1546" s="22"/>
      <c r="E1546" s="23" t="str">
        <f>IF($D1546="","",IFERROR(VLOOKUP($D1546,'SAMA Consumables Tracker'!$A:$H,8,FALSE()),""))</f>
        <v/>
      </c>
      <c r="F1546" s="24"/>
      <c r="G1546" s="25" t="str">
        <f>IF($D1546="","",IFERROR(VLOOKUP($D1546,'SAMA Consumables Tracker'!$A:$D,4,FALSE()),""))</f>
        <v/>
      </c>
      <c r="H1546" s="22"/>
    </row>
    <row r="1547" spans="1:8">
      <c r="A1547" s="21"/>
      <c r="B1547" s="22"/>
      <c r="C1547" s="22"/>
      <c r="D1547" s="22"/>
      <c r="E1547" s="23" t="str">
        <f>IF($D1547="","",IFERROR(VLOOKUP($D1547,'SAMA Consumables Tracker'!$A:$H,8,FALSE()),""))</f>
        <v/>
      </c>
      <c r="F1547" s="24"/>
      <c r="G1547" s="25" t="str">
        <f>IF($D1547="","",IFERROR(VLOOKUP($D1547,'SAMA Consumables Tracker'!$A:$D,4,FALSE()),""))</f>
        <v/>
      </c>
      <c r="H1547" s="22"/>
    </row>
    <row r="1548" spans="1:8">
      <c r="A1548" s="21"/>
      <c r="B1548" s="22"/>
      <c r="C1548" s="22"/>
      <c r="D1548" s="22"/>
      <c r="E1548" s="23" t="str">
        <f>IF($D1548="","",IFERROR(VLOOKUP($D1548,'SAMA Consumables Tracker'!$A:$H,8,FALSE()),""))</f>
        <v/>
      </c>
      <c r="F1548" s="24"/>
      <c r="G1548" s="25" t="str">
        <f>IF($D1548="","",IFERROR(VLOOKUP($D1548,'SAMA Consumables Tracker'!$A:$D,4,FALSE()),""))</f>
        <v/>
      </c>
      <c r="H1548" s="22"/>
    </row>
    <row r="1549" spans="1:8">
      <c r="A1549" s="21"/>
      <c r="B1549" s="22"/>
      <c r="C1549" s="22"/>
      <c r="D1549" s="22"/>
      <c r="E1549" s="23" t="str">
        <f>IF($D1549="","",IFERROR(VLOOKUP($D1549,'SAMA Consumables Tracker'!$A:$H,8,FALSE()),""))</f>
        <v/>
      </c>
      <c r="F1549" s="24"/>
      <c r="G1549" s="25" t="str">
        <f>IF($D1549="","",IFERROR(VLOOKUP($D1549,'SAMA Consumables Tracker'!$A:$D,4,FALSE()),""))</f>
        <v/>
      </c>
      <c r="H1549" s="22"/>
    </row>
    <row r="1550" spans="1:8">
      <c r="A1550" s="21"/>
      <c r="B1550" s="22"/>
      <c r="C1550" s="22"/>
      <c r="D1550" s="22"/>
      <c r="E1550" s="23" t="str">
        <f>IF($D1550="","",IFERROR(VLOOKUP($D1550,'SAMA Consumables Tracker'!$A:$H,8,FALSE()),""))</f>
        <v/>
      </c>
      <c r="F1550" s="24"/>
      <c r="G1550" s="25" t="str">
        <f>IF($D1550="","",IFERROR(VLOOKUP($D1550,'SAMA Consumables Tracker'!$A:$D,4,FALSE()),""))</f>
        <v/>
      </c>
      <c r="H1550" s="22"/>
    </row>
    <row r="1551" spans="1:8">
      <c r="A1551" s="21"/>
      <c r="B1551" s="22"/>
      <c r="C1551" s="22"/>
      <c r="D1551" s="22"/>
      <c r="E1551" s="23" t="str">
        <f>IF($D1551="","",IFERROR(VLOOKUP($D1551,'SAMA Consumables Tracker'!$A:$H,8,FALSE()),""))</f>
        <v/>
      </c>
      <c r="F1551" s="24"/>
      <c r="G1551" s="25" t="str">
        <f>IF($D1551="","",IFERROR(VLOOKUP($D1551,'SAMA Consumables Tracker'!$A:$D,4,FALSE()),""))</f>
        <v/>
      </c>
      <c r="H1551" s="22"/>
    </row>
    <row r="1552" spans="1:8">
      <c r="A1552" s="21"/>
      <c r="B1552" s="22"/>
      <c r="C1552" s="22"/>
      <c r="D1552" s="22"/>
      <c r="E1552" s="23" t="str">
        <f>IF($D1552="","",IFERROR(VLOOKUP($D1552,'SAMA Consumables Tracker'!$A:$H,8,FALSE()),""))</f>
        <v/>
      </c>
      <c r="F1552" s="24"/>
      <c r="G1552" s="25" t="str">
        <f>IF($D1552="","",IFERROR(VLOOKUP($D1552,'SAMA Consumables Tracker'!$A:$D,4,FALSE()),""))</f>
        <v/>
      </c>
      <c r="H1552" s="22"/>
    </row>
    <row r="1553" spans="1:8">
      <c r="A1553" s="21"/>
      <c r="B1553" s="22"/>
      <c r="C1553" s="22"/>
      <c r="D1553" s="22"/>
      <c r="E1553" s="23" t="str">
        <f>IF($D1553="","",IFERROR(VLOOKUP($D1553,'SAMA Consumables Tracker'!$A:$H,8,FALSE()),""))</f>
        <v/>
      </c>
      <c r="F1553" s="24"/>
      <c r="G1553" s="25" t="str">
        <f>IF($D1553="","",IFERROR(VLOOKUP($D1553,'SAMA Consumables Tracker'!$A:$D,4,FALSE()),""))</f>
        <v/>
      </c>
      <c r="H1553" s="22"/>
    </row>
    <row r="1554" spans="1:8">
      <c r="A1554" s="21"/>
      <c r="B1554" s="22"/>
      <c r="C1554" s="22"/>
      <c r="D1554" s="22"/>
      <c r="E1554" s="23" t="str">
        <f>IF($D1554="","",IFERROR(VLOOKUP($D1554,'SAMA Consumables Tracker'!$A:$H,8,FALSE()),""))</f>
        <v/>
      </c>
      <c r="F1554" s="24"/>
      <c r="G1554" s="25" t="str">
        <f>IF($D1554="","",IFERROR(VLOOKUP($D1554,'SAMA Consumables Tracker'!$A:$D,4,FALSE()),""))</f>
        <v/>
      </c>
      <c r="H1554" s="22"/>
    </row>
    <row r="1555" spans="1:8">
      <c r="A1555" s="21"/>
      <c r="B1555" s="22"/>
      <c r="C1555" s="22"/>
      <c r="D1555" s="22"/>
      <c r="E1555" s="23" t="str">
        <f>IF($D1555="","",IFERROR(VLOOKUP($D1555,'SAMA Consumables Tracker'!$A:$H,8,FALSE()),""))</f>
        <v/>
      </c>
      <c r="F1555" s="24"/>
      <c r="G1555" s="25" t="str">
        <f>IF($D1555="","",IFERROR(VLOOKUP($D1555,'SAMA Consumables Tracker'!$A:$D,4,FALSE()),""))</f>
        <v/>
      </c>
      <c r="H1555" s="22"/>
    </row>
    <row r="1556" spans="1:8">
      <c r="A1556" s="21"/>
      <c r="B1556" s="22"/>
      <c r="C1556" s="22"/>
      <c r="D1556" s="22"/>
      <c r="E1556" s="23" t="str">
        <f>IF($D1556="","",IFERROR(VLOOKUP($D1556,'SAMA Consumables Tracker'!$A:$H,8,FALSE()),""))</f>
        <v/>
      </c>
      <c r="F1556" s="24"/>
      <c r="G1556" s="25" t="str">
        <f>IF($D1556="","",IFERROR(VLOOKUP($D1556,'SAMA Consumables Tracker'!$A:$D,4,FALSE()),""))</f>
        <v/>
      </c>
      <c r="H1556" s="22"/>
    </row>
    <row r="1557" spans="1:8">
      <c r="A1557" s="21"/>
      <c r="B1557" s="22"/>
      <c r="C1557" s="22"/>
      <c r="D1557" s="22"/>
      <c r="E1557" s="23" t="str">
        <f>IF($D1557="","",IFERROR(VLOOKUP($D1557,'SAMA Consumables Tracker'!$A:$H,8,FALSE()),""))</f>
        <v/>
      </c>
      <c r="F1557" s="24"/>
      <c r="G1557" s="25" t="str">
        <f>IF($D1557="","",IFERROR(VLOOKUP($D1557,'SAMA Consumables Tracker'!$A:$D,4,FALSE()),""))</f>
        <v/>
      </c>
      <c r="H1557" s="22"/>
    </row>
    <row r="1558" spans="1:8">
      <c r="A1558" s="21"/>
      <c r="B1558" s="22"/>
      <c r="C1558" s="22"/>
      <c r="D1558" s="22"/>
      <c r="E1558" s="23" t="str">
        <f>IF($D1558="","",IFERROR(VLOOKUP($D1558,'SAMA Consumables Tracker'!$A:$H,8,FALSE()),""))</f>
        <v/>
      </c>
      <c r="F1558" s="24"/>
      <c r="G1558" s="25" t="str">
        <f>IF($D1558="","",IFERROR(VLOOKUP($D1558,'SAMA Consumables Tracker'!$A:$D,4,FALSE()),""))</f>
        <v/>
      </c>
      <c r="H1558" s="22"/>
    </row>
    <row r="1559" spans="1:8">
      <c r="A1559" s="21"/>
      <c r="B1559" s="22"/>
      <c r="C1559" s="22"/>
      <c r="D1559" s="22"/>
      <c r="E1559" s="23" t="str">
        <f>IF($D1559="","",IFERROR(VLOOKUP($D1559,'SAMA Consumables Tracker'!$A:$H,8,FALSE()),""))</f>
        <v/>
      </c>
      <c r="F1559" s="24"/>
      <c r="G1559" s="25" t="str">
        <f>IF($D1559="","",IFERROR(VLOOKUP($D1559,'SAMA Consumables Tracker'!$A:$D,4,FALSE()),""))</f>
        <v/>
      </c>
      <c r="H1559" s="22"/>
    </row>
    <row r="1560" spans="1:8">
      <c r="A1560" s="21"/>
      <c r="B1560" s="22"/>
      <c r="C1560" s="22"/>
      <c r="D1560" s="22"/>
      <c r="E1560" s="23" t="str">
        <f>IF($D1560="","",IFERROR(VLOOKUP($D1560,'SAMA Consumables Tracker'!$A:$H,8,FALSE()),""))</f>
        <v/>
      </c>
      <c r="F1560" s="24"/>
      <c r="G1560" s="25" t="str">
        <f>IF($D1560="","",IFERROR(VLOOKUP($D1560,'SAMA Consumables Tracker'!$A:$D,4,FALSE()),""))</f>
        <v/>
      </c>
      <c r="H1560" s="22"/>
    </row>
    <row r="1561" spans="1:8">
      <c r="A1561" s="21"/>
      <c r="B1561" s="22"/>
      <c r="C1561" s="22"/>
      <c r="D1561" s="22"/>
      <c r="E1561" s="23" t="str">
        <f>IF($D1561="","",IFERROR(VLOOKUP($D1561,'SAMA Consumables Tracker'!$A:$H,8,FALSE()),""))</f>
        <v/>
      </c>
      <c r="F1561" s="24"/>
      <c r="G1561" s="25" t="str">
        <f>IF($D1561="","",IFERROR(VLOOKUP($D1561,'SAMA Consumables Tracker'!$A:$D,4,FALSE()),""))</f>
        <v/>
      </c>
      <c r="H1561" s="22"/>
    </row>
    <row r="1562" spans="1:8">
      <c r="A1562" s="21"/>
      <c r="B1562" s="22"/>
      <c r="C1562" s="22"/>
      <c r="D1562" s="22"/>
      <c r="E1562" s="23" t="str">
        <f>IF($D1562="","",IFERROR(VLOOKUP($D1562,'SAMA Consumables Tracker'!$A:$H,8,FALSE()),""))</f>
        <v/>
      </c>
      <c r="F1562" s="24"/>
      <c r="G1562" s="25" t="str">
        <f>IF($D1562="","",IFERROR(VLOOKUP($D1562,'SAMA Consumables Tracker'!$A:$D,4,FALSE()),""))</f>
        <v/>
      </c>
      <c r="H1562" s="22"/>
    </row>
    <row r="1563" spans="1:8">
      <c r="A1563" s="21"/>
      <c r="B1563" s="22"/>
      <c r="C1563" s="22"/>
      <c r="D1563" s="22"/>
      <c r="E1563" s="23" t="str">
        <f>IF($D1563="","",IFERROR(VLOOKUP($D1563,'SAMA Consumables Tracker'!$A:$H,8,FALSE()),""))</f>
        <v/>
      </c>
      <c r="F1563" s="24"/>
      <c r="G1563" s="25" t="str">
        <f>IF($D1563="","",IFERROR(VLOOKUP($D1563,'SAMA Consumables Tracker'!$A:$D,4,FALSE()),""))</f>
        <v/>
      </c>
      <c r="H1563" s="22"/>
    </row>
    <row r="1564" spans="1:8">
      <c r="A1564" s="21"/>
      <c r="B1564" s="22"/>
      <c r="C1564" s="22"/>
      <c r="D1564" s="22"/>
      <c r="E1564" s="23" t="str">
        <f>IF($D1564="","",IFERROR(VLOOKUP($D1564,'SAMA Consumables Tracker'!$A:$H,8,FALSE()),""))</f>
        <v/>
      </c>
      <c r="F1564" s="24"/>
      <c r="G1564" s="25" t="str">
        <f>IF($D1564="","",IFERROR(VLOOKUP($D1564,'SAMA Consumables Tracker'!$A:$D,4,FALSE()),""))</f>
        <v/>
      </c>
      <c r="H1564" s="22"/>
    </row>
    <row r="1565" spans="1:8">
      <c r="A1565" s="21"/>
      <c r="B1565" s="22"/>
      <c r="C1565" s="22"/>
      <c r="D1565" s="22"/>
      <c r="E1565" s="23" t="str">
        <f>IF($D1565="","",IFERROR(VLOOKUP($D1565,'SAMA Consumables Tracker'!$A:$H,8,FALSE()),""))</f>
        <v/>
      </c>
      <c r="F1565" s="24"/>
      <c r="G1565" s="25" t="str">
        <f>IF($D1565="","",IFERROR(VLOOKUP($D1565,'SAMA Consumables Tracker'!$A:$D,4,FALSE()),""))</f>
        <v/>
      </c>
      <c r="H1565" s="22"/>
    </row>
    <row r="1566" spans="1:8">
      <c r="A1566" s="21"/>
      <c r="B1566" s="22"/>
      <c r="C1566" s="22"/>
      <c r="D1566" s="22"/>
      <c r="E1566" s="23" t="str">
        <f>IF($D1566="","",IFERROR(VLOOKUP($D1566,'SAMA Consumables Tracker'!$A:$H,8,FALSE()),""))</f>
        <v/>
      </c>
      <c r="F1566" s="24"/>
      <c r="G1566" s="25" t="str">
        <f>IF($D1566="","",IFERROR(VLOOKUP($D1566,'SAMA Consumables Tracker'!$A:$D,4,FALSE()),""))</f>
        <v/>
      </c>
      <c r="H1566" s="22"/>
    </row>
    <row r="1567" spans="1:8">
      <c r="A1567" s="21"/>
      <c r="B1567" s="22"/>
      <c r="C1567" s="22"/>
      <c r="D1567" s="22"/>
      <c r="E1567" s="23" t="str">
        <f>IF($D1567="","",IFERROR(VLOOKUP($D1567,'SAMA Consumables Tracker'!$A:$H,8,FALSE()),""))</f>
        <v/>
      </c>
      <c r="F1567" s="24"/>
      <c r="G1567" s="25" t="str">
        <f>IF($D1567="","",IFERROR(VLOOKUP($D1567,'SAMA Consumables Tracker'!$A:$D,4,FALSE()),""))</f>
        <v/>
      </c>
      <c r="H1567" s="22"/>
    </row>
    <row r="1568" spans="1:8">
      <c r="A1568" s="21"/>
      <c r="B1568" s="22"/>
      <c r="C1568" s="22"/>
      <c r="D1568" s="22"/>
      <c r="E1568" s="23" t="str">
        <f>IF($D1568="","",IFERROR(VLOOKUP($D1568,'SAMA Consumables Tracker'!$A:$H,8,FALSE()),""))</f>
        <v/>
      </c>
      <c r="F1568" s="24"/>
      <c r="G1568" s="25" t="str">
        <f>IF($D1568="","",IFERROR(VLOOKUP($D1568,'SAMA Consumables Tracker'!$A:$D,4,FALSE()),""))</f>
        <v/>
      </c>
      <c r="H1568" s="22"/>
    </row>
    <row r="1569" spans="1:8">
      <c r="A1569" s="21"/>
      <c r="B1569" s="22"/>
      <c r="C1569" s="22"/>
      <c r="D1569" s="22"/>
      <c r="E1569" s="23" t="str">
        <f>IF($D1569="","",IFERROR(VLOOKUP($D1569,'SAMA Consumables Tracker'!$A:$H,8,FALSE()),""))</f>
        <v/>
      </c>
      <c r="F1569" s="24"/>
      <c r="G1569" s="25" t="str">
        <f>IF($D1569="","",IFERROR(VLOOKUP($D1569,'SAMA Consumables Tracker'!$A:$D,4,FALSE()),""))</f>
        <v/>
      </c>
      <c r="H1569" s="22"/>
    </row>
    <row r="1570" spans="1:8">
      <c r="A1570" s="21"/>
      <c r="B1570" s="22"/>
      <c r="C1570" s="22"/>
      <c r="D1570" s="22"/>
      <c r="E1570" s="23" t="str">
        <f>IF($D1570="","",IFERROR(VLOOKUP($D1570,'SAMA Consumables Tracker'!$A:$H,8,FALSE()),""))</f>
        <v/>
      </c>
      <c r="F1570" s="24"/>
      <c r="G1570" s="25" t="str">
        <f>IF($D1570="","",IFERROR(VLOOKUP($D1570,'SAMA Consumables Tracker'!$A:$D,4,FALSE()),""))</f>
        <v/>
      </c>
      <c r="H1570" s="22"/>
    </row>
    <row r="1571" spans="1:8">
      <c r="A1571" s="21"/>
      <c r="B1571" s="22"/>
      <c r="C1571" s="22"/>
      <c r="D1571" s="22"/>
      <c r="E1571" s="23" t="str">
        <f>IF($D1571="","",IFERROR(VLOOKUP($D1571,'SAMA Consumables Tracker'!$A:$H,8,FALSE()),""))</f>
        <v/>
      </c>
      <c r="F1571" s="24"/>
      <c r="G1571" s="25" t="str">
        <f>IF($D1571="","",IFERROR(VLOOKUP($D1571,'SAMA Consumables Tracker'!$A:$D,4,FALSE()),""))</f>
        <v/>
      </c>
      <c r="H1571" s="22"/>
    </row>
    <row r="1572" spans="1:8">
      <c r="A1572" s="21"/>
      <c r="B1572" s="22"/>
      <c r="C1572" s="22"/>
      <c r="D1572" s="22"/>
      <c r="E1572" s="23" t="str">
        <f>IF($D1572="","",IFERROR(VLOOKUP($D1572,'SAMA Consumables Tracker'!$A:$H,8,FALSE()),""))</f>
        <v/>
      </c>
      <c r="F1572" s="24"/>
      <c r="G1572" s="25" t="str">
        <f>IF($D1572="","",IFERROR(VLOOKUP($D1572,'SAMA Consumables Tracker'!$A:$D,4,FALSE()),""))</f>
        <v/>
      </c>
      <c r="H1572" s="22"/>
    </row>
    <row r="1573" spans="1:8">
      <c r="A1573" s="21"/>
      <c r="B1573" s="22"/>
      <c r="C1573" s="22"/>
      <c r="D1573" s="22"/>
      <c r="E1573" s="23" t="str">
        <f>IF($D1573="","",IFERROR(VLOOKUP($D1573,'SAMA Consumables Tracker'!$A:$H,8,FALSE()),""))</f>
        <v/>
      </c>
      <c r="F1573" s="24"/>
      <c r="G1573" s="25" t="str">
        <f>IF($D1573="","",IFERROR(VLOOKUP($D1573,'SAMA Consumables Tracker'!$A:$D,4,FALSE()),""))</f>
        <v/>
      </c>
      <c r="H1573" s="22"/>
    </row>
    <row r="1574" spans="1:8">
      <c r="A1574" s="21"/>
      <c r="B1574" s="22"/>
      <c r="C1574" s="22"/>
      <c r="D1574" s="22"/>
      <c r="E1574" s="23" t="str">
        <f>IF($D1574="","",IFERROR(VLOOKUP($D1574,'SAMA Consumables Tracker'!$A:$H,8,FALSE()),""))</f>
        <v/>
      </c>
      <c r="F1574" s="24"/>
      <c r="G1574" s="25" t="str">
        <f>IF($D1574="","",IFERROR(VLOOKUP($D1574,'SAMA Consumables Tracker'!$A:$D,4,FALSE()),""))</f>
        <v/>
      </c>
      <c r="H1574" s="22"/>
    </row>
    <row r="1575" spans="1:8">
      <c r="A1575" s="21"/>
      <c r="B1575" s="22"/>
      <c r="C1575" s="22"/>
      <c r="D1575" s="22"/>
      <c r="E1575" s="23" t="str">
        <f>IF($D1575="","",IFERROR(VLOOKUP($D1575,'SAMA Consumables Tracker'!$A:$H,8,FALSE()),""))</f>
        <v/>
      </c>
      <c r="F1575" s="24"/>
      <c r="G1575" s="25" t="str">
        <f>IF($D1575="","",IFERROR(VLOOKUP($D1575,'SAMA Consumables Tracker'!$A:$D,4,FALSE()),""))</f>
        <v/>
      </c>
      <c r="H1575" s="22"/>
    </row>
    <row r="1576" spans="1:8">
      <c r="A1576" s="21"/>
      <c r="B1576" s="22"/>
      <c r="C1576" s="22"/>
      <c r="D1576" s="22"/>
      <c r="E1576" s="23" t="str">
        <f>IF($D1576="","",IFERROR(VLOOKUP($D1576,'SAMA Consumables Tracker'!$A:$H,8,FALSE()),""))</f>
        <v/>
      </c>
      <c r="F1576" s="24"/>
      <c r="G1576" s="25" t="str">
        <f>IF($D1576="","",IFERROR(VLOOKUP($D1576,'SAMA Consumables Tracker'!$A:$D,4,FALSE()),""))</f>
        <v/>
      </c>
      <c r="H1576" s="22"/>
    </row>
    <row r="1577" spans="1:8">
      <c r="A1577" s="21"/>
      <c r="B1577" s="22"/>
      <c r="C1577" s="22"/>
      <c r="D1577" s="22"/>
      <c r="E1577" s="23" t="str">
        <f>IF($D1577="","",IFERROR(VLOOKUP($D1577,'SAMA Consumables Tracker'!$A:$H,8,FALSE()),""))</f>
        <v/>
      </c>
      <c r="F1577" s="24"/>
      <c r="G1577" s="25" t="str">
        <f>IF($D1577="","",IFERROR(VLOOKUP($D1577,'SAMA Consumables Tracker'!$A:$D,4,FALSE()),""))</f>
        <v/>
      </c>
      <c r="H1577" s="22"/>
    </row>
    <row r="1578" spans="1:8">
      <c r="A1578" s="21"/>
      <c r="B1578" s="22"/>
      <c r="C1578" s="22"/>
      <c r="D1578" s="22"/>
      <c r="E1578" s="23" t="str">
        <f>IF($D1578="","",IFERROR(VLOOKUP($D1578,'SAMA Consumables Tracker'!$A:$H,8,FALSE()),""))</f>
        <v/>
      </c>
      <c r="F1578" s="24"/>
      <c r="G1578" s="25" t="str">
        <f>IF($D1578="","",IFERROR(VLOOKUP($D1578,'SAMA Consumables Tracker'!$A:$D,4,FALSE()),""))</f>
        <v/>
      </c>
      <c r="H1578" s="22"/>
    </row>
    <row r="1579" spans="1:8">
      <c r="A1579" s="21"/>
      <c r="B1579" s="22"/>
      <c r="C1579" s="22"/>
      <c r="D1579" s="22"/>
      <c r="E1579" s="23" t="str">
        <f>IF($D1579="","",IFERROR(VLOOKUP($D1579,'SAMA Consumables Tracker'!$A:$H,8,FALSE()),""))</f>
        <v/>
      </c>
      <c r="F1579" s="24"/>
      <c r="G1579" s="25" t="str">
        <f>IF($D1579="","",IFERROR(VLOOKUP($D1579,'SAMA Consumables Tracker'!$A:$D,4,FALSE()),""))</f>
        <v/>
      </c>
      <c r="H1579" s="22"/>
    </row>
    <row r="1580" spans="1:8">
      <c r="A1580" s="21"/>
      <c r="B1580" s="22"/>
      <c r="C1580" s="22"/>
      <c r="D1580" s="22"/>
      <c r="E1580" s="23" t="str">
        <f>IF($D1580="","",IFERROR(VLOOKUP($D1580,'SAMA Consumables Tracker'!$A:$H,8,FALSE()),""))</f>
        <v/>
      </c>
      <c r="F1580" s="24"/>
      <c r="G1580" s="25" t="str">
        <f>IF($D1580="","",IFERROR(VLOOKUP($D1580,'SAMA Consumables Tracker'!$A:$D,4,FALSE()),""))</f>
        <v/>
      </c>
      <c r="H1580" s="22"/>
    </row>
    <row r="1581" spans="1:8">
      <c r="A1581" s="21"/>
      <c r="B1581" s="22"/>
      <c r="C1581" s="22"/>
      <c r="D1581" s="22"/>
      <c r="E1581" s="23" t="str">
        <f>IF($D1581="","",IFERROR(VLOOKUP($D1581,'SAMA Consumables Tracker'!$A:$H,8,FALSE()),""))</f>
        <v/>
      </c>
      <c r="F1581" s="24"/>
      <c r="G1581" s="25" t="str">
        <f>IF($D1581="","",IFERROR(VLOOKUP($D1581,'SAMA Consumables Tracker'!$A:$D,4,FALSE()),""))</f>
        <v/>
      </c>
      <c r="H1581" s="22"/>
    </row>
    <row r="1582" spans="1:8">
      <c r="A1582" s="21"/>
      <c r="B1582" s="22"/>
      <c r="C1582" s="22"/>
      <c r="D1582" s="22"/>
      <c r="E1582" s="23" t="str">
        <f>IF($D1582="","",IFERROR(VLOOKUP($D1582,'SAMA Consumables Tracker'!$A:$H,8,FALSE()),""))</f>
        <v/>
      </c>
      <c r="F1582" s="24"/>
      <c r="G1582" s="25" t="str">
        <f>IF($D1582="","",IFERROR(VLOOKUP($D1582,'SAMA Consumables Tracker'!$A:$D,4,FALSE()),""))</f>
        <v/>
      </c>
      <c r="H1582" s="22"/>
    </row>
    <row r="1583" spans="1:8">
      <c r="A1583" s="21"/>
      <c r="B1583" s="22"/>
      <c r="C1583" s="22"/>
      <c r="D1583" s="22"/>
      <c r="E1583" s="23" t="str">
        <f>IF($D1583="","",IFERROR(VLOOKUP($D1583,'SAMA Consumables Tracker'!$A:$H,8,FALSE()),""))</f>
        <v/>
      </c>
      <c r="F1583" s="24"/>
      <c r="G1583" s="25" t="str">
        <f>IF($D1583="","",IFERROR(VLOOKUP($D1583,'SAMA Consumables Tracker'!$A:$D,4,FALSE()),""))</f>
        <v/>
      </c>
      <c r="H1583" s="22"/>
    </row>
    <row r="1584" spans="1:8">
      <c r="A1584" s="21"/>
      <c r="B1584" s="22"/>
      <c r="C1584" s="22"/>
      <c r="D1584" s="22"/>
      <c r="E1584" s="23" t="str">
        <f>IF($D1584="","",IFERROR(VLOOKUP($D1584,'SAMA Consumables Tracker'!$A:$H,8,FALSE()),""))</f>
        <v/>
      </c>
      <c r="F1584" s="24"/>
      <c r="G1584" s="25" t="str">
        <f>IF($D1584="","",IFERROR(VLOOKUP($D1584,'SAMA Consumables Tracker'!$A:$D,4,FALSE()),""))</f>
        <v/>
      </c>
      <c r="H1584" s="22"/>
    </row>
    <row r="1585" spans="1:8">
      <c r="A1585" s="21"/>
      <c r="B1585" s="22"/>
      <c r="C1585" s="22"/>
      <c r="D1585" s="22"/>
      <c r="E1585" s="23" t="str">
        <f>IF($D1585="","",IFERROR(VLOOKUP($D1585,'SAMA Consumables Tracker'!$A:$H,8,FALSE()),""))</f>
        <v/>
      </c>
      <c r="F1585" s="24"/>
      <c r="G1585" s="25" t="str">
        <f>IF($D1585="","",IFERROR(VLOOKUP($D1585,'SAMA Consumables Tracker'!$A:$D,4,FALSE()),""))</f>
        <v/>
      </c>
      <c r="H1585" s="22"/>
    </row>
    <row r="1586" spans="1:8">
      <c r="A1586" s="21"/>
      <c r="B1586" s="22"/>
      <c r="C1586" s="22"/>
      <c r="D1586" s="22"/>
      <c r="E1586" s="23" t="str">
        <f>IF($D1586="","",IFERROR(VLOOKUP($D1586,'SAMA Consumables Tracker'!$A:$H,8,FALSE()),""))</f>
        <v/>
      </c>
      <c r="F1586" s="24"/>
      <c r="G1586" s="25" t="str">
        <f>IF($D1586="","",IFERROR(VLOOKUP($D1586,'SAMA Consumables Tracker'!$A:$D,4,FALSE()),""))</f>
        <v/>
      </c>
      <c r="H1586" s="22"/>
    </row>
    <row r="1587" spans="1:8">
      <c r="A1587" s="21"/>
      <c r="B1587" s="22"/>
      <c r="C1587" s="22"/>
      <c r="D1587" s="22"/>
      <c r="E1587" s="23" t="str">
        <f>IF($D1587="","",IFERROR(VLOOKUP($D1587,'SAMA Consumables Tracker'!$A:$H,8,FALSE()),""))</f>
        <v/>
      </c>
      <c r="F1587" s="24"/>
      <c r="G1587" s="25" t="str">
        <f>IF($D1587="","",IFERROR(VLOOKUP($D1587,'SAMA Consumables Tracker'!$A:$D,4,FALSE()),""))</f>
        <v/>
      </c>
      <c r="H1587" s="22"/>
    </row>
    <row r="1588" spans="1:8">
      <c r="A1588" s="21"/>
      <c r="B1588" s="22"/>
      <c r="C1588" s="22"/>
      <c r="D1588" s="22"/>
      <c r="E1588" s="23" t="str">
        <f>IF($D1588="","",IFERROR(VLOOKUP($D1588,'SAMA Consumables Tracker'!$A:$H,8,FALSE()),""))</f>
        <v/>
      </c>
      <c r="F1588" s="24"/>
      <c r="G1588" s="25" t="str">
        <f>IF($D1588="","",IFERROR(VLOOKUP($D1588,'SAMA Consumables Tracker'!$A:$D,4,FALSE()),""))</f>
        <v/>
      </c>
      <c r="H1588" s="22"/>
    </row>
    <row r="1589" spans="1:8">
      <c r="A1589" s="21"/>
      <c r="B1589" s="22"/>
      <c r="C1589" s="22"/>
      <c r="D1589" s="22"/>
      <c r="E1589" s="23" t="str">
        <f>IF($D1589="","",IFERROR(VLOOKUP($D1589,'SAMA Consumables Tracker'!$A:$H,8,FALSE()),""))</f>
        <v/>
      </c>
      <c r="F1589" s="24"/>
      <c r="G1589" s="25" t="str">
        <f>IF($D1589="","",IFERROR(VLOOKUP($D1589,'SAMA Consumables Tracker'!$A:$D,4,FALSE()),""))</f>
        <v/>
      </c>
      <c r="H1589" s="22"/>
    </row>
    <row r="1590" spans="1:8">
      <c r="A1590" s="21"/>
      <c r="B1590" s="22"/>
      <c r="C1590" s="22"/>
      <c r="D1590" s="22"/>
      <c r="E1590" s="23" t="str">
        <f>IF($D1590="","",IFERROR(VLOOKUP($D1590,'SAMA Consumables Tracker'!$A:$H,8,FALSE()),""))</f>
        <v/>
      </c>
      <c r="F1590" s="24"/>
      <c r="G1590" s="25" t="str">
        <f>IF($D1590="","",IFERROR(VLOOKUP($D1590,'SAMA Consumables Tracker'!$A:$D,4,FALSE()),""))</f>
        <v/>
      </c>
      <c r="H1590" s="22"/>
    </row>
    <row r="1591" spans="1:8">
      <c r="A1591" s="21"/>
      <c r="B1591" s="22"/>
      <c r="C1591" s="22"/>
      <c r="D1591" s="22"/>
      <c r="E1591" s="23" t="str">
        <f>IF($D1591="","",IFERROR(VLOOKUP($D1591,'SAMA Consumables Tracker'!$A:$H,8,FALSE()),""))</f>
        <v/>
      </c>
      <c r="F1591" s="24"/>
      <c r="G1591" s="25" t="str">
        <f>IF($D1591="","",IFERROR(VLOOKUP($D1591,'SAMA Consumables Tracker'!$A:$D,4,FALSE()),""))</f>
        <v/>
      </c>
      <c r="H1591" s="22"/>
    </row>
    <row r="1592" spans="1:8">
      <c r="A1592" s="21"/>
      <c r="B1592" s="22"/>
      <c r="C1592" s="22"/>
      <c r="D1592" s="22"/>
      <c r="E1592" s="23" t="str">
        <f>IF($D1592="","",IFERROR(VLOOKUP($D1592,'SAMA Consumables Tracker'!$A:$H,8,FALSE()),""))</f>
        <v/>
      </c>
      <c r="F1592" s="24"/>
      <c r="G1592" s="25" t="str">
        <f>IF($D1592="","",IFERROR(VLOOKUP($D1592,'SAMA Consumables Tracker'!$A:$D,4,FALSE()),""))</f>
        <v/>
      </c>
      <c r="H1592" s="22"/>
    </row>
    <row r="1593" spans="1:8">
      <c r="A1593" s="21"/>
      <c r="B1593" s="22"/>
      <c r="C1593" s="22"/>
      <c r="D1593" s="22"/>
      <c r="E1593" s="23" t="str">
        <f>IF($D1593="","",IFERROR(VLOOKUP($D1593,'SAMA Consumables Tracker'!$A:$H,8,FALSE()),""))</f>
        <v/>
      </c>
      <c r="F1593" s="24"/>
      <c r="G1593" s="25" t="str">
        <f>IF($D1593="","",IFERROR(VLOOKUP($D1593,'SAMA Consumables Tracker'!$A:$D,4,FALSE()),""))</f>
        <v/>
      </c>
      <c r="H1593" s="22"/>
    </row>
    <row r="1594" spans="1:8">
      <c r="A1594" s="21"/>
      <c r="B1594" s="22"/>
      <c r="C1594" s="22"/>
      <c r="D1594" s="22"/>
      <c r="E1594" s="23" t="str">
        <f>IF($D1594="","",IFERROR(VLOOKUP($D1594,'SAMA Consumables Tracker'!$A:$H,8,FALSE()),""))</f>
        <v/>
      </c>
      <c r="F1594" s="24"/>
      <c r="G1594" s="25" t="str">
        <f>IF($D1594="","",IFERROR(VLOOKUP($D1594,'SAMA Consumables Tracker'!$A:$D,4,FALSE()),""))</f>
        <v/>
      </c>
      <c r="H1594" s="22"/>
    </row>
    <row r="1595" spans="1:8">
      <c r="A1595" s="21"/>
      <c r="B1595" s="22"/>
      <c r="C1595" s="22"/>
      <c r="D1595" s="22"/>
      <c r="E1595" s="23" t="str">
        <f>IF($D1595="","",IFERROR(VLOOKUP($D1595,'SAMA Consumables Tracker'!$A:$H,8,FALSE()),""))</f>
        <v/>
      </c>
      <c r="F1595" s="24"/>
      <c r="G1595" s="25" t="str">
        <f>IF($D1595="","",IFERROR(VLOOKUP($D1595,'SAMA Consumables Tracker'!$A:$D,4,FALSE()),""))</f>
        <v/>
      </c>
      <c r="H1595" s="22"/>
    </row>
    <row r="1596" spans="1:8">
      <c r="A1596" s="21"/>
      <c r="B1596" s="22"/>
      <c r="C1596" s="22"/>
      <c r="D1596" s="22"/>
      <c r="E1596" s="23" t="str">
        <f>IF($D1596="","",IFERROR(VLOOKUP($D1596,'SAMA Consumables Tracker'!$A:$H,8,FALSE()),""))</f>
        <v/>
      </c>
      <c r="F1596" s="24"/>
      <c r="G1596" s="25" t="str">
        <f>IF($D1596="","",IFERROR(VLOOKUP($D1596,'SAMA Consumables Tracker'!$A:$D,4,FALSE()),""))</f>
        <v/>
      </c>
      <c r="H1596" s="22"/>
    </row>
    <row r="1597" spans="1:8">
      <c r="A1597" s="21"/>
      <c r="B1597" s="22"/>
      <c r="C1597" s="22"/>
      <c r="D1597" s="22"/>
      <c r="E1597" s="23" t="str">
        <f>IF($D1597="","",IFERROR(VLOOKUP($D1597,'SAMA Consumables Tracker'!$A:$H,8,FALSE()),""))</f>
        <v/>
      </c>
      <c r="F1597" s="24"/>
      <c r="G1597" s="25" t="str">
        <f>IF($D1597="","",IFERROR(VLOOKUP($D1597,'SAMA Consumables Tracker'!$A:$D,4,FALSE()),""))</f>
        <v/>
      </c>
      <c r="H1597" s="22"/>
    </row>
    <row r="1598" spans="1:8">
      <c r="A1598" s="21"/>
      <c r="B1598" s="22"/>
      <c r="C1598" s="22"/>
      <c r="D1598" s="22"/>
      <c r="E1598" s="23" t="str">
        <f>IF($D1598="","",IFERROR(VLOOKUP($D1598,'SAMA Consumables Tracker'!$A:$H,8,FALSE()),""))</f>
        <v/>
      </c>
      <c r="F1598" s="24"/>
      <c r="G1598" s="25" t="str">
        <f>IF($D1598="","",IFERROR(VLOOKUP($D1598,'SAMA Consumables Tracker'!$A:$D,4,FALSE()),""))</f>
        <v/>
      </c>
      <c r="H1598" s="22"/>
    </row>
    <row r="1599" spans="1:8">
      <c r="A1599" s="21"/>
      <c r="B1599" s="22"/>
      <c r="C1599" s="22"/>
      <c r="D1599" s="22"/>
      <c r="E1599" s="23" t="str">
        <f>IF($D1599="","",IFERROR(VLOOKUP($D1599,'SAMA Consumables Tracker'!$A:$H,8,FALSE()),""))</f>
        <v/>
      </c>
      <c r="F1599" s="24"/>
      <c r="G1599" s="25" t="str">
        <f>IF($D1599="","",IFERROR(VLOOKUP($D1599,'SAMA Consumables Tracker'!$A:$D,4,FALSE()),""))</f>
        <v/>
      </c>
      <c r="H1599" s="22"/>
    </row>
    <row r="1600" spans="1:8">
      <c r="A1600" s="21"/>
      <c r="B1600" s="22"/>
      <c r="C1600" s="22"/>
      <c r="D1600" s="22"/>
      <c r="E1600" s="23" t="str">
        <f>IF($D1600="","",IFERROR(VLOOKUP($D1600,'SAMA Consumables Tracker'!$A:$H,8,FALSE()),""))</f>
        <v/>
      </c>
      <c r="F1600" s="24"/>
      <c r="G1600" s="25" t="str">
        <f>IF($D1600="","",IFERROR(VLOOKUP($D1600,'SAMA Consumables Tracker'!$A:$D,4,FALSE()),""))</f>
        <v/>
      </c>
      <c r="H1600" s="22"/>
    </row>
    <row r="1601" spans="1:8">
      <c r="A1601" s="21"/>
      <c r="B1601" s="22"/>
      <c r="C1601" s="22"/>
      <c r="D1601" s="22"/>
      <c r="E1601" s="23" t="str">
        <f>IF($D1601="","",IFERROR(VLOOKUP($D1601,'SAMA Consumables Tracker'!$A:$H,8,FALSE()),""))</f>
        <v/>
      </c>
      <c r="F1601" s="24"/>
      <c r="G1601" s="25" t="str">
        <f>IF($D1601="","",IFERROR(VLOOKUP($D1601,'SAMA Consumables Tracker'!$A:$D,4,FALSE()),""))</f>
        <v/>
      </c>
      <c r="H1601" s="22"/>
    </row>
    <row r="1602" spans="1:8">
      <c r="A1602" s="21"/>
      <c r="B1602" s="22"/>
      <c r="C1602" s="22"/>
      <c r="D1602" s="22"/>
      <c r="E1602" s="23" t="str">
        <f>IF($D1602="","",IFERROR(VLOOKUP($D1602,'SAMA Consumables Tracker'!$A:$H,8,FALSE()),""))</f>
        <v/>
      </c>
      <c r="F1602" s="24"/>
      <c r="G1602" s="25" t="str">
        <f>IF($D1602="","",IFERROR(VLOOKUP($D1602,'SAMA Consumables Tracker'!$A:$D,4,FALSE()),""))</f>
        <v/>
      </c>
      <c r="H1602" s="22"/>
    </row>
    <row r="1603" spans="1:8">
      <c r="A1603" s="21"/>
      <c r="B1603" s="22"/>
      <c r="C1603" s="22"/>
      <c r="D1603" s="22"/>
      <c r="E1603" s="23" t="str">
        <f>IF($D1603="","",IFERROR(VLOOKUP($D1603,'SAMA Consumables Tracker'!$A:$H,8,FALSE()),""))</f>
        <v/>
      </c>
      <c r="F1603" s="24"/>
      <c r="G1603" s="25" t="str">
        <f>IF($D1603="","",IFERROR(VLOOKUP($D1603,'SAMA Consumables Tracker'!$A:$D,4,FALSE()),""))</f>
        <v/>
      </c>
      <c r="H1603" s="22"/>
    </row>
    <row r="1604" spans="1:8">
      <c r="A1604" s="21"/>
      <c r="B1604" s="22"/>
      <c r="C1604" s="22"/>
      <c r="D1604" s="22"/>
      <c r="E1604" s="23" t="str">
        <f>IF($D1604="","",IFERROR(VLOOKUP($D1604,'SAMA Consumables Tracker'!$A:$H,8,FALSE()),""))</f>
        <v/>
      </c>
      <c r="F1604" s="24"/>
      <c r="G1604" s="25" t="str">
        <f>IF($D1604="","",IFERROR(VLOOKUP($D1604,'SAMA Consumables Tracker'!$A:$D,4,FALSE()),""))</f>
        <v/>
      </c>
      <c r="H1604" s="22"/>
    </row>
    <row r="1605" spans="1:8">
      <c r="A1605" s="21"/>
      <c r="B1605" s="22"/>
      <c r="C1605" s="22"/>
      <c r="D1605" s="22"/>
      <c r="E1605" s="23" t="str">
        <f>IF($D1605="","",IFERROR(VLOOKUP($D1605,'SAMA Consumables Tracker'!$A:$H,8,FALSE()),""))</f>
        <v/>
      </c>
      <c r="F1605" s="24"/>
      <c r="G1605" s="25" t="str">
        <f>IF($D1605="","",IFERROR(VLOOKUP($D1605,'SAMA Consumables Tracker'!$A:$D,4,FALSE()),""))</f>
        <v/>
      </c>
      <c r="H1605" s="22"/>
    </row>
    <row r="1606" spans="1:8">
      <c r="A1606" s="21"/>
      <c r="B1606" s="22"/>
      <c r="C1606" s="22"/>
      <c r="D1606" s="22"/>
      <c r="E1606" s="23" t="str">
        <f>IF($D1606="","",IFERROR(VLOOKUP($D1606,'SAMA Consumables Tracker'!$A:$H,8,FALSE()),""))</f>
        <v/>
      </c>
      <c r="F1606" s="24"/>
      <c r="G1606" s="25" t="str">
        <f>IF($D1606="","",IFERROR(VLOOKUP($D1606,'SAMA Consumables Tracker'!$A:$D,4,FALSE()),""))</f>
        <v/>
      </c>
      <c r="H1606" s="22"/>
    </row>
    <row r="1607" spans="1:8">
      <c r="A1607" s="21"/>
      <c r="B1607" s="22"/>
      <c r="C1607" s="22"/>
      <c r="D1607" s="22"/>
      <c r="E1607" s="23" t="str">
        <f>IF($D1607="","",IFERROR(VLOOKUP($D1607,'SAMA Consumables Tracker'!$A:$H,8,FALSE()),""))</f>
        <v/>
      </c>
      <c r="F1607" s="24"/>
      <c r="G1607" s="25" t="str">
        <f>IF($D1607="","",IFERROR(VLOOKUP($D1607,'SAMA Consumables Tracker'!$A:$D,4,FALSE()),""))</f>
        <v/>
      </c>
      <c r="H1607" s="22"/>
    </row>
    <row r="1608" spans="1:8">
      <c r="A1608" s="21"/>
      <c r="B1608" s="22"/>
      <c r="C1608" s="22"/>
      <c r="D1608" s="22"/>
      <c r="E1608" s="23" t="str">
        <f>IF($D1608="","",IFERROR(VLOOKUP($D1608,'SAMA Consumables Tracker'!$A:$H,8,FALSE()),""))</f>
        <v/>
      </c>
      <c r="F1608" s="24"/>
      <c r="G1608" s="25" t="str">
        <f>IF($D1608="","",IFERROR(VLOOKUP($D1608,'SAMA Consumables Tracker'!$A:$D,4,FALSE()),""))</f>
        <v/>
      </c>
      <c r="H1608" s="22"/>
    </row>
    <row r="1609" spans="1:8">
      <c r="A1609" s="21"/>
      <c r="B1609" s="22"/>
      <c r="C1609" s="22"/>
      <c r="D1609" s="22"/>
      <c r="E1609" s="23" t="str">
        <f>IF($D1609="","",IFERROR(VLOOKUP($D1609,'SAMA Consumables Tracker'!$A:$H,8,FALSE()),""))</f>
        <v/>
      </c>
      <c r="F1609" s="24"/>
      <c r="G1609" s="25" t="str">
        <f>IF($D1609="","",IFERROR(VLOOKUP($D1609,'SAMA Consumables Tracker'!$A:$D,4,FALSE()),""))</f>
        <v/>
      </c>
      <c r="H1609" s="22"/>
    </row>
    <row r="1610" spans="1:8">
      <c r="A1610" s="21"/>
      <c r="B1610" s="22"/>
      <c r="C1610" s="22"/>
      <c r="D1610" s="22"/>
      <c r="E1610" s="23" t="str">
        <f>IF($D1610="","",IFERROR(VLOOKUP($D1610,'SAMA Consumables Tracker'!$A:$H,8,FALSE()),""))</f>
        <v/>
      </c>
      <c r="F1610" s="24"/>
      <c r="G1610" s="25" t="str">
        <f>IF($D1610="","",IFERROR(VLOOKUP($D1610,'SAMA Consumables Tracker'!$A:$D,4,FALSE()),""))</f>
        <v/>
      </c>
      <c r="H1610" s="22"/>
    </row>
    <row r="1611" spans="1:8">
      <c r="A1611" s="21"/>
      <c r="B1611" s="22"/>
      <c r="C1611" s="22"/>
      <c r="D1611" s="22"/>
      <c r="E1611" s="23" t="str">
        <f>IF($D1611="","",IFERROR(VLOOKUP($D1611,'SAMA Consumables Tracker'!$A:$H,8,FALSE()),""))</f>
        <v/>
      </c>
      <c r="F1611" s="24"/>
      <c r="G1611" s="25" t="str">
        <f>IF($D1611="","",IFERROR(VLOOKUP($D1611,'SAMA Consumables Tracker'!$A:$D,4,FALSE()),""))</f>
        <v/>
      </c>
      <c r="H1611" s="22"/>
    </row>
    <row r="1612" spans="1:8">
      <c r="A1612" s="21"/>
      <c r="B1612" s="22"/>
      <c r="C1612" s="22"/>
      <c r="D1612" s="22"/>
      <c r="E1612" s="23" t="str">
        <f>IF($D1612="","",IFERROR(VLOOKUP($D1612,'SAMA Consumables Tracker'!$A:$H,8,FALSE()),""))</f>
        <v/>
      </c>
      <c r="F1612" s="24"/>
      <c r="G1612" s="25" t="str">
        <f>IF($D1612="","",IFERROR(VLOOKUP($D1612,'SAMA Consumables Tracker'!$A:$D,4,FALSE()),""))</f>
        <v/>
      </c>
      <c r="H1612" s="22"/>
    </row>
    <row r="1613" spans="1:8">
      <c r="A1613" s="21"/>
      <c r="B1613" s="22"/>
      <c r="C1613" s="22"/>
      <c r="D1613" s="22"/>
      <c r="E1613" s="23" t="str">
        <f>IF($D1613="","",IFERROR(VLOOKUP($D1613,'SAMA Consumables Tracker'!$A:$H,8,FALSE()),""))</f>
        <v/>
      </c>
      <c r="F1613" s="24"/>
      <c r="G1613" s="25" t="str">
        <f>IF($D1613="","",IFERROR(VLOOKUP($D1613,'SAMA Consumables Tracker'!$A:$D,4,FALSE()),""))</f>
        <v/>
      </c>
      <c r="H1613" s="22"/>
    </row>
    <row r="1614" spans="1:8">
      <c r="A1614" s="21"/>
      <c r="B1614" s="22"/>
      <c r="C1614" s="22"/>
      <c r="D1614" s="22"/>
      <c r="E1614" s="23" t="str">
        <f>IF($D1614="","",IFERROR(VLOOKUP($D1614,'SAMA Consumables Tracker'!$A:$H,8,FALSE()),""))</f>
        <v/>
      </c>
      <c r="F1614" s="24"/>
      <c r="G1614" s="25" t="str">
        <f>IF($D1614="","",IFERROR(VLOOKUP($D1614,'SAMA Consumables Tracker'!$A:$D,4,FALSE()),""))</f>
        <v/>
      </c>
      <c r="H1614" s="22"/>
    </row>
    <row r="1615" spans="1:8">
      <c r="A1615" s="21"/>
      <c r="B1615" s="22"/>
      <c r="C1615" s="22"/>
      <c r="D1615" s="22"/>
      <c r="E1615" s="23" t="str">
        <f>IF($D1615="","",IFERROR(VLOOKUP($D1615,'SAMA Consumables Tracker'!$A:$H,8,FALSE()),""))</f>
        <v/>
      </c>
      <c r="F1615" s="24"/>
      <c r="G1615" s="25" t="str">
        <f>IF($D1615="","",IFERROR(VLOOKUP($D1615,'SAMA Consumables Tracker'!$A:$D,4,FALSE()),""))</f>
        <v/>
      </c>
      <c r="H1615" s="22"/>
    </row>
    <row r="1616" spans="1:8">
      <c r="A1616" s="21"/>
      <c r="B1616" s="22"/>
      <c r="C1616" s="22"/>
      <c r="D1616" s="22"/>
      <c r="E1616" s="23" t="str">
        <f>IF($D1616="","",IFERROR(VLOOKUP($D1616,'SAMA Consumables Tracker'!$A:$H,8,FALSE()),""))</f>
        <v/>
      </c>
      <c r="F1616" s="24"/>
      <c r="G1616" s="25" t="str">
        <f>IF($D1616="","",IFERROR(VLOOKUP($D1616,'SAMA Consumables Tracker'!$A:$D,4,FALSE()),""))</f>
        <v/>
      </c>
      <c r="H1616" s="22"/>
    </row>
    <row r="1617" spans="1:8">
      <c r="A1617" s="21"/>
      <c r="B1617" s="22"/>
      <c r="C1617" s="22"/>
      <c r="D1617" s="22"/>
      <c r="E1617" s="23" t="str">
        <f>IF($D1617="","",IFERROR(VLOOKUP($D1617,'SAMA Consumables Tracker'!$A:$H,8,FALSE()),""))</f>
        <v/>
      </c>
      <c r="F1617" s="24"/>
      <c r="G1617" s="25" t="str">
        <f>IF($D1617="","",IFERROR(VLOOKUP($D1617,'SAMA Consumables Tracker'!$A:$D,4,FALSE()),""))</f>
        <v/>
      </c>
      <c r="H1617" s="22"/>
    </row>
    <row r="1618" spans="1:8">
      <c r="A1618" s="21"/>
      <c r="B1618" s="22"/>
      <c r="C1618" s="22"/>
      <c r="D1618" s="22"/>
      <c r="E1618" s="23" t="str">
        <f>IF($D1618="","",IFERROR(VLOOKUP($D1618,'SAMA Consumables Tracker'!$A:$H,8,FALSE()),""))</f>
        <v/>
      </c>
      <c r="F1618" s="24"/>
      <c r="G1618" s="25" t="str">
        <f>IF($D1618="","",IFERROR(VLOOKUP($D1618,'SAMA Consumables Tracker'!$A:$D,4,FALSE()),""))</f>
        <v/>
      </c>
      <c r="H1618" s="22"/>
    </row>
    <row r="1619" spans="1:8">
      <c r="A1619" s="21"/>
      <c r="B1619" s="22"/>
      <c r="C1619" s="22"/>
      <c r="D1619" s="22"/>
      <c r="E1619" s="23" t="str">
        <f>IF($D1619="","",IFERROR(VLOOKUP($D1619,'SAMA Consumables Tracker'!$A:$H,8,FALSE()),""))</f>
        <v/>
      </c>
      <c r="F1619" s="24"/>
      <c r="G1619" s="25" t="str">
        <f>IF($D1619="","",IFERROR(VLOOKUP($D1619,'SAMA Consumables Tracker'!$A:$D,4,FALSE()),""))</f>
        <v/>
      </c>
      <c r="H1619" s="22"/>
    </row>
    <row r="1620" spans="1:8">
      <c r="A1620" s="21"/>
      <c r="B1620" s="22"/>
      <c r="C1620" s="22"/>
      <c r="D1620" s="22"/>
      <c r="E1620" s="23" t="str">
        <f>IF($D1620="","",IFERROR(VLOOKUP($D1620,'SAMA Consumables Tracker'!$A:$H,8,FALSE()),""))</f>
        <v/>
      </c>
      <c r="F1620" s="24"/>
      <c r="G1620" s="25" t="str">
        <f>IF($D1620="","",IFERROR(VLOOKUP($D1620,'SAMA Consumables Tracker'!$A:$D,4,FALSE()),""))</f>
        <v/>
      </c>
      <c r="H1620" s="22"/>
    </row>
    <row r="1621" spans="1:8">
      <c r="A1621" s="21"/>
      <c r="B1621" s="22"/>
      <c r="C1621" s="22"/>
      <c r="D1621" s="22"/>
      <c r="E1621" s="23" t="str">
        <f>IF($D1621="","",IFERROR(VLOOKUP($D1621,'SAMA Consumables Tracker'!$A:$H,8,FALSE()),""))</f>
        <v/>
      </c>
      <c r="F1621" s="24"/>
      <c r="G1621" s="25" t="str">
        <f>IF($D1621="","",IFERROR(VLOOKUP($D1621,'SAMA Consumables Tracker'!$A:$D,4,FALSE()),""))</f>
        <v/>
      </c>
      <c r="H1621" s="22"/>
    </row>
    <row r="1622" spans="1:8">
      <c r="A1622" s="21"/>
      <c r="B1622" s="22"/>
      <c r="C1622" s="22"/>
      <c r="D1622" s="22"/>
      <c r="E1622" s="23" t="str">
        <f>IF($D1622="","",IFERROR(VLOOKUP($D1622,'SAMA Consumables Tracker'!$A:$H,8,FALSE()),""))</f>
        <v/>
      </c>
      <c r="F1622" s="24"/>
      <c r="G1622" s="25" t="str">
        <f>IF($D1622="","",IFERROR(VLOOKUP($D1622,'SAMA Consumables Tracker'!$A:$D,4,FALSE()),""))</f>
        <v/>
      </c>
      <c r="H1622" s="22"/>
    </row>
    <row r="1623" spans="1:8">
      <c r="A1623" s="21"/>
      <c r="B1623" s="22"/>
      <c r="C1623" s="22"/>
      <c r="D1623" s="22"/>
      <c r="E1623" s="23" t="str">
        <f>IF($D1623="","",IFERROR(VLOOKUP($D1623,'SAMA Consumables Tracker'!$A:$H,8,FALSE()),""))</f>
        <v/>
      </c>
      <c r="F1623" s="24"/>
      <c r="G1623" s="25" t="str">
        <f>IF($D1623="","",IFERROR(VLOOKUP($D1623,'SAMA Consumables Tracker'!$A:$D,4,FALSE()),""))</f>
        <v/>
      </c>
      <c r="H1623" s="22"/>
    </row>
    <row r="1624" spans="1:8">
      <c r="A1624" s="21"/>
      <c r="B1624" s="22"/>
      <c r="C1624" s="22"/>
      <c r="D1624" s="22"/>
      <c r="E1624" s="23" t="str">
        <f>IF($D1624="","",IFERROR(VLOOKUP($D1624,'SAMA Consumables Tracker'!$A:$H,8,FALSE()),""))</f>
        <v/>
      </c>
      <c r="F1624" s="24"/>
      <c r="G1624" s="25" t="str">
        <f>IF($D1624="","",IFERROR(VLOOKUP($D1624,'SAMA Consumables Tracker'!$A:$D,4,FALSE()),""))</f>
        <v/>
      </c>
      <c r="H1624" s="22"/>
    </row>
    <row r="1625" spans="1:8">
      <c r="A1625" s="21"/>
      <c r="B1625" s="22"/>
      <c r="C1625" s="22"/>
      <c r="D1625" s="22"/>
      <c r="E1625" s="23" t="str">
        <f>IF($D1625="","",IFERROR(VLOOKUP($D1625,'SAMA Consumables Tracker'!$A:$H,8,FALSE()),""))</f>
        <v/>
      </c>
      <c r="F1625" s="24"/>
      <c r="G1625" s="25" t="str">
        <f>IF($D1625="","",IFERROR(VLOOKUP($D1625,'SAMA Consumables Tracker'!$A:$D,4,FALSE()),""))</f>
        <v/>
      </c>
      <c r="H1625" s="22"/>
    </row>
    <row r="1626" spans="1:8">
      <c r="A1626" s="21"/>
      <c r="B1626" s="22"/>
      <c r="C1626" s="22"/>
      <c r="D1626" s="22"/>
      <c r="E1626" s="23" t="str">
        <f>IF($D1626="","",IFERROR(VLOOKUP($D1626,'SAMA Consumables Tracker'!$A:$H,8,FALSE()),""))</f>
        <v/>
      </c>
      <c r="F1626" s="24"/>
      <c r="G1626" s="25" t="str">
        <f>IF($D1626="","",IFERROR(VLOOKUP($D1626,'SAMA Consumables Tracker'!$A:$D,4,FALSE()),""))</f>
        <v/>
      </c>
      <c r="H1626" s="22"/>
    </row>
    <row r="1627" spans="1:8">
      <c r="A1627" s="21"/>
      <c r="B1627" s="22"/>
      <c r="C1627" s="22"/>
      <c r="D1627" s="22"/>
      <c r="E1627" s="23" t="str">
        <f>IF($D1627="","",IFERROR(VLOOKUP($D1627,'SAMA Consumables Tracker'!$A:$H,8,FALSE()),""))</f>
        <v/>
      </c>
      <c r="F1627" s="24"/>
      <c r="G1627" s="25" t="str">
        <f>IF($D1627="","",IFERROR(VLOOKUP($D1627,'SAMA Consumables Tracker'!$A:$D,4,FALSE()),""))</f>
        <v/>
      </c>
      <c r="H1627" s="22"/>
    </row>
    <row r="1628" spans="1:8">
      <c r="A1628" s="21"/>
      <c r="B1628" s="22"/>
      <c r="C1628" s="22"/>
      <c r="D1628" s="22"/>
      <c r="E1628" s="23" t="str">
        <f>IF($D1628="","",IFERROR(VLOOKUP($D1628,'SAMA Consumables Tracker'!$A:$H,8,FALSE()),""))</f>
        <v/>
      </c>
      <c r="F1628" s="24"/>
      <c r="G1628" s="25" t="str">
        <f>IF($D1628="","",IFERROR(VLOOKUP($D1628,'SAMA Consumables Tracker'!$A:$D,4,FALSE()),""))</f>
        <v/>
      </c>
      <c r="H1628" s="22"/>
    </row>
    <row r="1629" spans="1:8">
      <c r="A1629" s="21"/>
      <c r="B1629" s="22"/>
      <c r="C1629" s="22"/>
      <c r="D1629" s="22"/>
      <c r="E1629" s="23" t="str">
        <f>IF($D1629="","",IFERROR(VLOOKUP($D1629,'SAMA Consumables Tracker'!$A:$H,8,FALSE()),""))</f>
        <v/>
      </c>
      <c r="F1629" s="24"/>
      <c r="G1629" s="25" t="str">
        <f>IF($D1629="","",IFERROR(VLOOKUP($D1629,'SAMA Consumables Tracker'!$A:$D,4,FALSE()),""))</f>
        <v/>
      </c>
      <c r="H1629" s="22"/>
    </row>
    <row r="1630" spans="1:8">
      <c r="A1630" s="21"/>
      <c r="B1630" s="22"/>
      <c r="C1630" s="22"/>
      <c r="D1630" s="22"/>
      <c r="E1630" s="23" t="str">
        <f>IF($D1630="","",IFERROR(VLOOKUP($D1630,'SAMA Consumables Tracker'!$A:$H,8,FALSE()),""))</f>
        <v/>
      </c>
      <c r="F1630" s="24"/>
      <c r="G1630" s="25" t="str">
        <f>IF($D1630="","",IFERROR(VLOOKUP($D1630,'SAMA Consumables Tracker'!$A:$D,4,FALSE()),""))</f>
        <v/>
      </c>
      <c r="H1630" s="22"/>
    </row>
    <row r="1631" spans="1:8">
      <c r="A1631" s="21"/>
      <c r="B1631" s="22"/>
      <c r="C1631" s="22"/>
      <c r="D1631" s="22"/>
      <c r="E1631" s="23" t="str">
        <f>IF($D1631="","",IFERROR(VLOOKUP($D1631,'SAMA Consumables Tracker'!$A:$H,8,FALSE()),""))</f>
        <v/>
      </c>
      <c r="F1631" s="24"/>
      <c r="G1631" s="25" t="str">
        <f>IF($D1631="","",IFERROR(VLOOKUP($D1631,'SAMA Consumables Tracker'!$A:$D,4,FALSE()),""))</f>
        <v/>
      </c>
      <c r="H1631" s="22"/>
    </row>
    <row r="1632" spans="1:8">
      <c r="A1632" s="21"/>
      <c r="B1632" s="22"/>
      <c r="C1632" s="22"/>
      <c r="D1632" s="22"/>
      <c r="E1632" s="23" t="str">
        <f>IF($D1632="","",IFERROR(VLOOKUP($D1632,'SAMA Consumables Tracker'!$A:$H,8,FALSE()),""))</f>
        <v/>
      </c>
      <c r="F1632" s="24"/>
      <c r="G1632" s="25" t="str">
        <f>IF($D1632="","",IFERROR(VLOOKUP($D1632,'SAMA Consumables Tracker'!$A:$D,4,FALSE()),""))</f>
        <v/>
      </c>
      <c r="H1632" s="22"/>
    </row>
    <row r="1633" spans="1:8">
      <c r="A1633" s="21"/>
      <c r="B1633" s="22"/>
      <c r="C1633" s="22"/>
      <c r="D1633" s="22"/>
      <c r="E1633" s="23" t="str">
        <f>IF($D1633="","",IFERROR(VLOOKUP($D1633,'SAMA Consumables Tracker'!$A:$H,8,FALSE()),""))</f>
        <v/>
      </c>
      <c r="F1633" s="24"/>
      <c r="G1633" s="25" t="str">
        <f>IF($D1633="","",IFERROR(VLOOKUP($D1633,'SAMA Consumables Tracker'!$A:$D,4,FALSE()),""))</f>
        <v/>
      </c>
      <c r="H1633" s="22"/>
    </row>
    <row r="1634" spans="1:8">
      <c r="A1634" s="21"/>
      <c r="B1634" s="22"/>
      <c r="C1634" s="22"/>
      <c r="D1634" s="22"/>
      <c r="E1634" s="23" t="str">
        <f>IF($D1634="","",IFERROR(VLOOKUP($D1634,'SAMA Consumables Tracker'!$A:$H,8,FALSE()),""))</f>
        <v/>
      </c>
      <c r="F1634" s="24"/>
      <c r="G1634" s="25" t="str">
        <f>IF($D1634="","",IFERROR(VLOOKUP($D1634,'SAMA Consumables Tracker'!$A:$D,4,FALSE()),""))</f>
        <v/>
      </c>
      <c r="H1634" s="22"/>
    </row>
    <row r="1635" spans="1:8">
      <c r="A1635" s="21"/>
      <c r="B1635" s="22"/>
      <c r="C1635" s="22"/>
      <c r="D1635" s="22"/>
      <c r="E1635" s="23" t="str">
        <f>IF($D1635="","",IFERROR(VLOOKUP($D1635,'SAMA Consumables Tracker'!$A:$H,8,FALSE()),""))</f>
        <v/>
      </c>
      <c r="F1635" s="24"/>
      <c r="G1635" s="25" t="str">
        <f>IF($D1635="","",IFERROR(VLOOKUP($D1635,'SAMA Consumables Tracker'!$A:$D,4,FALSE()),""))</f>
        <v/>
      </c>
      <c r="H1635" s="22"/>
    </row>
    <row r="1636" spans="1:8">
      <c r="A1636" s="21"/>
      <c r="B1636" s="22"/>
      <c r="C1636" s="22"/>
      <c r="D1636" s="22"/>
      <c r="E1636" s="23" t="str">
        <f>IF($D1636="","",IFERROR(VLOOKUP($D1636,'SAMA Consumables Tracker'!$A:$H,8,FALSE()),""))</f>
        <v/>
      </c>
      <c r="F1636" s="24"/>
      <c r="G1636" s="25" t="str">
        <f>IF($D1636="","",IFERROR(VLOOKUP($D1636,'SAMA Consumables Tracker'!$A:$D,4,FALSE()),""))</f>
        <v/>
      </c>
      <c r="H1636" s="22"/>
    </row>
    <row r="1637" spans="1:8">
      <c r="A1637" s="21"/>
      <c r="B1637" s="22"/>
      <c r="C1637" s="22"/>
      <c r="D1637" s="22"/>
      <c r="E1637" s="23" t="str">
        <f>IF($D1637="","",IFERROR(VLOOKUP($D1637,'SAMA Consumables Tracker'!$A:$H,8,FALSE()),""))</f>
        <v/>
      </c>
      <c r="F1637" s="24"/>
      <c r="G1637" s="25" t="str">
        <f>IF($D1637="","",IFERROR(VLOOKUP($D1637,'SAMA Consumables Tracker'!$A:$D,4,FALSE()),""))</f>
        <v/>
      </c>
      <c r="H1637" s="22"/>
    </row>
    <row r="1638" spans="1:8">
      <c r="A1638" s="21"/>
      <c r="B1638" s="22"/>
      <c r="C1638" s="22"/>
      <c r="D1638" s="22"/>
      <c r="E1638" s="23" t="str">
        <f>IF($D1638="","",IFERROR(VLOOKUP($D1638,'SAMA Consumables Tracker'!$A:$H,8,FALSE()),""))</f>
        <v/>
      </c>
      <c r="F1638" s="24"/>
      <c r="G1638" s="25" t="str">
        <f>IF($D1638="","",IFERROR(VLOOKUP($D1638,'SAMA Consumables Tracker'!$A:$D,4,FALSE()),""))</f>
        <v/>
      </c>
      <c r="H1638" s="22"/>
    </row>
    <row r="1639" spans="1:8">
      <c r="A1639" s="21"/>
      <c r="B1639" s="22"/>
      <c r="C1639" s="22"/>
      <c r="D1639" s="22"/>
      <c r="E1639" s="23" t="str">
        <f>IF($D1639="","",IFERROR(VLOOKUP($D1639,'SAMA Consumables Tracker'!$A:$H,8,FALSE()),""))</f>
        <v/>
      </c>
      <c r="F1639" s="24"/>
      <c r="G1639" s="25" t="str">
        <f>IF($D1639="","",IFERROR(VLOOKUP($D1639,'SAMA Consumables Tracker'!$A:$D,4,FALSE()),""))</f>
        <v/>
      </c>
      <c r="H1639" s="22"/>
    </row>
    <row r="1640" spans="1:8">
      <c r="A1640" s="21"/>
      <c r="B1640" s="22"/>
      <c r="C1640" s="22"/>
      <c r="D1640" s="22"/>
      <c r="E1640" s="23" t="str">
        <f>IF($D1640="","",IFERROR(VLOOKUP($D1640,'SAMA Consumables Tracker'!$A:$H,8,FALSE()),""))</f>
        <v/>
      </c>
      <c r="F1640" s="24"/>
      <c r="G1640" s="25" t="str">
        <f>IF($D1640="","",IFERROR(VLOOKUP($D1640,'SAMA Consumables Tracker'!$A:$D,4,FALSE()),""))</f>
        <v/>
      </c>
      <c r="H1640" s="22"/>
    </row>
    <row r="1641" spans="1:8">
      <c r="A1641" s="21"/>
      <c r="B1641" s="22"/>
      <c r="C1641" s="22"/>
      <c r="D1641" s="22"/>
      <c r="E1641" s="23" t="str">
        <f>IF($D1641="","",IFERROR(VLOOKUP($D1641,'SAMA Consumables Tracker'!$A:$H,8,FALSE()),""))</f>
        <v/>
      </c>
      <c r="F1641" s="24"/>
      <c r="G1641" s="25" t="str">
        <f>IF($D1641="","",IFERROR(VLOOKUP($D1641,'SAMA Consumables Tracker'!$A:$D,4,FALSE()),""))</f>
        <v/>
      </c>
      <c r="H1641" s="22"/>
    </row>
    <row r="1642" spans="1:8">
      <c r="A1642" s="21"/>
      <c r="B1642" s="22"/>
      <c r="C1642" s="22"/>
      <c r="D1642" s="22"/>
      <c r="E1642" s="23" t="str">
        <f>IF($D1642="","",IFERROR(VLOOKUP($D1642,'SAMA Consumables Tracker'!$A:$H,8,FALSE()),""))</f>
        <v/>
      </c>
      <c r="F1642" s="24"/>
      <c r="G1642" s="25" t="str">
        <f>IF($D1642="","",IFERROR(VLOOKUP($D1642,'SAMA Consumables Tracker'!$A:$D,4,FALSE()),""))</f>
        <v/>
      </c>
      <c r="H1642" s="22"/>
    </row>
    <row r="1643" spans="1:8">
      <c r="A1643" s="21"/>
      <c r="B1643" s="22"/>
      <c r="C1643" s="22"/>
      <c r="D1643" s="22"/>
      <c r="E1643" s="23" t="str">
        <f>IF($D1643="","",IFERROR(VLOOKUP($D1643,'SAMA Consumables Tracker'!$A:$H,8,FALSE()),""))</f>
        <v/>
      </c>
      <c r="F1643" s="24"/>
      <c r="G1643" s="25" t="str">
        <f>IF($D1643="","",IFERROR(VLOOKUP($D1643,'SAMA Consumables Tracker'!$A:$D,4,FALSE()),""))</f>
        <v/>
      </c>
      <c r="H1643" s="22"/>
    </row>
    <row r="1644" spans="1:8">
      <c r="A1644" s="21"/>
      <c r="B1644" s="22"/>
      <c r="C1644" s="22"/>
      <c r="D1644" s="22"/>
      <c r="E1644" s="23" t="str">
        <f>IF($D1644="","",IFERROR(VLOOKUP($D1644,'SAMA Consumables Tracker'!$A:$H,8,FALSE()),""))</f>
        <v/>
      </c>
      <c r="F1644" s="24"/>
      <c r="G1644" s="25" t="str">
        <f>IF($D1644="","",IFERROR(VLOOKUP($D1644,'SAMA Consumables Tracker'!$A:$D,4,FALSE()),""))</f>
        <v/>
      </c>
      <c r="H1644" s="22"/>
    </row>
    <row r="1645" spans="1:8">
      <c r="A1645" s="21"/>
      <c r="B1645" s="22"/>
      <c r="C1645" s="22"/>
      <c r="D1645" s="22"/>
      <c r="E1645" s="23" t="str">
        <f>IF($D1645="","",IFERROR(VLOOKUP($D1645,'SAMA Consumables Tracker'!$A:$H,8,FALSE()),""))</f>
        <v/>
      </c>
      <c r="F1645" s="24"/>
      <c r="G1645" s="25" t="str">
        <f>IF($D1645="","",IFERROR(VLOOKUP($D1645,'SAMA Consumables Tracker'!$A:$D,4,FALSE()),""))</f>
        <v/>
      </c>
      <c r="H1645" s="22"/>
    </row>
    <row r="1646" spans="1:8">
      <c r="A1646" s="21"/>
      <c r="B1646" s="22"/>
      <c r="C1646" s="22"/>
      <c r="D1646" s="22"/>
      <c r="E1646" s="23" t="str">
        <f>IF($D1646="","",IFERROR(VLOOKUP($D1646,'SAMA Consumables Tracker'!$A:$H,8,FALSE()),""))</f>
        <v/>
      </c>
      <c r="F1646" s="24"/>
      <c r="G1646" s="25" t="str">
        <f>IF($D1646="","",IFERROR(VLOOKUP($D1646,'SAMA Consumables Tracker'!$A:$D,4,FALSE()),""))</f>
        <v/>
      </c>
      <c r="H1646" s="22"/>
    </row>
    <row r="1647" spans="1:8">
      <c r="A1647" s="21"/>
      <c r="B1647" s="22"/>
      <c r="C1647" s="22"/>
      <c r="D1647" s="22"/>
      <c r="E1647" s="23" t="str">
        <f>IF($D1647="","",IFERROR(VLOOKUP($D1647,'SAMA Consumables Tracker'!$A:$H,8,FALSE()),""))</f>
        <v/>
      </c>
      <c r="F1647" s="24"/>
      <c r="G1647" s="25" t="str">
        <f>IF($D1647="","",IFERROR(VLOOKUP($D1647,'SAMA Consumables Tracker'!$A:$D,4,FALSE()),""))</f>
        <v/>
      </c>
      <c r="H1647" s="22"/>
    </row>
    <row r="1648" spans="1:8">
      <c r="A1648" s="21"/>
      <c r="B1648" s="22"/>
      <c r="C1648" s="22"/>
      <c r="D1648" s="22"/>
      <c r="E1648" s="23" t="str">
        <f>IF($D1648="","",IFERROR(VLOOKUP($D1648,'SAMA Consumables Tracker'!$A:$H,8,FALSE()),""))</f>
        <v/>
      </c>
      <c r="F1648" s="24"/>
      <c r="G1648" s="25" t="str">
        <f>IF($D1648="","",IFERROR(VLOOKUP($D1648,'SAMA Consumables Tracker'!$A:$D,4,FALSE()),""))</f>
        <v/>
      </c>
      <c r="H1648" s="22"/>
    </row>
    <row r="1649" spans="1:8">
      <c r="A1649" s="21"/>
      <c r="B1649" s="22"/>
      <c r="C1649" s="22"/>
      <c r="D1649" s="22"/>
      <c r="E1649" s="23" t="str">
        <f>IF($D1649="","",IFERROR(VLOOKUP($D1649,'SAMA Consumables Tracker'!$A:$H,8,FALSE()),""))</f>
        <v/>
      </c>
      <c r="F1649" s="24"/>
      <c r="G1649" s="25" t="str">
        <f>IF($D1649="","",IFERROR(VLOOKUP($D1649,'SAMA Consumables Tracker'!$A:$D,4,FALSE()),""))</f>
        <v/>
      </c>
      <c r="H1649" s="22"/>
    </row>
    <row r="1650" spans="1:8">
      <c r="A1650" s="21"/>
      <c r="B1650" s="22"/>
      <c r="C1650" s="22"/>
      <c r="D1650" s="22"/>
      <c r="E1650" s="23" t="str">
        <f>IF($D1650="","",IFERROR(VLOOKUP($D1650,'SAMA Consumables Tracker'!$A:$H,8,FALSE()),""))</f>
        <v/>
      </c>
      <c r="F1650" s="24"/>
      <c r="G1650" s="25" t="str">
        <f>IF($D1650="","",IFERROR(VLOOKUP($D1650,'SAMA Consumables Tracker'!$A:$D,4,FALSE()),""))</f>
        <v/>
      </c>
      <c r="H1650" s="22"/>
    </row>
    <row r="1651" spans="1:8">
      <c r="A1651" s="21"/>
      <c r="B1651" s="22"/>
      <c r="C1651" s="22"/>
      <c r="D1651" s="22"/>
      <c r="E1651" s="23" t="str">
        <f>IF($D1651="","",IFERROR(VLOOKUP($D1651,'SAMA Consumables Tracker'!$A:$H,8,FALSE()),""))</f>
        <v/>
      </c>
      <c r="F1651" s="24"/>
      <c r="G1651" s="25" t="str">
        <f>IF($D1651="","",IFERROR(VLOOKUP($D1651,'SAMA Consumables Tracker'!$A:$D,4,FALSE()),""))</f>
        <v/>
      </c>
      <c r="H1651" s="22"/>
    </row>
    <row r="1652" spans="1:8">
      <c r="A1652" s="21"/>
      <c r="B1652" s="22"/>
      <c r="C1652" s="22"/>
      <c r="D1652" s="22"/>
      <c r="E1652" s="23" t="str">
        <f>IF($D1652="","",IFERROR(VLOOKUP($D1652,'SAMA Consumables Tracker'!$A:$H,8,FALSE()),""))</f>
        <v/>
      </c>
      <c r="F1652" s="24"/>
      <c r="G1652" s="25" t="str">
        <f>IF($D1652="","",IFERROR(VLOOKUP($D1652,'SAMA Consumables Tracker'!$A:$D,4,FALSE()),""))</f>
        <v/>
      </c>
      <c r="H1652" s="22"/>
    </row>
    <row r="1653" spans="1:8">
      <c r="A1653" s="21"/>
      <c r="B1653" s="22"/>
      <c r="C1653" s="22"/>
      <c r="D1653" s="22"/>
      <c r="E1653" s="23" t="str">
        <f>IF($D1653="","",IFERROR(VLOOKUP($D1653,'SAMA Consumables Tracker'!$A:$H,8,FALSE()),""))</f>
        <v/>
      </c>
      <c r="F1653" s="24"/>
      <c r="G1653" s="25" t="str">
        <f>IF($D1653="","",IFERROR(VLOOKUP($D1653,'SAMA Consumables Tracker'!$A:$D,4,FALSE()),""))</f>
        <v/>
      </c>
      <c r="H1653" s="22"/>
    </row>
    <row r="1654" spans="1:8">
      <c r="A1654" s="21"/>
      <c r="B1654" s="22"/>
      <c r="C1654" s="22"/>
      <c r="D1654" s="22"/>
      <c r="E1654" s="23" t="str">
        <f>IF($D1654="","",IFERROR(VLOOKUP($D1654,'SAMA Consumables Tracker'!$A:$H,8,FALSE()),""))</f>
        <v/>
      </c>
      <c r="F1654" s="24"/>
      <c r="G1654" s="25" t="str">
        <f>IF($D1654="","",IFERROR(VLOOKUP($D1654,'SAMA Consumables Tracker'!$A:$D,4,FALSE()),""))</f>
        <v/>
      </c>
      <c r="H1654" s="22"/>
    </row>
    <row r="1655" spans="1:8">
      <c r="A1655" s="21"/>
      <c r="B1655" s="22"/>
      <c r="C1655" s="22"/>
      <c r="D1655" s="22"/>
      <c r="E1655" s="23" t="str">
        <f>IF($D1655="","",IFERROR(VLOOKUP($D1655,'SAMA Consumables Tracker'!$A:$H,8,FALSE()),""))</f>
        <v/>
      </c>
      <c r="F1655" s="24"/>
      <c r="G1655" s="25" t="str">
        <f>IF($D1655="","",IFERROR(VLOOKUP($D1655,'SAMA Consumables Tracker'!$A:$D,4,FALSE()),""))</f>
        <v/>
      </c>
      <c r="H1655" s="22"/>
    </row>
    <row r="1656" spans="1:8">
      <c r="A1656" s="21"/>
      <c r="B1656" s="22"/>
      <c r="C1656" s="22"/>
      <c r="D1656" s="22"/>
      <c r="E1656" s="23" t="str">
        <f>IF($D1656="","",IFERROR(VLOOKUP($D1656,'SAMA Consumables Tracker'!$A:$H,8,FALSE()),""))</f>
        <v/>
      </c>
      <c r="F1656" s="24"/>
      <c r="G1656" s="25" t="str">
        <f>IF($D1656="","",IFERROR(VLOOKUP($D1656,'SAMA Consumables Tracker'!$A:$D,4,FALSE()),""))</f>
        <v/>
      </c>
      <c r="H1656" s="22"/>
    </row>
    <row r="1657" spans="1:8">
      <c r="A1657" s="21"/>
      <c r="B1657" s="22"/>
      <c r="C1657" s="22"/>
      <c r="D1657" s="22"/>
      <c r="E1657" s="23" t="str">
        <f>IF($D1657="","",IFERROR(VLOOKUP($D1657,'SAMA Consumables Tracker'!$A:$H,8,FALSE()),""))</f>
        <v/>
      </c>
      <c r="F1657" s="24"/>
      <c r="G1657" s="25" t="str">
        <f>IF($D1657="","",IFERROR(VLOOKUP($D1657,'SAMA Consumables Tracker'!$A:$D,4,FALSE()),""))</f>
        <v/>
      </c>
      <c r="H1657" s="22"/>
    </row>
    <row r="1658" spans="1:8">
      <c r="A1658" s="21"/>
      <c r="B1658" s="22"/>
      <c r="C1658" s="22"/>
      <c r="D1658" s="22"/>
      <c r="E1658" s="23" t="str">
        <f>IF($D1658="","",IFERROR(VLOOKUP($D1658,'SAMA Consumables Tracker'!$A:$H,8,FALSE()),""))</f>
        <v/>
      </c>
      <c r="F1658" s="24"/>
      <c r="G1658" s="25" t="str">
        <f>IF($D1658="","",IFERROR(VLOOKUP($D1658,'SAMA Consumables Tracker'!$A:$D,4,FALSE()),""))</f>
        <v/>
      </c>
      <c r="H1658" s="22"/>
    </row>
    <row r="1659" spans="1:8">
      <c r="A1659" s="21"/>
      <c r="B1659" s="22"/>
      <c r="C1659" s="22"/>
      <c r="D1659" s="22"/>
      <c r="E1659" s="23" t="str">
        <f>IF($D1659="","",IFERROR(VLOOKUP($D1659,'SAMA Consumables Tracker'!$A:$H,8,FALSE()),""))</f>
        <v/>
      </c>
      <c r="F1659" s="24"/>
      <c r="G1659" s="25" t="str">
        <f>IF($D1659="","",IFERROR(VLOOKUP($D1659,'SAMA Consumables Tracker'!$A:$D,4,FALSE()),""))</f>
        <v/>
      </c>
      <c r="H1659" s="22"/>
    </row>
    <row r="1660" spans="1:8">
      <c r="A1660" s="21"/>
      <c r="B1660" s="22"/>
      <c r="C1660" s="22"/>
      <c r="D1660" s="22"/>
      <c r="E1660" s="23" t="str">
        <f>IF($D1660="","",IFERROR(VLOOKUP($D1660,'SAMA Consumables Tracker'!$A:$H,8,FALSE()),""))</f>
        <v/>
      </c>
      <c r="F1660" s="24"/>
      <c r="G1660" s="25" t="str">
        <f>IF($D1660="","",IFERROR(VLOOKUP($D1660,'SAMA Consumables Tracker'!$A:$D,4,FALSE()),""))</f>
        <v/>
      </c>
      <c r="H1660" s="22"/>
    </row>
    <row r="1661" spans="1:8">
      <c r="A1661" s="21"/>
      <c r="B1661" s="22"/>
      <c r="C1661" s="22"/>
      <c r="D1661" s="22"/>
      <c r="E1661" s="23" t="str">
        <f>IF($D1661="","",IFERROR(VLOOKUP($D1661,'SAMA Consumables Tracker'!$A:$H,8,FALSE()),""))</f>
        <v/>
      </c>
      <c r="F1661" s="24"/>
      <c r="G1661" s="25" t="str">
        <f>IF($D1661="","",IFERROR(VLOOKUP($D1661,'SAMA Consumables Tracker'!$A:$D,4,FALSE()),""))</f>
        <v/>
      </c>
      <c r="H1661" s="22"/>
    </row>
    <row r="1662" spans="1:8">
      <c r="A1662" s="21"/>
      <c r="B1662" s="22"/>
      <c r="C1662" s="22"/>
      <c r="D1662" s="22"/>
      <c r="E1662" s="23" t="str">
        <f>IF($D1662="","",IFERROR(VLOOKUP($D1662,'SAMA Consumables Tracker'!$A:$H,8,FALSE()),""))</f>
        <v/>
      </c>
      <c r="F1662" s="24"/>
      <c r="G1662" s="25" t="str">
        <f>IF($D1662="","",IFERROR(VLOOKUP($D1662,'SAMA Consumables Tracker'!$A:$D,4,FALSE()),""))</f>
        <v/>
      </c>
      <c r="H1662" s="22"/>
    </row>
    <row r="1663" spans="1:8">
      <c r="A1663" s="21"/>
      <c r="B1663" s="22"/>
      <c r="C1663" s="22"/>
      <c r="D1663" s="22"/>
      <c r="E1663" s="23" t="str">
        <f>IF($D1663="","",IFERROR(VLOOKUP($D1663,'SAMA Consumables Tracker'!$A:$H,8,FALSE()),""))</f>
        <v/>
      </c>
      <c r="F1663" s="24"/>
      <c r="G1663" s="25" t="str">
        <f>IF($D1663="","",IFERROR(VLOOKUP($D1663,'SAMA Consumables Tracker'!$A:$D,4,FALSE()),""))</f>
        <v/>
      </c>
      <c r="H1663" s="22"/>
    </row>
    <row r="1664" spans="1:8">
      <c r="A1664" s="21"/>
      <c r="B1664" s="22"/>
      <c r="C1664" s="22"/>
      <c r="D1664" s="22"/>
      <c r="E1664" s="23" t="str">
        <f>IF($D1664="","",IFERROR(VLOOKUP($D1664,'SAMA Consumables Tracker'!$A:$H,8,FALSE()),""))</f>
        <v/>
      </c>
      <c r="F1664" s="24"/>
      <c r="G1664" s="25" t="str">
        <f>IF($D1664="","",IFERROR(VLOOKUP($D1664,'SAMA Consumables Tracker'!$A:$D,4,FALSE()),""))</f>
        <v/>
      </c>
      <c r="H1664" s="22"/>
    </row>
    <row r="1665" spans="1:8">
      <c r="A1665" s="21"/>
      <c r="B1665" s="22"/>
      <c r="C1665" s="22"/>
      <c r="D1665" s="22"/>
      <c r="E1665" s="23" t="str">
        <f>IF($D1665="","",IFERROR(VLOOKUP($D1665,'SAMA Consumables Tracker'!$A:$H,8,FALSE()),""))</f>
        <v/>
      </c>
      <c r="F1665" s="24"/>
      <c r="G1665" s="25" t="str">
        <f>IF($D1665="","",IFERROR(VLOOKUP($D1665,'SAMA Consumables Tracker'!$A:$D,4,FALSE()),""))</f>
        <v/>
      </c>
      <c r="H1665" s="22"/>
    </row>
    <row r="1666" spans="1:8">
      <c r="A1666" s="21"/>
      <c r="B1666" s="22"/>
      <c r="C1666" s="22"/>
      <c r="D1666" s="22"/>
      <c r="E1666" s="23" t="str">
        <f>IF($D1666="","",IFERROR(VLOOKUP($D1666,'SAMA Consumables Tracker'!$A:$H,8,FALSE()),""))</f>
        <v/>
      </c>
      <c r="F1666" s="24"/>
      <c r="G1666" s="25" t="str">
        <f>IF($D1666="","",IFERROR(VLOOKUP($D1666,'SAMA Consumables Tracker'!$A:$D,4,FALSE()),""))</f>
        <v/>
      </c>
      <c r="H1666" s="22"/>
    </row>
    <row r="1667" spans="1:8">
      <c r="A1667" s="21"/>
      <c r="B1667" s="22"/>
      <c r="C1667" s="22"/>
      <c r="D1667" s="22"/>
      <c r="E1667" s="23" t="str">
        <f>IF($D1667="","",IFERROR(VLOOKUP($D1667,'SAMA Consumables Tracker'!$A:$H,8,FALSE()),""))</f>
        <v/>
      </c>
      <c r="F1667" s="24"/>
      <c r="G1667" s="25" t="str">
        <f>IF($D1667="","",IFERROR(VLOOKUP($D1667,'SAMA Consumables Tracker'!$A:$D,4,FALSE()),""))</f>
        <v/>
      </c>
      <c r="H1667" s="22"/>
    </row>
    <row r="1668" spans="1:8">
      <c r="A1668" s="21"/>
      <c r="B1668" s="22"/>
      <c r="C1668" s="22"/>
      <c r="D1668" s="22"/>
      <c r="E1668" s="23" t="str">
        <f>IF($D1668="","",IFERROR(VLOOKUP($D1668,'SAMA Consumables Tracker'!$A:$H,8,FALSE()),""))</f>
        <v/>
      </c>
      <c r="F1668" s="24"/>
      <c r="G1668" s="25" t="str">
        <f>IF($D1668="","",IFERROR(VLOOKUP($D1668,'SAMA Consumables Tracker'!$A:$D,4,FALSE()),""))</f>
        <v/>
      </c>
      <c r="H1668" s="22"/>
    </row>
    <row r="1669" spans="1:8">
      <c r="A1669" s="21"/>
      <c r="B1669" s="22"/>
      <c r="C1669" s="22"/>
      <c r="D1669" s="22"/>
      <c r="E1669" s="23" t="str">
        <f>IF($D1669="","",IFERROR(VLOOKUP($D1669,'SAMA Consumables Tracker'!$A:$H,8,FALSE()),""))</f>
        <v/>
      </c>
      <c r="F1669" s="24"/>
      <c r="G1669" s="25" t="str">
        <f>IF($D1669="","",IFERROR(VLOOKUP($D1669,'SAMA Consumables Tracker'!$A:$D,4,FALSE()),""))</f>
        <v/>
      </c>
      <c r="H1669" s="22"/>
    </row>
    <row r="1670" spans="1:8">
      <c r="A1670" s="21"/>
      <c r="B1670" s="22"/>
      <c r="C1670" s="22"/>
      <c r="D1670" s="22"/>
      <c r="E1670" s="23" t="str">
        <f>IF($D1670="","",IFERROR(VLOOKUP($D1670,'SAMA Consumables Tracker'!$A:$H,8,FALSE()),""))</f>
        <v/>
      </c>
      <c r="F1670" s="24"/>
      <c r="G1670" s="25" t="str">
        <f>IF($D1670="","",IFERROR(VLOOKUP($D1670,'SAMA Consumables Tracker'!$A:$D,4,FALSE()),""))</f>
        <v/>
      </c>
      <c r="H1670" s="22"/>
    </row>
    <row r="1671" spans="1:8">
      <c r="A1671" s="21"/>
      <c r="B1671" s="22"/>
      <c r="C1671" s="22"/>
      <c r="D1671" s="22"/>
      <c r="E1671" s="23" t="str">
        <f>IF($D1671="","",IFERROR(VLOOKUP($D1671,'SAMA Consumables Tracker'!$A:$H,8,FALSE()),""))</f>
        <v/>
      </c>
      <c r="F1671" s="24"/>
      <c r="G1671" s="25" t="str">
        <f>IF($D1671="","",IFERROR(VLOOKUP($D1671,'SAMA Consumables Tracker'!$A:$D,4,FALSE()),""))</f>
        <v/>
      </c>
      <c r="H1671" s="22"/>
    </row>
    <row r="1672" spans="1:8">
      <c r="A1672" s="21"/>
      <c r="B1672" s="22"/>
      <c r="C1672" s="22"/>
      <c r="D1672" s="22"/>
      <c r="E1672" s="23" t="str">
        <f>IF($D1672="","",IFERROR(VLOOKUP($D1672,'SAMA Consumables Tracker'!$A:$H,8,FALSE()),""))</f>
        <v/>
      </c>
      <c r="F1672" s="24"/>
      <c r="G1672" s="25" t="str">
        <f>IF($D1672="","",IFERROR(VLOOKUP($D1672,'SAMA Consumables Tracker'!$A:$D,4,FALSE()),""))</f>
        <v/>
      </c>
      <c r="H1672" s="22"/>
    </row>
    <row r="1673" spans="1:8">
      <c r="A1673" s="21"/>
      <c r="B1673" s="22"/>
      <c r="C1673" s="22"/>
      <c r="D1673" s="22"/>
      <c r="E1673" s="23" t="str">
        <f>IF($D1673="","",IFERROR(VLOOKUP($D1673,'SAMA Consumables Tracker'!$A:$H,8,FALSE()),""))</f>
        <v/>
      </c>
      <c r="F1673" s="24"/>
      <c r="G1673" s="25" t="str">
        <f>IF($D1673="","",IFERROR(VLOOKUP($D1673,'SAMA Consumables Tracker'!$A:$D,4,FALSE()),""))</f>
        <v/>
      </c>
      <c r="H1673" s="22"/>
    </row>
    <row r="1674" spans="1:8">
      <c r="A1674" s="21"/>
      <c r="B1674" s="22"/>
      <c r="C1674" s="22"/>
      <c r="D1674" s="22"/>
      <c r="E1674" s="23" t="str">
        <f>IF($D1674="","",IFERROR(VLOOKUP($D1674,'SAMA Consumables Tracker'!$A:$H,8,FALSE()),""))</f>
        <v/>
      </c>
      <c r="F1674" s="24"/>
      <c r="G1674" s="25" t="str">
        <f>IF($D1674="","",IFERROR(VLOOKUP($D1674,'SAMA Consumables Tracker'!$A:$D,4,FALSE()),""))</f>
        <v/>
      </c>
      <c r="H1674" s="22"/>
    </row>
    <row r="1675" spans="1:8">
      <c r="A1675" s="21"/>
      <c r="B1675" s="22"/>
      <c r="C1675" s="22"/>
      <c r="D1675" s="22"/>
      <c r="E1675" s="23" t="str">
        <f>IF($D1675="","",IFERROR(VLOOKUP($D1675,'SAMA Consumables Tracker'!$A:$H,8,FALSE()),""))</f>
        <v/>
      </c>
      <c r="F1675" s="24"/>
      <c r="G1675" s="25" t="str">
        <f>IF($D1675="","",IFERROR(VLOOKUP($D1675,'SAMA Consumables Tracker'!$A:$D,4,FALSE()),""))</f>
        <v/>
      </c>
      <c r="H1675" s="22"/>
    </row>
    <row r="1676" spans="1:8">
      <c r="A1676" s="21"/>
      <c r="B1676" s="22"/>
      <c r="C1676" s="22"/>
      <c r="D1676" s="22"/>
      <c r="E1676" s="23" t="str">
        <f>IF($D1676="","",IFERROR(VLOOKUP($D1676,'SAMA Consumables Tracker'!$A:$H,8,FALSE()),""))</f>
        <v/>
      </c>
      <c r="F1676" s="24"/>
      <c r="G1676" s="25" t="str">
        <f>IF($D1676="","",IFERROR(VLOOKUP($D1676,'SAMA Consumables Tracker'!$A:$D,4,FALSE()),""))</f>
        <v/>
      </c>
      <c r="H1676" s="22"/>
    </row>
    <row r="1677" spans="1:8">
      <c r="A1677" s="21"/>
      <c r="B1677" s="22"/>
      <c r="C1677" s="22"/>
      <c r="D1677" s="22"/>
      <c r="E1677" s="23" t="str">
        <f>IF($D1677="","",IFERROR(VLOOKUP($D1677,'SAMA Consumables Tracker'!$A:$H,8,FALSE()),""))</f>
        <v/>
      </c>
      <c r="F1677" s="24"/>
      <c r="G1677" s="25" t="str">
        <f>IF($D1677="","",IFERROR(VLOOKUP($D1677,'SAMA Consumables Tracker'!$A:$D,4,FALSE()),""))</f>
        <v/>
      </c>
      <c r="H1677" s="22"/>
    </row>
    <row r="1678" spans="1:8">
      <c r="A1678" s="21"/>
      <c r="B1678" s="22"/>
      <c r="C1678" s="22"/>
      <c r="D1678" s="22"/>
      <c r="E1678" s="23" t="str">
        <f>IF($D1678="","",IFERROR(VLOOKUP($D1678,'SAMA Consumables Tracker'!$A:$H,8,FALSE()),""))</f>
        <v/>
      </c>
      <c r="F1678" s="24"/>
      <c r="G1678" s="25" t="str">
        <f>IF($D1678="","",IFERROR(VLOOKUP($D1678,'SAMA Consumables Tracker'!$A:$D,4,FALSE()),""))</f>
        <v/>
      </c>
      <c r="H1678" s="22"/>
    </row>
    <row r="1679" spans="1:8">
      <c r="A1679" s="21"/>
      <c r="B1679" s="22"/>
      <c r="C1679" s="22"/>
      <c r="D1679" s="22"/>
      <c r="E1679" s="23" t="str">
        <f>IF($D1679="","",IFERROR(VLOOKUP($D1679,'SAMA Consumables Tracker'!$A:$H,8,FALSE()),""))</f>
        <v/>
      </c>
      <c r="F1679" s="24"/>
      <c r="G1679" s="25" t="str">
        <f>IF($D1679="","",IFERROR(VLOOKUP($D1679,'SAMA Consumables Tracker'!$A:$D,4,FALSE()),""))</f>
        <v/>
      </c>
      <c r="H1679" s="22"/>
    </row>
    <row r="1680" spans="1:8">
      <c r="A1680" s="21"/>
      <c r="B1680" s="22"/>
      <c r="C1680" s="22"/>
      <c r="D1680" s="22"/>
      <c r="E1680" s="23" t="str">
        <f>IF($D1680="","",IFERROR(VLOOKUP($D1680,'SAMA Consumables Tracker'!$A:$H,8,FALSE()),""))</f>
        <v/>
      </c>
      <c r="F1680" s="24"/>
      <c r="G1680" s="25" t="str">
        <f>IF($D1680="","",IFERROR(VLOOKUP($D1680,'SAMA Consumables Tracker'!$A:$D,4,FALSE()),""))</f>
        <v/>
      </c>
      <c r="H1680" s="22"/>
    </row>
    <row r="1681" spans="1:8">
      <c r="A1681" s="21"/>
      <c r="B1681" s="22"/>
      <c r="C1681" s="22"/>
      <c r="D1681" s="22"/>
      <c r="E1681" s="23" t="str">
        <f>IF($D1681="","",IFERROR(VLOOKUP($D1681,'SAMA Consumables Tracker'!$A:$H,8,FALSE()),""))</f>
        <v/>
      </c>
      <c r="F1681" s="24"/>
      <c r="G1681" s="25" t="str">
        <f>IF($D1681="","",IFERROR(VLOOKUP($D1681,'SAMA Consumables Tracker'!$A:$D,4,FALSE()),""))</f>
        <v/>
      </c>
      <c r="H1681" s="22"/>
    </row>
    <row r="1682" spans="1:8">
      <c r="A1682" s="21"/>
      <c r="B1682" s="22"/>
      <c r="C1682" s="22"/>
      <c r="D1682" s="22"/>
      <c r="E1682" s="23" t="str">
        <f>IF($D1682="","",IFERROR(VLOOKUP($D1682,'SAMA Consumables Tracker'!$A:$H,8,FALSE()),""))</f>
        <v/>
      </c>
      <c r="F1682" s="24"/>
      <c r="G1682" s="25" t="str">
        <f>IF($D1682="","",IFERROR(VLOOKUP($D1682,'SAMA Consumables Tracker'!$A:$D,4,FALSE()),""))</f>
        <v/>
      </c>
      <c r="H1682" s="22"/>
    </row>
    <row r="1683" spans="1:8">
      <c r="A1683" s="21"/>
      <c r="B1683" s="22"/>
      <c r="C1683" s="22"/>
      <c r="D1683" s="22"/>
      <c r="E1683" s="23" t="str">
        <f>IF($D1683="","",IFERROR(VLOOKUP($D1683,'SAMA Consumables Tracker'!$A:$H,8,FALSE()),""))</f>
        <v/>
      </c>
      <c r="F1683" s="24"/>
      <c r="G1683" s="25" t="str">
        <f>IF($D1683="","",IFERROR(VLOOKUP($D1683,'SAMA Consumables Tracker'!$A:$D,4,FALSE()),""))</f>
        <v/>
      </c>
      <c r="H1683" s="22"/>
    </row>
    <row r="1684" spans="1:8">
      <c r="A1684" s="21"/>
      <c r="B1684" s="22"/>
      <c r="C1684" s="22"/>
      <c r="D1684" s="22"/>
      <c r="E1684" s="23" t="str">
        <f>IF($D1684="","",IFERROR(VLOOKUP($D1684,'SAMA Consumables Tracker'!$A:$H,8,FALSE()),""))</f>
        <v/>
      </c>
      <c r="F1684" s="24"/>
      <c r="G1684" s="25" t="str">
        <f>IF($D1684="","",IFERROR(VLOOKUP($D1684,'SAMA Consumables Tracker'!$A:$D,4,FALSE()),""))</f>
        <v/>
      </c>
      <c r="H1684" s="22"/>
    </row>
    <row r="1685" spans="1:8">
      <c r="A1685" s="21"/>
      <c r="B1685" s="22"/>
      <c r="C1685" s="22"/>
      <c r="D1685" s="22"/>
      <c r="E1685" s="23" t="str">
        <f>IF($D1685="","",IFERROR(VLOOKUP($D1685,'SAMA Consumables Tracker'!$A:$H,8,FALSE()),""))</f>
        <v/>
      </c>
      <c r="F1685" s="24"/>
      <c r="G1685" s="25" t="str">
        <f>IF($D1685="","",IFERROR(VLOOKUP($D1685,'SAMA Consumables Tracker'!$A:$D,4,FALSE()),""))</f>
        <v/>
      </c>
      <c r="H1685" s="22"/>
    </row>
    <row r="1686" spans="1:8">
      <c r="A1686" s="21"/>
      <c r="B1686" s="22"/>
      <c r="C1686" s="22"/>
      <c r="D1686" s="22"/>
      <c r="E1686" s="23" t="str">
        <f>IF($D1686="","",IFERROR(VLOOKUP($D1686,'SAMA Consumables Tracker'!$A:$H,8,FALSE()),""))</f>
        <v/>
      </c>
      <c r="F1686" s="24"/>
      <c r="G1686" s="25" t="str">
        <f>IF($D1686="","",IFERROR(VLOOKUP($D1686,'SAMA Consumables Tracker'!$A:$D,4,FALSE()),""))</f>
        <v/>
      </c>
      <c r="H1686" s="22"/>
    </row>
    <row r="1687" spans="1:8">
      <c r="A1687" s="21"/>
      <c r="B1687" s="22"/>
      <c r="C1687" s="22"/>
      <c r="D1687" s="22"/>
      <c r="E1687" s="23" t="str">
        <f>IF($D1687="","",IFERROR(VLOOKUP($D1687,'SAMA Consumables Tracker'!$A:$H,8,FALSE()),""))</f>
        <v/>
      </c>
      <c r="F1687" s="24"/>
      <c r="G1687" s="25" t="str">
        <f>IF($D1687="","",IFERROR(VLOOKUP($D1687,'SAMA Consumables Tracker'!$A:$D,4,FALSE()),""))</f>
        <v/>
      </c>
      <c r="H1687" s="22"/>
    </row>
    <row r="1688" spans="1:8">
      <c r="A1688" s="21"/>
      <c r="B1688" s="22"/>
      <c r="C1688" s="22"/>
      <c r="D1688" s="22"/>
      <c r="E1688" s="23" t="str">
        <f>IF($D1688="","",IFERROR(VLOOKUP($D1688,'SAMA Consumables Tracker'!$A:$H,8,FALSE()),""))</f>
        <v/>
      </c>
      <c r="F1688" s="24"/>
      <c r="G1688" s="25" t="str">
        <f>IF($D1688="","",IFERROR(VLOOKUP($D1688,'SAMA Consumables Tracker'!$A:$D,4,FALSE()),""))</f>
        <v/>
      </c>
      <c r="H1688" s="22"/>
    </row>
    <row r="1689" spans="1:8">
      <c r="A1689" s="21"/>
      <c r="B1689" s="22"/>
      <c r="C1689" s="22"/>
      <c r="D1689" s="22"/>
      <c r="E1689" s="23" t="str">
        <f>IF($D1689="","",IFERROR(VLOOKUP($D1689,'SAMA Consumables Tracker'!$A:$H,8,FALSE()),""))</f>
        <v/>
      </c>
      <c r="F1689" s="24"/>
      <c r="G1689" s="25" t="str">
        <f>IF($D1689="","",IFERROR(VLOOKUP($D1689,'SAMA Consumables Tracker'!$A:$D,4,FALSE()),""))</f>
        <v/>
      </c>
      <c r="H1689" s="22"/>
    </row>
    <row r="1690" spans="1:8">
      <c r="A1690" s="21"/>
      <c r="B1690" s="22"/>
      <c r="C1690" s="22"/>
      <c r="D1690" s="22"/>
      <c r="E1690" s="23" t="str">
        <f>IF($D1690="","",IFERROR(VLOOKUP($D1690,'SAMA Consumables Tracker'!$A:$H,8,FALSE()),""))</f>
        <v/>
      </c>
      <c r="F1690" s="24"/>
      <c r="G1690" s="25" t="str">
        <f>IF($D1690="","",IFERROR(VLOOKUP($D1690,'SAMA Consumables Tracker'!$A:$D,4,FALSE()),""))</f>
        <v/>
      </c>
      <c r="H1690" s="22"/>
    </row>
    <row r="1691" spans="1:8">
      <c r="A1691" s="21"/>
      <c r="B1691" s="22"/>
      <c r="C1691" s="22"/>
      <c r="D1691" s="22"/>
      <c r="E1691" s="23" t="str">
        <f>IF($D1691="","",IFERROR(VLOOKUP($D1691,'SAMA Consumables Tracker'!$A:$H,8,FALSE()),""))</f>
        <v/>
      </c>
      <c r="F1691" s="24"/>
      <c r="G1691" s="25" t="str">
        <f>IF($D1691="","",IFERROR(VLOOKUP($D1691,'SAMA Consumables Tracker'!$A:$D,4,FALSE()),""))</f>
        <v/>
      </c>
      <c r="H1691" s="22"/>
    </row>
    <row r="1692" spans="1:8">
      <c r="A1692" s="21"/>
      <c r="B1692" s="22"/>
      <c r="C1692" s="22"/>
      <c r="D1692" s="22"/>
      <c r="E1692" s="23" t="str">
        <f>IF($D1692="","",IFERROR(VLOOKUP($D1692,'SAMA Consumables Tracker'!$A:$H,8,FALSE()),""))</f>
        <v/>
      </c>
      <c r="F1692" s="24"/>
      <c r="G1692" s="25" t="str">
        <f>IF($D1692="","",IFERROR(VLOOKUP($D1692,'SAMA Consumables Tracker'!$A:$D,4,FALSE()),""))</f>
        <v/>
      </c>
      <c r="H1692" s="22"/>
    </row>
    <row r="1693" spans="1:8">
      <c r="A1693" s="21"/>
      <c r="B1693" s="22"/>
      <c r="C1693" s="22"/>
      <c r="D1693" s="22"/>
      <c r="E1693" s="23" t="str">
        <f>IF($D1693="","",IFERROR(VLOOKUP($D1693,'SAMA Consumables Tracker'!$A:$H,8,FALSE()),""))</f>
        <v/>
      </c>
      <c r="F1693" s="24"/>
      <c r="G1693" s="25" t="str">
        <f>IF($D1693="","",IFERROR(VLOOKUP($D1693,'SAMA Consumables Tracker'!$A:$D,4,FALSE()),""))</f>
        <v/>
      </c>
      <c r="H1693" s="22"/>
    </row>
    <row r="1694" spans="1:8">
      <c r="A1694" s="21"/>
      <c r="B1694" s="22"/>
      <c r="C1694" s="22"/>
      <c r="D1694" s="22"/>
      <c r="E1694" s="23" t="str">
        <f>IF($D1694="","",IFERROR(VLOOKUP($D1694,'SAMA Consumables Tracker'!$A:$H,8,FALSE()),""))</f>
        <v/>
      </c>
      <c r="F1694" s="24"/>
      <c r="G1694" s="25" t="str">
        <f>IF($D1694="","",IFERROR(VLOOKUP($D1694,'SAMA Consumables Tracker'!$A:$D,4,FALSE()),""))</f>
        <v/>
      </c>
      <c r="H1694" s="22"/>
    </row>
    <row r="1695" spans="1:8">
      <c r="A1695" s="21"/>
      <c r="B1695" s="22"/>
      <c r="C1695" s="22"/>
      <c r="D1695" s="22"/>
      <c r="E1695" s="23" t="str">
        <f>IF($D1695="","",IFERROR(VLOOKUP($D1695,'SAMA Consumables Tracker'!$A:$H,8,FALSE()),""))</f>
        <v/>
      </c>
      <c r="F1695" s="24"/>
      <c r="G1695" s="25" t="str">
        <f>IF($D1695="","",IFERROR(VLOOKUP($D1695,'SAMA Consumables Tracker'!$A:$D,4,FALSE()),""))</f>
        <v/>
      </c>
      <c r="H1695" s="22"/>
    </row>
    <row r="1696" spans="1:8">
      <c r="A1696" s="21"/>
      <c r="B1696" s="22"/>
      <c r="C1696" s="22"/>
      <c r="D1696" s="22"/>
      <c r="E1696" s="23" t="str">
        <f>IF($D1696="","",IFERROR(VLOOKUP($D1696,'SAMA Consumables Tracker'!$A:$H,8,FALSE()),""))</f>
        <v/>
      </c>
      <c r="F1696" s="24"/>
      <c r="G1696" s="25" t="str">
        <f>IF($D1696="","",IFERROR(VLOOKUP($D1696,'SAMA Consumables Tracker'!$A:$D,4,FALSE()),""))</f>
        <v/>
      </c>
      <c r="H1696" s="22"/>
    </row>
    <row r="1697" spans="1:8">
      <c r="A1697" s="21"/>
      <c r="B1697" s="22"/>
      <c r="C1697" s="22"/>
      <c r="D1697" s="22"/>
      <c r="E1697" s="23" t="str">
        <f>IF($D1697="","",IFERROR(VLOOKUP($D1697,'SAMA Consumables Tracker'!$A:$H,8,FALSE()),""))</f>
        <v/>
      </c>
      <c r="F1697" s="24"/>
      <c r="G1697" s="25" t="str">
        <f>IF($D1697="","",IFERROR(VLOOKUP($D1697,'SAMA Consumables Tracker'!$A:$D,4,FALSE()),""))</f>
        <v/>
      </c>
      <c r="H1697" s="22"/>
    </row>
    <row r="1698" spans="1:8">
      <c r="A1698" s="21"/>
      <c r="B1698" s="22"/>
      <c r="C1698" s="22"/>
      <c r="D1698" s="22"/>
      <c r="E1698" s="23" t="str">
        <f>IF($D1698="","",IFERROR(VLOOKUP($D1698,'SAMA Consumables Tracker'!$A:$H,8,FALSE()),""))</f>
        <v/>
      </c>
      <c r="F1698" s="24"/>
      <c r="G1698" s="25" t="str">
        <f>IF($D1698="","",IFERROR(VLOOKUP($D1698,'SAMA Consumables Tracker'!$A:$D,4,FALSE()),""))</f>
        <v/>
      </c>
      <c r="H1698" s="22"/>
    </row>
    <row r="1699" spans="1:8">
      <c r="A1699" s="21"/>
      <c r="B1699" s="22"/>
      <c r="C1699" s="22"/>
      <c r="D1699" s="22"/>
      <c r="E1699" s="23" t="str">
        <f>IF($D1699="","",IFERROR(VLOOKUP($D1699,'SAMA Consumables Tracker'!$A:$H,8,FALSE()),""))</f>
        <v/>
      </c>
      <c r="F1699" s="24"/>
      <c r="G1699" s="25" t="str">
        <f>IF($D1699="","",IFERROR(VLOOKUP($D1699,'SAMA Consumables Tracker'!$A:$D,4,FALSE()),""))</f>
        <v/>
      </c>
      <c r="H1699" s="22"/>
    </row>
    <row r="1700" spans="1:8">
      <c r="A1700" s="21"/>
      <c r="B1700" s="22"/>
      <c r="C1700" s="22"/>
      <c r="D1700" s="22"/>
      <c r="E1700" s="23" t="str">
        <f>IF($D1700="","",IFERROR(VLOOKUP($D1700,'SAMA Consumables Tracker'!$A:$H,8,FALSE()),""))</f>
        <v/>
      </c>
      <c r="F1700" s="24"/>
      <c r="G1700" s="25" t="str">
        <f>IF($D1700="","",IFERROR(VLOOKUP($D1700,'SAMA Consumables Tracker'!$A:$D,4,FALSE()),""))</f>
        <v/>
      </c>
      <c r="H1700" s="22"/>
    </row>
    <row r="1701" spans="1:8">
      <c r="A1701" s="21"/>
      <c r="B1701" s="22"/>
      <c r="C1701" s="22"/>
      <c r="D1701" s="22"/>
      <c r="E1701" s="23" t="str">
        <f>IF($D1701="","",IFERROR(VLOOKUP($D1701,'SAMA Consumables Tracker'!$A:$H,8,FALSE()),""))</f>
        <v/>
      </c>
      <c r="F1701" s="24"/>
      <c r="G1701" s="25" t="str">
        <f>IF($D1701="","",IFERROR(VLOOKUP($D1701,'SAMA Consumables Tracker'!$A:$D,4,FALSE()),""))</f>
        <v/>
      </c>
      <c r="H1701" s="22"/>
    </row>
    <row r="1702" spans="1:8">
      <c r="A1702" s="21"/>
      <c r="B1702" s="22"/>
      <c r="C1702" s="22"/>
      <c r="D1702" s="22"/>
      <c r="E1702" s="23" t="str">
        <f>IF($D1702="","",IFERROR(VLOOKUP($D1702,'SAMA Consumables Tracker'!$A:$H,8,FALSE()),""))</f>
        <v/>
      </c>
      <c r="F1702" s="24"/>
      <c r="G1702" s="25" t="str">
        <f>IF($D1702="","",IFERROR(VLOOKUP($D1702,'SAMA Consumables Tracker'!$A:$D,4,FALSE()),""))</f>
        <v/>
      </c>
      <c r="H1702" s="22"/>
    </row>
    <row r="1703" spans="1:8">
      <c r="A1703" s="21"/>
      <c r="B1703" s="22"/>
      <c r="C1703" s="22"/>
      <c r="D1703" s="22"/>
      <c r="E1703" s="23" t="str">
        <f>IF($D1703="","",IFERROR(VLOOKUP($D1703,'SAMA Consumables Tracker'!$A:$H,8,FALSE()),""))</f>
        <v/>
      </c>
      <c r="F1703" s="24"/>
      <c r="G1703" s="25" t="str">
        <f>IF($D1703="","",IFERROR(VLOOKUP($D1703,'SAMA Consumables Tracker'!$A:$D,4,FALSE()),""))</f>
        <v/>
      </c>
      <c r="H1703" s="22"/>
    </row>
    <row r="1704" spans="1:8">
      <c r="A1704" s="21"/>
      <c r="B1704" s="22"/>
      <c r="C1704" s="22"/>
      <c r="D1704" s="22"/>
      <c r="E1704" s="23" t="str">
        <f>IF($D1704="","",IFERROR(VLOOKUP($D1704,'SAMA Consumables Tracker'!$A:$H,8,FALSE()),""))</f>
        <v/>
      </c>
      <c r="F1704" s="24"/>
      <c r="G1704" s="25" t="str">
        <f>IF($D1704="","",IFERROR(VLOOKUP($D1704,'SAMA Consumables Tracker'!$A:$D,4,FALSE()),""))</f>
        <v/>
      </c>
      <c r="H1704" s="22"/>
    </row>
    <row r="1705" spans="1:8">
      <c r="A1705" s="21"/>
      <c r="B1705" s="22"/>
      <c r="C1705" s="22"/>
      <c r="D1705" s="22"/>
      <c r="E1705" s="23" t="str">
        <f>IF($D1705="","",IFERROR(VLOOKUP($D1705,'SAMA Consumables Tracker'!$A:$H,8,FALSE()),""))</f>
        <v/>
      </c>
      <c r="F1705" s="24"/>
      <c r="G1705" s="25" t="str">
        <f>IF($D1705="","",IFERROR(VLOOKUP($D1705,'SAMA Consumables Tracker'!$A:$D,4,FALSE()),""))</f>
        <v/>
      </c>
      <c r="H1705" s="22"/>
    </row>
    <row r="1706" spans="1:8">
      <c r="A1706" s="21"/>
      <c r="B1706" s="22"/>
      <c r="C1706" s="22"/>
      <c r="D1706" s="22"/>
      <c r="E1706" s="23" t="str">
        <f>IF($D1706="","",IFERROR(VLOOKUP($D1706,'SAMA Consumables Tracker'!$A:$H,8,FALSE()),""))</f>
        <v/>
      </c>
      <c r="F1706" s="24"/>
      <c r="G1706" s="25" t="str">
        <f>IF($D1706="","",IFERROR(VLOOKUP($D1706,'SAMA Consumables Tracker'!$A:$D,4,FALSE()),""))</f>
        <v/>
      </c>
      <c r="H1706" s="22"/>
    </row>
    <row r="1707" spans="1:8">
      <c r="A1707" s="21"/>
      <c r="B1707" s="22"/>
      <c r="C1707" s="22"/>
      <c r="D1707" s="22"/>
      <c r="E1707" s="23" t="str">
        <f>IF($D1707="","",IFERROR(VLOOKUP($D1707,'SAMA Consumables Tracker'!$A:$H,8,FALSE()),""))</f>
        <v/>
      </c>
      <c r="F1707" s="24"/>
      <c r="G1707" s="25" t="str">
        <f>IF($D1707="","",IFERROR(VLOOKUP($D1707,'SAMA Consumables Tracker'!$A:$D,4,FALSE()),""))</f>
        <v/>
      </c>
      <c r="H1707" s="22"/>
    </row>
    <row r="1708" spans="1:8">
      <c r="A1708" s="21"/>
      <c r="B1708" s="22"/>
      <c r="C1708" s="22"/>
      <c r="D1708" s="22"/>
      <c r="E1708" s="23" t="str">
        <f>IF($D1708="","",IFERROR(VLOOKUP($D1708,'SAMA Consumables Tracker'!$A:$H,8,FALSE()),""))</f>
        <v/>
      </c>
      <c r="F1708" s="24"/>
      <c r="G1708" s="25" t="str">
        <f>IF($D1708="","",IFERROR(VLOOKUP($D1708,'SAMA Consumables Tracker'!$A:$D,4,FALSE()),""))</f>
        <v/>
      </c>
      <c r="H1708" s="22"/>
    </row>
    <row r="1709" spans="1:8">
      <c r="A1709" s="21"/>
      <c r="B1709" s="22"/>
      <c r="C1709" s="22"/>
      <c r="D1709" s="22"/>
      <c r="E1709" s="23" t="str">
        <f>IF($D1709="","",IFERROR(VLOOKUP($D1709,'SAMA Consumables Tracker'!$A:$H,8,FALSE()),""))</f>
        <v/>
      </c>
      <c r="F1709" s="24"/>
      <c r="G1709" s="25" t="str">
        <f>IF($D1709="","",IFERROR(VLOOKUP($D1709,'SAMA Consumables Tracker'!$A:$D,4,FALSE()),""))</f>
        <v/>
      </c>
      <c r="H1709" s="22"/>
    </row>
    <row r="1710" spans="1:8">
      <c r="A1710" s="21"/>
      <c r="B1710" s="22"/>
      <c r="C1710" s="22"/>
      <c r="D1710" s="22"/>
      <c r="E1710" s="23" t="str">
        <f>IF($D1710="","",IFERROR(VLOOKUP($D1710,'SAMA Consumables Tracker'!$A:$H,8,FALSE()),""))</f>
        <v/>
      </c>
      <c r="F1710" s="24"/>
      <c r="G1710" s="25" t="str">
        <f>IF($D1710="","",IFERROR(VLOOKUP($D1710,'SAMA Consumables Tracker'!$A:$D,4,FALSE()),""))</f>
        <v/>
      </c>
      <c r="H1710" s="22"/>
    </row>
    <row r="1711" spans="1:8">
      <c r="A1711" s="21"/>
      <c r="B1711" s="22"/>
      <c r="C1711" s="22"/>
      <c r="D1711" s="22"/>
      <c r="E1711" s="23" t="str">
        <f>IF($D1711="","",IFERROR(VLOOKUP($D1711,'SAMA Consumables Tracker'!$A:$H,8,FALSE()),""))</f>
        <v/>
      </c>
      <c r="F1711" s="24"/>
      <c r="G1711" s="25" t="str">
        <f>IF($D1711="","",IFERROR(VLOOKUP($D1711,'SAMA Consumables Tracker'!$A:$D,4,FALSE()),""))</f>
        <v/>
      </c>
      <c r="H1711" s="22"/>
    </row>
    <row r="1712" spans="1:8">
      <c r="A1712" s="21"/>
      <c r="B1712" s="22"/>
      <c r="C1712" s="22"/>
      <c r="D1712" s="22"/>
      <c r="E1712" s="23" t="str">
        <f>IF($D1712="","",IFERROR(VLOOKUP($D1712,'SAMA Consumables Tracker'!$A:$H,8,FALSE()),""))</f>
        <v/>
      </c>
      <c r="F1712" s="24"/>
      <c r="G1712" s="25" t="str">
        <f>IF($D1712="","",IFERROR(VLOOKUP($D1712,'SAMA Consumables Tracker'!$A:$D,4,FALSE()),""))</f>
        <v/>
      </c>
      <c r="H1712" s="22"/>
    </row>
    <row r="1713" spans="1:8">
      <c r="A1713" s="21"/>
      <c r="B1713" s="22"/>
      <c r="C1713" s="22"/>
      <c r="D1713" s="22"/>
      <c r="E1713" s="23" t="str">
        <f>IF($D1713="","",IFERROR(VLOOKUP($D1713,'SAMA Consumables Tracker'!$A:$H,8,FALSE()),""))</f>
        <v/>
      </c>
      <c r="F1713" s="24"/>
      <c r="G1713" s="25" t="str">
        <f>IF($D1713="","",IFERROR(VLOOKUP($D1713,'SAMA Consumables Tracker'!$A:$D,4,FALSE()),""))</f>
        <v/>
      </c>
      <c r="H1713" s="22"/>
    </row>
    <row r="1714" spans="1:8">
      <c r="A1714" s="21"/>
      <c r="B1714" s="22"/>
      <c r="C1714" s="22"/>
      <c r="D1714" s="22"/>
      <c r="E1714" s="23" t="str">
        <f>IF($D1714="","",IFERROR(VLOOKUP($D1714,'SAMA Consumables Tracker'!$A:$H,8,FALSE()),""))</f>
        <v/>
      </c>
      <c r="F1714" s="24"/>
      <c r="G1714" s="25" t="str">
        <f>IF($D1714="","",IFERROR(VLOOKUP($D1714,'SAMA Consumables Tracker'!$A:$D,4,FALSE()),""))</f>
        <v/>
      </c>
      <c r="H1714" s="22"/>
    </row>
    <row r="1715" spans="1:8">
      <c r="A1715" s="21"/>
      <c r="B1715" s="22"/>
      <c r="C1715" s="22"/>
      <c r="D1715" s="22"/>
      <c r="E1715" s="23" t="str">
        <f>IF($D1715="","",IFERROR(VLOOKUP($D1715,'SAMA Consumables Tracker'!$A:$H,8,FALSE()),""))</f>
        <v/>
      </c>
      <c r="F1715" s="24"/>
      <c r="G1715" s="25" t="str">
        <f>IF($D1715="","",IFERROR(VLOOKUP($D1715,'SAMA Consumables Tracker'!$A:$D,4,FALSE()),""))</f>
        <v/>
      </c>
      <c r="H1715" s="22"/>
    </row>
    <row r="1716" spans="1:8">
      <c r="A1716" s="21"/>
      <c r="B1716" s="22"/>
      <c r="C1716" s="22"/>
      <c r="D1716" s="22"/>
      <c r="E1716" s="23" t="str">
        <f>IF($D1716="","",IFERROR(VLOOKUP($D1716,'SAMA Consumables Tracker'!$A:$H,8,FALSE()),""))</f>
        <v/>
      </c>
      <c r="F1716" s="24"/>
      <c r="G1716" s="25" t="str">
        <f>IF($D1716="","",IFERROR(VLOOKUP($D1716,'SAMA Consumables Tracker'!$A:$D,4,FALSE()),""))</f>
        <v/>
      </c>
      <c r="H1716" s="22"/>
    </row>
    <row r="1717" spans="1:8">
      <c r="A1717" s="21"/>
      <c r="B1717" s="22"/>
      <c r="C1717" s="22"/>
      <c r="D1717" s="22"/>
      <c r="E1717" s="23" t="str">
        <f>IF($D1717="","",IFERROR(VLOOKUP($D1717,'SAMA Consumables Tracker'!$A:$H,8,FALSE()),""))</f>
        <v/>
      </c>
      <c r="F1717" s="24"/>
      <c r="G1717" s="25" t="str">
        <f>IF($D1717="","",IFERROR(VLOOKUP($D1717,'SAMA Consumables Tracker'!$A:$D,4,FALSE()),""))</f>
        <v/>
      </c>
      <c r="H1717" s="22"/>
    </row>
    <row r="1718" spans="1:8">
      <c r="A1718" s="21"/>
      <c r="B1718" s="22"/>
      <c r="C1718" s="22"/>
      <c r="D1718" s="22"/>
      <c r="E1718" s="23" t="str">
        <f>IF($D1718="","",IFERROR(VLOOKUP($D1718,'SAMA Consumables Tracker'!$A:$H,8,FALSE()),""))</f>
        <v/>
      </c>
      <c r="F1718" s="24"/>
      <c r="G1718" s="25" t="str">
        <f>IF($D1718="","",IFERROR(VLOOKUP($D1718,'SAMA Consumables Tracker'!$A:$D,4,FALSE()),""))</f>
        <v/>
      </c>
      <c r="H1718" s="22"/>
    </row>
    <row r="1719" spans="1:8">
      <c r="A1719" s="21"/>
      <c r="B1719" s="22"/>
      <c r="C1719" s="22"/>
      <c r="D1719" s="22"/>
      <c r="E1719" s="23" t="str">
        <f>IF($D1719="","",IFERROR(VLOOKUP($D1719,'SAMA Consumables Tracker'!$A:$H,8,FALSE()),""))</f>
        <v/>
      </c>
      <c r="F1719" s="24"/>
      <c r="G1719" s="25" t="str">
        <f>IF($D1719="","",IFERROR(VLOOKUP($D1719,'SAMA Consumables Tracker'!$A:$D,4,FALSE()),""))</f>
        <v/>
      </c>
      <c r="H1719" s="22"/>
    </row>
    <row r="1720" spans="1:8">
      <c r="A1720" s="21"/>
      <c r="B1720" s="22"/>
      <c r="C1720" s="22"/>
      <c r="D1720" s="22"/>
      <c r="E1720" s="23" t="str">
        <f>IF($D1720="","",IFERROR(VLOOKUP($D1720,'SAMA Consumables Tracker'!$A:$H,8,FALSE()),""))</f>
        <v/>
      </c>
      <c r="F1720" s="24"/>
      <c r="G1720" s="25" t="str">
        <f>IF($D1720="","",IFERROR(VLOOKUP($D1720,'SAMA Consumables Tracker'!$A:$D,4,FALSE()),""))</f>
        <v/>
      </c>
      <c r="H1720" s="22"/>
    </row>
    <row r="1721" spans="1:8">
      <c r="A1721" s="21"/>
      <c r="B1721" s="22"/>
      <c r="C1721" s="22"/>
      <c r="D1721" s="22"/>
      <c r="E1721" s="23" t="str">
        <f>IF($D1721="","",IFERROR(VLOOKUP($D1721,'SAMA Consumables Tracker'!$A:$H,8,FALSE()),""))</f>
        <v/>
      </c>
      <c r="F1721" s="24"/>
      <c r="G1721" s="25" t="str">
        <f>IF($D1721="","",IFERROR(VLOOKUP($D1721,'SAMA Consumables Tracker'!$A:$D,4,FALSE()),""))</f>
        <v/>
      </c>
      <c r="H1721" s="22"/>
    </row>
    <row r="1722" spans="1:8">
      <c r="A1722" s="21"/>
      <c r="B1722" s="22"/>
      <c r="C1722" s="22"/>
      <c r="D1722" s="22"/>
      <c r="E1722" s="23" t="str">
        <f>IF($D1722="","",IFERROR(VLOOKUP($D1722,'SAMA Consumables Tracker'!$A:$H,8,FALSE()),""))</f>
        <v/>
      </c>
      <c r="F1722" s="24"/>
      <c r="G1722" s="25" t="str">
        <f>IF($D1722="","",IFERROR(VLOOKUP($D1722,'SAMA Consumables Tracker'!$A:$D,4,FALSE()),""))</f>
        <v/>
      </c>
      <c r="H1722" s="22"/>
    </row>
    <row r="1723" spans="1:8">
      <c r="A1723" s="21"/>
      <c r="B1723" s="22"/>
      <c r="C1723" s="22"/>
      <c r="D1723" s="22"/>
      <c r="E1723" s="23" t="str">
        <f>IF($D1723="","",IFERROR(VLOOKUP($D1723,'SAMA Consumables Tracker'!$A:$H,8,FALSE()),""))</f>
        <v/>
      </c>
      <c r="F1723" s="24"/>
      <c r="G1723" s="25" t="str">
        <f>IF($D1723="","",IFERROR(VLOOKUP($D1723,'SAMA Consumables Tracker'!$A:$D,4,FALSE()),""))</f>
        <v/>
      </c>
      <c r="H1723" s="22"/>
    </row>
    <row r="1724" spans="1:8">
      <c r="A1724" s="21"/>
      <c r="B1724" s="22"/>
      <c r="C1724" s="22"/>
      <c r="D1724" s="22"/>
      <c r="E1724" s="23" t="str">
        <f>IF($D1724="","",IFERROR(VLOOKUP($D1724,'SAMA Consumables Tracker'!$A:$H,8,FALSE()),""))</f>
        <v/>
      </c>
      <c r="F1724" s="24"/>
      <c r="G1724" s="25" t="str">
        <f>IF($D1724="","",IFERROR(VLOOKUP($D1724,'SAMA Consumables Tracker'!$A:$D,4,FALSE()),""))</f>
        <v/>
      </c>
      <c r="H1724" s="22"/>
    </row>
    <row r="1725" spans="1:8">
      <c r="A1725" s="21"/>
      <c r="B1725" s="22"/>
      <c r="C1725" s="22"/>
      <c r="D1725" s="22"/>
      <c r="E1725" s="23" t="str">
        <f>IF($D1725="","",IFERROR(VLOOKUP($D1725,'SAMA Consumables Tracker'!$A:$H,8,FALSE()),""))</f>
        <v/>
      </c>
      <c r="F1725" s="24"/>
      <c r="G1725" s="25" t="str">
        <f>IF($D1725="","",IFERROR(VLOOKUP($D1725,'SAMA Consumables Tracker'!$A:$D,4,FALSE()),""))</f>
        <v/>
      </c>
      <c r="H1725" s="22"/>
    </row>
    <row r="1726" spans="1:8">
      <c r="A1726" s="21"/>
      <c r="B1726" s="22"/>
      <c r="C1726" s="22"/>
      <c r="D1726" s="22"/>
      <c r="E1726" s="23" t="str">
        <f>IF($D1726="","",IFERROR(VLOOKUP($D1726,'SAMA Consumables Tracker'!$A:$H,8,FALSE()),""))</f>
        <v/>
      </c>
      <c r="F1726" s="24"/>
      <c r="G1726" s="25" t="str">
        <f>IF($D1726="","",IFERROR(VLOOKUP($D1726,'SAMA Consumables Tracker'!$A:$D,4,FALSE()),""))</f>
        <v/>
      </c>
      <c r="H1726" s="22"/>
    </row>
    <row r="1727" spans="1:8">
      <c r="A1727" s="21"/>
      <c r="B1727" s="22"/>
      <c r="C1727" s="22"/>
      <c r="D1727" s="22"/>
      <c r="E1727" s="23" t="str">
        <f>IF($D1727="","",IFERROR(VLOOKUP($D1727,'SAMA Consumables Tracker'!$A:$H,8,FALSE()),""))</f>
        <v/>
      </c>
      <c r="F1727" s="24"/>
      <c r="G1727" s="25" t="str">
        <f>IF($D1727="","",IFERROR(VLOOKUP($D1727,'SAMA Consumables Tracker'!$A:$D,4,FALSE()),""))</f>
        <v/>
      </c>
      <c r="H1727" s="22"/>
    </row>
    <row r="1728" spans="1:8">
      <c r="A1728" s="21"/>
      <c r="B1728" s="22"/>
      <c r="C1728" s="22"/>
      <c r="D1728" s="22"/>
      <c r="E1728" s="23" t="str">
        <f>IF($D1728="","",IFERROR(VLOOKUP($D1728,'SAMA Consumables Tracker'!$A:$H,8,FALSE()),""))</f>
        <v/>
      </c>
      <c r="F1728" s="24"/>
      <c r="G1728" s="25" t="str">
        <f>IF($D1728="","",IFERROR(VLOOKUP($D1728,'SAMA Consumables Tracker'!$A:$D,4,FALSE()),""))</f>
        <v/>
      </c>
      <c r="H1728" s="22"/>
    </row>
    <row r="1729" spans="1:8">
      <c r="A1729" s="21"/>
      <c r="B1729" s="22"/>
      <c r="C1729" s="22"/>
      <c r="D1729" s="22"/>
      <c r="E1729" s="23" t="str">
        <f>IF($D1729="","",IFERROR(VLOOKUP($D1729,'SAMA Consumables Tracker'!$A:$H,8,FALSE()),""))</f>
        <v/>
      </c>
      <c r="F1729" s="24"/>
      <c r="G1729" s="25" t="str">
        <f>IF($D1729="","",IFERROR(VLOOKUP($D1729,'SAMA Consumables Tracker'!$A:$D,4,FALSE()),""))</f>
        <v/>
      </c>
      <c r="H1729" s="22"/>
    </row>
    <row r="1730" spans="1:8">
      <c r="A1730" s="21"/>
      <c r="B1730" s="22"/>
      <c r="C1730" s="22"/>
      <c r="D1730" s="22"/>
      <c r="E1730" s="23" t="str">
        <f>IF($D1730="","",IFERROR(VLOOKUP($D1730,'SAMA Consumables Tracker'!$A:$H,8,FALSE()),""))</f>
        <v/>
      </c>
      <c r="F1730" s="24"/>
      <c r="G1730" s="25" t="str">
        <f>IF($D1730="","",IFERROR(VLOOKUP($D1730,'SAMA Consumables Tracker'!$A:$D,4,FALSE()),""))</f>
        <v/>
      </c>
      <c r="H1730" s="22"/>
    </row>
    <row r="1731" spans="1:8">
      <c r="A1731" s="21"/>
      <c r="B1731" s="22"/>
      <c r="C1731" s="22"/>
      <c r="D1731" s="22"/>
      <c r="E1731" s="23" t="str">
        <f>IF($D1731="","",IFERROR(VLOOKUP($D1731,'SAMA Consumables Tracker'!$A:$H,8,FALSE()),""))</f>
        <v/>
      </c>
      <c r="F1731" s="24"/>
      <c r="G1731" s="25" t="str">
        <f>IF($D1731="","",IFERROR(VLOOKUP($D1731,'SAMA Consumables Tracker'!$A:$D,4,FALSE()),""))</f>
        <v/>
      </c>
      <c r="H1731" s="22"/>
    </row>
    <row r="1732" spans="1:8">
      <c r="A1732" s="21"/>
      <c r="B1732" s="22"/>
      <c r="C1732" s="22"/>
      <c r="D1732" s="22"/>
      <c r="E1732" s="23" t="str">
        <f>IF($D1732="","",IFERROR(VLOOKUP($D1732,'SAMA Consumables Tracker'!$A:$H,8,FALSE()),""))</f>
        <v/>
      </c>
      <c r="F1732" s="24"/>
      <c r="G1732" s="25" t="str">
        <f>IF($D1732="","",IFERROR(VLOOKUP($D1732,'SAMA Consumables Tracker'!$A:$D,4,FALSE()),""))</f>
        <v/>
      </c>
      <c r="H1732" s="22"/>
    </row>
    <row r="1733" spans="1:8">
      <c r="A1733" s="21"/>
      <c r="B1733" s="22"/>
      <c r="C1733" s="22"/>
      <c r="D1733" s="22"/>
      <c r="E1733" s="23" t="str">
        <f>IF($D1733="","",IFERROR(VLOOKUP($D1733,'SAMA Consumables Tracker'!$A:$H,8,FALSE()),""))</f>
        <v/>
      </c>
      <c r="F1733" s="24"/>
      <c r="G1733" s="25" t="str">
        <f>IF($D1733="","",IFERROR(VLOOKUP($D1733,'SAMA Consumables Tracker'!$A:$D,4,FALSE()),""))</f>
        <v/>
      </c>
      <c r="H1733" s="22"/>
    </row>
    <row r="1734" spans="1:8">
      <c r="A1734" s="21"/>
      <c r="B1734" s="22"/>
      <c r="C1734" s="22"/>
      <c r="D1734" s="22"/>
      <c r="E1734" s="23" t="str">
        <f>IF($D1734="","",IFERROR(VLOOKUP($D1734,'SAMA Consumables Tracker'!$A:$H,8,FALSE()),""))</f>
        <v/>
      </c>
      <c r="F1734" s="24"/>
      <c r="G1734" s="25" t="str">
        <f>IF($D1734="","",IFERROR(VLOOKUP($D1734,'SAMA Consumables Tracker'!$A:$D,4,FALSE()),""))</f>
        <v/>
      </c>
      <c r="H1734" s="22"/>
    </row>
    <row r="1735" spans="1:8">
      <c r="A1735" s="21"/>
      <c r="B1735" s="22"/>
      <c r="C1735" s="22"/>
      <c r="D1735" s="22"/>
      <c r="E1735" s="23" t="str">
        <f>IF($D1735="","",IFERROR(VLOOKUP($D1735,'SAMA Consumables Tracker'!$A:$H,8,FALSE()),""))</f>
        <v/>
      </c>
      <c r="F1735" s="24"/>
      <c r="G1735" s="25" t="str">
        <f>IF($D1735="","",IFERROR(VLOOKUP($D1735,'SAMA Consumables Tracker'!$A:$D,4,FALSE()),""))</f>
        <v/>
      </c>
      <c r="H1735" s="22"/>
    </row>
    <row r="1736" spans="1:8">
      <c r="A1736" s="21"/>
      <c r="B1736" s="22"/>
      <c r="C1736" s="22"/>
      <c r="D1736" s="22"/>
      <c r="E1736" s="23" t="str">
        <f>IF($D1736="","",IFERROR(VLOOKUP($D1736,'SAMA Consumables Tracker'!$A:$H,8,FALSE()),""))</f>
        <v/>
      </c>
      <c r="F1736" s="24"/>
      <c r="G1736" s="25" t="str">
        <f>IF($D1736="","",IFERROR(VLOOKUP($D1736,'SAMA Consumables Tracker'!$A:$D,4,FALSE()),""))</f>
        <v/>
      </c>
      <c r="H1736" s="22"/>
    </row>
    <row r="1737" spans="1:8">
      <c r="A1737" s="21"/>
      <c r="B1737" s="22"/>
      <c r="C1737" s="22"/>
      <c r="D1737" s="22"/>
      <c r="E1737" s="23" t="str">
        <f>IF($D1737="","",IFERROR(VLOOKUP($D1737,'SAMA Consumables Tracker'!$A:$H,8,FALSE()),""))</f>
        <v/>
      </c>
      <c r="F1737" s="24"/>
      <c r="G1737" s="25" t="str">
        <f>IF($D1737="","",IFERROR(VLOOKUP($D1737,'SAMA Consumables Tracker'!$A:$D,4,FALSE()),""))</f>
        <v/>
      </c>
      <c r="H1737" s="22"/>
    </row>
    <row r="1738" spans="1:8">
      <c r="A1738" s="21"/>
      <c r="B1738" s="22"/>
      <c r="C1738" s="22"/>
      <c r="D1738" s="22"/>
      <c r="E1738" s="23" t="str">
        <f>IF($D1738="","",IFERROR(VLOOKUP($D1738,'SAMA Consumables Tracker'!$A:$H,8,FALSE()),""))</f>
        <v/>
      </c>
      <c r="F1738" s="24"/>
      <c r="G1738" s="25" t="str">
        <f>IF($D1738="","",IFERROR(VLOOKUP($D1738,'SAMA Consumables Tracker'!$A:$D,4,FALSE()),""))</f>
        <v/>
      </c>
      <c r="H1738" s="22"/>
    </row>
    <row r="1739" spans="1:8">
      <c r="A1739" s="21"/>
      <c r="B1739" s="22"/>
      <c r="C1739" s="22"/>
      <c r="D1739" s="22"/>
      <c r="E1739" s="23" t="str">
        <f>IF($D1739="","",IFERROR(VLOOKUP($D1739,'SAMA Consumables Tracker'!$A:$H,8,FALSE()),""))</f>
        <v/>
      </c>
      <c r="F1739" s="24"/>
      <c r="G1739" s="25" t="str">
        <f>IF($D1739="","",IFERROR(VLOOKUP($D1739,'SAMA Consumables Tracker'!$A:$D,4,FALSE()),""))</f>
        <v/>
      </c>
      <c r="H1739" s="22"/>
    </row>
    <row r="1740" spans="1:8">
      <c r="A1740" s="21"/>
      <c r="B1740" s="22"/>
      <c r="C1740" s="22"/>
      <c r="D1740" s="22"/>
      <c r="E1740" s="23" t="str">
        <f>IF($D1740="","",IFERROR(VLOOKUP($D1740,'SAMA Consumables Tracker'!$A:$H,8,FALSE()),""))</f>
        <v/>
      </c>
      <c r="F1740" s="24"/>
      <c r="G1740" s="25" t="str">
        <f>IF($D1740="","",IFERROR(VLOOKUP($D1740,'SAMA Consumables Tracker'!$A:$D,4,FALSE()),""))</f>
        <v/>
      </c>
      <c r="H1740" s="22"/>
    </row>
    <row r="1741" spans="1:8">
      <c r="A1741" s="21"/>
      <c r="B1741" s="22"/>
      <c r="C1741" s="22"/>
      <c r="D1741" s="22"/>
      <c r="E1741" s="23" t="str">
        <f>IF($D1741="","",IFERROR(VLOOKUP($D1741,'SAMA Consumables Tracker'!$A:$H,8,FALSE()),""))</f>
        <v/>
      </c>
      <c r="F1741" s="24"/>
      <c r="G1741" s="25" t="str">
        <f>IF($D1741="","",IFERROR(VLOOKUP($D1741,'SAMA Consumables Tracker'!$A:$D,4,FALSE()),""))</f>
        <v/>
      </c>
      <c r="H1741" s="22"/>
    </row>
    <row r="1742" spans="1:8">
      <c r="A1742" s="21"/>
      <c r="B1742" s="22"/>
      <c r="C1742" s="22"/>
      <c r="D1742" s="22"/>
      <c r="E1742" s="23" t="str">
        <f>IF($D1742="","",IFERROR(VLOOKUP($D1742,'SAMA Consumables Tracker'!$A:$H,8,FALSE()),""))</f>
        <v/>
      </c>
      <c r="F1742" s="24"/>
      <c r="G1742" s="25" t="str">
        <f>IF($D1742="","",IFERROR(VLOOKUP($D1742,'SAMA Consumables Tracker'!$A:$D,4,FALSE()),""))</f>
        <v/>
      </c>
      <c r="H1742" s="22"/>
    </row>
    <row r="1743" spans="1:8">
      <c r="A1743" s="21"/>
      <c r="B1743" s="22"/>
      <c r="C1743" s="22"/>
      <c r="D1743" s="22"/>
      <c r="E1743" s="23" t="str">
        <f>IF($D1743="","",IFERROR(VLOOKUP($D1743,'SAMA Consumables Tracker'!$A:$H,8,FALSE()),""))</f>
        <v/>
      </c>
      <c r="F1743" s="24"/>
      <c r="G1743" s="25" t="str">
        <f>IF($D1743="","",IFERROR(VLOOKUP($D1743,'SAMA Consumables Tracker'!$A:$D,4,FALSE()),""))</f>
        <v/>
      </c>
      <c r="H1743" s="22"/>
    </row>
    <row r="1744" spans="1:8">
      <c r="A1744" s="21"/>
      <c r="B1744" s="22"/>
      <c r="C1744" s="22"/>
      <c r="D1744" s="22"/>
      <c r="E1744" s="23" t="str">
        <f>IF($D1744="","",IFERROR(VLOOKUP($D1744,'SAMA Consumables Tracker'!$A:$H,8,FALSE()),""))</f>
        <v/>
      </c>
      <c r="F1744" s="24"/>
      <c r="G1744" s="25" t="str">
        <f>IF($D1744="","",IFERROR(VLOOKUP($D1744,'SAMA Consumables Tracker'!$A:$D,4,FALSE()),""))</f>
        <v/>
      </c>
      <c r="H1744" s="22"/>
    </row>
    <row r="1745" spans="1:8">
      <c r="A1745" s="21"/>
      <c r="B1745" s="22"/>
      <c r="C1745" s="22"/>
      <c r="D1745" s="22"/>
      <c r="E1745" s="23" t="str">
        <f>IF($D1745="","",IFERROR(VLOOKUP($D1745,'SAMA Consumables Tracker'!$A:$H,8,FALSE()),""))</f>
        <v/>
      </c>
      <c r="F1745" s="24"/>
      <c r="G1745" s="25" t="str">
        <f>IF($D1745="","",IFERROR(VLOOKUP($D1745,'SAMA Consumables Tracker'!$A:$D,4,FALSE()),""))</f>
        <v/>
      </c>
      <c r="H1745" s="22"/>
    </row>
    <row r="1746" spans="1:8">
      <c r="A1746" s="21"/>
      <c r="B1746" s="22"/>
      <c r="C1746" s="22"/>
      <c r="D1746" s="22"/>
      <c r="E1746" s="23" t="str">
        <f>IF($D1746="","",IFERROR(VLOOKUP($D1746,'SAMA Consumables Tracker'!$A:$H,8,FALSE()),""))</f>
        <v/>
      </c>
      <c r="F1746" s="24"/>
      <c r="G1746" s="25" t="str">
        <f>IF($D1746="","",IFERROR(VLOOKUP($D1746,'SAMA Consumables Tracker'!$A:$D,4,FALSE()),""))</f>
        <v/>
      </c>
      <c r="H1746" s="22"/>
    </row>
    <row r="1747" spans="1:8">
      <c r="A1747" s="21"/>
      <c r="B1747" s="22"/>
      <c r="C1747" s="22"/>
      <c r="D1747" s="22"/>
      <c r="E1747" s="23" t="str">
        <f>IF($D1747="","",IFERROR(VLOOKUP($D1747,'SAMA Consumables Tracker'!$A:$H,8,FALSE()),""))</f>
        <v/>
      </c>
      <c r="F1747" s="24"/>
      <c r="G1747" s="25" t="str">
        <f>IF($D1747="","",IFERROR(VLOOKUP($D1747,'SAMA Consumables Tracker'!$A:$D,4,FALSE()),""))</f>
        <v/>
      </c>
      <c r="H1747" s="22"/>
    </row>
    <row r="1748" spans="1:8">
      <c r="A1748" s="21"/>
      <c r="B1748" s="22"/>
      <c r="C1748" s="22"/>
      <c r="D1748" s="22"/>
      <c r="E1748" s="23" t="str">
        <f>IF($D1748="","",IFERROR(VLOOKUP($D1748,'SAMA Consumables Tracker'!$A:$H,8,FALSE()),""))</f>
        <v/>
      </c>
      <c r="F1748" s="24"/>
      <c r="G1748" s="25" t="str">
        <f>IF($D1748="","",IFERROR(VLOOKUP($D1748,'SAMA Consumables Tracker'!$A:$D,4,FALSE()),""))</f>
        <v/>
      </c>
      <c r="H1748" s="22"/>
    </row>
    <row r="1749" spans="1:8">
      <c r="A1749" s="21"/>
      <c r="B1749" s="22"/>
      <c r="C1749" s="22"/>
      <c r="D1749" s="22"/>
      <c r="E1749" s="23" t="str">
        <f>IF($D1749="","",IFERROR(VLOOKUP($D1749,'SAMA Consumables Tracker'!$A:$H,8,FALSE()),""))</f>
        <v/>
      </c>
      <c r="F1749" s="24"/>
      <c r="G1749" s="25" t="str">
        <f>IF($D1749="","",IFERROR(VLOOKUP($D1749,'SAMA Consumables Tracker'!$A:$D,4,FALSE()),""))</f>
        <v/>
      </c>
      <c r="H1749" s="22"/>
    </row>
    <row r="1750" spans="1:8">
      <c r="A1750" s="21"/>
      <c r="B1750" s="22"/>
      <c r="C1750" s="22"/>
      <c r="D1750" s="22"/>
      <c r="E1750" s="23" t="str">
        <f>IF($D1750="","",IFERROR(VLOOKUP($D1750,'SAMA Consumables Tracker'!$A:$H,8,FALSE()),""))</f>
        <v/>
      </c>
      <c r="F1750" s="24"/>
      <c r="G1750" s="25" t="str">
        <f>IF($D1750="","",IFERROR(VLOOKUP($D1750,'SAMA Consumables Tracker'!$A:$D,4,FALSE()),""))</f>
        <v/>
      </c>
      <c r="H1750" s="22"/>
    </row>
    <row r="1751" spans="1:8">
      <c r="A1751" s="21"/>
      <c r="B1751" s="22"/>
      <c r="C1751" s="22"/>
      <c r="D1751" s="22"/>
      <c r="E1751" s="23" t="str">
        <f>IF($D1751="","",IFERROR(VLOOKUP($D1751,'SAMA Consumables Tracker'!$A:$H,8,FALSE()),""))</f>
        <v/>
      </c>
      <c r="F1751" s="24"/>
      <c r="G1751" s="25" t="str">
        <f>IF($D1751="","",IFERROR(VLOOKUP($D1751,'SAMA Consumables Tracker'!$A:$D,4,FALSE()),""))</f>
        <v/>
      </c>
      <c r="H1751" s="22"/>
    </row>
    <row r="1752" spans="1:8">
      <c r="A1752" s="21"/>
      <c r="B1752" s="22"/>
      <c r="C1752" s="22"/>
      <c r="D1752" s="22"/>
      <c r="E1752" s="23" t="str">
        <f>IF($D1752="","",IFERROR(VLOOKUP($D1752,'SAMA Consumables Tracker'!$A:$H,8,FALSE()),""))</f>
        <v/>
      </c>
      <c r="F1752" s="24"/>
      <c r="G1752" s="25" t="str">
        <f>IF($D1752="","",IFERROR(VLOOKUP($D1752,'SAMA Consumables Tracker'!$A:$D,4,FALSE()),""))</f>
        <v/>
      </c>
      <c r="H1752" s="22"/>
    </row>
    <row r="1753" spans="1:8">
      <c r="A1753" s="21"/>
      <c r="B1753" s="22"/>
      <c r="C1753" s="22"/>
      <c r="D1753" s="22"/>
      <c r="E1753" s="23" t="str">
        <f>IF($D1753="","",IFERROR(VLOOKUP($D1753,'SAMA Consumables Tracker'!$A:$H,8,FALSE()),""))</f>
        <v/>
      </c>
      <c r="F1753" s="24"/>
      <c r="G1753" s="25" t="str">
        <f>IF($D1753="","",IFERROR(VLOOKUP($D1753,'SAMA Consumables Tracker'!$A:$D,4,FALSE()),""))</f>
        <v/>
      </c>
      <c r="H1753" s="22"/>
    </row>
    <row r="1754" spans="1:8">
      <c r="A1754" s="21"/>
      <c r="B1754" s="22"/>
      <c r="C1754" s="22"/>
      <c r="D1754" s="22"/>
      <c r="E1754" s="23" t="str">
        <f>IF($D1754="","",IFERROR(VLOOKUP($D1754,'SAMA Consumables Tracker'!$A:$H,8,FALSE()),""))</f>
        <v/>
      </c>
      <c r="F1754" s="24"/>
      <c r="G1754" s="25" t="str">
        <f>IF($D1754="","",IFERROR(VLOOKUP($D1754,'SAMA Consumables Tracker'!$A:$D,4,FALSE()),""))</f>
        <v/>
      </c>
      <c r="H1754" s="22"/>
    </row>
    <row r="1755" spans="1:8">
      <c r="A1755" s="21"/>
      <c r="B1755" s="22"/>
      <c r="C1755" s="22"/>
      <c r="D1755" s="22"/>
      <c r="E1755" s="23" t="str">
        <f>IF($D1755="","",IFERROR(VLOOKUP($D1755,'SAMA Consumables Tracker'!$A:$H,8,FALSE()),""))</f>
        <v/>
      </c>
      <c r="F1755" s="24"/>
      <c r="G1755" s="25" t="str">
        <f>IF($D1755="","",IFERROR(VLOOKUP($D1755,'SAMA Consumables Tracker'!$A:$D,4,FALSE()),""))</f>
        <v/>
      </c>
      <c r="H1755" s="22"/>
    </row>
    <row r="1756" spans="1:8">
      <c r="A1756" s="21"/>
      <c r="B1756" s="22"/>
      <c r="C1756" s="22"/>
      <c r="D1756" s="22"/>
      <c r="E1756" s="23" t="str">
        <f>IF($D1756="","",IFERROR(VLOOKUP($D1756,'SAMA Consumables Tracker'!$A:$H,8,FALSE()),""))</f>
        <v/>
      </c>
      <c r="F1756" s="24"/>
      <c r="G1756" s="25" t="str">
        <f>IF($D1756="","",IFERROR(VLOOKUP($D1756,'SAMA Consumables Tracker'!$A:$D,4,FALSE()),""))</f>
        <v/>
      </c>
      <c r="H1756" s="22"/>
    </row>
    <row r="1757" spans="1:8">
      <c r="A1757" s="21"/>
      <c r="B1757" s="22"/>
      <c r="C1757" s="22"/>
      <c r="D1757" s="22"/>
      <c r="E1757" s="23" t="str">
        <f>IF($D1757="","",IFERROR(VLOOKUP($D1757,'SAMA Consumables Tracker'!$A:$H,8,FALSE()),""))</f>
        <v/>
      </c>
      <c r="F1757" s="24"/>
      <c r="G1757" s="25" t="str">
        <f>IF($D1757="","",IFERROR(VLOOKUP($D1757,'SAMA Consumables Tracker'!$A:$D,4,FALSE()),""))</f>
        <v/>
      </c>
      <c r="H1757" s="22"/>
    </row>
    <row r="1758" spans="1:8">
      <c r="A1758" s="21"/>
      <c r="B1758" s="22"/>
      <c r="C1758" s="22"/>
      <c r="D1758" s="22"/>
      <c r="E1758" s="23" t="str">
        <f>IF($D1758="","",IFERROR(VLOOKUP($D1758,'SAMA Consumables Tracker'!$A:$H,8,FALSE()),""))</f>
        <v/>
      </c>
      <c r="F1758" s="24"/>
      <c r="G1758" s="25" t="str">
        <f>IF($D1758="","",IFERROR(VLOOKUP($D1758,'SAMA Consumables Tracker'!$A:$D,4,FALSE()),""))</f>
        <v/>
      </c>
      <c r="H1758" s="22"/>
    </row>
    <row r="1759" spans="1:8">
      <c r="A1759" s="21"/>
      <c r="B1759" s="22"/>
      <c r="C1759" s="22"/>
      <c r="D1759" s="22"/>
      <c r="E1759" s="23" t="str">
        <f>IF($D1759="","",IFERROR(VLOOKUP($D1759,'SAMA Consumables Tracker'!$A:$H,8,FALSE()),""))</f>
        <v/>
      </c>
      <c r="F1759" s="24"/>
      <c r="G1759" s="25" t="str">
        <f>IF($D1759="","",IFERROR(VLOOKUP($D1759,'SAMA Consumables Tracker'!$A:$D,4,FALSE()),""))</f>
        <v/>
      </c>
      <c r="H1759" s="22"/>
    </row>
    <row r="1760" spans="1:8">
      <c r="A1760" s="21"/>
      <c r="B1760" s="22"/>
      <c r="C1760" s="22"/>
      <c r="D1760" s="22"/>
      <c r="E1760" s="23" t="str">
        <f>IF($D1760="","",IFERROR(VLOOKUP($D1760,'SAMA Consumables Tracker'!$A:$H,8,FALSE()),""))</f>
        <v/>
      </c>
      <c r="F1760" s="24"/>
      <c r="G1760" s="25" t="str">
        <f>IF($D1760="","",IFERROR(VLOOKUP($D1760,'SAMA Consumables Tracker'!$A:$D,4,FALSE()),""))</f>
        <v/>
      </c>
      <c r="H1760" s="22"/>
    </row>
    <row r="1761" spans="1:8">
      <c r="A1761" s="21"/>
      <c r="B1761" s="22"/>
      <c r="C1761" s="22"/>
      <c r="D1761" s="22"/>
      <c r="E1761" s="23" t="str">
        <f>IF($D1761="","",IFERROR(VLOOKUP($D1761,'SAMA Consumables Tracker'!$A:$H,8,FALSE()),""))</f>
        <v/>
      </c>
      <c r="F1761" s="24"/>
      <c r="G1761" s="25" t="str">
        <f>IF($D1761="","",IFERROR(VLOOKUP($D1761,'SAMA Consumables Tracker'!$A:$D,4,FALSE()),""))</f>
        <v/>
      </c>
      <c r="H1761" s="22"/>
    </row>
    <row r="1762" spans="1:8">
      <c r="A1762" s="21"/>
      <c r="B1762" s="22"/>
      <c r="C1762" s="22"/>
      <c r="D1762" s="22"/>
      <c r="E1762" s="23" t="str">
        <f>IF($D1762="","",IFERROR(VLOOKUP($D1762,'SAMA Consumables Tracker'!$A:$H,8,FALSE()),""))</f>
        <v/>
      </c>
      <c r="F1762" s="24"/>
      <c r="G1762" s="25" t="str">
        <f>IF($D1762="","",IFERROR(VLOOKUP($D1762,'SAMA Consumables Tracker'!$A:$D,4,FALSE()),""))</f>
        <v/>
      </c>
      <c r="H1762" s="22"/>
    </row>
    <row r="1763" spans="1:8">
      <c r="A1763" s="21"/>
      <c r="B1763" s="22"/>
      <c r="C1763" s="22"/>
      <c r="D1763" s="22"/>
      <c r="E1763" s="23" t="str">
        <f>IF($D1763="","",IFERROR(VLOOKUP($D1763,'SAMA Consumables Tracker'!$A:$H,8,FALSE()),""))</f>
        <v/>
      </c>
      <c r="F1763" s="24"/>
      <c r="G1763" s="25" t="str">
        <f>IF($D1763="","",IFERROR(VLOOKUP($D1763,'SAMA Consumables Tracker'!$A:$D,4,FALSE()),""))</f>
        <v/>
      </c>
      <c r="H1763" s="22"/>
    </row>
    <row r="1764" spans="1:8">
      <c r="A1764" s="21"/>
      <c r="B1764" s="22"/>
      <c r="C1764" s="22"/>
      <c r="D1764" s="22"/>
      <c r="E1764" s="23" t="str">
        <f>IF($D1764="","",IFERROR(VLOOKUP($D1764,'SAMA Consumables Tracker'!$A:$H,8,FALSE()),""))</f>
        <v/>
      </c>
      <c r="F1764" s="24"/>
      <c r="G1764" s="25" t="str">
        <f>IF($D1764="","",IFERROR(VLOOKUP($D1764,'SAMA Consumables Tracker'!$A:$D,4,FALSE()),""))</f>
        <v/>
      </c>
      <c r="H1764" s="22"/>
    </row>
    <row r="1765" spans="1:8">
      <c r="A1765" s="21"/>
      <c r="B1765" s="22"/>
      <c r="C1765" s="22"/>
      <c r="D1765" s="22"/>
      <c r="E1765" s="23" t="str">
        <f>IF($D1765="","",IFERROR(VLOOKUP($D1765,'SAMA Consumables Tracker'!$A:$H,8,FALSE()),""))</f>
        <v/>
      </c>
      <c r="F1765" s="24"/>
      <c r="G1765" s="25" t="str">
        <f>IF($D1765="","",IFERROR(VLOOKUP($D1765,'SAMA Consumables Tracker'!$A:$D,4,FALSE()),""))</f>
        <v/>
      </c>
      <c r="H1765" s="22"/>
    </row>
    <row r="1766" spans="1:8">
      <c r="A1766" s="21"/>
      <c r="B1766" s="22"/>
      <c r="C1766" s="22"/>
      <c r="D1766" s="22"/>
      <c r="E1766" s="23" t="str">
        <f>IF($D1766="","",IFERROR(VLOOKUP($D1766,'SAMA Consumables Tracker'!$A:$H,8,FALSE()),""))</f>
        <v/>
      </c>
      <c r="F1766" s="24"/>
      <c r="G1766" s="25" t="str">
        <f>IF($D1766="","",IFERROR(VLOOKUP($D1766,'SAMA Consumables Tracker'!$A:$D,4,FALSE()),""))</f>
        <v/>
      </c>
      <c r="H1766" s="22"/>
    </row>
    <row r="1767" spans="1:8">
      <c r="A1767" s="21"/>
      <c r="B1767" s="22"/>
      <c r="C1767" s="22"/>
      <c r="D1767" s="22"/>
      <c r="E1767" s="23" t="str">
        <f>IF($D1767="","",IFERROR(VLOOKUP($D1767,'SAMA Consumables Tracker'!$A:$H,8,FALSE()),""))</f>
        <v/>
      </c>
      <c r="F1767" s="24"/>
      <c r="G1767" s="25" t="str">
        <f>IF($D1767="","",IFERROR(VLOOKUP($D1767,'SAMA Consumables Tracker'!$A:$D,4,FALSE()),""))</f>
        <v/>
      </c>
      <c r="H1767" s="22"/>
    </row>
    <row r="1768" spans="1:8">
      <c r="A1768" s="21"/>
      <c r="B1768" s="22"/>
      <c r="C1768" s="22"/>
      <c r="D1768" s="22"/>
      <c r="E1768" s="23" t="str">
        <f>IF($D1768="","",IFERROR(VLOOKUP($D1768,'SAMA Consumables Tracker'!$A:$H,8,FALSE()),""))</f>
        <v/>
      </c>
      <c r="F1768" s="24"/>
      <c r="G1768" s="25" t="str">
        <f>IF($D1768="","",IFERROR(VLOOKUP($D1768,'SAMA Consumables Tracker'!$A:$D,4,FALSE()),""))</f>
        <v/>
      </c>
      <c r="H1768" s="22"/>
    </row>
    <row r="1769" spans="1:8">
      <c r="A1769" s="21"/>
      <c r="B1769" s="22"/>
      <c r="C1769" s="22"/>
      <c r="D1769" s="22"/>
      <c r="E1769" s="23" t="str">
        <f>IF($D1769="","",IFERROR(VLOOKUP($D1769,'SAMA Consumables Tracker'!$A:$H,8,FALSE()),""))</f>
        <v/>
      </c>
      <c r="F1769" s="24"/>
      <c r="G1769" s="25" t="str">
        <f>IF($D1769="","",IFERROR(VLOOKUP($D1769,'SAMA Consumables Tracker'!$A:$D,4,FALSE()),""))</f>
        <v/>
      </c>
      <c r="H1769" s="22"/>
    </row>
    <row r="1770" spans="1:8">
      <c r="A1770" s="21"/>
      <c r="B1770" s="22"/>
      <c r="C1770" s="22"/>
      <c r="D1770" s="22"/>
      <c r="E1770" s="23" t="str">
        <f>IF($D1770="","",IFERROR(VLOOKUP($D1770,'SAMA Consumables Tracker'!$A:$H,8,FALSE()),""))</f>
        <v/>
      </c>
      <c r="F1770" s="24"/>
      <c r="G1770" s="25" t="str">
        <f>IF($D1770="","",IFERROR(VLOOKUP($D1770,'SAMA Consumables Tracker'!$A:$D,4,FALSE()),""))</f>
        <v/>
      </c>
      <c r="H1770" s="22"/>
    </row>
    <row r="1771" spans="1:8">
      <c r="A1771" s="21"/>
      <c r="B1771" s="22"/>
      <c r="C1771" s="22"/>
      <c r="D1771" s="22"/>
      <c r="E1771" s="23" t="str">
        <f>IF($D1771="","",IFERROR(VLOOKUP($D1771,'SAMA Consumables Tracker'!$A:$H,8,FALSE()),""))</f>
        <v/>
      </c>
      <c r="F1771" s="24"/>
      <c r="G1771" s="25" t="str">
        <f>IF($D1771="","",IFERROR(VLOOKUP($D1771,'SAMA Consumables Tracker'!$A:$D,4,FALSE()),""))</f>
        <v/>
      </c>
      <c r="H1771" s="22"/>
    </row>
    <row r="1772" spans="1:8">
      <c r="A1772" s="21"/>
      <c r="B1772" s="22"/>
      <c r="C1772" s="22"/>
      <c r="D1772" s="22"/>
      <c r="E1772" s="23" t="str">
        <f>IF($D1772="","",IFERROR(VLOOKUP($D1772,'SAMA Consumables Tracker'!$A:$H,8,FALSE()),""))</f>
        <v/>
      </c>
      <c r="F1772" s="24"/>
      <c r="G1772" s="25" t="str">
        <f>IF($D1772="","",IFERROR(VLOOKUP($D1772,'SAMA Consumables Tracker'!$A:$D,4,FALSE()),""))</f>
        <v/>
      </c>
      <c r="H1772" s="22"/>
    </row>
    <row r="1773" spans="1:8">
      <c r="A1773" s="21"/>
      <c r="B1773" s="22"/>
      <c r="C1773" s="22"/>
      <c r="D1773" s="22"/>
      <c r="E1773" s="23" t="str">
        <f>IF($D1773="","",IFERROR(VLOOKUP($D1773,'SAMA Consumables Tracker'!$A:$H,8,FALSE()),""))</f>
        <v/>
      </c>
      <c r="F1773" s="24"/>
      <c r="G1773" s="25" t="str">
        <f>IF($D1773="","",IFERROR(VLOOKUP($D1773,'SAMA Consumables Tracker'!$A:$D,4,FALSE()),""))</f>
        <v/>
      </c>
      <c r="H1773" s="22"/>
    </row>
    <row r="1774" spans="1:8">
      <c r="A1774" s="21"/>
      <c r="B1774" s="22"/>
      <c r="C1774" s="22"/>
      <c r="D1774" s="22"/>
      <c r="E1774" s="23" t="str">
        <f>IF($D1774="","",IFERROR(VLOOKUP($D1774,'SAMA Consumables Tracker'!$A:$H,8,FALSE()),""))</f>
        <v/>
      </c>
      <c r="F1774" s="24"/>
      <c r="G1774" s="25" t="str">
        <f>IF($D1774="","",IFERROR(VLOOKUP($D1774,'SAMA Consumables Tracker'!$A:$D,4,FALSE()),""))</f>
        <v/>
      </c>
      <c r="H1774" s="22"/>
    </row>
    <row r="1775" spans="1:8">
      <c r="A1775" s="21"/>
      <c r="B1775" s="22"/>
      <c r="C1775" s="22"/>
      <c r="D1775" s="22"/>
      <c r="E1775" s="23" t="str">
        <f>IF($D1775="","",IFERROR(VLOOKUP($D1775,'SAMA Consumables Tracker'!$A:$H,8,FALSE()),""))</f>
        <v/>
      </c>
      <c r="F1775" s="24"/>
      <c r="G1775" s="25" t="str">
        <f>IF($D1775="","",IFERROR(VLOOKUP($D1775,'SAMA Consumables Tracker'!$A:$D,4,FALSE()),""))</f>
        <v/>
      </c>
      <c r="H1775" s="22"/>
    </row>
    <row r="1776" spans="1:8">
      <c r="A1776" s="21"/>
      <c r="B1776" s="22"/>
      <c r="C1776" s="22"/>
      <c r="D1776" s="22"/>
      <c r="E1776" s="23" t="str">
        <f>IF($D1776="","",IFERROR(VLOOKUP($D1776,'SAMA Consumables Tracker'!$A:$H,8,FALSE()),""))</f>
        <v/>
      </c>
      <c r="F1776" s="24"/>
      <c r="G1776" s="25" t="str">
        <f>IF($D1776="","",IFERROR(VLOOKUP($D1776,'SAMA Consumables Tracker'!$A:$D,4,FALSE()),""))</f>
        <v/>
      </c>
      <c r="H1776" s="22"/>
    </row>
    <row r="1777" spans="1:8">
      <c r="A1777" s="21"/>
      <c r="B1777" s="22"/>
      <c r="C1777" s="22"/>
      <c r="D1777" s="22"/>
      <c r="E1777" s="23" t="str">
        <f>IF($D1777="","",IFERROR(VLOOKUP($D1777,'SAMA Consumables Tracker'!$A:$H,8,FALSE()),""))</f>
        <v/>
      </c>
      <c r="F1777" s="24"/>
      <c r="G1777" s="25" t="str">
        <f>IF($D1777="","",IFERROR(VLOOKUP($D1777,'SAMA Consumables Tracker'!$A:$D,4,FALSE()),""))</f>
        <v/>
      </c>
      <c r="H1777" s="22"/>
    </row>
    <row r="1778" spans="1:8">
      <c r="A1778" s="21"/>
      <c r="B1778" s="22"/>
      <c r="C1778" s="22"/>
      <c r="D1778" s="22"/>
      <c r="E1778" s="23" t="str">
        <f>IF($D1778="","",IFERROR(VLOOKUP($D1778,'SAMA Consumables Tracker'!$A:$H,8,FALSE()),""))</f>
        <v/>
      </c>
      <c r="F1778" s="24"/>
      <c r="G1778" s="25" t="str">
        <f>IF($D1778="","",IFERROR(VLOOKUP($D1778,'SAMA Consumables Tracker'!$A:$D,4,FALSE()),""))</f>
        <v/>
      </c>
      <c r="H1778" s="22"/>
    </row>
    <row r="1779" spans="1:8">
      <c r="A1779" s="21"/>
      <c r="B1779" s="22"/>
      <c r="C1779" s="22"/>
      <c r="D1779" s="22"/>
      <c r="E1779" s="23" t="str">
        <f>IF($D1779="","",IFERROR(VLOOKUP($D1779,'SAMA Consumables Tracker'!$A:$H,8,FALSE()),""))</f>
        <v/>
      </c>
      <c r="F1779" s="24"/>
      <c r="G1779" s="25" t="str">
        <f>IF($D1779="","",IFERROR(VLOOKUP($D1779,'SAMA Consumables Tracker'!$A:$D,4,FALSE()),""))</f>
        <v/>
      </c>
      <c r="H1779" s="22"/>
    </row>
    <row r="1780" spans="1:8">
      <c r="A1780" s="21"/>
      <c r="B1780" s="22"/>
      <c r="C1780" s="22"/>
      <c r="D1780" s="22"/>
      <c r="E1780" s="23" t="str">
        <f>IF($D1780="","",IFERROR(VLOOKUP($D1780,'SAMA Consumables Tracker'!$A:$H,8,FALSE()),""))</f>
        <v/>
      </c>
      <c r="F1780" s="24"/>
      <c r="G1780" s="25" t="str">
        <f>IF($D1780="","",IFERROR(VLOOKUP($D1780,'SAMA Consumables Tracker'!$A:$D,4,FALSE()),""))</f>
        <v/>
      </c>
      <c r="H1780" s="22"/>
    </row>
    <row r="1781" spans="1:8">
      <c r="A1781" s="21"/>
      <c r="B1781" s="22"/>
      <c r="C1781" s="22"/>
      <c r="D1781" s="22"/>
      <c r="E1781" s="23" t="str">
        <f>IF($D1781="","",IFERROR(VLOOKUP($D1781,'SAMA Consumables Tracker'!$A:$H,8,FALSE()),""))</f>
        <v/>
      </c>
      <c r="F1781" s="24"/>
      <c r="G1781" s="25" t="str">
        <f>IF($D1781="","",IFERROR(VLOOKUP($D1781,'SAMA Consumables Tracker'!$A:$D,4,FALSE()),""))</f>
        <v/>
      </c>
      <c r="H1781" s="22"/>
    </row>
    <row r="1782" spans="1:8">
      <c r="A1782" s="21"/>
      <c r="B1782" s="22"/>
      <c r="C1782" s="22"/>
      <c r="D1782" s="22"/>
      <c r="E1782" s="23" t="str">
        <f>IF($D1782="","",IFERROR(VLOOKUP($D1782,'SAMA Consumables Tracker'!$A:$H,8,FALSE()),""))</f>
        <v/>
      </c>
      <c r="F1782" s="24"/>
      <c r="G1782" s="25" t="str">
        <f>IF($D1782="","",IFERROR(VLOOKUP($D1782,'SAMA Consumables Tracker'!$A:$D,4,FALSE()),""))</f>
        <v/>
      </c>
      <c r="H1782" s="22"/>
    </row>
    <row r="1783" spans="1:8">
      <c r="A1783" s="21"/>
      <c r="B1783" s="22"/>
      <c r="C1783" s="22"/>
      <c r="D1783" s="22"/>
      <c r="E1783" s="23" t="str">
        <f>IF($D1783="","",IFERROR(VLOOKUP($D1783,'SAMA Consumables Tracker'!$A:$H,8,FALSE()),""))</f>
        <v/>
      </c>
      <c r="F1783" s="24"/>
      <c r="G1783" s="25" t="str">
        <f>IF($D1783="","",IFERROR(VLOOKUP($D1783,'SAMA Consumables Tracker'!$A:$D,4,FALSE()),""))</f>
        <v/>
      </c>
      <c r="H1783" s="22"/>
    </row>
    <row r="1784" spans="1:8">
      <c r="A1784" s="21"/>
      <c r="B1784" s="22"/>
      <c r="C1784" s="22"/>
      <c r="D1784" s="22"/>
      <c r="E1784" s="23" t="str">
        <f>IF($D1784="","",IFERROR(VLOOKUP($D1784,'SAMA Consumables Tracker'!$A:$H,8,FALSE()),""))</f>
        <v/>
      </c>
      <c r="F1784" s="24"/>
      <c r="G1784" s="25" t="str">
        <f>IF($D1784="","",IFERROR(VLOOKUP($D1784,'SAMA Consumables Tracker'!$A:$D,4,FALSE()),""))</f>
        <v/>
      </c>
      <c r="H1784" s="22"/>
    </row>
    <row r="1785" spans="1:8">
      <c r="A1785" s="21"/>
      <c r="B1785" s="22"/>
      <c r="C1785" s="22"/>
      <c r="D1785" s="22"/>
      <c r="E1785" s="23" t="str">
        <f>IF($D1785="","",IFERROR(VLOOKUP($D1785,'SAMA Consumables Tracker'!$A:$H,8,FALSE()),""))</f>
        <v/>
      </c>
      <c r="F1785" s="24"/>
      <c r="G1785" s="25" t="str">
        <f>IF($D1785="","",IFERROR(VLOOKUP($D1785,'SAMA Consumables Tracker'!$A:$D,4,FALSE()),""))</f>
        <v/>
      </c>
      <c r="H1785" s="22"/>
    </row>
    <row r="1786" spans="1:8">
      <c r="A1786" s="21"/>
      <c r="B1786" s="22"/>
      <c r="C1786" s="22"/>
      <c r="D1786" s="22"/>
      <c r="E1786" s="23" t="str">
        <f>IF($D1786="","",IFERROR(VLOOKUP($D1786,'SAMA Consumables Tracker'!$A:$H,8,FALSE()),""))</f>
        <v/>
      </c>
      <c r="F1786" s="24"/>
      <c r="G1786" s="25" t="str">
        <f>IF($D1786="","",IFERROR(VLOOKUP($D1786,'SAMA Consumables Tracker'!$A:$D,4,FALSE()),""))</f>
        <v/>
      </c>
      <c r="H1786" s="22"/>
    </row>
    <row r="1787" spans="1:8">
      <c r="A1787" s="21"/>
      <c r="B1787" s="22"/>
      <c r="C1787" s="22"/>
      <c r="D1787" s="22"/>
      <c r="E1787" s="23" t="str">
        <f>IF($D1787="","",IFERROR(VLOOKUP($D1787,'SAMA Consumables Tracker'!$A:$H,8,FALSE()),""))</f>
        <v/>
      </c>
      <c r="F1787" s="24"/>
      <c r="G1787" s="25" t="str">
        <f>IF($D1787="","",IFERROR(VLOOKUP($D1787,'SAMA Consumables Tracker'!$A:$D,4,FALSE()),""))</f>
        <v/>
      </c>
      <c r="H1787" s="22"/>
    </row>
    <row r="1788" spans="1:8">
      <c r="A1788" s="21"/>
      <c r="B1788" s="22"/>
      <c r="C1788" s="22"/>
      <c r="D1788" s="22"/>
      <c r="E1788" s="23" t="str">
        <f>IF($D1788="","",IFERROR(VLOOKUP($D1788,'SAMA Consumables Tracker'!$A:$H,8,FALSE()),""))</f>
        <v/>
      </c>
      <c r="F1788" s="24"/>
      <c r="G1788" s="25" t="str">
        <f>IF($D1788="","",IFERROR(VLOOKUP($D1788,'SAMA Consumables Tracker'!$A:$D,4,FALSE()),""))</f>
        <v/>
      </c>
      <c r="H1788" s="22"/>
    </row>
    <row r="1789" spans="1:8">
      <c r="A1789" s="21"/>
      <c r="B1789" s="22"/>
      <c r="C1789" s="22"/>
      <c r="D1789" s="22"/>
      <c r="E1789" s="23" t="str">
        <f>IF($D1789="","",IFERROR(VLOOKUP($D1789,'SAMA Consumables Tracker'!$A:$H,8,FALSE()),""))</f>
        <v/>
      </c>
      <c r="F1789" s="24"/>
      <c r="G1789" s="25" t="str">
        <f>IF($D1789="","",IFERROR(VLOOKUP($D1789,'SAMA Consumables Tracker'!$A:$D,4,FALSE()),""))</f>
        <v/>
      </c>
      <c r="H1789" s="22"/>
    </row>
    <row r="1790" spans="1:8">
      <c r="A1790" s="21"/>
      <c r="B1790" s="22"/>
      <c r="C1790" s="22"/>
      <c r="D1790" s="22"/>
      <c r="E1790" s="23" t="str">
        <f>IF($D1790="","",IFERROR(VLOOKUP($D1790,'SAMA Consumables Tracker'!$A:$H,8,FALSE()),""))</f>
        <v/>
      </c>
      <c r="F1790" s="24"/>
      <c r="G1790" s="25" t="str">
        <f>IF($D1790="","",IFERROR(VLOOKUP($D1790,'SAMA Consumables Tracker'!$A:$D,4,FALSE()),""))</f>
        <v/>
      </c>
      <c r="H1790" s="22"/>
    </row>
    <row r="1791" spans="1:8">
      <c r="A1791" s="21"/>
      <c r="B1791" s="22"/>
      <c r="C1791" s="22"/>
      <c r="D1791" s="22"/>
      <c r="E1791" s="23" t="str">
        <f>IF($D1791="","",IFERROR(VLOOKUP($D1791,'SAMA Consumables Tracker'!$A:$H,8,FALSE()),""))</f>
        <v/>
      </c>
      <c r="F1791" s="24"/>
      <c r="G1791" s="25" t="str">
        <f>IF($D1791="","",IFERROR(VLOOKUP($D1791,'SAMA Consumables Tracker'!$A:$D,4,FALSE()),""))</f>
        <v/>
      </c>
      <c r="H1791" s="22"/>
    </row>
    <row r="1792" spans="1:8">
      <c r="A1792" s="21"/>
      <c r="B1792" s="22"/>
      <c r="C1792" s="22"/>
      <c r="D1792" s="22"/>
      <c r="E1792" s="23" t="str">
        <f>IF($D1792="","",IFERROR(VLOOKUP($D1792,'SAMA Consumables Tracker'!$A:$H,8,FALSE()),""))</f>
        <v/>
      </c>
      <c r="F1792" s="24"/>
      <c r="G1792" s="25" t="str">
        <f>IF($D1792="","",IFERROR(VLOOKUP($D1792,'SAMA Consumables Tracker'!$A:$D,4,FALSE()),""))</f>
        <v/>
      </c>
      <c r="H1792" s="22"/>
    </row>
    <row r="1793" spans="1:8">
      <c r="A1793" s="21"/>
      <c r="B1793" s="22"/>
      <c r="C1793" s="22"/>
      <c r="D1793" s="22"/>
      <c r="E1793" s="23" t="str">
        <f>IF($D1793="","",IFERROR(VLOOKUP($D1793,'SAMA Consumables Tracker'!$A:$H,8,FALSE()),""))</f>
        <v/>
      </c>
      <c r="F1793" s="24"/>
      <c r="G1793" s="25" t="str">
        <f>IF($D1793="","",IFERROR(VLOOKUP($D1793,'SAMA Consumables Tracker'!$A:$D,4,FALSE()),""))</f>
        <v/>
      </c>
      <c r="H1793" s="22"/>
    </row>
    <row r="1794" spans="1:8">
      <c r="A1794" s="21"/>
      <c r="B1794" s="22"/>
      <c r="C1794" s="22"/>
      <c r="D1794" s="22"/>
      <c r="E1794" s="23" t="str">
        <f>IF($D1794="","",IFERROR(VLOOKUP($D1794,'SAMA Consumables Tracker'!$A:$H,8,FALSE()),""))</f>
        <v/>
      </c>
      <c r="F1794" s="24"/>
      <c r="G1794" s="25" t="str">
        <f>IF($D1794="","",IFERROR(VLOOKUP($D1794,'SAMA Consumables Tracker'!$A:$D,4,FALSE()),""))</f>
        <v/>
      </c>
      <c r="H1794" s="22"/>
    </row>
    <row r="1795" spans="1:8">
      <c r="A1795" s="21"/>
      <c r="B1795" s="22"/>
      <c r="C1795" s="22"/>
      <c r="D1795" s="22"/>
      <c r="E1795" s="23" t="str">
        <f>IF($D1795="","",IFERROR(VLOOKUP($D1795,'SAMA Consumables Tracker'!$A:$H,8,FALSE()),""))</f>
        <v/>
      </c>
      <c r="F1795" s="24"/>
      <c r="G1795" s="25" t="str">
        <f>IF($D1795="","",IFERROR(VLOOKUP($D1795,'SAMA Consumables Tracker'!$A:$D,4,FALSE()),""))</f>
        <v/>
      </c>
      <c r="H1795" s="22"/>
    </row>
    <row r="1796" spans="1:8">
      <c r="A1796" s="21"/>
      <c r="B1796" s="22"/>
      <c r="C1796" s="22"/>
      <c r="D1796" s="22"/>
      <c r="E1796" s="23" t="str">
        <f>IF($D1796="","",IFERROR(VLOOKUP($D1796,'SAMA Consumables Tracker'!$A:$H,8,FALSE()),""))</f>
        <v/>
      </c>
      <c r="F1796" s="24"/>
      <c r="G1796" s="25" t="str">
        <f>IF($D1796="","",IFERROR(VLOOKUP($D1796,'SAMA Consumables Tracker'!$A:$D,4,FALSE()),""))</f>
        <v/>
      </c>
      <c r="H1796" s="22"/>
    </row>
    <row r="1797" spans="1:8">
      <c r="A1797" s="21"/>
      <c r="B1797" s="22"/>
      <c r="C1797" s="22"/>
      <c r="D1797" s="22"/>
      <c r="E1797" s="23" t="str">
        <f>IF($D1797="","",IFERROR(VLOOKUP($D1797,'SAMA Consumables Tracker'!$A:$H,8,FALSE()),""))</f>
        <v/>
      </c>
      <c r="F1797" s="24"/>
      <c r="G1797" s="25" t="str">
        <f>IF($D1797="","",IFERROR(VLOOKUP($D1797,'SAMA Consumables Tracker'!$A:$D,4,FALSE()),""))</f>
        <v/>
      </c>
      <c r="H1797" s="22"/>
    </row>
    <row r="1798" spans="1:8">
      <c r="A1798" s="21"/>
      <c r="B1798" s="22"/>
      <c r="C1798" s="22"/>
      <c r="D1798" s="22"/>
      <c r="E1798" s="23" t="str">
        <f>IF($D1798="","",IFERROR(VLOOKUP($D1798,'SAMA Consumables Tracker'!$A:$H,8,FALSE()),""))</f>
        <v/>
      </c>
      <c r="F1798" s="24"/>
      <c r="G1798" s="25" t="str">
        <f>IF($D1798="","",IFERROR(VLOOKUP($D1798,'SAMA Consumables Tracker'!$A:$D,4,FALSE()),""))</f>
        <v/>
      </c>
      <c r="H1798" s="22"/>
    </row>
    <row r="1799" spans="1:8">
      <c r="A1799" s="21"/>
      <c r="B1799" s="22"/>
      <c r="C1799" s="22"/>
      <c r="D1799" s="22"/>
      <c r="E1799" s="23" t="str">
        <f>IF($D1799="","",IFERROR(VLOOKUP($D1799,'SAMA Consumables Tracker'!$A:$H,8,FALSE()),""))</f>
        <v/>
      </c>
      <c r="F1799" s="24"/>
      <c r="G1799" s="25" t="str">
        <f>IF($D1799="","",IFERROR(VLOOKUP($D1799,'SAMA Consumables Tracker'!$A:$D,4,FALSE()),""))</f>
        <v/>
      </c>
      <c r="H1799" s="22"/>
    </row>
    <row r="1800" spans="1:8">
      <c r="A1800" s="21"/>
      <c r="B1800" s="22"/>
      <c r="C1800" s="22"/>
      <c r="D1800" s="22"/>
      <c r="E1800" s="23" t="str">
        <f>IF($D1800="","",IFERROR(VLOOKUP($D1800,'SAMA Consumables Tracker'!$A:$H,8,FALSE()),""))</f>
        <v/>
      </c>
      <c r="F1800" s="24"/>
      <c r="G1800" s="25" t="str">
        <f>IF($D1800="","",IFERROR(VLOOKUP($D1800,'SAMA Consumables Tracker'!$A:$D,4,FALSE()),""))</f>
        <v/>
      </c>
      <c r="H1800" s="22"/>
    </row>
    <row r="1801" spans="1:8">
      <c r="A1801" s="21"/>
      <c r="B1801" s="22"/>
      <c r="C1801" s="22"/>
      <c r="D1801" s="22"/>
      <c r="E1801" s="23" t="str">
        <f>IF($D1801="","",IFERROR(VLOOKUP($D1801,'SAMA Consumables Tracker'!$A:$H,8,FALSE()),""))</f>
        <v/>
      </c>
      <c r="F1801" s="24"/>
      <c r="G1801" s="25" t="str">
        <f>IF($D1801="","",IFERROR(VLOOKUP($D1801,'SAMA Consumables Tracker'!$A:$D,4,FALSE()),""))</f>
        <v/>
      </c>
      <c r="H1801" s="22"/>
    </row>
    <row r="1802" spans="1:8">
      <c r="A1802" s="21"/>
      <c r="B1802" s="22"/>
      <c r="C1802" s="22"/>
      <c r="D1802" s="22"/>
      <c r="E1802" s="23" t="str">
        <f>IF($D1802="","",IFERROR(VLOOKUP($D1802,'SAMA Consumables Tracker'!$A:$H,8,FALSE()),""))</f>
        <v/>
      </c>
      <c r="F1802" s="24"/>
      <c r="G1802" s="25" t="str">
        <f>IF($D1802="","",IFERROR(VLOOKUP($D1802,'SAMA Consumables Tracker'!$A:$D,4,FALSE()),""))</f>
        <v/>
      </c>
      <c r="H1802" s="22"/>
    </row>
    <row r="1803" spans="1:8">
      <c r="A1803" s="21"/>
      <c r="B1803" s="22"/>
      <c r="C1803" s="22"/>
      <c r="D1803" s="22"/>
      <c r="E1803" s="23" t="str">
        <f>IF($D1803="","",IFERROR(VLOOKUP($D1803,'SAMA Consumables Tracker'!$A:$H,8,FALSE()),""))</f>
        <v/>
      </c>
      <c r="F1803" s="24"/>
      <c r="G1803" s="25" t="str">
        <f>IF($D1803="","",IFERROR(VLOOKUP($D1803,'SAMA Consumables Tracker'!$A:$D,4,FALSE()),""))</f>
        <v/>
      </c>
      <c r="H1803" s="22"/>
    </row>
    <row r="1804" spans="1:8">
      <c r="A1804" s="21"/>
      <c r="B1804" s="22"/>
      <c r="C1804" s="22"/>
      <c r="D1804" s="22"/>
      <c r="E1804" s="23" t="str">
        <f>IF($D1804="","",IFERROR(VLOOKUP($D1804,'SAMA Consumables Tracker'!$A:$H,8,FALSE()),""))</f>
        <v/>
      </c>
      <c r="F1804" s="24"/>
      <c r="G1804" s="25" t="str">
        <f>IF($D1804="","",IFERROR(VLOOKUP($D1804,'SAMA Consumables Tracker'!$A:$D,4,FALSE()),""))</f>
        <v/>
      </c>
      <c r="H1804" s="22"/>
    </row>
    <row r="1805" spans="1:8">
      <c r="A1805" s="21"/>
      <c r="B1805" s="22"/>
      <c r="C1805" s="22"/>
      <c r="D1805" s="22"/>
      <c r="E1805" s="23" t="str">
        <f>IF($D1805="","",IFERROR(VLOOKUP($D1805,'SAMA Consumables Tracker'!$A:$H,8,FALSE()),""))</f>
        <v/>
      </c>
      <c r="F1805" s="24"/>
      <c r="G1805" s="25" t="str">
        <f>IF($D1805="","",IFERROR(VLOOKUP($D1805,'SAMA Consumables Tracker'!$A:$D,4,FALSE()),""))</f>
        <v/>
      </c>
      <c r="H1805" s="22"/>
    </row>
    <row r="1806" spans="1:8">
      <c r="A1806" s="21"/>
      <c r="B1806" s="22"/>
      <c r="C1806" s="22"/>
      <c r="D1806" s="22"/>
      <c r="E1806" s="23" t="str">
        <f>IF($D1806="","",IFERROR(VLOOKUP($D1806,'SAMA Consumables Tracker'!$A:$H,8,FALSE()),""))</f>
        <v/>
      </c>
      <c r="F1806" s="24"/>
      <c r="G1806" s="25" t="str">
        <f>IF($D1806="","",IFERROR(VLOOKUP($D1806,'SAMA Consumables Tracker'!$A:$D,4,FALSE()),""))</f>
        <v/>
      </c>
      <c r="H1806" s="22"/>
    </row>
    <row r="1807" spans="1:8">
      <c r="A1807" s="21"/>
      <c r="B1807" s="22"/>
      <c r="C1807" s="22"/>
      <c r="D1807" s="22"/>
      <c r="E1807" s="23" t="str">
        <f>IF($D1807="","",IFERROR(VLOOKUP($D1807,'SAMA Consumables Tracker'!$A:$H,8,FALSE()),""))</f>
        <v/>
      </c>
      <c r="F1807" s="24"/>
      <c r="G1807" s="25" t="str">
        <f>IF($D1807="","",IFERROR(VLOOKUP($D1807,'SAMA Consumables Tracker'!$A:$D,4,FALSE()),""))</f>
        <v/>
      </c>
      <c r="H1807" s="22"/>
    </row>
    <row r="1808" spans="1:8">
      <c r="A1808" s="21"/>
      <c r="B1808" s="22"/>
      <c r="C1808" s="22"/>
      <c r="D1808" s="22"/>
      <c r="E1808" s="23" t="str">
        <f>IF($D1808="","",IFERROR(VLOOKUP($D1808,'SAMA Consumables Tracker'!$A:$H,8,FALSE()),""))</f>
        <v/>
      </c>
      <c r="F1808" s="24"/>
      <c r="G1808" s="25" t="str">
        <f>IF($D1808="","",IFERROR(VLOOKUP($D1808,'SAMA Consumables Tracker'!$A:$D,4,FALSE()),""))</f>
        <v/>
      </c>
      <c r="H1808" s="22"/>
    </row>
    <row r="1809" spans="1:8">
      <c r="A1809" s="21"/>
      <c r="B1809" s="22"/>
      <c r="C1809" s="22"/>
      <c r="D1809" s="22"/>
      <c r="E1809" s="23" t="str">
        <f>IF($D1809="","",IFERROR(VLOOKUP($D1809,'SAMA Consumables Tracker'!$A:$H,8,FALSE()),""))</f>
        <v/>
      </c>
      <c r="F1809" s="24"/>
      <c r="G1809" s="25" t="str">
        <f>IF($D1809="","",IFERROR(VLOOKUP($D1809,'SAMA Consumables Tracker'!$A:$D,4,FALSE()),""))</f>
        <v/>
      </c>
      <c r="H1809" s="22"/>
    </row>
    <row r="1810" spans="1:8">
      <c r="A1810" s="21"/>
      <c r="B1810" s="22"/>
      <c r="C1810" s="22"/>
      <c r="D1810" s="22"/>
      <c r="E1810" s="23" t="str">
        <f>IF($D1810="","",IFERROR(VLOOKUP($D1810,'SAMA Consumables Tracker'!$A:$H,8,FALSE()),""))</f>
        <v/>
      </c>
      <c r="F1810" s="24"/>
      <c r="G1810" s="25" t="str">
        <f>IF($D1810="","",IFERROR(VLOOKUP($D1810,'SAMA Consumables Tracker'!$A:$D,4,FALSE()),""))</f>
        <v/>
      </c>
      <c r="H1810" s="22"/>
    </row>
    <row r="1811" spans="1:8">
      <c r="A1811" s="21"/>
      <c r="B1811" s="22"/>
      <c r="C1811" s="22"/>
      <c r="D1811" s="22"/>
      <c r="E1811" s="23" t="str">
        <f>IF($D1811="","",IFERROR(VLOOKUP($D1811,'SAMA Consumables Tracker'!$A:$H,8,FALSE()),""))</f>
        <v/>
      </c>
      <c r="F1811" s="24"/>
      <c r="G1811" s="25" t="str">
        <f>IF($D1811="","",IFERROR(VLOOKUP($D1811,'SAMA Consumables Tracker'!$A:$D,4,FALSE()),""))</f>
        <v/>
      </c>
      <c r="H1811" s="22"/>
    </row>
    <row r="1812" spans="1:8">
      <c r="A1812" s="21"/>
      <c r="B1812" s="22"/>
      <c r="C1812" s="22"/>
      <c r="D1812" s="22"/>
      <c r="E1812" s="23" t="str">
        <f>IF($D1812="","",IFERROR(VLOOKUP($D1812,'SAMA Consumables Tracker'!$A:$H,8,FALSE()),""))</f>
        <v/>
      </c>
      <c r="F1812" s="24"/>
      <c r="G1812" s="25" t="str">
        <f>IF($D1812="","",IFERROR(VLOOKUP($D1812,'SAMA Consumables Tracker'!$A:$D,4,FALSE()),""))</f>
        <v/>
      </c>
      <c r="H1812" s="22"/>
    </row>
    <row r="1813" spans="1:8">
      <c r="A1813" s="21"/>
      <c r="B1813" s="22"/>
      <c r="C1813" s="22"/>
      <c r="D1813" s="22"/>
      <c r="E1813" s="23" t="str">
        <f>IF($D1813="","",IFERROR(VLOOKUP($D1813,'SAMA Consumables Tracker'!$A:$H,8,FALSE()),""))</f>
        <v/>
      </c>
      <c r="F1813" s="24"/>
      <c r="G1813" s="25" t="str">
        <f>IF($D1813="","",IFERROR(VLOOKUP($D1813,'SAMA Consumables Tracker'!$A:$D,4,FALSE()),""))</f>
        <v/>
      </c>
      <c r="H1813" s="22"/>
    </row>
    <row r="1814" spans="1:8">
      <c r="A1814" s="21"/>
      <c r="B1814" s="22"/>
      <c r="C1814" s="22"/>
      <c r="D1814" s="22"/>
      <c r="E1814" s="23" t="str">
        <f>IF($D1814="","",IFERROR(VLOOKUP($D1814,'SAMA Consumables Tracker'!$A:$H,8,FALSE()),""))</f>
        <v/>
      </c>
      <c r="F1814" s="24"/>
      <c r="G1814" s="25" t="str">
        <f>IF($D1814="","",IFERROR(VLOOKUP($D1814,'SAMA Consumables Tracker'!$A:$D,4,FALSE()),""))</f>
        <v/>
      </c>
      <c r="H1814" s="22"/>
    </row>
    <row r="1815" spans="1:8">
      <c r="A1815" s="21"/>
      <c r="B1815" s="22"/>
      <c r="C1815" s="22"/>
      <c r="D1815" s="22"/>
      <c r="E1815" s="23" t="str">
        <f>IF($D1815="","",IFERROR(VLOOKUP($D1815,'SAMA Consumables Tracker'!$A:$H,8,FALSE()),""))</f>
        <v/>
      </c>
      <c r="F1815" s="24"/>
      <c r="G1815" s="25" t="str">
        <f>IF($D1815="","",IFERROR(VLOOKUP($D1815,'SAMA Consumables Tracker'!$A:$D,4,FALSE()),""))</f>
        <v/>
      </c>
      <c r="H1815" s="22"/>
    </row>
    <row r="1816" spans="1:8">
      <c r="A1816" s="21"/>
      <c r="B1816" s="22"/>
      <c r="C1816" s="22"/>
      <c r="D1816" s="22"/>
      <c r="E1816" s="23" t="str">
        <f>IF($D1816="","",IFERROR(VLOOKUP($D1816,'SAMA Consumables Tracker'!$A:$H,8,FALSE()),""))</f>
        <v/>
      </c>
      <c r="F1816" s="24"/>
      <c r="G1816" s="25" t="str">
        <f>IF($D1816="","",IFERROR(VLOOKUP($D1816,'SAMA Consumables Tracker'!$A:$D,4,FALSE()),""))</f>
        <v/>
      </c>
      <c r="H1816" s="22"/>
    </row>
    <row r="1817" spans="1:8">
      <c r="A1817" s="21"/>
      <c r="B1817" s="22"/>
      <c r="C1817" s="22"/>
      <c r="D1817" s="22"/>
      <c r="E1817" s="23" t="str">
        <f>IF($D1817="","",IFERROR(VLOOKUP($D1817,'SAMA Consumables Tracker'!$A:$H,8,FALSE()),""))</f>
        <v/>
      </c>
      <c r="F1817" s="24"/>
      <c r="G1817" s="25" t="str">
        <f>IF($D1817="","",IFERROR(VLOOKUP($D1817,'SAMA Consumables Tracker'!$A:$D,4,FALSE()),""))</f>
        <v/>
      </c>
      <c r="H1817" s="22"/>
    </row>
    <row r="1818" spans="1:8">
      <c r="A1818" s="21"/>
      <c r="B1818" s="22"/>
      <c r="C1818" s="22"/>
      <c r="D1818" s="22"/>
      <c r="E1818" s="23" t="str">
        <f>IF($D1818="","",IFERROR(VLOOKUP($D1818,'SAMA Consumables Tracker'!$A:$H,8,FALSE()),""))</f>
        <v/>
      </c>
      <c r="F1818" s="24"/>
      <c r="G1818" s="25" t="str">
        <f>IF($D1818="","",IFERROR(VLOOKUP($D1818,'SAMA Consumables Tracker'!$A:$D,4,FALSE()),""))</f>
        <v/>
      </c>
      <c r="H1818" s="22"/>
    </row>
    <row r="1819" spans="1:8">
      <c r="A1819" s="21"/>
      <c r="B1819" s="22"/>
      <c r="C1819" s="22"/>
      <c r="D1819" s="22"/>
      <c r="E1819" s="23" t="str">
        <f>IF($D1819="","",IFERROR(VLOOKUP($D1819,'SAMA Consumables Tracker'!$A:$H,8,FALSE()),""))</f>
        <v/>
      </c>
      <c r="F1819" s="24"/>
      <c r="G1819" s="25" t="str">
        <f>IF($D1819="","",IFERROR(VLOOKUP($D1819,'SAMA Consumables Tracker'!$A:$D,4,FALSE()),""))</f>
        <v/>
      </c>
      <c r="H1819" s="22"/>
    </row>
    <row r="1820" spans="1:8">
      <c r="A1820" s="21"/>
      <c r="B1820" s="22"/>
      <c r="C1820" s="22"/>
      <c r="D1820" s="22"/>
      <c r="E1820" s="23" t="str">
        <f>IF($D1820="","",IFERROR(VLOOKUP($D1820,'SAMA Consumables Tracker'!$A:$H,8,FALSE()),""))</f>
        <v/>
      </c>
      <c r="F1820" s="24"/>
      <c r="G1820" s="25" t="str">
        <f>IF($D1820="","",IFERROR(VLOOKUP($D1820,'SAMA Consumables Tracker'!$A:$D,4,FALSE()),""))</f>
        <v/>
      </c>
      <c r="H1820" s="22"/>
    </row>
    <row r="1821" spans="1:8">
      <c r="A1821" s="21"/>
      <c r="B1821" s="22"/>
      <c r="C1821" s="22"/>
      <c r="D1821" s="22"/>
      <c r="E1821" s="23" t="str">
        <f>IF($D1821="","",IFERROR(VLOOKUP($D1821,'SAMA Consumables Tracker'!$A:$H,8,FALSE()),""))</f>
        <v/>
      </c>
      <c r="F1821" s="24"/>
      <c r="G1821" s="25" t="str">
        <f>IF($D1821="","",IFERROR(VLOOKUP($D1821,'SAMA Consumables Tracker'!$A:$D,4,FALSE()),""))</f>
        <v/>
      </c>
      <c r="H1821" s="22"/>
    </row>
    <row r="1822" spans="1:8">
      <c r="A1822" s="21"/>
      <c r="B1822" s="22"/>
      <c r="C1822" s="22"/>
      <c r="D1822" s="22"/>
      <c r="E1822" s="23" t="str">
        <f>IF($D1822="","",IFERROR(VLOOKUP($D1822,'SAMA Consumables Tracker'!$A:$H,8,FALSE()),""))</f>
        <v/>
      </c>
      <c r="F1822" s="24"/>
      <c r="G1822" s="25" t="str">
        <f>IF($D1822="","",IFERROR(VLOOKUP($D1822,'SAMA Consumables Tracker'!$A:$D,4,FALSE()),""))</f>
        <v/>
      </c>
      <c r="H1822" s="22"/>
    </row>
    <row r="1823" spans="1:8">
      <c r="A1823" s="21"/>
      <c r="B1823" s="22"/>
      <c r="C1823" s="22"/>
      <c r="D1823" s="22"/>
      <c r="E1823" s="23" t="str">
        <f>IF($D1823="","",IFERROR(VLOOKUP($D1823,'SAMA Consumables Tracker'!$A:$H,8,FALSE()),""))</f>
        <v/>
      </c>
      <c r="F1823" s="24"/>
      <c r="G1823" s="25" t="str">
        <f>IF($D1823="","",IFERROR(VLOOKUP($D1823,'SAMA Consumables Tracker'!$A:$D,4,FALSE()),""))</f>
        <v/>
      </c>
      <c r="H1823" s="22"/>
    </row>
    <row r="1824" spans="1:8">
      <c r="A1824" s="21"/>
      <c r="B1824" s="22"/>
      <c r="C1824" s="22"/>
      <c r="D1824" s="22"/>
      <c r="E1824" s="23" t="str">
        <f>IF($D1824="","",IFERROR(VLOOKUP($D1824,'SAMA Consumables Tracker'!$A:$H,8,FALSE()),""))</f>
        <v/>
      </c>
      <c r="F1824" s="24"/>
      <c r="G1824" s="25" t="str">
        <f>IF($D1824="","",IFERROR(VLOOKUP($D1824,'SAMA Consumables Tracker'!$A:$D,4,FALSE()),""))</f>
        <v/>
      </c>
      <c r="H1824" s="22"/>
    </row>
    <row r="1825" spans="1:8">
      <c r="A1825" s="21"/>
      <c r="B1825" s="22"/>
      <c r="C1825" s="22"/>
      <c r="D1825" s="22"/>
      <c r="E1825" s="23" t="str">
        <f>IF($D1825="","",IFERROR(VLOOKUP($D1825,'SAMA Consumables Tracker'!$A:$H,8,FALSE()),""))</f>
        <v/>
      </c>
      <c r="F1825" s="24"/>
      <c r="G1825" s="25" t="str">
        <f>IF($D1825="","",IFERROR(VLOOKUP($D1825,'SAMA Consumables Tracker'!$A:$D,4,FALSE()),""))</f>
        <v/>
      </c>
      <c r="H1825" s="22"/>
    </row>
    <row r="1826" spans="1:8">
      <c r="A1826" s="21"/>
      <c r="B1826" s="22"/>
      <c r="C1826" s="22"/>
      <c r="D1826" s="22"/>
      <c r="E1826" s="23" t="str">
        <f>IF($D1826="","",IFERROR(VLOOKUP($D1826,'SAMA Consumables Tracker'!$A:$H,8,FALSE()),""))</f>
        <v/>
      </c>
      <c r="F1826" s="24"/>
      <c r="G1826" s="25" t="str">
        <f>IF($D1826="","",IFERROR(VLOOKUP($D1826,'SAMA Consumables Tracker'!$A:$D,4,FALSE()),""))</f>
        <v/>
      </c>
      <c r="H1826" s="22"/>
    </row>
    <row r="1827" spans="1:8">
      <c r="A1827" s="21"/>
      <c r="B1827" s="22"/>
      <c r="C1827" s="22"/>
      <c r="D1827" s="22"/>
      <c r="E1827" s="23" t="str">
        <f>IF($D1827="","",IFERROR(VLOOKUP($D1827,'SAMA Consumables Tracker'!$A:$H,8,FALSE()),""))</f>
        <v/>
      </c>
      <c r="F1827" s="24"/>
      <c r="G1827" s="25" t="str">
        <f>IF($D1827="","",IFERROR(VLOOKUP($D1827,'SAMA Consumables Tracker'!$A:$D,4,FALSE()),""))</f>
        <v/>
      </c>
      <c r="H1827" s="22"/>
    </row>
    <row r="1828" spans="1:8">
      <c r="A1828" s="21"/>
      <c r="B1828" s="22"/>
      <c r="C1828" s="22"/>
      <c r="D1828" s="22"/>
      <c r="E1828" s="23" t="str">
        <f>IF($D1828="","",IFERROR(VLOOKUP($D1828,'SAMA Consumables Tracker'!$A:$H,8,FALSE()),""))</f>
        <v/>
      </c>
      <c r="F1828" s="24"/>
      <c r="G1828" s="25" t="str">
        <f>IF($D1828="","",IFERROR(VLOOKUP($D1828,'SAMA Consumables Tracker'!$A:$D,4,FALSE()),""))</f>
        <v/>
      </c>
      <c r="H1828" s="22"/>
    </row>
    <row r="1829" spans="1:8">
      <c r="A1829" s="21"/>
      <c r="B1829" s="22"/>
      <c r="C1829" s="22"/>
      <c r="D1829" s="22"/>
      <c r="E1829" s="23" t="str">
        <f>IF($D1829="","",IFERROR(VLOOKUP($D1829,'SAMA Consumables Tracker'!$A:$H,8,FALSE()),""))</f>
        <v/>
      </c>
      <c r="F1829" s="24"/>
      <c r="G1829" s="25" t="str">
        <f>IF($D1829="","",IFERROR(VLOOKUP($D1829,'SAMA Consumables Tracker'!$A:$D,4,FALSE()),""))</f>
        <v/>
      </c>
      <c r="H1829" s="22"/>
    </row>
    <row r="1830" spans="1:8">
      <c r="A1830" s="21"/>
      <c r="B1830" s="22"/>
      <c r="C1830" s="22"/>
      <c r="D1830" s="22"/>
      <c r="E1830" s="23" t="str">
        <f>IF($D1830="","",IFERROR(VLOOKUP($D1830,'SAMA Consumables Tracker'!$A:$H,8,FALSE()),""))</f>
        <v/>
      </c>
      <c r="F1830" s="24"/>
      <c r="G1830" s="25" t="str">
        <f>IF($D1830="","",IFERROR(VLOOKUP($D1830,'SAMA Consumables Tracker'!$A:$D,4,FALSE()),""))</f>
        <v/>
      </c>
      <c r="H1830" s="22"/>
    </row>
    <row r="1831" spans="1:8">
      <c r="A1831" s="21"/>
      <c r="B1831" s="22"/>
      <c r="C1831" s="22"/>
      <c r="D1831" s="22"/>
      <c r="E1831" s="23" t="str">
        <f>IF($D1831="","",IFERROR(VLOOKUP($D1831,'SAMA Consumables Tracker'!$A:$H,8,FALSE()),""))</f>
        <v/>
      </c>
      <c r="F1831" s="24"/>
      <c r="G1831" s="25" t="str">
        <f>IF($D1831="","",IFERROR(VLOOKUP($D1831,'SAMA Consumables Tracker'!$A:$D,4,FALSE()),""))</f>
        <v/>
      </c>
      <c r="H1831" s="22"/>
    </row>
    <row r="1832" spans="1:8">
      <c r="A1832" s="21"/>
      <c r="B1832" s="22"/>
      <c r="C1832" s="22"/>
      <c r="D1832" s="22"/>
      <c r="E1832" s="23" t="str">
        <f>IF($D1832="","",IFERROR(VLOOKUP($D1832,'SAMA Consumables Tracker'!$A:$H,8,FALSE()),""))</f>
        <v/>
      </c>
      <c r="F1832" s="24"/>
      <c r="G1832" s="25" t="str">
        <f>IF($D1832="","",IFERROR(VLOOKUP($D1832,'SAMA Consumables Tracker'!$A:$D,4,FALSE()),""))</f>
        <v/>
      </c>
      <c r="H1832" s="22"/>
    </row>
    <row r="1833" spans="1:8">
      <c r="A1833" s="21"/>
      <c r="B1833" s="22"/>
      <c r="C1833" s="22"/>
      <c r="D1833" s="22"/>
      <c r="E1833" s="23" t="str">
        <f>IF($D1833="","",IFERROR(VLOOKUP($D1833,'SAMA Consumables Tracker'!$A:$H,8,FALSE()),""))</f>
        <v/>
      </c>
      <c r="F1833" s="24"/>
      <c r="G1833" s="25" t="str">
        <f>IF($D1833="","",IFERROR(VLOOKUP($D1833,'SAMA Consumables Tracker'!$A:$D,4,FALSE()),""))</f>
        <v/>
      </c>
      <c r="H1833" s="22"/>
    </row>
    <row r="1834" spans="1:8">
      <c r="A1834" s="21"/>
      <c r="B1834" s="22"/>
      <c r="C1834" s="22"/>
      <c r="D1834" s="22"/>
      <c r="E1834" s="23" t="str">
        <f>IF($D1834="","",IFERROR(VLOOKUP($D1834,'SAMA Consumables Tracker'!$A:$H,8,FALSE()),""))</f>
        <v/>
      </c>
      <c r="F1834" s="24"/>
      <c r="G1834" s="25" t="str">
        <f>IF($D1834="","",IFERROR(VLOOKUP($D1834,'SAMA Consumables Tracker'!$A:$D,4,FALSE()),""))</f>
        <v/>
      </c>
      <c r="H1834" s="22"/>
    </row>
    <row r="1835" spans="1:8">
      <c r="A1835" s="21"/>
      <c r="B1835" s="22"/>
      <c r="C1835" s="22"/>
      <c r="D1835" s="22"/>
      <c r="E1835" s="23" t="str">
        <f>IF($D1835="","",IFERROR(VLOOKUP($D1835,'SAMA Consumables Tracker'!$A:$H,8,FALSE()),""))</f>
        <v/>
      </c>
      <c r="F1835" s="24"/>
      <c r="G1835" s="25" t="str">
        <f>IF($D1835="","",IFERROR(VLOOKUP($D1835,'SAMA Consumables Tracker'!$A:$D,4,FALSE()),""))</f>
        <v/>
      </c>
      <c r="H1835" s="22"/>
    </row>
    <row r="1836" spans="1:8">
      <c r="A1836" s="21"/>
      <c r="B1836" s="22"/>
      <c r="C1836" s="22"/>
      <c r="D1836" s="22"/>
      <c r="E1836" s="23" t="str">
        <f>IF($D1836="","",IFERROR(VLOOKUP($D1836,'SAMA Consumables Tracker'!$A:$H,8,FALSE()),""))</f>
        <v/>
      </c>
      <c r="F1836" s="24"/>
      <c r="G1836" s="25" t="str">
        <f>IF($D1836="","",IFERROR(VLOOKUP($D1836,'SAMA Consumables Tracker'!$A:$D,4,FALSE()),""))</f>
        <v/>
      </c>
      <c r="H1836" s="22"/>
    </row>
    <row r="1837" spans="1:8">
      <c r="A1837" s="21"/>
      <c r="B1837" s="22"/>
      <c r="C1837" s="22"/>
      <c r="D1837" s="22"/>
      <c r="E1837" s="23" t="str">
        <f>IF($D1837="","",IFERROR(VLOOKUP($D1837,'SAMA Consumables Tracker'!$A:$H,8,FALSE()),""))</f>
        <v/>
      </c>
      <c r="F1837" s="24"/>
      <c r="G1837" s="25" t="str">
        <f>IF($D1837="","",IFERROR(VLOOKUP($D1837,'SAMA Consumables Tracker'!$A:$D,4,FALSE()),""))</f>
        <v/>
      </c>
      <c r="H1837" s="22"/>
    </row>
    <row r="1838" spans="1:8">
      <c r="A1838" s="21"/>
      <c r="B1838" s="22"/>
      <c r="C1838" s="22"/>
      <c r="D1838" s="22"/>
      <c r="E1838" s="23" t="str">
        <f>IF($D1838="","",IFERROR(VLOOKUP($D1838,'SAMA Consumables Tracker'!$A:$H,8,FALSE()),""))</f>
        <v/>
      </c>
      <c r="F1838" s="24"/>
      <c r="G1838" s="25" t="str">
        <f>IF($D1838="","",IFERROR(VLOOKUP($D1838,'SAMA Consumables Tracker'!$A:$D,4,FALSE()),""))</f>
        <v/>
      </c>
      <c r="H1838" s="22"/>
    </row>
    <row r="1839" spans="1:8">
      <c r="A1839" s="21"/>
      <c r="B1839" s="22"/>
      <c r="C1839" s="22"/>
      <c r="D1839" s="22"/>
      <c r="E1839" s="23" t="str">
        <f>IF($D1839="","",IFERROR(VLOOKUP($D1839,'SAMA Consumables Tracker'!$A:$H,8,FALSE()),""))</f>
        <v/>
      </c>
      <c r="F1839" s="24"/>
      <c r="G1839" s="25" t="str">
        <f>IF($D1839="","",IFERROR(VLOOKUP($D1839,'SAMA Consumables Tracker'!$A:$D,4,FALSE()),""))</f>
        <v/>
      </c>
      <c r="H1839" s="22"/>
    </row>
    <row r="1840" spans="1:8">
      <c r="A1840" s="21"/>
      <c r="B1840" s="22"/>
      <c r="C1840" s="22"/>
      <c r="D1840" s="22"/>
      <c r="E1840" s="23" t="str">
        <f>IF($D1840="","",IFERROR(VLOOKUP($D1840,'SAMA Consumables Tracker'!$A:$H,8,FALSE()),""))</f>
        <v/>
      </c>
      <c r="F1840" s="24"/>
      <c r="G1840" s="25" t="str">
        <f>IF($D1840="","",IFERROR(VLOOKUP($D1840,'SAMA Consumables Tracker'!$A:$D,4,FALSE()),""))</f>
        <v/>
      </c>
      <c r="H1840" s="22"/>
    </row>
    <row r="1841" spans="1:8">
      <c r="A1841" s="21"/>
      <c r="B1841" s="22"/>
      <c r="C1841" s="22"/>
      <c r="D1841" s="22"/>
      <c r="E1841" s="23" t="str">
        <f>IF($D1841="","",IFERROR(VLOOKUP($D1841,'SAMA Consumables Tracker'!$A:$H,8,FALSE()),""))</f>
        <v/>
      </c>
      <c r="F1841" s="24"/>
      <c r="G1841" s="25" t="str">
        <f>IF($D1841="","",IFERROR(VLOOKUP($D1841,'SAMA Consumables Tracker'!$A:$D,4,FALSE()),""))</f>
        <v/>
      </c>
      <c r="H1841" s="22"/>
    </row>
    <row r="1842" spans="1:8">
      <c r="A1842" s="21"/>
      <c r="B1842" s="22"/>
      <c r="C1842" s="22"/>
      <c r="D1842" s="22"/>
      <c r="E1842" s="23" t="str">
        <f>IF($D1842="","",IFERROR(VLOOKUP($D1842,'SAMA Consumables Tracker'!$A:$H,8,FALSE()),""))</f>
        <v/>
      </c>
      <c r="F1842" s="24"/>
      <c r="G1842" s="25" t="str">
        <f>IF($D1842="","",IFERROR(VLOOKUP($D1842,'SAMA Consumables Tracker'!$A:$D,4,FALSE()),""))</f>
        <v/>
      </c>
      <c r="H1842" s="22"/>
    </row>
    <row r="1843" spans="1:8">
      <c r="A1843" s="21"/>
      <c r="B1843" s="22"/>
      <c r="C1843" s="22"/>
      <c r="D1843" s="22"/>
      <c r="E1843" s="23" t="str">
        <f>IF($D1843="","",IFERROR(VLOOKUP($D1843,'SAMA Consumables Tracker'!$A:$H,8,FALSE()),""))</f>
        <v/>
      </c>
      <c r="F1843" s="24"/>
      <c r="G1843" s="25" t="str">
        <f>IF($D1843="","",IFERROR(VLOOKUP($D1843,'SAMA Consumables Tracker'!$A:$D,4,FALSE()),""))</f>
        <v/>
      </c>
      <c r="H1843" s="22"/>
    </row>
    <row r="1844" spans="1:8">
      <c r="A1844" s="21"/>
      <c r="B1844" s="22"/>
      <c r="C1844" s="22"/>
      <c r="D1844" s="22"/>
      <c r="E1844" s="23" t="str">
        <f>IF($D1844="","",IFERROR(VLOOKUP($D1844,'SAMA Consumables Tracker'!$A:$H,8,FALSE()),""))</f>
        <v/>
      </c>
      <c r="F1844" s="24"/>
      <c r="G1844" s="25" t="str">
        <f>IF($D1844="","",IFERROR(VLOOKUP($D1844,'SAMA Consumables Tracker'!$A:$D,4,FALSE()),""))</f>
        <v/>
      </c>
      <c r="H1844" s="22"/>
    </row>
    <row r="1845" spans="1:8">
      <c r="A1845" s="21"/>
      <c r="B1845" s="22"/>
      <c r="C1845" s="22"/>
      <c r="D1845" s="22"/>
      <c r="E1845" s="23" t="str">
        <f>IF($D1845="","",IFERROR(VLOOKUP($D1845,'SAMA Consumables Tracker'!$A:$H,8,FALSE()),""))</f>
        <v/>
      </c>
      <c r="F1845" s="24"/>
      <c r="G1845" s="25" t="str">
        <f>IF($D1845="","",IFERROR(VLOOKUP($D1845,'SAMA Consumables Tracker'!$A:$D,4,FALSE()),""))</f>
        <v/>
      </c>
      <c r="H1845" s="22"/>
    </row>
    <row r="1846" spans="1:8">
      <c r="A1846" s="21"/>
      <c r="B1846" s="22"/>
      <c r="C1846" s="22"/>
      <c r="D1846" s="22"/>
      <c r="E1846" s="23" t="str">
        <f>IF($D1846="","",IFERROR(VLOOKUP($D1846,'SAMA Consumables Tracker'!$A:$H,8,FALSE()),""))</f>
        <v/>
      </c>
      <c r="F1846" s="24"/>
      <c r="G1846" s="25" t="str">
        <f>IF($D1846="","",IFERROR(VLOOKUP($D1846,'SAMA Consumables Tracker'!$A:$D,4,FALSE()),""))</f>
        <v/>
      </c>
      <c r="H1846" s="22"/>
    </row>
    <row r="1847" spans="1:8">
      <c r="A1847" s="21"/>
      <c r="B1847" s="22"/>
      <c r="C1847" s="22"/>
      <c r="D1847" s="22"/>
      <c r="E1847" s="23" t="str">
        <f>IF($D1847="","",IFERROR(VLOOKUP($D1847,'SAMA Consumables Tracker'!$A:$H,8,FALSE()),""))</f>
        <v/>
      </c>
      <c r="F1847" s="24"/>
      <c r="G1847" s="25" t="str">
        <f>IF($D1847="","",IFERROR(VLOOKUP($D1847,'SAMA Consumables Tracker'!$A:$D,4,FALSE()),""))</f>
        <v/>
      </c>
      <c r="H1847" s="22"/>
    </row>
    <row r="1848" spans="1:8">
      <c r="A1848" s="21"/>
      <c r="B1848" s="22"/>
      <c r="C1848" s="22"/>
      <c r="D1848" s="22"/>
      <c r="E1848" s="23" t="str">
        <f>IF($D1848="","",IFERROR(VLOOKUP($D1848,'SAMA Consumables Tracker'!$A:$H,8,FALSE()),""))</f>
        <v/>
      </c>
      <c r="F1848" s="24"/>
      <c r="G1848" s="25" t="str">
        <f>IF($D1848="","",IFERROR(VLOOKUP($D1848,'SAMA Consumables Tracker'!$A:$D,4,FALSE()),""))</f>
        <v/>
      </c>
      <c r="H1848" s="22"/>
    </row>
    <row r="1849" spans="1:8">
      <c r="A1849" s="21"/>
      <c r="B1849" s="22"/>
      <c r="C1849" s="22"/>
      <c r="D1849" s="22"/>
      <c r="E1849" s="23" t="str">
        <f>IF($D1849="","",IFERROR(VLOOKUP($D1849,'SAMA Consumables Tracker'!$A:$H,8,FALSE()),""))</f>
        <v/>
      </c>
      <c r="F1849" s="24"/>
      <c r="G1849" s="25" t="str">
        <f>IF($D1849="","",IFERROR(VLOOKUP($D1849,'SAMA Consumables Tracker'!$A:$D,4,FALSE()),""))</f>
        <v/>
      </c>
      <c r="H1849" s="22"/>
    </row>
    <row r="1850" spans="1:8">
      <c r="A1850" s="21"/>
      <c r="B1850" s="22"/>
      <c r="C1850" s="22"/>
      <c r="D1850" s="22"/>
      <c r="E1850" s="23" t="str">
        <f>IF($D1850="","",IFERROR(VLOOKUP($D1850,'SAMA Consumables Tracker'!$A:$H,8,FALSE()),""))</f>
        <v/>
      </c>
      <c r="F1850" s="24"/>
      <c r="G1850" s="25" t="str">
        <f>IF($D1850="","",IFERROR(VLOOKUP($D1850,'SAMA Consumables Tracker'!$A:$D,4,FALSE()),""))</f>
        <v/>
      </c>
      <c r="H1850" s="22"/>
    </row>
    <row r="1851" spans="1:8">
      <c r="A1851" s="21"/>
      <c r="B1851" s="22"/>
      <c r="C1851" s="22"/>
      <c r="D1851" s="22"/>
      <c r="E1851" s="23" t="str">
        <f>IF($D1851="","",IFERROR(VLOOKUP($D1851,'SAMA Consumables Tracker'!$A:$H,8,FALSE()),""))</f>
        <v/>
      </c>
      <c r="F1851" s="24"/>
      <c r="G1851" s="25" t="str">
        <f>IF($D1851="","",IFERROR(VLOOKUP($D1851,'SAMA Consumables Tracker'!$A:$D,4,FALSE()),""))</f>
        <v/>
      </c>
      <c r="H1851" s="22"/>
    </row>
    <row r="1852" spans="1:8">
      <c r="A1852" s="21"/>
      <c r="B1852" s="22"/>
      <c r="C1852" s="22"/>
      <c r="D1852" s="22"/>
      <c r="E1852" s="23" t="str">
        <f>IF($D1852="","",IFERROR(VLOOKUP($D1852,'SAMA Consumables Tracker'!$A:$H,8,FALSE()),""))</f>
        <v/>
      </c>
      <c r="F1852" s="24"/>
      <c r="G1852" s="25" t="str">
        <f>IF($D1852="","",IFERROR(VLOOKUP($D1852,'SAMA Consumables Tracker'!$A:$D,4,FALSE()),""))</f>
        <v/>
      </c>
      <c r="H1852" s="22"/>
    </row>
    <row r="1853" spans="1:8">
      <c r="A1853" s="21"/>
      <c r="B1853" s="22"/>
      <c r="C1853" s="22"/>
      <c r="D1853" s="22"/>
      <c r="E1853" s="23" t="str">
        <f>IF($D1853="","",IFERROR(VLOOKUP($D1853,'SAMA Consumables Tracker'!$A:$H,8,FALSE()),""))</f>
        <v/>
      </c>
      <c r="F1853" s="24"/>
      <c r="G1853" s="25" t="str">
        <f>IF($D1853="","",IFERROR(VLOOKUP($D1853,'SAMA Consumables Tracker'!$A:$D,4,FALSE()),""))</f>
        <v/>
      </c>
      <c r="H1853" s="22"/>
    </row>
    <row r="1854" spans="1:8">
      <c r="A1854" s="21"/>
      <c r="B1854" s="22"/>
      <c r="C1854" s="22"/>
      <c r="D1854" s="22"/>
      <c r="E1854" s="23" t="str">
        <f>IF($D1854="","",IFERROR(VLOOKUP($D1854,'SAMA Consumables Tracker'!$A:$H,8,FALSE()),""))</f>
        <v/>
      </c>
      <c r="F1854" s="24"/>
      <c r="G1854" s="25" t="str">
        <f>IF($D1854="","",IFERROR(VLOOKUP($D1854,'SAMA Consumables Tracker'!$A:$D,4,FALSE()),""))</f>
        <v/>
      </c>
      <c r="H1854" s="22"/>
    </row>
    <row r="1855" spans="1:8">
      <c r="A1855" s="21"/>
      <c r="B1855" s="22"/>
      <c r="C1855" s="22"/>
      <c r="D1855" s="22"/>
      <c r="E1855" s="23" t="str">
        <f>IF($D1855="","",IFERROR(VLOOKUP($D1855,'SAMA Consumables Tracker'!$A:$H,8,FALSE()),""))</f>
        <v/>
      </c>
      <c r="F1855" s="24"/>
      <c r="G1855" s="25" t="str">
        <f>IF($D1855="","",IFERROR(VLOOKUP($D1855,'SAMA Consumables Tracker'!$A:$D,4,FALSE()),""))</f>
        <v/>
      </c>
      <c r="H1855" s="22"/>
    </row>
    <row r="1856" spans="1:8">
      <c r="A1856" s="21"/>
      <c r="B1856" s="22"/>
      <c r="C1856" s="22"/>
      <c r="D1856" s="22"/>
      <c r="E1856" s="23" t="str">
        <f>IF($D1856="","",IFERROR(VLOOKUP($D1856,'SAMA Consumables Tracker'!$A:$H,8,FALSE()),""))</f>
        <v/>
      </c>
      <c r="F1856" s="24"/>
      <c r="G1856" s="25" t="str">
        <f>IF($D1856="","",IFERROR(VLOOKUP($D1856,'SAMA Consumables Tracker'!$A:$D,4,FALSE()),""))</f>
        <v/>
      </c>
      <c r="H1856" s="22"/>
    </row>
    <row r="1857" spans="1:8">
      <c r="A1857" s="21"/>
      <c r="B1857" s="22"/>
      <c r="C1857" s="22"/>
      <c r="D1857" s="22"/>
      <c r="E1857" s="23" t="str">
        <f>IF($D1857="","",IFERROR(VLOOKUP($D1857,'SAMA Consumables Tracker'!$A:$H,8,FALSE()),""))</f>
        <v/>
      </c>
      <c r="F1857" s="24"/>
      <c r="G1857" s="25" t="str">
        <f>IF($D1857="","",IFERROR(VLOOKUP($D1857,'SAMA Consumables Tracker'!$A:$D,4,FALSE()),""))</f>
        <v/>
      </c>
      <c r="H1857" s="22"/>
    </row>
    <row r="1858" spans="1:8">
      <c r="A1858" s="21"/>
      <c r="B1858" s="22"/>
      <c r="C1858" s="22"/>
      <c r="D1858" s="22"/>
      <c r="E1858" s="23" t="str">
        <f>IF($D1858="","",IFERROR(VLOOKUP($D1858,'SAMA Consumables Tracker'!$A:$H,8,FALSE()),""))</f>
        <v/>
      </c>
      <c r="F1858" s="24"/>
      <c r="G1858" s="25" t="str">
        <f>IF($D1858="","",IFERROR(VLOOKUP($D1858,'SAMA Consumables Tracker'!$A:$D,4,FALSE()),""))</f>
        <v/>
      </c>
      <c r="H1858" s="22"/>
    </row>
    <row r="1859" spans="1:8">
      <c r="A1859" s="21"/>
      <c r="B1859" s="22"/>
      <c r="C1859" s="22"/>
      <c r="D1859" s="22"/>
      <c r="E1859" s="23" t="str">
        <f>IF($D1859="","",IFERROR(VLOOKUP($D1859,'SAMA Consumables Tracker'!$A:$H,8,FALSE()),""))</f>
        <v/>
      </c>
      <c r="F1859" s="24"/>
      <c r="G1859" s="25" t="str">
        <f>IF($D1859="","",IFERROR(VLOOKUP($D1859,'SAMA Consumables Tracker'!$A:$D,4,FALSE()),""))</f>
        <v/>
      </c>
      <c r="H1859" s="22"/>
    </row>
    <row r="1860" spans="1:8">
      <c r="A1860" s="21"/>
      <c r="B1860" s="22"/>
      <c r="C1860" s="22"/>
      <c r="D1860" s="22"/>
      <c r="E1860" s="23" t="str">
        <f>IF($D1860="","",IFERROR(VLOOKUP($D1860,'SAMA Consumables Tracker'!$A:$H,8,FALSE()),""))</f>
        <v/>
      </c>
      <c r="F1860" s="24"/>
      <c r="G1860" s="25" t="str">
        <f>IF($D1860="","",IFERROR(VLOOKUP($D1860,'SAMA Consumables Tracker'!$A:$D,4,FALSE()),""))</f>
        <v/>
      </c>
      <c r="H1860" s="22"/>
    </row>
    <row r="1861" spans="1:8">
      <c r="A1861" s="21"/>
      <c r="B1861" s="22"/>
      <c r="C1861" s="22"/>
      <c r="D1861" s="22"/>
      <c r="E1861" s="23" t="str">
        <f>IF($D1861="","",IFERROR(VLOOKUP($D1861,'SAMA Consumables Tracker'!$A:$H,8,FALSE()),""))</f>
        <v/>
      </c>
      <c r="F1861" s="24"/>
      <c r="G1861" s="25" t="str">
        <f>IF($D1861="","",IFERROR(VLOOKUP($D1861,'SAMA Consumables Tracker'!$A:$D,4,FALSE()),""))</f>
        <v/>
      </c>
      <c r="H1861" s="22"/>
    </row>
    <row r="1862" spans="1:8">
      <c r="A1862" s="21"/>
      <c r="B1862" s="22"/>
      <c r="C1862" s="22"/>
      <c r="D1862" s="22"/>
      <c r="E1862" s="23" t="str">
        <f>IF($D1862="","",IFERROR(VLOOKUP($D1862,'SAMA Consumables Tracker'!$A:$H,8,FALSE()),""))</f>
        <v/>
      </c>
      <c r="F1862" s="24"/>
      <c r="G1862" s="25" t="str">
        <f>IF($D1862="","",IFERROR(VLOOKUP($D1862,'SAMA Consumables Tracker'!$A:$D,4,FALSE()),""))</f>
        <v/>
      </c>
      <c r="H1862" s="22"/>
    </row>
    <row r="1863" spans="1:8">
      <c r="A1863" s="21"/>
      <c r="B1863" s="22"/>
      <c r="C1863" s="22"/>
      <c r="D1863" s="22"/>
      <c r="E1863" s="23" t="str">
        <f>IF($D1863="","",IFERROR(VLOOKUP($D1863,'SAMA Consumables Tracker'!$A:$H,8,FALSE()),""))</f>
        <v/>
      </c>
      <c r="F1863" s="24"/>
      <c r="G1863" s="25" t="str">
        <f>IF($D1863="","",IFERROR(VLOOKUP($D1863,'SAMA Consumables Tracker'!$A:$D,4,FALSE()),""))</f>
        <v/>
      </c>
      <c r="H1863" s="22"/>
    </row>
    <row r="1864" spans="1:8">
      <c r="A1864" s="21"/>
      <c r="B1864" s="22"/>
      <c r="C1864" s="22"/>
      <c r="D1864" s="22"/>
      <c r="E1864" s="23" t="str">
        <f>IF($D1864="","",IFERROR(VLOOKUP($D1864,'SAMA Consumables Tracker'!$A:$H,8,FALSE()),""))</f>
        <v/>
      </c>
      <c r="F1864" s="24"/>
      <c r="G1864" s="25" t="str">
        <f>IF($D1864="","",IFERROR(VLOOKUP($D1864,'SAMA Consumables Tracker'!$A:$D,4,FALSE()),""))</f>
        <v/>
      </c>
      <c r="H1864" s="22"/>
    </row>
    <row r="1865" spans="1:8">
      <c r="A1865" s="21"/>
      <c r="B1865" s="22"/>
      <c r="C1865" s="22"/>
      <c r="D1865" s="22"/>
      <c r="E1865" s="23" t="str">
        <f>IF($D1865="","",IFERROR(VLOOKUP($D1865,'SAMA Consumables Tracker'!$A:$H,8,FALSE()),""))</f>
        <v/>
      </c>
      <c r="F1865" s="24"/>
      <c r="G1865" s="25" t="str">
        <f>IF($D1865="","",IFERROR(VLOOKUP($D1865,'SAMA Consumables Tracker'!$A:$D,4,FALSE()),""))</f>
        <v/>
      </c>
      <c r="H1865" s="22"/>
    </row>
    <row r="1866" spans="1:8">
      <c r="A1866" s="21"/>
      <c r="B1866" s="22"/>
      <c r="C1866" s="22"/>
      <c r="D1866" s="22"/>
      <c r="E1866" s="23" t="str">
        <f>IF($D1866="","",IFERROR(VLOOKUP($D1866,'SAMA Consumables Tracker'!$A:$H,8,FALSE()),""))</f>
        <v/>
      </c>
      <c r="F1866" s="24"/>
      <c r="G1866" s="25" t="str">
        <f>IF($D1866="","",IFERROR(VLOOKUP($D1866,'SAMA Consumables Tracker'!$A:$D,4,FALSE()),""))</f>
        <v/>
      </c>
      <c r="H1866" s="22"/>
    </row>
    <row r="1867" spans="1:8">
      <c r="A1867" s="21"/>
      <c r="B1867" s="22"/>
      <c r="C1867" s="22"/>
      <c r="D1867" s="22"/>
      <c r="E1867" s="23" t="str">
        <f>IF($D1867="","",IFERROR(VLOOKUP($D1867,'SAMA Consumables Tracker'!$A:$H,8,FALSE()),""))</f>
        <v/>
      </c>
      <c r="F1867" s="24"/>
      <c r="G1867" s="25" t="str">
        <f>IF($D1867="","",IFERROR(VLOOKUP($D1867,'SAMA Consumables Tracker'!$A:$D,4,FALSE()),""))</f>
        <v/>
      </c>
      <c r="H1867" s="22"/>
    </row>
    <row r="1868" spans="1:8">
      <c r="A1868" s="21"/>
      <c r="B1868" s="22"/>
      <c r="C1868" s="22"/>
      <c r="D1868" s="22"/>
      <c r="E1868" s="23" t="str">
        <f>IF($D1868="","",IFERROR(VLOOKUP($D1868,'SAMA Consumables Tracker'!$A:$H,8,FALSE()),""))</f>
        <v/>
      </c>
      <c r="F1868" s="24"/>
      <c r="G1868" s="25" t="str">
        <f>IF($D1868="","",IFERROR(VLOOKUP($D1868,'SAMA Consumables Tracker'!$A:$D,4,FALSE()),""))</f>
        <v/>
      </c>
      <c r="H1868" s="22"/>
    </row>
    <row r="1869" spans="1:8">
      <c r="A1869" s="21"/>
      <c r="B1869" s="22"/>
      <c r="C1869" s="22"/>
      <c r="D1869" s="22"/>
      <c r="E1869" s="23" t="str">
        <f>IF($D1869="","",IFERROR(VLOOKUP($D1869,'SAMA Consumables Tracker'!$A:$H,8,FALSE()),""))</f>
        <v/>
      </c>
      <c r="F1869" s="24"/>
      <c r="G1869" s="25" t="str">
        <f>IF($D1869="","",IFERROR(VLOOKUP($D1869,'SAMA Consumables Tracker'!$A:$D,4,FALSE()),""))</f>
        <v/>
      </c>
      <c r="H1869" s="22"/>
    </row>
    <row r="1870" spans="1:8">
      <c r="A1870" s="21"/>
      <c r="B1870" s="22"/>
      <c r="C1870" s="22"/>
      <c r="D1870" s="22"/>
      <c r="E1870" s="23" t="str">
        <f>IF($D1870="","",IFERROR(VLOOKUP($D1870,'SAMA Consumables Tracker'!$A:$H,8,FALSE()),""))</f>
        <v/>
      </c>
      <c r="F1870" s="24"/>
      <c r="G1870" s="25" t="str">
        <f>IF($D1870="","",IFERROR(VLOOKUP($D1870,'SAMA Consumables Tracker'!$A:$D,4,FALSE()),""))</f>
        <v/>
      </c>
      <c r="H1870" s="22"/>
    </row>
    <row r="1871" spans="1:8">
      <c r="A1871" s="21"/>
      <c r="B1871" s="22"/>
      <c r="C1871" s="22"/>
      <c r="D1871" s="22"/>
      <c r="E1871" s="23" t="str">
        <f>IF($D1871="","",IFERROR(VLOOKUP($D1871,'SAMA Consumables Tracker'!$A:$H,8,FALSE()),""))</f>
        <v/>
      </c>
      <c r="F1871" s="24"/>
      <c r="G1871" s="25" t="str">
        <f>IF($D1871="","",IFERROR(VLOOKUP($D1871,'SAMA Consumables Tracker'!$A:$D,4,FALSE()),""))</f>
        <v/>
      </c>
      <c r="H1871" s="22"/>
    </row>
    <row r="1872" spans="1:8">
      <c r="A1872" s="21"/>
      <c r="B1872" s="22"/>
      <c r="C1872" s="22"/>
      <c r="D1872" s="22"/>
      <c r="E1872" s="23" t="str">
        <f>IF($D1872="","",IFERROR(VLOOKUP($D1872,'SAMA Consumables Tracker'!$A:$H,8,FALSE()),""))</f>
        <v/>
      </c>
      <c r="F1872" s="24"/>
      <c r="G1872" s="25" t="str">
        <f>IF($D1872="","",IFERROR(VLOOKUP($D1872,'SAMA Consumables Tracker'!$A:$D,4,FALSE()),""))</f>
        <v/>
      </c>
      <c r="H1872" s="22"/>
    </row>
    <row r="1873" spans="1:8">
      <c r="A1873" s="21"/>
      <c r="B1873" s="22"/>
      <c r="C1873" s="22"/>
      <c r="D1873" s="22"/>
      <c r="E1873" s="23" t="str">
        <f>IF($D1873="","",IFERROR(VLOOKUP($D1873,'SAMA Consumables Tracker'!$A:$H,8,FALSE()),""))</f>
        <v/>
      </c>
      <c r="F1873" s="24"/>
      <c r="G1873" s="25" t="str">
        <f>IF($D1873="","",IFERROR(VLOOKUP($D1873,'SAMA Consumables Tracker'!$A:$D,4,FALSE()),""))</f>
        <v/>
      </c>
      <c r="H1873" s="22"/>
    </row>
    <row r="1874" spans="1:8">
      <c r="A1874" s="21"/>
      <c r="B1874" s="22"/>
      <c r="C1874" s="22"/>
      <c r="D1874" s="22"/>
      <c r="E1874" s="23" t="str">
        <f>IF($D1874="","",IFERROR(VLOOKUP($D1874,'SAMA Consumables Tracker'!$A:$H,8,FALSE()),""))</f>
        <v/>
      </c>
      <c r="F1874" s="24"/>
      <c r="G1874" s="25" t="str">
        <f>IF($D1874="","",IFERROR(VLOOKUP($D1874,'SAMA Consumables Tracker'!$A:$D,4,FALSE()),""))</f>
        <v/>
      </c>
      <c r="H1874" s="22"/>
    </row>
    <row r="1875" spans="1:8">
      <c r="A1875" s="21"/>
      <c r="B1875" s="22"/>
      <c r="C1875" s="22"/>
      <c r="D1875" s="22"/>
      <c r="E1875" s="23" t="str">
        <f>IF($D1875="","",IFERROR(VLOOKUP($D1875,'SAMA Consumables Tracker'!$A:$H,8,FALSE()),""))</f>
        <v/>
      </c>
      <c r="F1875" s="24"/>
      <c r="G1875" s="25" t="str">
        <f>IF($D1875="","",IFERROR(VLOOKUP($D1875,'SAMA Consumables Tracker'!$A:$D,4,FALSE()),""))</f>
        <v/>
      </c>
      <c r="H1875" s="22"/>
    </row>
    <row r="1876" spans="1:8">
      <c r="A1876" s="21"/>
      <c r="B1876" s="22"/>
      <c r="C1876" s="22"/>
      <c r="D1876" s="22"/>
      <c r="E1876" s="23" t="str">
        <f>IF($D1876="","",IFERROR(VLOOKUP($D1876,'SAMA Consumables Tracker'!$A:$H,8,FALSE()),""))</f>
        <v/>
      </c>
      <c r="F1876" s="24"/>
      <c r="G1876" s="25" t="str">
        <f>IF($D1876="","",IFERROR(VLOOKUP($D1876,'SAMA Consumables Tracker'!$A:$D,4,FALSE()),""))</f>
        <v/>
      </c>
      <c r="H1876" s="22"/>
    </row>
    <row r="1877" spans="1:8">
      <c r="A1877" s="21"/>
      <c r="B1877" s="22"/>
      <c r="C1877" s="22"/>
      <c r="D1877" s="22"/>
      <c r="E1877" s="23" t="str">
        <f>IF($D1877="","",IFERROR(VLOOKUP($D1877,'SAMA Consumables Tracker'!$A:$H,8,FALSE()),""))</f>
        <v/>
      </c>
      <c r="F1877" s="24"/>
      <c r="G1877" s="25" t="str">
        <f>IF($D1877="","",IFERROR(VLOOKUP($D1877,'SAMA Consumables Tracker'!$A:$D,4,FALSE()),""))</f>
        <v/>
      </c>
      <c r="H1877" s="22"/>
    </row>
    <row r="1878" spans="1:8">
      <c r="A1878" s="21"/>
      <c r="B1878" s="22"/>
      <c r="C1878" s="22"/>
      <c r="D1878" s="22"/>
      <c r="E1878" s="23" t="str">
        <f>IF($D1878="","",IFERROR(VLOOKUP($D1878,'SAMA Consumables Tracker'!$A:$H,8,FALSE()),""))</f>
        <v/>
      </c>
      <c r="F1878" s="24"/>
      <c r="G1878" s="25" t="str">
        <f>IF($D1878="","",IFERROR(VLOOKUP($D1878,'SAMA Consumables Tracker'!$A:$D,4,FALSE()),""))</f>
        <v/>
      </c>
      <c r="H1878" s="22"/>
    </row>
    <row r="1879" spans="1:8">
      <c r="A1879" s="21"/>
      <c r="B1879" s="22"/>
      <c r="C1879" s="22"/>
      <c r="D1879" s="22"/>
      <c r="E1879" s="23" t="str">
        <f>IF($D1879="","",IFERROR(VLOOKUP($D1879,'SAMA Consumables Tracker'!$A:$H,8,FALSE()),""))</f>
        <v/>
      </c>
      <c r="F1879" s="24"/>
      <c r="G1879" s="25" t="str">
        <f>IF($D1879="","",IFERROR(VLOOKUP($D1879,'SAMA Consumables Tracker'!$A:$D,4,FALSE()),""))</f>
        <v/>
      </c>
      <c r="H1879" s="22"/>
    </row>
    <row r="1880" spans="1:8">
      <c r="A1880" s="21"/>
      <c r="B1880" s="22"/>
      <c r="C1880" s="22"/>
      <c r="D1880" s="22"/>
      <c r="E1880" s="23" t="str">
        <f>IF($D1880="","",IFERROR(VLOOKUP($D1880,'SAMA Consumables Tracker'!$A:$H,8,FALSE()),""))</f>
        <v/>
      </c>
      <c r="F1880" s="24"/>
      <c r="G1880" s="25" t="str">
        <f>IF($D1880="","",IFERROR(VLOOKUP($D1880,'SAMA Consumables Tracker'!$A:$D,4,FALSE()),""))</f>
        <v/>
      </c>
      <c r="H1880" s="22"/>
    </row>
    <row r="1881" spans="1:8">
      <c r="A1881" s="21"/>
      <c r="B1881" s="22"/>
      <c r="C1881" s="22"/>
      <c r="D1881" s="22"/>
      <c r="E1881" s="23" t="str">
        <f>IF($D1881="","",IFERROR(VLOOKUP($D1881,'SAMA Consumables Tracker'!$A:$H,8,FALSE()),""))</f>
        <v/>
      </c>
      <c r="F1881" s="24"/>
      <c r="G1881" s="25" t="str">
        <f>IF($D1881="","",IFERROR(VLOOKUP($D1881,'SAMA Consumables Tracker'!$A:$D,4,FALSE()),""))</f>
        <v/>
      </c>
      <c r="H1881" s="22"/>
    </row>
    <row r="1882" spans="1:8">
      <c r="A1882" s="21"/>
      <c r="B1882" s="22"/>
      <c r="C1882" s="22"/>
      <c r="D1882" s="22"/>
      <c r="E1882" s="23" t="str">
        <f>IF($D1882="","",IFERROR(VLOOKUP($D1882,'SAMA Consumables Tracker'!$A:$H,8,FALSE()),""))</f>
        <v/>
      </c>
      <c r="F1882" s="24"/>
      <c r="G1882" s="25" t="str">
        <f>IF($D1882="","",IFERROR(VLOOKUP($D1882,'SAMA Consumables Tracker'!$A:$D,4,FALSE()),""))</f>
        <v/>
      </c>
      <c r="H1882" s="22"/>
    </row>
    <row r="1883" spans="1:8">
      <c r="A1883" s="21"/>
      <c r="B1883" s="22"/>
      <c r="C1883" s="22"/>
      <c r="D1883" s="22"/>
      <c r="E1883" s="23" t="str">
        <f>IF($D1883="","",IFERROR(VLOOKUP($D1883,'SAMA Consumables Tracker'!$A:$H,8,FALSE()),""))</f>
        <v/>
      </c>
      <c r="F1883" s="24"/>
      <c r="G1883" s="25" t="str">
        <f>IF($D1883="","",IFERROR(VLOOKUP($D1883,'SAMA Consumables Tracker'!$A:$D,4,FALSE()),""))</f>
        <v/>
      </c>
      <c r="H1883" s="22"/>
    </row>
    <row r="1884" spans="1:8">
      <c r="A1884" s="21"/>
      <c r="B1884" s="22"/>
      <c r="C1884" s="22"/>
      <c r="D1884" s="22"/>
      <c r="E1884" s="23" t="str">
        <f>IF($D1884="","",IFERROR(VLOOKUP($D1884,'SAMA Consumables Tracker'!$A:$H,8,FALSE()),""))</f>
        <v/>
      </c>
      <c r="F1884" s="24"/>
      <c r="G1884" s="25" t="str">
        <f>IF($D1884="","",IFERROR(VLOOKUP($D1884,'SAMA Consumables Tracker'!$A:$D,4,FALSE()),""))</f>
        <v/>
      </c>
      <c r="H1884" s="22"/>
    </row>
    <row r="1885" spans="1:8">
      <c r="A1885" s="21"/>
      <c r="B1885" s="22"/>
      <c r="C1885" s="22"/>
      <c r="D1885" s="22"/>
      <c r="E1885" s="23" t="str">
        <f>IF($D1885="","",IFERROR(VLOOKUP($D1885,'SAMA Consumables Tracker'!$A:$H,8,FALSE()),""))</f>
        <v/>
      </c>
      <c r="F1885" s="24"/>
      <c r="G1885" s="25" t="str">
        <f>IF($D1885="","",IFERROR(VLOOKUP($D1885,'SAMA Consumables Tracker'!$A:$D,4,FALSE()),""))</f>
        <v/>
      </c>
      <c r="H1885" s="22"/>
    </row>
    <row r="1886" spans="1:8">
      <c r="A1886" s="21"/>
      <c r="B1886" s="22"/>
      <c r="C1886" s="22"/>
      <c r="D1886" s="22"/>
      <c r="E1886" s="23" t="str">
        <f>IF($D1886="","",IFERROR(VLOOKUP($D1886,'SAMA Consumables Tracker'!$A:$H,8,FALSE()),""))</f>
        <v/>
      </c>
      <c r="F1886" s="24"/>
      <c r="G1886" s="25" t="str">
        <f>IF($D1886="","",IFERROR(VLOOKUP($D1886,'SAMA Consumables Tracker'!$A:$D,4,FALSE()),""))</f>
        <v/>
      </c>
      <c r="H1886" s="22"/>
    </row>
    <row r="1887" spans="1:8">
      <c r="A1887" s="21"/>
      <c r="B1887" s="22"/>
      <c r="C1887" s="22"/>
      <c r="D1887" s="22"/>
      <c r="E1887" s="23" t="str">
        <f>IF($D1887="","",IFERROR(VLOOKUP($D1887,'SAMA Consumables Tracker'!$A:$H,8,FALSE()),""))</f>
        <v/>
      </c>
      <c r="F1887" s="24"/>
      <c r="G1887" s="25" t="str">
        <f>IF($D1887="","",IFERROR(VLOOKUP($D1887,'SAMA Consumables Tracker'!$A:$D,4,FALSE()),""))</f>
        <v/>
      </c>
      <c r="H1887" s="22"/>
    </row>
    <row r="1888" spans="1:8">
      <c r="A1888" s="21"/>
      <c r="B1888" s="22"/>
      <c r="C1888" s="22"/>
      <c r="D1888" s="22"/>
      <c r="E1888" s="23" t="str">
        <f>IF($D1888="","",IFERROR(VLOOKUP($D1888,'SAMA Consumables Tracker'!$A:$H,8,FALSE()),""))</f>
        <v/>
      </c>
      <c r="F1888" s="24"/>
      <c r="G1888" s="25" t="str">
        <f>IF($D1888="","",IFERROR(VLOOKUP($D1888,'SAMA Consumables Tracker'!$A:$D,4,FALSE()),""))</f>
        <v/>
      </c>
      <c r="H1888" s="22"/>
    </row>
    <row r="1889" spans="1:8">
      <c r="A1889" s="21"/>
      <c r="B1889" s="22"/>
      <c r="C1889" s="22"/>
      <c r="D1889" s="22"/>
      <c r="E1889" s="23" t="str">
        <f>IF($D1889="","",IFERROR(VLOOKUP($D1889,'SAMA Consumables Tracker'!$A:$H,8,FALSE()),""))</f>
        <v/>
      </c>
      <c r="F1889" s="24"/>
      <c r="G1889" s="25" t="str">
        <f>IF($D1889="","",IFERROR(VLOOKUP($D1889,'SAMA Consumables Tracker'!$A:$D,4,FALSE()),""))</f>
        <v/>
      </c>
      <c r="H1889" s="22"/>
    </row>
    <row r="1890" spans="1:8">
      <c r="A1890" s="21"/>
      <c r="B1890" s="22"/>
      <c r="C1890" s="22"/>
      <c r="D1890" s="22"/>
      <c r="E1890" s="23" t="str">
        <f>IF($D1890="","",IFERROR(VLOOKUP($D1890,'SAMA Consumables Tracker'!$A:$H,8,FALSE()),""))</f>
        <v/>
      </c>
      <c r="F1890" s="24"/>
      <c r="G1890" s="25" t="str">
        <f>IF($D1890="","",IFERROR(VLOOKUP($D1890,'SAMA Consumables Tracker'!$A:$D,4,FALSE()),""))</f>
        <v/>
      </c>
      <c r="H1890" s="22"/>
    </row>
    <row r="1891" spans="1:8">
      <c r="A1891" s="21"/>
      <c r="B1891" s="22"/>
      <c r="C1891" s="22"/>
      <c r="D1891" s="22"/>
      <c r="E1891" s="23" t="str">
        <f>IF($D1891="","",IFERROR(VLOOKUP($D1891,'SAMA Consumables Tracker'!$A:$H,8,FALSE()),""))</f>
        <v/>
      </c>
      <c r="F1891" s="24"/>
      <c r="G1891" s="25" t="str">
        <f>IF($D1891="","",IFERROR(VLOOKUP($D1891,'SAMA Consumables Tracker'!$A:$D,4,FALSE()),""))</f>
        <v/>
      </c>
      <c r="H1891" s="22"/>
    </row>
    <row r="1892" spans="1:8">
      <c r="A1892" s="21"/>
      <c r="B1892" s="22"/>
      <c r="C1892" s="22"/>
      <c r="D1892" s="22"/>
      <c r="E1892" s="23" t="str">
        <f>IF($D1892="","",IFERROR(VLOOKUP($D1892,'SAMA Consumables Tracker'!$A:$H,8,FALSE()),""))</f>
        <v/>
      </c>
      <c r="F1892" s="24"/>
      <c r="G1892" s="25" t="str">
        <f>IF($D1892="","",IFERROR(VLOOKUP($D1892,'SAMA Consumables Tracker'!$A:$D,4,FALSE()),""))</f>
        <v/>
      </c>
      <c r="H1892" s="22"/>
    </row>
    <row r="1893" spans="1:8">
      <c r="A1893" s="21"/>
      <c r="B1893" s="22"/>
      <c r="C1893" s="22"/>
      <c r="D1893" s="22"/>
      <c r="E1893" s="23" t="str">
        <f>IF($D1893="","",IFERROR(VLOOKUP($D1893,'SAMA Consumables Tracker'!$A:$H,8,FALSE()),""))</f>
        <v/>
      </c>
      <c r="F1893" s="24"/>
      <c r="G1893" s="25" t="str">
        <f>IF($D1893="","",IFERROR(VLOOKUP($D1893,'SAMA Consumables Tracker'!$A:$D,4,FALSE()),""))</f>
        <v/>
      </c>
      <c r="H1893" s="22"/>
    </row>
    <row r="1894" spans="1:8">
      <c r="A1894" s="21"/>
      <c r="B1894" s="22"/>
      <c r="C1894" s="22"/>
      <c r="D1894" s="22"/>
      <c r="E1894" s="23" t="str">
        <f>IF($D1894="","",IFERROR(VLOOKUP($D1894,'SAMA Consumables Tracker'!$A:$H,8,FALSE()),""))</f>
        <v/>
      </c>
      <c r="F1894" s="24"/>
      <c r="G1894" s="25" t="str">
        <f>IF($D1894="","",IFERROR(VLOOKUP($D1894,'SAMA Consumables Tracker'!$A:$D,4,FALSE()),""))</f>
        <v/>
      </c>
      <c r="H1894" s="22"/>
    </row>
    <row r="1895" spans="1:8">
      <c r="A1895" s="21"/>
      <c r="B1895" s="22"/>
      <c r="C1895" s="22"/>
      <c r="D1895" s="22"/>
      <c r="E1895" s="23" t="str">
        <f>IF($D1895="","",IFERROR(VLOOKUP($D1895,'SAMA Consumables Tracker'!$A:$H,8,FALSE()),""))</f>
        <v/>
      </c>
      <c r="F1895" s="24"/>
      <c r="G1895" s="25" t="str">
        <f>IF($D1895="","",IFERROR(VLOOKUP($D1895,'SAMA Consumables Tracker'!$A:$D,4,FALSE()),""))</f>
        <v/>
      </c>
      <c r="H1895" s="22"/>
    </row>
    <row r="1896" spans="1:8">
      <c r="A1896" s="21"/>
      <c r="B1896" s="22"/>
      <c r="C1896" s="22"/>
      <c r="D1896" s="22"/>
      <c r="E1896" s="23" t="str">
        <f>IF($D1896="","",IFERROR(VLOOKUP($D1896,'SAMA Consumables Tracker'!$A:$H,8,FALSE()),""))</f>
        <v/>
      </c>
      <c r="F1896" s="24"/>
      <c r="G1896" s="25" t="str">
        <f>IF($D1896="","",IFERROR(VLOOKUP($D1896,'SAMA Consumables Tracker'!$A:$D,4,FALSE()),""))</f>
        <v/>
      </c>
      <c r="H1896" s="22"/>
    </row>
    <row r="1897" spans="1:8">
      <c r="A1897" s="21"/>
      <c r="B1897" s="22"/>
      <c r="C1897" s="22"/>
      <c r="D1897" s="22"/>
      <c r="E1897" s="23" t="str">
        <f>IF($D1897="","",IFERROR(VLOOKUP($D1897,'SAMA Consumables Tracker'!$A:$H,8,FALSE()),""))</f>
        <v/>
      </c>
      <c r="F1897" s="24"/>
      <c r="G1897" s="25" t="str">
        <f>IF($D1897="","",IFERROR(VLOOKUP($D1897,'SAMA Consumables Tracker'!$A:$D,4,FALSE()),""))</f>
        <v/>
      </c>
      <c r="H1897" s="22"/>
    </row>
    <row r="1898" spans="1:8">
      <c r="A1898" s="21"/>
      <c r="B1898" s="22"/>
      <c r="C1898" s="22"/>
      <c r="D1898" s="22"/>
      <c r="E1898" s="23" t="str">
        <f>IF($D1898="","",IFERROR(VLOOKUP($D1898,'SAMA Consumables Tracker'!$A:$H,8,FALSE()),""))</f>
        <v/>
      </c>
      <c r="F1898" s="24"/>
      <c r="G1898" s="25" t="str">
        <f>IF($D1898="","",IFERROR(VLOOKUP($D1898,'SAMA Consumables Tracker'!$A:$D,4,FALSE()),""))</f>
        <v/>
      </c>
      <c r="H1898" s="22"/>
    </row>
    <row r="1899" spans="1:8">
      <c r="A1899" s="21"/>
      <c r="B1899" s="22"/>
      <c r="C1899" s="22"/>
      <c r="D1899" s="22"/>
      <c r="E1899" s="23" t="str">
        <f>IF($D1899="","",IFERROR(VLOOKUP($D1899,'SAMA Consumables Tracker'!$A:$H,8,FALSE()),""))</f>
        <v/>
      </c>
      <c r="F1899" s="24"/>
      <c r="G1899" s="25" t="str">
        <f>IF($D1899="","",IFERROR(VLOOKUP($D1899,'SAMA Consumables Tracker'!$A:$D,4,FALSE()),""))</f>
        <v/>
      </c>
      <c r="H1899" s="22"/>
    </row>
    <row r="1900" spans="1:8">
      <c r="A1900" s="21"/>
      <c r="B1900" s="22"/>
      <c r="C1900" s="22"/>
      <c r="D1900" s="22"/>
      <c r="E1900" s="23" t="str">
        <f>IF($D1900="","",IFERROR(VLOOKUP($D1900,'SAMA Consumables Tracker'!$A:$H,8,FALSE()),""))</f>
        <v/>
      </c>
      <c r="F1900" s="24"/>
      <c r="G1900" s="25" t="str">
        <f>IF($D1900="","",IFERROR(VLOOKUP($D1900,'SAMA Consumables Tracker'!$A:$D,4,FALSE()),""))</f>
        <v/>
      </c>
      <c r="H1900" s="22"/>
    </row>
    <row r="1901" spans="1:8">
      <c r="A1901" s="21"/>
      <c r="B1901" s="22"/>
      <c r="C1901" s="22"/>
      <c r="D1901" s="22"/>
      <c r="E1901" s="23" t="str">
        <f>IF($D1901="","",IFERROR(VLOOKUP($D1901,'SAMA Consumables Tracker'!$A:$H,8,FALSE()),""))</f>
        <v/>
      </c>
      <c r="F1901" s="24"/>
      <c r="G1901" s="25" t="str">
        <f>IF($D1901="","",IFERROR(VLOOKUP($D1901,'SAMA Consumables Tracker'!$A:$D,4,FALSE()),""))</f>
        <v/>
      </c>
      <c r="H1901" s="22"/>
    </row>
    <row r="1902" spans="1:8">
      <c r="A1902" s="21"/>
      <c r="B1902" s="22"/>
      <c r="C1902" s="22"/>
      <c r="D1902" s="22"/>
      <c r="E1902" s="23" t="str">
        <f>IF($D1902="","",IFERROR(VLOOKUP($D1902,'SAMA Consumables Tracker'!$A:$H,8,FALSE()),""))</f>
        <v/>
      </c>
      <c r="F1902" s="24"/>
      <c r="G1902" s="25" t="str">
        <f>IF($D1902="","",IFERROR(VLOOKUP($D1902,'SAMA Consumables Tracker'!$A:$D,4,FALSE()),""))</f>
        <v/>
      </c>
      <c r="H1902" s="22"/>
    </row>
    <row r="1903" spans="1:8">
      <c r="A1903" s="21"/>
      <c r="B1903" s="22"/>
      <c r="C1903" s="22"/>
      <c r="D1903" s="22"/>
      <c r="E1903" s="23" t="str">
        <f>IF($D1903="","",IFERROR(VLOOKUP($D1903,'SAMA Consumables Tracker'!$A:$H,8,FALSE()),""))</f>
        <v/>
      </c>
      <c r="F1903" s="24"/>
      <c r="G1903" s="25" t="str">
        <f>IF($D1903="","",IFERROR(VLOOKUP($D1903,'SAMA Consumables Tracker'!$A:$D,4,FALSE()),""))</f>
        <v/>
      </c>
      <c r="H1903" s="22"/>
    </row>
    <row r="1904" spans="1:8">
      <c r="A1904" s="21"/>
      <c r="B1904" s="22"/>
      <c r="C1904" s="22"/>
      <c r="D1904" s="22"/>
      <c r="E1904" s="23" t="str">
        <f>IF($D1904="","",IFERROR(VLOOKUP($D1904,'SAMA Consumables Tracker'!$A:$H,8,FALSE()),""))</f>
        <v/>
      </c>
      <c r="F1904" s="24"/>
      <c r="G1904" s="25" t="str">
        <f>IF($D1904="","",IFERROR(VLOOKUP($D1904,'SAMA Consumables Tracker'!$A:$D,4,FALSE()),""))</f>
        <v/>
      </c>
      <c r="H1904" s="22"/>
    </row>
    <row r="1905" spans="1:8">
      <c r="A1905" s="21"/>
      <c r="B1905" s="22"/>
      <c r="C1905" s="22"/>
      <c r="D1905" s="22"/>
      <c r="E1905" s="23" t="str">
        <f>IF($D1905="","",IFERROR(VLOOKUP($D1905,'SAMA Consumables Tracker'!$A:$H,8,FALSE()),""))</f>
        <v/>
      </c>
      <c r="F1905" s="24"/>
      <c r="G1905" s="25" t="str">
        <f>IF($D1905="","",IFERROR(VLOOKUP($D1905,'SAMA Consumables Tracker'!$A:$D,4,FALSE()),""))</f>
        <v/>
      </c>
      <c r="H1905" s="22"/>
    </row>
    <row r="1906" spans="1:8">
      <c r="A1906" s="21"/>
      <c r="B1906" s="22"/>
      <c r="C1906" s="22"/>
      <c r="D1906" s="22"/>
      <c r="E1906" s="23" t="str">
        <f>IF($D1906="","",IFERROR(VLOOKUP($D1906,'SAMA Consumables Tracker'!$A:$H,8,FALSE()),""))</f>
        <v/>
      </c>
      <c r="F1906" s="24"/>
      <c r="G1906" s="25" t="str">
        <f>IF($D1906="","",IFERROR(VLOOKUP($D1906,'SAMA Consumables Tracker'!$A:$D,4,FALSE()),""))</f>
        <v/>
      </c>
      <c r="H1906" s="22"/>
    </row>
    <row r="1907" spans="1:8">
      <c r="A1907" s="21"/>
      <c r="B1907" s="22"/>
      <c r="C1907" s="22"/>
      <c r="D1907" s="22"/>
      <c r="E1907" s="23" t="str">
        <f>IF($D1907="","",IFERROR(VLOOKUP($D1907,'SAMA Consumables Tracker'!$A:$H,8,FALSE()),""))</f>
        <v/>
      </c>
      <c r="F1907" s="24"/>
      <c r="G1907" s="25" t="str">
        <f>IF($D1907="","",IFERROR(VLOOKUP($D1907,'SAMA Consumables Tracker'!$A:$D,4,FALSE()),""))</f>
        <v/>
      </c>
      <c r="H1907" s="22"/>
    </row>
    <row r="1908" spans="1:8">
      <c r="A1908" s="21"/>
      <c r="B1908" s="22"/>
      <c r="C1908" s="22"/>
      <c r="D1908" s="22"/>
      <c r="E1908" s="23" t="str">
        <f>IF($D1908="","",IFERROR(VLOOKUP($D1908,'SAMA Consumables Tracker'!$A:$H,8,FALSE()),""))</f>
        <v/>
      </c>
      <c r="F1908" s="24"/>
      <c r="G1908" s="25" t="str">
        <f>IF($D1908="","",IFERROR(VLOOKUP($D1908,'SAMA Consumables Tracker'!$A:$D,4,FALSE()),""))</f>
        <v/>
      </c>
      <c r="H1908" s="22"/>
    </row>
    <row r="1909" spans="1:8">
      <c r="A1909" s="21"/>
      <c r="B1909" s="22"/>
      <c r="C1909" s="22"/>
      <c r="D1909" s="22"/>
      <c r="E1909" s="23" t="str">
        <f>IF($D1909="","",IFERROR(VLOOKUP($D1909,'SAMA Consumables Tracker'!$A:$H,8,FALSE()),""))</f>
        <v/>
      </c>
      <c r="F1909" s="24"/>
      <c r="G1909" s="25" t="str">
        <f>IF($D1909="","",IFERROR(VLOOKUP($D1909,'SAMA Consumables Tracker'!$A:$D,4,FALSE()),""))</f>
        <v/>
      </c>
      <c r="H1909" s="22"/>
    </row>
    <row r="1910" spans="1:8">
      <c r="A1910" s="21"/>
      <c r="B1910" s="22"/>
      <c r="C1910" s="22"/>
      <c r="D1910" s="22"/>
      <c r="E1910" s="23" t="str">
        <f>IF($D1910="","",IFERROR(VLOOKUP($D1910,'SAMA Consumables Tracker'!$A:$H,8,FALSE()),""))</f>
        <v/>
      </c>
      <c r="F1910" s="24"/>
      <c r="G1910" s="25" t="str">
        <f>IF($D1910="","",IFERROR(VLOOKUP($D1910,'SAMA Consumables Tracker'!$A:$D,4,FALSE()),""))</f>
        <v/>
      </c>
      <c r="H1910" s="22"/>
    </row>
    <row r="1911" spans="1:8">
      <c r="A1911" s="21"/>
      <c r="B1911" s="22"/>
      <c r="C1911" s="22"/>
      <c r="D1911" s="22"/>
      <c r="E1911" s="23" t="str">
        <f>IF($D1911="","",IFERROR(VLOOKUP($D1911,'SAMA Consumables Tracker'!$A:$H,8,FALSE()),""))</f>
        <v/>
      </c>
      <c r="F1911" s="24"/>
      <c r="G1911" s="25" t="str">
        <f>IF($D1911="","",IFERROR(VLOOKUP($D1911,'SAMA Consumables Tracker'!$A:$D,4,FALSE()),""))</f>
        <v/>
      </c>
      <c r="H1911" s="22"/>
    </row>
    <row r="1912" spans="1:8">
      <c r="A1912" s="21"/>
      <c r="B1912" s="22"/>
      <c r="C1912" s="22"/>
      <c r="D1912" s="22"/>
      <c r="E1912" s="23" t="str">
        <f>IF($D1912="","",IFERROR(VLOOKUP($D1912,'SAMA Consumables Tracker'!$A:$H,8,FALSE()),""))</f>
        <v/>
      </c>
      <c r="F1912" s="24"/>
      <c r="G1912" s="25" t="str">
        <f>IF($D1912="","",IFERROR(VLOOKUP($D1912,'SAMA Consumables Tracker'!$A:$D,4,FALSE()),""))</f>
        <v/>
      </c>
      <c r="H1912" s="22"/>
    </row>
    <row r="1913" spans="1:8">
      <c r="A1913" s="21"/>
      <c r="B1913" s="22"/>
      <c r="C1913" s="22"/>
      <c r="D1913" s="22"/>
      <c r="E1913" s="23" t="str">
        <f>IF($D1913="","",IFERROR(VLOOKUP($D1913,'SAMA Consumables Tracker'!$A:$H,8,FALSE()),""))</f>
        <v/>
      </c>
      <c r="F1913" s="24"/>
      <c r="G1913" s="25" t="str">
        <f>IF($D1913="","",IFERROR(VLOOKUP($D1913,'SAMA Consumables Tracker'!$A:$D,4,FALSE()),""))</f>
        <v/>
      </c>
      <c r="H1913" s="22"/>
    </row>
    <row r="1914" spans="1:8">
      <c r="A1914" s="21"/>
      <c r="B1914" s="22"/>
      <c r="C1914" s="22"/>
      <c r="D1914" s="22"/>
      <c r="E1914" s="23" t="str">
        <f>IF($D1914="","",IFERROR(VLOOKUP($D1914,'SAMA Consumables Tracker'!$A:$H,8,FALSE()),""))</f>
        <v/>
      </c>
      <c r="F1914" s="24"/>
      <c r="G1914" s="25" t="str">
        <f>IF($D1914="","",IFERROR(VLOOKUP($D1914,'SAMA Consumables Tracker'!$A:$D,4,FALSE()),""))</f>
        <v/>
      </c>
      <c r="H1914" s="22"/>
    </row>
    <row r="1915" spans="1:8">
      <c r="A1915" s="21"/>
      <c r="B1915" s="22"/>
      <c r="C1915" s="22"/>
      <c r="D1915" s="22"/>
      <c r="E1915" s="23" t="str">
        <f>IF($D1915="","",IFERROR(VLOOKUP($D1915,'SAMA Consumables Tracker'!$A:$H,8,FALSE()),""))</f>
        <v/>
      </c>
      <c r="F1915" s="24"/>
      <c r="G1915" s="25" t="str">
        <f>IF($D1915="","",IFERROR(VLOOKUP($D1915,'SAMA Consumables Tracker'!$A:$D,4,FALSE()),""))</f>
        <v/>
      </c>
      <c r="H1915" s="22"/>
    </row>
    <row r="1916" spans="1:8">
      <c r="A1916" s="21"/>
      <c r="B1916" s="22"/>
      <c r="C1916" s="22"/>
      <c r="D1916" s="22"/>
      <c r="E1916" s="23" t="str">
        <f>IF($D1916="","",IFERROR(VLOOKUP($D1916,'SAMA Consumables Tracker'!$A:$H,8,FALSE()),""))</f>
        <v/>
      </c>
      <c r="F1916" s="24"/>
      <c r="G1916" s="25" t="str">
        <f>IF($D1916="","",IFERROR(VLOOKUP($D1916,'SAMA Consumables Tracker'!$A:$D,4,FALSE()),""))</f>
        <v/>
      </c>
      <c r="H1916" s="22"/>
    </row>
    <row r="1917" spans="1:8">
      <c r="A1917" s="21"/>
      <c r="B1917" s="22"/>
      <c r="C1917" s="22"/>
      <c r="D1917" s="22"/>
      <c r="E1917" s="23" t="str">
        <f>IF($D1917="","",IFERROR(VLOOKUP($D1917,'SAMA Consumables Tracker'!$A:$H,8,FALSE()),""))</f>
        <v/>
      </c>
      <c r="F1917" s="24"/>
      <c r="G1917" s="25" t="str">
        <f>IF($D1917="","",IFERROR(VLOOKUP($D1917,'SAMA Consumables Tracker'!$A:$D,4,FALSE()),""))</f>
        <v/>
      </c>
      <c r="H1917" s="22"/>
    </row>
    <row r="1918" spans="1:8">
      <c r="A1918" s="21"/>
      <c r="B1918" s="22"/>
      <c r="C1918" s="22"/>
      <c r="D1918" s="22"/>
      <c r="E1918" s="23" t="str">
        <f>IF($D1918="","",IFERROR(VLOOKUP($D1918,'SAMA Consumables Tracker'!$A:$H,8,FALSE()),""))</f>
        <v/>
      </c>
      <c r="F1918" s="24"/>
      <c r="G1918" s="25" t="str">
        <f>IF($D1918="","",IFERROR(VLOOKUP($D1918,'SAMA Consumables Tracker'!$A:$D,4,FALSE()),""))</f>
        <v/>
      </c>
      <c r="H1918" s="22"/>
    </row>
    <row r="1919" spans="1:8">
      <c r="A1919" s="21"/>
      <c r="B1919" s="22"/>
      <c r="C1919" s="22"/>
      <c r="D1919" s="22"/>
      <c r="E1919" s="23" t="str">
        <f>IF($D1919="","",IFERROR(VLOOKUP($D1919,'SAMA Consumables Tracker'!$A:$H,8,FALSE()),""))</f>
        <v/>
      </c>
      <c r="F1919" s="24"/>
      <c r="G1919" s="25" t="str">
        <f>IF($D1919="","",IFERROR(VLOOKUP($D1919,'SAMA Consumables Tracker'!$A:$D,4,FALSE()),""))</f>
        <v/>
      </c>
      <c r="H1919" s="22"/>
    </row>
    <row r="1920" spans="1:8">
      <c r="A1920" s="21"/>
      <c r="B1920" s="22"/>
      <c r="C1920" s="22"/>
      <c r="D1920" s="22"/>
      <c r="E1920" s="23" t="str">
        <f>IF($D1920="","",IFERROR(VLOOKUP($D1920,'SAMA Consumables Tracker'!$A:$H,8,FALSE()),""))</f>
        <v/>
      </c>
      <c r="F1920" s="24"/>
      <c r="G1920" s="25" t="str">
        <f>IF($D1920="","",IFERROR(VLOOKUP($D1920,'SAMA Consumables Tracker'!$A:$D,4,FALSE()),""))</f>
        <v/>
      </c>
      <c r="H1920" s="22"/>
    </row>
    <row r="1921" spans="1:8">
      <c r="A1921" s="21"/>
      <c r="B1921" s="22"/>
      <c r="C1921" s="22"/>
      <c r="D1921" s="22"/>
      <c r="E1921" s="23" t="str">
        <f>IF($D1921="","",IFERROR(VLOOKUP($D1921,'SAMA Consumables Tracker'!$A:$H,8,FALSE()),""))</f>
        <v/>
      </c>
      <c r="F1921" s="24"/>
      <c r="G1921" s="25" t="str">
        <f>IF($D1921="","",IFERROR(VLOOKUP($D1921,'SAMA Consumables Tracker'!$A:$D,4,FALSE()),""))</f>
        <v/>
      </c>
      <c r="H1921" s="22"/>
    </row>
    <row r="1922" spans="1:8">
      <c r="A1922" s="21"/>
      <c r="B1922" s="22"/>
      <c r="C1922" s="22"/>
      <c r="D1922" s="22"/>
      <c r="E1922" s="23" t="str">
        <f>IF($D1922="","",IFERROR(VLOOKUP($D1922,'SAMA Consumables Tracker'!$A:$H,8,FALSE()),""))</f>
        <v/>
      </c>
      <c r="F1922" s="24"/>
      <c r="G1922" s="25" t="str">
        <f>IF($D1922="","",IFERROR(VLOOKUP($D1922,'SAMA Consumables Tracker'!$A:$D,4,FALSE()),""))</f>
        <v/>
      </c>
      <c r="H1922" s="22"/>
    </row>
    <row r="1923" spans="1:8">
      <c r="A1923" s="21"/>
      <c r="B1923" s="22"/>
      <c r="C1923" s="22"/>
      <c r="D1923" s="22"/>
      <c r="E1923" s="23" t="str">
        <f>IF($D1923="","",IFERROR(VLOOKUP($D1923,'SAMA Consumables Tracker'!$A:$H,8,FALSE()),""))</f>
        <v/>
      </c>
      <c r="F1923" s="24"/>
      <c r="G1923" s="25" t="str">
        <f>IF($D1923="","",IFERROR(VLOOKUP($D1923,'SAMA Consumables Tracker'!$A:$D,4,FALSE()),""))</f>
        <v/>
      </c>
      <c r="H1923" s="22"/>
    </row>
    <row r="1924" spans="1:8">
      <c r="A1924" s="21"/>
      <c r="B1924" s="22"/>
      <c r="C1924" s="22"/>
      <c r="D1924" s="22"/>
      <c r="E1924" s="23" t="str">
        <f>IF($D1924="","",IFERROR(VLOOKUP($D1924,'SAMA Consumables Tracker'!$A:$H,8,FALSE()),""))</f>
        <v/>
      </c>
      <c r="F1924" s="24"/>
      <c r="G1924" s="25" t="str">
        <f>IF($D1924="","",IFERROR(VLOOKUP($D1924,'SAMA Consumables Tracker'!$A:$D,4,FALSE()),""))</f>
        <v/>
      </c>
      <c r="H1924" s="22"/>
    </row>
    <row r="1925" spans="1:8">
      <c r="A1925" s="21"/>
      <c r="B1925" s="22"/>
      <c r="C1925" s="22"/>
      <c r="D1925" s="22"/>
      <c r="E1925" s="23" t="str">
        <f>IF($D1925="","",IFERROR(VLOOKUP($D1925,'SAMA Consumables Tracker'!$A:$H,8,FALSE()),""))</f>
        <v/>
      </c>
      <c r="F1925" s="24"/>
      <c r="G1925" s="25" t="str">
        <f>IF($D1925="","",IFERROR(VLOOKUP($D1925,'SAMA Consumables Tracker'!$A:$D,4,FALSE()),""))</f>
        <v/>
      </c>
      <c r="H1925" s="22"/>
    </row>
    <row r="1926" spans="1:8">
      <c r="A1926" s="21"/>
      <c r="B1926" s="22"/>
      <c r="C1926" s="22"/>
      <c r="D1926" s="22"/>
      <c r="E1926" s="23" t="str">
        <f>IF($D1926="","",IFERROR(VLOOKUP($D1926,'SAMA Consumables Tracker'!$A:$H,8,FALSE()),""))</f>
        <v/>
      </c>
      <c r="F1926" s="24"/>
      <c r="G1926" s="25" t="str">
        <f>IF($D1926="","",IFERROR(VLOOKUP($D1926,'SAMA Consumables Tracker'!$A:$D,4,FALSE()),""))</f>
        <v/>
      </c>
      <c r="H1926" s="22"/>
    </row>
    <row r="1927" spans="1:8">
      <c r="A1927" s="21"/>
      <c r="B1927" s="22"/>
      <c r="C1927" s="22"/>
      <c r="D1927" s="22"/>
      <c r="E1927" s="23" t="str">
        <f>IF($D1927="","",IFERROR(VLOOKUP($D1927,'SAMA Consumables Tracker'!$A:$H,8,FALSE()),""))</f>
        <v/>
      </c>
      <c r="F1927" s="24"/>
      <c r="G1927" s="25" t="str">
        <f>IF($D1927="","",IFERROR(VLOOKUP($D1927,'SAMA Consumables Tracker'!$A:$D,4,FALSE()),""))</f>
        <v/>
      </c>
      <c r="H1927" s="22"/>
    </row>
    <row r="1928" spans="1:8">
      <c r="A1928" s="21"/>
      <c r="B1928" s="22"/>
      <c r="C1928" s="22"/>
      <c r="D1928" s="22"/>
      <c r="E1928" s="23" t="str">
        <f>IF($D1928="","",IFERROR(VLOOKUP($D1928,'SAMA Consumables Tracker'!$A:$H,8,FALSE()),""))</f>
        <v/>
      </c>
      <c r="F1928" s="24"/>
      <c r="G1928" s="25" t="str">
        <f>IF($D1928="","",IFERROR(VLOOKUP($D1928,'SAMA Consumables Tracker'!$A:$D,4,FALSE()),""))</f>
        <v/>
      </c>
      <c r="H1928" s="22"/>
    </row>
    <row r="1929" spans="1:8">
      <c r="A1929" s="21"/>
      <c r="B1929" s="22"/>
      <c r="C1929" s="22"/>
      <c r="D1929" s="22"/>
      <c r="E1929" s="23" t="str">
        <f>IF($D1929="","",IFERROR(VLOOKUP($D1929,'SAMA Consumables Tracker'!$A:$H,8,FALSE()),""))</f>
        <v/>
      </c>
      <c r="F1929" s="24"/>
      <c r="G1929" s="25" t="str">
        <f>IF($D1929="","",IFERROR(VLOOKUP($D1929,'SAMA Consumables Tracker'!$A:$D,4,FALSE()),""))</f>
        <v/>
      </c>
      <c r="H1929" s="22"/>
    </row>
    <row r="1930" spans="1:8">
      <c r="A1930" s="21"/>
      <c r="B1930" s="22"/>
      <c r="C1930" s="22"/>
      <c r="D1930" s="22"/>
      <c r="E1930" s="23" t="str">
        <f>IF($D1930="","",IFERROR(VLOOKUP($D1930,'SAMA Consumables Tracker'!$A:$H,8,FALSE()),""))</f>
        <v/>
      </c>
      <c r="F1930" s="24"/>
      <c r="G1930" s="25" t="str">
        <f>IF($D1930="","",IFERROR(VLOOKUP($D1930,'SAMA Consumables Tracker'!$A:$D,4,FALSE()),""))</f>
        <v/>
      </c>
      <c r="H1930" s="22"/>
    </row>
    <row r="1931" spans="1:8">
      <c r="A1931" s="21"/>
      <c r="B1931" s="22"/>
      <c r="C1931" s="22"/>
      <c r="D1931" s="22"/>
      <c r="E1931" s="23" t="str">
        <f>IF($D1931="","",IFERROR(VLOOKUP($D1931,'SAMA Consumables Tracker'!$A:$H,8,FALSE()),""))</f>
        <v/>
      </c>
      <c r="F1931" s="24"/>
      <c r="G1931" s="25" t="str">
        <f>IF($D1931="","",IFERROR(VLOOKUP($D1931,'SAMA Consumables Tracker'!$A:$D,4,FALSE()),""))</f>
        <v/>
      </c>
      <c r="H1931" s="22"/>
    </row>
    <row r="1932" spans="1:8">
      <c r="A1932" s="21"/>
      <c r="B1932" s="22"/>
      <c r="C1932" s="22"/>
      <c r="D1932" s="22"/>
      <c r="E1932" s="23" t="str">
        <f>IF($D1932="","",IFERROR(VLOOKUP($D1932,'SAMA Consumables Tracker'!$A:$H,8,FALSE()),""))</f>
        <v/>
      </c>
      <c r="F1932" s="24"/>
      <c r="G1932" s="25" t="str">
        <f>IF($D1932="","",IFERROR(VLOOKUP($D1932,'SAMA Consumables Tracker'!$A:$D,4,FALSE()),""))</f>
        <v/>
      </c>
      <c r="H1932" s="22"/>
    </row>
    <row r="1933" spans="1:8">
      <c r="A1933" s="21"/>
      <c r="B1933" s="22"/>
      <c r="C1933" s="22"/>
      <c r="D1933" s="22"/>
      <c r="E1933" s="23" t="str">
        <f>IF($D1933="","",IFERROR(VLOOKUP($D1933,'SAMA Consumables Tracker'!$A:$H,8,FALSE()),""))</f>
        <v/>
      </c>
      <c r="F1933" s="24"/>
      <c r="G1933" s="25" t="str">
        <f>IF($D1933="","",IFERROR(VLOOKUP($D1933,'SAMA Consumables Tracker'!$A:$D,4,FALSE()),""))</f>
        <v/>
      </c>
      <c r="H1933" s="22"/>
    </row>
    <row r="1934" spans="1:8">
      <c r="A1934" s="21"/>
      <c r="B1934" s="22"/>
      <c r="C1934" s="22"/>
      <c r="D1934" s="22"/>
      <c r="E1934" s="23" t="str">
        <f>IF($D1934="","",IFERROR(VLOOKUP($D1934,'SAMA Consumables Tracker'!$A:$H,8,FALSE()),""))</f>
        <v/>
      </c>
      <c r="F1934" s="24"/>
      <c r="G1934" s="25" t="str">
        <f>IF($D1934="","",IFERROR(VLOOKUP($D1934,'SAMA Consumables Tracker'!$A:$D,4,FALSE()),""))</f>
        <v/>
      </c>
      <c r="H1934" s="22"/>
    </row>
    <row r="1935" spans="1:8">
      <c r="A1935" s="21"/>
      <c r="B1935" s="22"/>
      <c r="C1935" s="22"/>
      <c r="D1935" s="22"/>
      <c r="E1935" s="23" t="str">
        <f>IF($D1935="","",IFERROR(VLOOKUP($D1935,'SAMA Consumables Tracker'!$A:$H,8,FALSE()),""))</f>
        <v/>
      </c>
      <c r="F1935" s="24"/>
      <c r="G1935" s="25" t="str">
        <f>IF($D1935="","",IFERROR(VLOOKUP($D1935,'SAMA Consumables Tracker'!$A:$D,4,FALSE()),""))</f>
        <v/>
      </c>
      <c r="H1935" s="22"/>
    </row>
    <row r="1936" spans="1:8">
      <c r="A1936" s="21"/>
      <c r="B1936" s="22"/>
      <c r="C1936" s="22"/>
      <c r="D1936" s="22"/>
      <c r="E1936" s="23" t="str">
        <f>IF($D1936="","",IFERROR(VLOOKUP($D1936,'SAMA Consumables Tracker'!$A:$H,8,FALSE()),""))</f>
        <v/>
      </c>
      <c r="F1936" s="24"/>
      <c r="G1936" s="25" t="str">
        <f>IF($D1936="","",IFERROR(VLOOKUP($D1936,'SAMA Consumables Tracker'!$A:$D,4,FALSE()),""))</f>
        <v/>
      </c>
      <c r="H1936" s="22"/>
    </row>
    <row r="1937" spans="1:8">
      <c r="A1937" s="21"/>
      <c r="B1937" s="22"/>
      <c r="C1937" s="22"/>
      <c r="D1937" s="22"/>
      <c r="E1937" s="23" t="str">
        <f>IF($D1937="","",IFERROR(VLOOKUP($D1937,'SAMA Consumables Tracker'!$A:$H,8,FALSE()),""))</f>
        <v/>
      </c>
      <c r="F1937" s="24"/>
      <c r="G1937" s="25" t="str">
        <f>IF($D1937="","",IFERROR(VLOOKUP($D1937,'SAMA Consumables Tracker'!$A:$D,4,FALSE()),""))</f>
        <v/>
      </c>
      <c r="H1937" s="22"/>
    </row>
    <row r="1938" spans="1:8">
      <c r="A1938" s="21"/>
      <c r="B1938" s="22"/>
      <c r="C1938" s="22"/>
      <c r="D1938" s="22"/>
      <c r="E1938" s="23" t="str">
        <f>IF($D1938="","",IFERROR(VLOOKUP($D1938,'SAMA Consumables Tracker'!$A:$H,8,FALSE()),""))</f>
        <v/>
      </c>
      <c r="F1938" s="24"/>
      <c r="G1938" s="25" t="str">
        <f>IF($D1938="","",IFERROR(VLOOKUP($D1938,'SAMA Consumables Tracker'!$A:$D,4,FALSE()),""))</f>
        <v/>
      </c>
      <c r="H1938" s="22"/>
    </row>
    <row r="1939" spans="1:8">
      <c r="A1939" s="21"/>
      <c r="B1939" s="22"/>
      <c r="C1939" s="22"/>
      <c r="D1939" s="22"/>
      <c r="E1939" s="23" t="str">
        <f>IF($D1939="","",IFERROR(VLOOKUP($D1939,'SAMA Consumables Tracker'!$A:$H,8,FALSE()),""))</f>
        <v/>
      </c>
      <c r="F1939" s="24"/>
      <c r="G1939" s="25" t="str">
        <f>IF($D1939="","",IFERROR(VLOOKUP($D1939,'SAMA Consumables Tracker'!$A:$D,4,FALSE()),""))</f>
        <v/>
      </c>
      <c r="H1939" s="22"/>
    </row>
    <row r="1940" spans="1:8">
      <c r="A1940" s="21"/>
      <c r="B1940" s="22"/>
      <c r="C1940" s="22"/>
      <c r="D1940" s="22"/>
      <c r="E1940" s="23" t="str">
        <f>IF($D1940="","",IFERROR(VLOOKUP($D1940,'SAMA Consumables Tracker'!$A:$H,8,FALSE()),""))</f>
        <v/>
      </c>
      <c r="F1940" s="24"/>
      <c r="G1940" s="25" t="str">
        <f>IF($D1940="","",IFERROR(VLOOKUP($D1940,'SAMA Consumables Tracker'!$A:$D,4,FALSE()),""))</f>
        <v/>
      </c>
      <c r="H1940" s="22"/>
    </row>
    <row r="1941" spans="1:8">
      <c r="A1941" s="21"/>
      <c r="B1941" s="22"/>
      <c r="C1941" s="22"/>
      <c r="D1941" s="22"/>
      <c r="E1941" s="23" t="str">
        <f>IF($D1941="","",IFERROR(VLOOKUP($D1941,'SAMA Consumables Tracker'!$A:$H,8,FALSE()),""))</f>
        <v/>
      </c>
      <c r="F1941" s="24"/>
      <c r="G1941" s="25" t="str">
        <f>IF($D1941="","",IFERROR(VLOOKUP($D1941,'SAMA Consumables Tracker'!$A:$D,4,FALSE()),""))</f>
        <v/>
      </c>
      <c r="H1941" s="22"/>
    </row>
    <row r="1942" spans="1:8">
      <c r="A1942" s="21"/>
      <c r="B1942" s="22"/>
      <c r="C1942" s="22"/>
      <c r="D1942" s="22"/>
      <c r="E1942" s="23" t="str">
        <f>IF($D1942="","",IFERROR(VLOOKUP($D1942,'SAMA Consumables Tracker'!$A:$H,8,FALSE()),""))</f>
        <v/>
      </c>
      <c r="F1942" s="24"/>
      <c r="G1942" s="25" t="str">
        <f>IF($D1942="","",IFERROR(VLOOKUP($D1942,'SAMA Consumables Tracker'!$A:$D,4,FALSE()),""))</f>
        <v/>
      </c>
      <c r="H1942" s="22"/>
    </row>
    <row r="1943" spans="1:8">
      <c r="A1943" s="21"/>
      <c r="B1943" s="22"/>
      <c r="C1943" s="22"/>
      <c r="D1943" s="22"/>
      <c r="E1943" s="23" t="str">
        <f>IF($D1943="","",IFERROR(VLOOKUP($D1943,'SAMA Consumables Tracker'!$A:$H,8,FALSE()),""))</f>
        <v/>
      </c>
      <c r="F1943" s="24"/>
      <c r="G1943" s="25" t="str">
        <f>IF($D1943="","",IFERROR(VLOOKUP($D1943,'SAMA Consumables Tracker'!$A:$D,4,FALSE()),""))</f>
        <v/>
      </c>
      <c r="H1943" s="22"/>
    </row>
    <row r="1944" spans="1:8">
      <c r="A1944" s="21"/>
      <c r="B1944" s="22"/>
      <c r="C1944" s="22"/>
      <c r="D1944" s="22"/>
      <c r="E1944" s="23" t="str">
        <f>IF($D1944="","",IFERROR(VLOOKUP($D1944,'SAMA Consumables Tracker'!$A:$H,8,FALSE()),""))</f>
        <v/>
      </c>
      <c r="F1944" s="24"/>
      <c r="G1944" s="25" t="str">
        <f>IF($D1944="","",IFERROR(VLOOKUP($D1944,'SAMA Consumables Tracker'!$A:$D,4,FALSE()),""))</f>
        <v/>
      </c>
      <c r="H1944" s="22"/>
    </row>
    <row r="1945" spans="1:8">
      <c r="A1945" s="21"/>
      <c r="B1945" s="22"/>
      <c r="C1945" s="22"/>
      <c r="D1945" s="22"/>
      <c r="E1945" s="23" t="str">
        <f>IF($D1945="","",IFERROR(VLOOKUP($D1945,'SAMA Consumables Tracker'!$A:$H,8,FALSE()),""))</f>
        <v/>
      </c>
      <c r="F1945" s="24"/>
      <c r="G1945" s="25" t="str">
        <f>IF($D1945="","",IFERROR(VLOOKUP($D1945,'SAMA Consumables Tracker'!$A:$D,4,FALSE()),""))</f>
        <v/>
      </c>
      <c r="H1945" s="22"/>
    </row>
    <row r="1946" spans="1:8">
      <c r="A1946" s="21"/>
      <c r="B1946" s="22"/>
      <c r="C1946" s="22"/>
      <c r="D1946" s="22"/>
      <c r="E1946" s="23" t="str">
        <f>IF($D1946="","",IFERROR(VLOOKUP($D1946,'SAMA Consumables Tracker'!$A:$H,8,FALSE()),""))</f>
        <v/>
      </c>
      <c r="F1946" s="24"/>
      <c r="G1946" s="25" t="str">
        <f>IF($D1946="","",IFERROR(VLOOKUP($D1946,'SAMA Consumables Tracker'!$A:$D,4,FALSE()),""))</f>
        <v/>
      </c>
      <c r="H1946" s="22"/>
    </row>
    <row r="1947" spans="1:8">
      <c r="A1947" s="21"/>
      <c r="B1947" s="22"/>
      <c r="C1947" s="22"/>
      <c r="D1947" s="22"/>
      <c r="E1947" s="23" t="str">
        <f>IF($D1947="","",IFERROR(VLOOKUP($D1947,'SAMA Consumables Tracker'!$A:$H,8,FALSE()),""))</f>
        <v/>
      </c>
      <c r="F1947" s="24"/>
      <c r="G1947" s="25" t="str">
        <f>IF($D1947="","",IFERROR(VLOOKUP($D1947,'SAMA Consumables Tracker'!$A:$D,4,FALSE()),""))</f>
        <v/>
      </c>
      <c r="H1947" s="22"/>
    </row>
    <row r="1948" spans="1:8">
      <c r="A1948" s="21"/>
      <c r="B1948" s="22"/>
      <c r="C1948" s="22"/>
      <c r="D1948" s="22"/>
      <c r="E1948" s="23" t="str">
        <f>IF($D1948="","",IFERROR(VLOOKUP($D1948,'SAMA Consumables Tracker'!$A:$H,8,FALSE()),""))</f>
        <v/>
      </c>
      <c r="F1948" s="24"/>
      <c r="G1948" s="25" t="str">
        <f>IF($D1948="","",IFERROR(VLOOKUP($D1948,'SAMA Consumables Tracker'!$A:$D,4,FALSE()),""))</f>
        <v/>
      </c>
      <c r="H1948" s="22"/>
    </row>
    <row r="1949" spans="1:8">
      <c r="A1949" s="21"/>
      <c r="B1949" s="22"/>
      <c r="C1949" s="22"/>
      <c r="D1949" s="22"/>
      <c r="E1949" s="23" t="str">
        <f>IF($D1949="","",IFERROR(VLOOKUP($D1949,'SAMA Consumables Tracker'!$A:$H,8,FALSE()),""))</f>
        <v/>
      </c>
      <c r="F1949" s="24"/>
      <c r="G1949" s="25" t="str">
        <f>IF($D1949="","",IFERROR(VLOOKUP($D1949,'SAMA Consumables Tracker'!$A:$D,4,FALSE()),""))</f>
        <v/>
      </c>
      <c r="H1949" s="22"/>
    </row>
    <row r="1950" spans="1:8">
      <c r="A1950" s="21"/>
      <c r="B1950" s="22"/>
      <c r="C1950" s="22"/>
      <c r="D1950" s="22"/>
      <c r="E1950" s="23" t="str">
        <f>IF($D1950="","",IFERROR(VLOOKUP($D1950,'SAMA Consumables Tracker'!$A:$H,8,FALSE()),""))</f>
        <v/>
      </c>
      <c r="F1950" s="24"/>
      <c r="G1950" s="25" t="str">
        <f>IF($D1950="","",IFERROR(VLOOKUP($D1950,'SAMA Consumables Tracker'!$A:$D,4,FALSE()),""))</f>
        <v/>
      </c>
      <c r="H1950" s="22"/>
    </row>
    <row r="1951" spans="1:8">
      <c r="A1951" s="21"/>
      <c r="B1951" s="22"/>
      <c r="C1951" s="22"/>
      <c r="D1951" s="22"/>
      <c r="E1951" s="23" t="str">
        <f>IF($D1951="","",IFERROR(VLOOKUP($D1951,'SAMA Consumables Tracker'!$A:$H,8,FALSE()),""))</f>
        <v/>
      </c>
      <c r="F1951" s="24"/>
      <c r="G1951" s="25" t="str">
        <f>IF($D1951="","",IFERROR(VLOOKUP($D1951,'SAMA Consumables Tracker'!$A:$D,4,FALSE()),""))</f>
        <v/>
      </c>
      <c r="H1951" s="22"/>
    </row>
    <row r="1952" spans="1:8">
      <c r="A1952" s="21"/>
      <c r="B1952" s="22"/>
      <c r="C1952" s="22"/>
      <c r="D1952" s="22"/>
      <c r="E1952" s="23" t="str">
        <f>IF($D1952="","",IFERROR(VLOOKUP($D1952,'SAMA Consumables Tracker'!$A:$H,8,FALSE()),""))</f>
        <v/>
      </c>
      <c r="F1952" s="24"/>
      <c r="G1952" s="25" t="str">
        <f>IF($D1952="","",IFERROR(VLOOKUP($D1952,'SAMA Consumables Tracker'!$A:$D,4,FALSE()),""))</f>
        <v/>
      </c>
      <c r="H1952" s="22"/>
    </row>
    <row r="1953" spans="1:8">
      <c r="A1953" s="21"/>
      <c r="B1953" s="22"/>
      <c r="C1953" s="22"/>
      <c r="D1953" s="22"/>
      <c r="E1953" s="23" t="str">
        <f>IF($D1953="","",IFERROR(VLOOKUP($D1953,'SAMA Consumables Tracker'!$A:$H,8,FALSE()),""))</f>
        <v/>
      </c>
      <c r="F1953" s="24"/>
      <c r="G1953" s="25" t="str">
        <f>IF($D1953="","",IFERROR(VLOOKUP($D1953,'SAMA Consumables Tracker'!$A:$D,4,FALSE()),""))</f>
        <v/>
      </c>
      <c r="H1953" s="22"/>
    </row>
    <row r="1954" spans="1:8">
      <c r="A1954" s="21"/>
      <c r="B1954" s="22"/>
      <c r="C1954" s="22"/>
      <c r="D1954" s="22"/>
      <c r="E1954" s="23" t="str">
        <f>IF($D1954="","",IFERROR(VLOOKUP($D1954,'SAMA Consumables Tracker'!$A:$H,8,FALSE()),""))</f>
        <v/>
      </c>
      <c r="F1954" s="24"/>
      <c r="G1954" s="25" t="str">
        <f>IF($D1954="","",IFERROR(VLOOKUP($D1954,'SAMA Consumables Tracker'!$A:$D,4,FALSE()),""))</f>
        <v/>
      </c>
      <c r="H1954" s="22"/>
    </row>
    <row r="1955" spans="1:8">
      <c r="A1955" s="21"/>
      <c r="B1955" s="22"/>
      <c r="C1955" s="22"/>
      <c r="D1955" s="22"/>
      <c r="E1955" s="23" t="str">
        <f>IF($D1955="","",IFERROR(VLOOKUP($D1955,'SAMA Consumables Tracker'!$A:$H,8,FALSE()),""))</f>
        <v/>
      </c>
      <c r="F1955" s="24"/>
      <c r="G1955" s="25" t="str">
        <f>IF($D1955="","",IFERROR(VLOOKUP($D1955,'SAMA Consumables Tracker'!$A:$D,4,FALSE()),""))</f>
        <v/>
      </c>
      <c r="H1955" s="22"/>
    </row>
    <row r="1956" spans="1:8">
      <c r="A1956" s="21"/>
      <c r="B1956" s="22"/>
      <c r="C1956" s="22"/>
      <c r="D1956" s="22"/>
      <c r="E1956" s="23" t="str">
        <f>IF($D1956="","",IFERROR(VLOOKUP($D1956,'SAMA Consumables Tracker'!$A:$H,8,FALSE()),""))</f>
        <v/>
      </c>
      <c r="F1956" s="24"/>
      <c r="G1956" s="25" t="str">
        <f>IF($D1956="","",IFERROR(VLOOKUP($D1956,'SAMA Consumables Tracker'!$A:$D,4,FALSE()),""))</f>
        <v/>
      </c>
      <c r="H1956" s="22"/>
    </row>
    <row r="1957" spans="1:8">
      <c r="A1957" s="21"/>
      <c r="B1957" s="22"/>
      <c r="C1957" s="22"/>
      <c r="D1957" s="22"/>
      <c r="E1957" s="23" t="str">
        <f>IF($D1957="","",IFERROR(VLOOKUP($D1957,'SAMA Consumables Tracker'!$A:$H,8,FALSE()),""))</f>
        <v/>
      </c>
      <c r="F1957" s="24"/>
      <c r="G1957" s="25" t="str">
        <f>IF($D1957="","",IFERROR(VLOOKUP($D1957,'SAMA Consumables Tracker'!$A:$D,4,FALSE()),""))</f>
        <v/>
      </c>
      <c r="H1957" s="22"/>
    </row>
    <row r="1958" spans="1:8">
      <c r="A1958" s="21"/>
      <c r="B1958" s="22"/>
      <c r="C1958" s="22"/>
      <c r="D1958" s="22"/>
      <c r="E1958" s="23" t="str">
        <f>IF($D1958="","",IFERROR(VLOOKUP($D1958,'SAMA Consumables Tracker'!$A:$H,8,FALSE()),""))</f>
        <v/>
      </c>
      <c r="F1958" s="24"/>
      <c r="G1958" s="25" t="str">
        <f>IF($D1958="","",IFERROR(VLOOKUP($D1958,'SAMA Consumables Tracker'!$A:$D,4,FALSE()),""))</f>
        <v/>
      </c>
      <c r="H1958" s="22"/>
    </row>
    <row r="1959" spans="1:8">
      <c r="A1959" s="21"/>
      <c r="B1959" s="22"/>
      <c r="C1959" s="22"/>
      <c r="D1959" s="22"/>
      <c r="E1959" s="23" t="str">
        <f>IF($D1959="","",IFERROR(VLOOKUP($D1959,'SAMA Consumables Tracker'!$A:$H,8,FALSE()),""))</f>
        <v/>
      </c>
      <c r="F1959" s="24"/>
      <c r="G1959" s="25" t="str">
        <f>IF($D1959="","",IFERROR(VLOOKUP($D1959,'SAMA Consumables Tracker'!$A:$D,4,FALSE()),""))</f>
        <v/>
      </c>
      <c r="H1959" s="22"/>
    </row>
    <row r="1960" spans="1:8">
      <c r="A1960" s="21"/>
      <c r="B1960" s="22"/>
      <c r="C1960" s="22"/>
      <c r="D1960" s="22"/>
      <c r="E1960" s="23" t="str">
        <f>IF($D1960="","",IFERROR(VLOOKUP($D1960,'SAMA Consumables Tracker'!$A:$H,8,FALSE()),""))</f>
        <v/>
      </c>
      <c r="F1960" s="24"/>
      <c r="G1960" s="25" t="str">
        <f>IF($D1960="","",IFERROR(VLOOKUP($D1960,'SAMA Consumables Tracker'!$A:$D,4,FALSE()),""))</f>
        <v/>
      </c>
      <c r="H1960" s="22"/>
    </row>
    <row r="1961" spans="1:8">
      <c r="A1961" s="21"/>
      <c r="B1961" s="22"/>
      <c r="C1961" s="22"/>
      <c r="D1961" s="22"/>
      <c r="E1961" s="23" t="str">
        <f>IF($D1961="","",IFERROR(VLOOKUP($D1961,'SAMA Consumables Tracker'!$A:$H,8,FALSE()),""))</f>
        <v/>
      </c>
      <c r="F1961" s="24"/>
      <c r="G1961" s="25" t="str">
        <f>IF($D1961="","",IFERROR(VLOOKUP($D1961,'SAMA Consumables Tracker'!$A:$D,4,FALSE()),""))</f>
        <v/>
      </c>
      <c r="H1961" s="22"/>
    </row>
    <row r="1962" spans="1:8">
      <c r="A1962" s="21"/>
      <c r="B1962" s="22"/>
      <c r="C1962" s="22"/>
      <c r="D1962" s="22"/>
      <c r="E1962" s="23" t="str">
        <f>IF($D1962="","",IFERROR(VLOOKUP($D1962,'SAMA Consumables Tracker'!$A:$H,8,FALSE()),""))</f>
        <v/>
      </c>
      <c r="F1962" s="24"/>
      <c r="G1962" s="25" t="str">
        <f>IF($D1962="","",IFERROR(VLOOKUP($D1962,'SAMA Consumables Tracker'!$A:$D,4,FALSE()),""))</f>
        <v/>
      </c>
      <c r="H1962" s="22"/>
    </row>
    <row r="1963" spans="1:8">
      <c r="A1963" s="21"/>
      <c r="B1963" s="22"/>
      <c r="C1963" s="22"/>
      <c r="D1963" s="22"/>
      <c r="E1963" s="23" t="str">
        <f>IF($D1963="","",IFERROR(VLOOKUP($D1963,'SAMA Consumables Tracker'!$A:$H,8,FALSE()),""))</f>
        <v/>
      </c>
      <c r="F1963" s="24"/>
      <c r="G1963" s="25" t="str">
        <f>IF($D1963="","",IFERROR(VLOOKUP($D1963,'SAMA Consumables Tracker'!$A:$D,4,FALSE()),""))</f>
        <v/>
      </c>
      <c r="H1963" s="22"/>
    </row>
    <row r="1964" spans="1:8">
      <c r="A1964" s="21"/>
      <c r="B1964" s="22"/>
      <c r="C1964" s="22"/>
      <c r="D1964" s="22"/>
      <c r="E1964" s="23" t="str">
        <f>IF($D1964="","",IFERROR(VLOOKUP($D1964,'SAMA Consumables Tracker'!$A:$H,8,FALSE()),""))</f>
        <v/>
      </c>
      <c r="F1964" s="24"/>
      <c r="G1964" s="25" t="str">
        <f>IF($D1964="","",IFERROR(VLOOKUP($D1964,'SAMA Consumables Tracker'!$A:$D,4,FALSE()),""))</f>
        <v/>
      </c>
      <c r="H1964" s="22"/>
    </row>
    <row r="1965" spans="1:8">
      <c r="A1965" s="21"/>
      <c r="B1965" s="22"/>
      <c r="C1965" s="22"/>
      <c r="D1965" s="22"/>
      <c r="E1965" s="23" t="str">
        <f>IF($D1965="","",IFERROR(VLOOKUP($D1965,'SAMA Consumables Tracker'!$A:$H,8,FALSE()),""))</f>
        <v/>
      </c>
      <c r="F1965" s="24"/>
      <c r="G1965" s="25" t="str">
        <f>IF($D1965="","",IFERROR(VLOOKUP($D1965,'SAMA Consumables Tracker'!$A:$D,4,FALSE()),""))</f>
        <v/>
      </c>
      <c r="H1965" s="22"/>
    </row>
    <row r="1966" spans="1:8">
      <c r="A1966" s="21"/>
      <c r="B1966" s="22"/>
      <c r="C1966" s="22"/>
      <c r="D1966" s="22"/>
      <c r="E1966" s="23" t="str">
        <f>IF($D1966="","",IFERROR(VLOOKUP($D1966,'SAMA Consumables Tracker'!$A:$H,8,FALSE()),""))</f>
        <v/>
      </c>
      <c r="F1966" s="24"/>
      <c r="G1966" s="25" t="str">
        <f>IF($D1966="","",IFERROR(VLOOKUP($D1966,'SAMA Consumables Tracker'!$A:$D,4,FALSE()),""))</f>
        <v/>
      </c>
      <c r="H1966" s="22"/>
    </row>
    <row r="1967" spans="1:8">
      <c r="A1967" s="21"/>
      <c r="B1967" s="22"/>
      <c r="C1967" s="22"/>
      <c r="D1967" s="22"/>
      <c r="E1967" s="23" t="str">
        <f>IF($D1967="","",IFERROR(VLOOKUP($D1967,'SAMA Consumables Tracker'!$A:$H,8,FALSE()),""))</f>
        <v/>
      </c>
      <c r="F1967" s="24"/>
      <c r="G1967" s="25" t="str">
        <f>IF($D1967="","",IFERROR(VLOOKUP($D1967,'SAMA Consumables Tracker'!$A:$D,4,FALSE()),""))</f>
        <v/>
      </c>
      <c r="H1967" s="22"/>
    </row>
    <row r="1968" spans="1:8">
      <c r="A1968" s="21"/>
      <c r="B1968" s="22"/>
      <c r="C1968" s="22"/>
      <c r="D1968" s="22"/>
      <c r="E1968" s="23" t="str">
        <f>IF($D1968="","",IFERROR(VLOOKUP($D1968,'SAMA Consumables Tracker'!$A:$H,8,FALSE()),""))</f>
        <v/>
      </c>
      <c r="F1968" s="24"/>
      <c r="G1968" s="25" t="str">
        <f>IF($D1968="","",IFERROR(VLOOKUP($D1968,'SAMA Consumables Tracker'!$A:$D,4,FALSE()),""))</f>
        <v/>
      </c>
      <c r="H1968" s="22"/>
    </row>
    <row r="1969" spans="1:8">
      <c r="A1969" s="21"/>
      <c r="B1969" s="22"/>
      <c r="C1969" s="22"/>
      <c r="D1969" s="22"/>
      <c r="E1969" s="23" t="str">
        <f>IF($D1969="","",IFERROR(VLOOKUP($D1969,'SAMA Consumables Tracker'!$A:$H,8,FALSE()),""))</f>
        <v/>
      </c>
      <c r="F1969" s="24"/>
      <c r="G1969" s="25" t="str">
        <f>IF($D1969="","",IFERROR(VLOOKUP($D1969,'SAMA Consumables Tracker'!$A:$D,4,FALSE()),""))</f>
        <v/>
      </c>
      <c r="H1969" s="22"/>
    </row>
    <row r="1970" spans="1:8">
      <c r="A1970" s="21"/>
      <c r="B1970" s="22"/>
      <c r="C1970" s="22"/>
      <c r="D1970" s="22"/>
      <c r="E1970" s="23" t="str">
        <f>IF($D1970="","",IFERROR(VLOOKUP($D1970,'SAMA Consumables Tracker'!$A:$H,8,FALSE()),""))</f>
        <v/>
      </c>
      <c r="F1970" s="24"/>
      <c r="G1970" s="25" t="str">
        <f>IF($D1970="","",IFERROR(VLOOKUP($D1970,'SAMA Consumables Tracker'!$A:$D,4,FALSE()),""))</f>
        <v/>
      </c>
      <c r="H1970" s="22"/>
    </row>
    <row r="1971" spans="1:8">
      <c r="A1971" s="21"/>
      <c r="B1971" s="22"/>
      <c r="C1971" s="22"/>
      <c r="D1971" s="22"/>
      <c r="E1971" s="23" t="str">
        <f>IF($D1971="","",IFERROR(VLOOKUP($D1971,'SAMA Consumables Tracker'!$A:$H,8,FALSE()),""))</f>
        <v/>
      </c>
      <c r="F1971" s="24"/>
      <c r="G1971" s="25" t="str">
        <f>IF($D1971="","",IFERROR(VLOOKUP($D1971,'SAMA Consumables Tracker'!$A:$D,4,FALSE()),""))</f>
        <v/>
      </c>
      <c r="H1971" s="22"/>
    </row>
    <row r="1972" spans="1:8">
      <c r="A1972" s="21"/>
      <c r="B1972" s="22"/>
      <c r="C1972" s="22"/>
      <c r="D1972" s="22"/>
      <c r="E1972" s="23" t="str">
        <f>IF($D1972="","",IFERROR(VLOOKUP($D1972,'SAMA Consumables Tracker'!$A:$H,8,FALSE()),""))</f>
        <v/>
      </c>
      <c r="F1972" s="24"/>
      <c r="G1972" s="25" t="str">
        <f>IF($D1972="","",IFERROR(VLOOKUP($D1972,'SAMA Consumables Tracker'!$A:$D,4,FALSE()),""))</f>
        <v/>
      </c>
      <c r="H1972" s="22"/>
    </row>
    <row r="1973" spans="1:8">
      <c r="A1973" s="21"/>
      <c r="B1973" s="22"/>
      <c r="C1973" s="22"/>
      <c r="D1973" s="22"/>
      <c r="E1973" s="23" t="str">
        <f>IF($D1973="","",IFERROR(VLOOKUP($D1973,'SAMA Consumables Tracker'!$A:$H,8,FALSE()),""))</f>
        <v/>
      </c>
      <c r="F1973" s="24"/>
      <c r="G1973" s="25" t="str">
        <f>IF($D1973="","",IFERROR(VLOOKUP($D1973,'SAMA Consumables Tracker'!$A:$D,4,FALSE()),""))</f>
        <v/>
      </c>
      <c r="H1973" s="22"/>
    </row>
    <row r="1974" spans="1:8">
      <c r="A1974" s="21"/>
      <c r="B1974" s="22"/>
      <c r="C1974" s="22"/>
      <c r="D1974" s="22"/>
      <c r="E1974" s="23" t="str">
        <f>IF($D1974="","",IFERROR(VLOOKUP($D1974,'SAMA Consumables Tracker'!$A:$H,8,FALSE()),""))</f>
        <v/>
      </c>
      <c r="F1974" s="24"/>
      <c r="G1974" s="25" t="str">
        <f>IF($D1974="","",IFERROR(VLOOKUP($D1974,'SAMA Consumables Tracker'!$A:$D,4,FALSE()),""))</f>
        <v/>
      </c>
      <c r="H1974" s="22"/>
    </row>
    <row r="1975" spans="1:8">
      <c r="A1975" s="21"/>
      <c r="B1975" s="22"/>
      <c r="C1975" s="22"/>
      <c r="D1975" s="22"/>
      <c r="E1975" s="23" t="str">
        <f>IF($D1975="","",IFERROR(VLOOKUP($D1975,'SAMA Consumables Tracker'!$A:$H,8,FALSE()),""))</f>
        <v/>
      </c>
      <c r="F1975" s="24"/>
      <c r="G1975" s="25" t="str">
        <f>IF($D1975="","",IFERROR(VLOOKUP($D1975,'SAMA Consumables Tracker'!$A:$D,4,FALSE()),""))</f>
        <v/>
      </c>
      <c r="H1975" s="22"/>
    </row>
    <row r="1976" spans="1:8">
      <c r="A1976" s="21"/>
      <c r="B1976" s="22"/>
      <c r="C1976" s="22"/>
      <c r="D1976" s="22"/>
      <c r="E1976" s="23" t="str">
        <f>IF($D1976="","",IFERROR(VLOOKUP($D1976,'SAMA Consumables Tracker'!$A:$H,8,FALSE()),""))</f>
        <v/>
      </c>
      <c r="F1976" s="24"/>
      <c r="G1976" s="25" t="str">
        <f>IF($D1976="","",IFERROR(VLOOKUP($D1976,'SAMA Consumables Tracker'!$A:$D,4,FALSE()),""))</f>
        <v/>
      </c>
      <c r="H1976" s="22"/>
    </row>
    <row r="1977" spans="1:8">
      <c r="A1977" s="21"/>
      <c r="B1977" s="22"/>
      <c r="C1977" s="22"/>
      <c r="D1977" s="22"/>
      <c r="E1977" s="23" t="str">
        <f>IF($D1977="","",IFERROR(VLOOKUP($D1977,'SAMA Consumables Tracker'!$A:$H,8,FALSE()),""))</f>
        <v/>
      </c>
      <c r="F1977" s="24"/>
      <c r="G1977" s="25" t="str">
        <f>IF($D1977="","",IFERROR(VLOOKUP($D1977,'SAMA Consumables Tracker'!$A:$D,4,FALSE()),""))</f>
        <v/>
      </c>
      <c r="H1977" s="22"/>
    </row>
    <row r="1978" spans="1:8">
      <c r="A1978" s="21"/>
      <c r="B1978" s="22"/>
      <c r="C1978" s="22"/>
      <c r="D1978" s="22"/>
      <c r="E1978" s="23" t="str">
        <f>IF($D1978="","",IFERROR(VLOOKUP($D1978,'SAMA Consumables Tracker'!$A:$H,8,FALSE()),""))</f>
        <v/>
      </c>
      <c r="F1978" s="24"/>
      <c r="G1978" s="25" t="str">
        <f>IF($D1978="","",IFERROR(VLOOKUP($D1978,'SAMA Consumables Tracker'!$A:$D,4,FALSE()),""))</f>
        <v/>
      </c>
      <c r="H1978" s="22"/>
    </row>
    <row r="1979" spans="1:8">
      <c r="A1979" s="21"/>
      <c r="B1979" s="22"/>
      <c r="C1979" s="22"/>
      <c r="D1979" s="22"/>
      <c r="E1979" s="23" t="str">
        <f>IF($D1979="","",IFERROR(VLOOKUP($D1979,'SAMA Consumables Tracker'!$A:$H,8,FALSE()),""))</f>
        <v/>
      </c>
      <c r="F1979" s="24"/>
      <c r="G1979" s="25" t="str">
        <f>IF($D1979="","",IFERROR(VLOOKUP($D1979,'SAMA Consumables Tracker'!$A:$D,4,FALSE()),""))</f>
        <v/>
      </c>
      <c r="H1979" s="22"/>
    </row>
    <row r="1980" spans="1:8">
      <c r="A1980" s="21"/>
      <c r="B1980" s="22"/>
      <c r="C1980" s="22"/>
      <c r="D1980" s="22"/>
      <c r="E1980" s="23" t="str">
        <f>IF($D1980="","",IFERROR(VLOOKUP($D1980,'SAMA Consumables Tracker'!$A:$H,8,FALSE()),""))</f>
        <v/>
      </c>
      <c r="F1980" s="24"/>
      <c r="G1980" s="25" t="str">
        <f>IF($D1980="","",IFERROR(VLOOKUP($D1980,'SAMA Consumables Tracker'!$A:$D,4,FALSE()),""))</f>
        <v/>
      </c>
      <c r="H1980" s="22"/>
    </row>
    <row r="1981" spans="1:8">
      <c r="A1981" s="21"/>
      <c r="B1981" s="22"/>
      <c r="C1981" s="22"/>
      <c r="D1981" s="22"/>
      <c r="E1981" s="23" t="str">
        <f>IF($D1981="","",IFERROR(VLOOKUP($D1981,'SAMA Consumables Tracker'!$A:$H,8,FALSE()),""))</f>
        <v/>
      </c>
      <c r="F1981" s="24"/>
      <c r="G1981" s="25" t="str">
        <f>IF($D1981="","",IFERROR(VLOOKUP($D1981,'SAMA Consumables Tracker'!$A:$D,4,FALSE()),""))</f>
        <v/>
      </c>
      <c r="H1981" s="22"/>
    </row>
    <row r="1982" spans="1:8">
      <c r="A1982" s="21"/>
      <c r="B1982" s="22"/>
      <c r="C1982" s="22"/>
      <c r="D1982" s="22"/>
      <c r="E1982" s="23" t="str">
        <f>IF($D1982="","",IFERROR(VLOOKUP($D1982,'SAMA Consumables Tracker'!$A:$H,8,FALSE()),""))</f>
        <v/>
      </c>
      <c r="F1982" s="24"/>
      <c r="G1982" s="25" t="str">
        <f>IF($D1982="","",IFERROR(VLOOKUP($D1982,'SAMA Consumables Tracker'!$A:$D,4,FALSE()),""))</f>
        <v/>
      </c>
      <c r="H1982" s="22"/>
    </row>
    <row r="1983" spans="1:8">
      <c r="A1983" s="21"/>
      <c r="B1983" s="22"/>
      <c r="C1983" s="22"/>
      <c r="D1983" s="22"/>
      <c r="E1983" s="23" t="str">
        <f>IF($D1983="","",IFERROR(VLOOKUP($D1983,'SAMA Consumables Tracker'!$A:$H,8,FALSE()),""))</f>
        <v/>
      </c>
      <c r="F1983" s="24"/>
      <c r="G1983" s="25" t="str">
        <f>IF($D1983="","",IFERROR(VLOOKUP($D1983,'SAMA Consumables Tracker'!$A:$D,4,FALSE()),""))</f>
        <v/>
      </c>
      <c r="H1983" s="22"/>
    </row>
    <row r="1984" spans="1:8">
      <c r="A1984" s="21"/>
      <c r="B1984" s="22"/>
      <c r="C1984" s="22"/>
      <c r="D1984" s="22"/>
      <c r="E1984" s="23" t="str">
        <f>IF($D1984="","",IFERROR(VLOOKUP($D1984,'SAMA Consumables Tracker'!$A:$H,8,FALSE()),""))</f>
        <v/>
      </c>
      <c r="F1984" s="24"/>
      <c r="G1984" s="25" t="str">
        <f>IF($D1984="","",IFERROR(VLOOKUP($D1984,'SAMA Consumables Tracker'!$A:$D,4,FALSE()),""))</f>
        <v/>
      </c>
      <c r="H1984" s="22"/>
    </row>
    <row r="1985" spans="1:8">
      <c r="A1985" s="21"/>
      <c r="B1985" s="22"/>
      <c r="C1985" s="22"/>
      <c r="D1985" s="22"/>
      <c r="E1985" s="23" t="str">
        <f>IF($D1985="","",IFERROR(VLOOKUP($D1985,'SAMA Consumables Tracker'!$A:$H,8,FALSE()),""))</f>
        <v/>
      </c>
      <c r="F1985" s="24"/>
      <c r="G1985" s="25" t="str">
        <f>IF($D1985="","",IFERROR(VLOOKUP($D1985,'SAMA Consumables Tracker'!$A:$D,4,FALSE()),""))</f>
        <v/>
      </c>
      <c r="H1985" s="22"/>
    </row>
    <row r="1986" spans="1:8">
      <c r="A1986" s="21"/>
      <c r="B1986" s="22"/>
      <c r="C1986" s="22"/>
      <c r="D1986" s="22"/>
      <c r="E1986" s="23" t="str">
        <f>IF($D1986="","",IFERROR(VLOOKUP($D1986,'SAMA Consumables Tracker'!$A:$H,8,FALSE()),""))</f>
        <v/>
      </c>
      <c r="F1986" s="24"/>
      <c r="G1986" s="25" t="str">
        <f>IF($D1986="","",IFERROR(VLOOKUP($D1986,'SAMA Consumables Tracker'!$A:$D,4,FALSE()),""))</f>
        <v/>
      </c>
      <c r="H1986" s="22"/>
    </row>
    <row r="1987" spans="1:8">
      <c r="A1987" s="21"/>
      <c r="B1987" s="22"/>
      <c r="C1987" s="22"/>
      <c r="D1987" s="22"/>
      <c r="E1987" s="23" t="str">
        <f>IF($D1987="","",IFERROR(VLOOKUP($D1987,'SAMA Consumables Tracker'!$A:$H,8,FALSE()),""))</f>
        <v/>
      </c>
      <c r="F1987" s="24"/>
      <c r="G1987" s="25" t="str">
        <f>IF($D1987="","",IFERROR(VLOOKUP($D1987,'SAMA Consumables Tracker'!$A:$D,4,FALSE()),""))</f>
        <v/>
      </c>
      <c r="H1987" s="22"/>
    </row>
    <row r="1988" spans="1:8">
      <c r="A1988" s="21"/>
      <c r="B1988" s="22"/>
      <c r="C1988" s="22"/>
      <c r="D1988" s="22"/>
      <c r="E1988" s="23" t="str">
        <f>IF($D1988="","",IFERROR(VLOOKUP($D1988,'SAMA Consumables Tracker'!$A:$H,8,FALSE()),""))</f>
        <v/>
      </c>
      <c r="F1988" s="24"/>
      <c r="G1988" s="25" t="str">
        <f>IF($D1988="","",IFERROR(VLOOKUP($D1988,'SAMA Consumables Tracker'!$A:$D,4,FALSE()),""))</f>
        <v/>
      </c>
      <c r="H1988" s="22"/>
    </row>
    <row r="1989" spans="1:8">
      <c r="A1989" s="21"/>
      <c r="B1989" s="22"/>
      <c r="C1989" s="22"/>
      <c r="D1989" s="22"/>
      <c r="E1989" s="23" t="str">
        <f>IF($D1989="","",IFERROR(VLOOKUP($D1989,'SAMA Consumables Tracker'!$A:$H,8,FALSE()),""))</f>
        <v/>
      </c>
      <c r="F1989" s="24"/>
      <c r="G1989" s="25" t="str">
        <f>IF($D1989="","",IFERROR(VLOOKUP($D1989,'SAMA Consumables Tracker'!$A:$D,4,FALSE()),""))</f>
        <v/>
      </c>
      <c r="H1989" s="22"/>
    </row>
    <row r="1990" spans="1:8">
      <c r="A1990" s="21"/>
      <c r="B1990" s="22"/>
      <c r="C1990" s="22"/>
      <c r="D1990" s="22"/>
      <c r="E1990" s="23" t="str">
        <f>IF($D1990="","",IFERROR(VLOOKUP($D1990,'SAMA Consumables Tracker'!$A:$H,8,FALSE()),""))</f>
        <v/>
      </c>
      <c r="F1990" s="24"/>
      <c r="G1990" s="25" t="str">
        <f>IF($D1990="","",IFERROR(VLOOKUP($D1990,'SAMA Consumables Tracker'!$A:$D,4,FALSE()),""))</f>
        <v/>
      </c>
      <c r="H1990" s="22"/>
    </row>
    <row r="1991" spans="1:8">
      <c r="A1991" s="21"/>
      <c r="B1991" s="22"/>
      <c r="C1991" s="22"/>
      <c r="D1991" s="22"/>
      <c r="E1991" s="23" t="str">
        <f>IF($D1991="","",IFERROR(VLOOKUP($D1991,'SAMA Consumables Tracker'!$A:$H,8,FALSE()),""))</f>
        <v/>
      </c>
      <c r="F1991" s="24"/>
      <c r="G1991" s="25" t="str">
        <f>IF($D1991="","",IFERROR(VLOOKUP($D1991,'SAMA Consumables Tracker'!$A:$D,4,FALSE()),""))</f>
        <v/>
      </c>
      <c r="H1991" s="22"/>
    </row>
    <row r="1992" spans="1:8">
      <c r="A1992" s="21"/>
      <c r="B1992" s="22"/>
      <c r="C1992" s="22"/>
      <c r="D1992" s="22"/>
      <c r="E1992" s="23" t="str">
        <f>IF($D1992="","",IFERROR(VLOOKUP($D1992,'SAMA Consumables Tracker'!$A:$H,8,FALSE()),""))</f>
        <v/>
      </c>
      <c r="F1992" s="24"/>
      <c r="G1992" s="25" t="str">
        <f>IF($D1992="","",IFERROR(VLOOKUP($D1992,'SAMA Consumables Tracker'!$A:$D,4,FALSE()),""))</f>
        <v/>
      </c>
      <c r="H1992" s="22"/>
    </row>
    <row r="1993" spans="1:8">
      <c r="A1993" s="21"/>
      <c r="B1993" s="22"/>
      <c r="C1993" s="22"/>
      <c r="D1993" s="22"/>
      <c r="E1993" s="23" t="str">
        <f>IF($D1993="","",IFERROR(VLOOKUP($D1993,'SAMA Consumables Tracker'!$A:$H,8,FALSE()),""))</f>
        <v/>
      </c>
      <c r="F1993" s="24"/>
      <c r="G1993" s="25" t="str">
        <f>IF($D1993="","",IFERROR(VLOOKUP($D1993,'SAMA Consumables Tracker'!$A:$D,4,FALSE()),""))</f>
        <v/>
      </c>
      <c r="H1993" s="22"/>
    </row>
    <row r="1994" spans="1:8">
      <c r="A1994" s="21"/>
      <c r="B1994" s="22"/>
      <c r="C1994" s="22"/>
      <c r="D1994" s="22"/>
      <c r="E1994" s="23" t="str">
        <f>IF($D1994="","",IFERROR(VLOOKUP($D1994,'SAMA Consumables Tracker'!$A:$H,8,FALSE()),""))</f>
        <v/>
      </c>
      <c r="F1994" s="24"/>
      <c r="G1994" s="25" t="str">
        <f>IF($D1994="","",IFERROR(VLOOKUP($D1994,'SAMA Consumables Tracker'!$A:$D,4,FALSE()),""))</f>
        <v/>
      </c>
      <c r="H1994" s="22"/>
    </row>
    <row r="1995" spans="1:8">
      <c r="A1995" s="21"/>
      <c r="B1995" s="22"/>
      <c r="C1995" s="22"/>
      <c r="D1995" s="22"/>
      <c r="E1995" s="23" t="str">
        <f>IF($D1995="","",IFERROR(VLOOKUP($D1995,'SAMA Consumables Tracker'!$A:$H,8,FALSE()),""))</f>
        <v/>
      </c>
      <c r="F1995" s="24"/>
      <c r="G1995" s="25" t="str">
        <f>IF($D1995="","",IFERROR(VLOOKUP($D1995,'SAMA Consumables Tracker'!$A:$D,4,FALSE()),""))</f>
        <v/>
      </c>
      <c r="H1995" s="22"/>
    </row>
    <row r="1996" spans="1:8">
      <c r="A1996" s="21"/>
      <c r="B1996" s="22"/>
      <c r="C1996" s="22"/>
      <c r="D1996" s="22"/>
      <c r="E1996" s="23" t="str">
        <f>IF($D1996="","",IFERROR(VLOOKUP($D1996,'SAMA Consumables Tracker'!$A:$H,8,FALSE()),""))</f>
        <v/>
      </c>
      <c r="F1996" s="24"/>
      <c r="G1996" s="25" t="str">
        <f>IF($D1996="","",IFERROR(VLOOKUP($D1996,'SAMA Consumables Tracker'!$A:$D,4,FALSE()),""))</f>
        <v/>
      </c>
      <c r="H1996" s="22"/>
    </row>
    <row r="1997" spans="1:8">
      <c r="A1997" s="21"/>
      <c r="B1997" s="22"/>
      <c r="C1997" s="22"/>
      <c r="D1997" s="22"/>
      <c r="E1997" s="23" t="str">
        <f>IF($D1997="","",IFERROR(VLOOKUP($D1997,'SAMA Consumables Tracker'!$A:$H,8,FALSE()),""))</f>
        <v/>
      </c>
      <c r="F1997" s="24"/>
      <c r="G1997" s="25" t="str">
        <f>IF($D1997="","",IFERROR(VLOOKUP($D1997,'SAMA Consumables Tracker'!$A:$D,4,FALSE()),""))</f>
        <v/>
      </c>
      <c r="H1997" s="22"/>
    </row>
    <row r="1998" spans="1:8">
      <c r="A1998" s="21"/>
      <c r="B1998" s="22"/>
      <c r="C1998" s="22"/>
      <c r="D1998" s="22"/>
      <c r="E1998" s="23" t="str">
        <f>IF($D1998="","",IFERROR(VLOOKUP($D1998,'SAMA Consumables Tracker'!$A:$H,8,FALSE()),""))</f>
        <v/>
      </c>
      <c r="F1998" s="24"/>
      <c r="G1998" s="25" t="str">
        <f>IF($D1998="","",IFERROR(VLOOKUP($D1998,'SAMA Consumables Tracker'!$A:$D,4,FALSE()),""))</f>
        <v/>
      </c>
      <c r="H1998" s="22"/>
    </row>
    <row r="1999" spans="1:8">
      <c r="A1999" s="21"/>
      <c r="B1999" s="22"/>
      <c r="C1999" s="22"/>
      <c r="D1999" s="22"/>
      <c r="E1999" s="23" t="str">
        <f>IF($D1999="","",IFERROR(VLOOKUP($D1999,'SAMA Consumables Tracker'!$A:$H,8,FALSE()),""))</f>
        <v/>
      </c>
      <c r="F1999" s="24"/>
      <c r="G1999" s="25" t="str">
        <f>IF($D1999="","",IFERROR(VLOOKUP($D1999,'SAMA Consumables Tracker'!$A:$D,4,FALSE()),""))</f>
        <v/>
      </c>
      <c r="H1999" s="22"/>
    </row>
    <row r="2000" spans="1:8">
      <c r="A2000" s="21"/>
      <c r="B2000" s="22"/>
      <c r="C2000" s="22"/>
      <c r="D2000" s="22"/>
      <c r="E2000" s="23" t="str">
        <f>IF($D2000="","",IFERROR(VLOOKUP($D2000,'SAMA Consumables Tracker'!$A:$H,8,FALSE()),""))</f>
        <v/>
      </c>
      <c r="F2000" s="24"/>
      <c r="G2000" s="25" t="str">
        <f>IF($D2000="","",IFERROR(VLOOKUP($D2000,'SAMA Consumables Tracker'!$A:$D,4,FALSE()),""))</f>
        <v/>
      </c>
      <c r="H2000" s="22"/>
    </row>
    <row r="2002" spans="4:6">
      <c r="D2002" s="26" t="s">
        <v>110</v>
      </c>
      <c r="F2002" s="27">
        <f>SUM(F4:F2000)</f>
        <v>750</v>
      </c>
    </row>
  </sheetData>
  <autoFilter ref="A3:H2000" xr:uid="{00000000-0009-0000-0000-00000C000000}"/>
  <mergeCells count="2">
    <mergeCell ref="A1:H1"/>
    <mergeCell ref="A2:H2"/>
  </mergeCells>
  <dataValidations count="1">
    <dataValidation type="list" allowBlank="1" promptTitle="Unique Code" prompt="Select the Unique Code" sqref="D4:D2000" xr:uid="{00000000-0002-0000-0C00-000000000000}">
      <formula1>$J$2:$J$21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2026-07-04T22:11:22Z</dcterms:created>
  <dcterms:modified xsi:type="dcterms:W3CDTF">2026-07-20T06:51:07Z</dcterms:modified>
  <cp:category/>
  <cp:contentStatus/>
</cp:coreProperties>
</file>